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/Users/Brian/Documents/Finance/"/>
    </mc:Choice>
  </mc:AlternateContent>
  <xr:revisionPtr revIDLastSave="0" documentId="13_ncr:1_{B1E7AB5E-FAE0-854E-BC32-CEE523AD08F6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真實IC" sheetId="1" r:id="rId1"/>
    <sheet name="預測IC" sheetId="2" r:id="rId2"/>
    <sheet name="NN3勝率" sheetId="3" r:id="rId3"/>
    <sheet name="NN3累積報酬 " sheetId="4" r:id="rId4"/>
    <sheet name="NN3再投資累積報酬" sheetId="7" r:id="rId5"/>
    <sheet name="NN3夏普比率" sheetId="5" r:id="rId6"/>
    <sheet name="NN3樣本外R2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5" i="7" l="1" a="1"/>
  <c r="EG5" i="7"/>
  <c r="EG6" i="7" a="1"/>
  <c r="EG6" i="7"/>
  <c r="EG7" i="7" a="1"/>
  <c r="EG7" i="7"/>
  <c r="EG8" i="7" a="1"/>
  <c r="EG8" i="7"/>
  <c r="EG9" i="7" a="1"/>
  <c r="EG9" i="7"/>
  <c r="EG10" i="7" a="1"/>
  <c r="EG10" i="7"/>
  <c r="EG11" i="7" a="1"/>
  <c r="EG11" i="7"/>
  <c r="EG12" i="7" a="1"/>
  <c r="EG12" i="7"/>
  <c r="EG13" i="7" a="1"/>
  <c r="EG13" i="7"/>
  <c r="EG14" i="7" a="1"/>
  <c r="EG14" i="7"/>
  <c r="EG15" i="7" a="1"/>
  <c r="EG15" i="7"/>
  <c r="EG16" i="7" a="1"/>
  <c r="EG16" i="7"/>
  <c r="EG17" i="7" a="1"/>
  <c r="EG17" i="7"/>
  <c r="EG18" i="7" a="1"/>
  <c r="EG18" i="7"/>
  <c r="EE24" i="4"/>
  <c r="EE23" i="4"/>
  <c r="EE22" i="4"/>
  <c r="EE21" i="4"/>
  <c r="EE20" i="4"/>
  <c r="EE19" i="4"/>
  <c r="EE18" i="4"/>
  <c r="EE17" i="4"/>
  <c r="EE16" i="4"/>
  <c r="EE15" i="4"/>
  <c r="EE14" i="4"/>
  <c r="EE13" i="4"/>
  <c r="EE12" i="4"/>
  <c r="EF18" i="7" a="1"/>
  <c r="EF18" i="7" s="1"/>
  <c r="EE18" i="7" a="1"/>
  <c r="EE18" i="7" s="1"/>
  <c r="ED18" i="7" a="1"/>
  <c r="ED18" i="7" s="1"/>
  <c r="EC18" i="7" a="1"/>
  <c r="EC18" i="7" s="1"/>
  <c r="EB18" i="7" a="1"/>
  <c r="EB18" i="7" s="1"/>
  <c r="EA18" i="7" a="1"/>
  <c r="EA18" i="7" s="1"/>
  <c r="DZ18" i="7" a="1"/>
  <c r="DZ18" i="7" s="1"/>
  <c r="DY18" i="7" a="1"/>
  <c r="DY18" i="7" s="1"/>
  <c r="DX18" i="7" a="1"/>
  <c r="DX18" i="7" s="1"/>
  <c r="DW18" i="7" a="1"/>
  <c r="DW18" i="7" s="1"/>
  <c r="DV18" i="7" a="1"/>
  <c r="DV18" i="7" s="1"/>
  <c r="DU18" i="7" a="1"/>
  <c r="DU18" i="7" s="1"/>
  <c r="DT18" i="7" a="1"/>
  <c r="DT18" i="7" s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 a="1"/>
  <c r="DN18" i="7" s="1"/>
  <c r="DM18" i="7" a="1"/>
  <c r="DM18" i="7" s="1"/>
  <c r="DL18" i="7" a="1"/>
  <c r="DL18" i="7" s="1"/>
  <c r="DK18" i="7" a="1"/>
  <c r="DK18" i="7" s="1"/>
  <c r="DJ18" i="7" a="1"/>
  <c r="DJ18" i="7" s="1"/>
  <c r="DI18" i="7" a="1"/>
  <c r="DI18" i="7" s="1"/>
  <c r="DH18" i="7" a="1"/>
  <c r="DH18" i="7" s="1"/>
  <c r="DG18" i="7" a="1"/>
  <c r="DG18" i="7" s="1"/>
  <c r="DF18" i="7" a="1"/>
  <c r="DF18" i="7" s="1"/>
  <c r="DE18" i="7" a="1"/>
  <c r="DE18" i="7" s="1"/>
  <c r="DD18" i="7" a="1"/>
  <c r="DD18" i="7" s="1"/>
  <c r="DC18" i="7" a="1"/>
  <c r="DC18" i="7" s="1"/>
  <c r="DB18" i="7" a="1"/>
  <c r="DB18" i="7" s="1"/>
  <c r="DA18" i="7" a="1"/>
  <c r="DA18" i="7" s="1"/>
  <c r="CZ18" i="7" a="1"/>
  <c r="CZ18" i="7" s="1"/>
  <c r="CY18" i="7" a="1"/>
  <c r="CY18" i="7" s="1"/>
  <c r="CX18" i="7" a="1"/>
  <c r="CX18" i="7" s="1"/>
  <c r="CW18" i="7" a="1"/>
  <c r="CW18" i="7" s="1"/>
  <c r="CV18" i="7" a="1"/>
  <c r="CV18" i="7" s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 a="1"/>
  <c r="CP18" i="7" s="1"/>
  <c r="CO18" i="7" a="1"/>
  <c r="CO18" i="7" s="1"/>
  <c r="CN18" i="7" a="1"/>
  <c r="CN18" i="7" s="1"/>
  <c r="CM18" i="7" a="1"/>
  <c r="CM18" i="7" s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 a="1"/>
  <c r="CF18" i="7" s="1"/>
  <c r="CE18" i="7" a="1"/>
  <c r="CE18" i="7" s="1"/>
  <c r="CD18" i="7" a="1"/>
  <c r="CD18" i="7" s="1"/>
  <c r="CC18" i="7" a="1"/>
  <c r="CC18" i="7" s="1"/>
  <c r="CB18" i="7" a="1"/>
  <c r="CB18" i="7" s="1"/>
  <c r="CA18" i="7" a="1"/>
  <c r="CA18" i="7" s="1"/>
  <c r="BZ18" i="7" a="1"/>
  <c r="BZ18" i="7" s="1"/>
  <c r="BY18" i="7" a="1"/>
  <c r="BY18" i="7" s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 a="1"/>
  <c r="BR18" i="7" s="1"/>
  <c r="BQ18" i="7" a="1"/>
  <c r="BQ18" i="7" s="1"/>
  <c r="BP18" i="7" a="1"/>
  <c r="BP18" i="7" s="1"/>
  <c r="BO18" i="7" a="1"/>
  <c r="BO18" i="7" s="1"/>
  <c r="BN18" i="7" a="1"/>
  <c r="BN18" i="7" s="1"/>
  <c r="BM18" i="7" a="1"/>
  <c r="BM18" i="7" s="1"/>
  <c r="BL18" i="7" a="1"/>
  <c r="BL18" i="7" s="1"/>
  <c r="BK18" i="7" a="1"/>
  <c r="BK18" i="7" s="1"/>
  <c r="BJ18" i="7" a="1"/>
  <c r="BJ18" i="7" s="1"/>
  <c r="BI18" i="7" a="1"/>
  <c r="BI18" i="7" s="1"/>
  <c r="BH18" i="7" a="1"/>
  <c r="BH18" i="7" s="1"/>
  <c r="BG18" i="7" a="1"/>
  <c r="BG18" i="7" s="1"/>
  <c r="BF18" i="7" a="1"/>
  <c r="BF18" i="7" s="1"/>
  <c r="BE18" i="7" a="1"/>
  <c r="BE18" i="7" s="1"/>
  <c r="BD18" i="7" a="1"/>
  <c r="BD18" i="7" s="1"/>
  <c r="BC18" i="7" a="1"/>
  <c r="BC18" i="7" s="1"/>
  <c r="BB18" i="7" a="1"/>
  <c r="BB18" i="7" s="1"/>
  <c r="BA18" i="7" a="1"/>
  <c r="BA18" i="7" s="1"/>
  <c r="AZ18" i="7" a="1"/>
  <c r="AZ18" i="7" s="1"/>
  <c r="AY18" i="7" a="1"/>
  <c r="AY18" i="7" s="1"/>
  <c r="AX18" i="7" a="1"/>
  <c r="AX18" i="7" s="1"/>
  <c r="AW18" i="7" a="1"/>
  <c r="AW18" i="7" s="1"/>
  <c r="AV18" i="7" a="1"/>
  <c r="AV18" i="7" s="1"/>
  <c r="AU18" i="7" a="1"/>
  <c r="AU18" i="7" s="1"/>
  <c r="AT18" i="7" a="1"/>
  <c r="AT18" i="7" s="1"/>
  <c r="AS18" i="7" a="1"/>
  <c r="AS18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L18" i="7" a="1"/>
  <c r="AL18" i="7" s="1"/>
  <c r="AK18" i="7" a="1"/>
  <c r="AK18" i="7" s="1"/>
  <c r="AJ18" i="7" a="1"/>
  <c r="AJ18" i="7" s="1"/>
  <c r="AI18" i="7" a="1"/>
  <c r="AI18" i="7" s="1"/>
  <c r="AH18" i="7" a="1"/>
  <c r="AH18" i="7" s="1"/>
  <c r="AG18" i="7" a="1"/>
  <c r="AG18" i="7" s="1"/>
  <c r="AF18" i="7" a="1"/>
  <c r="AF18" i="7" s="1"/>
  <c r="AE18" i="7" a="1"/>
  <c r="AE18" i="7" s="1"/>
  <c r="AD18" i="7" a="1"/>
  <c r="AD18" i="7" s="1"/>
  <c r="AC18" i="7" a="1"/>
  <c r="AC18" i="7" s="1"/>
  <c r="AB18" i="7" a="1"/>
  <c r="AB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 a="1"/>
  <c r="E18" i="7" s="1"/>
  <c r="EF17" i="7" a="1"/>
  <c r="EF17" i="7" s="1"/>
  <c r="EE17" i="7" a="1"/>
  <c r="EE17" i="7" s="1"/>
  <c r="ED17" i="7" a="1"/>
  <c r="ED17" i="7" s="1"/>
  <c r="EC17" i="7" a="1"/>
  <c r="EC17" i="7" s="1"/>
  <c r="EB17" i="7" a="1"/>
  <c r="EB17" i="7" s="1"/>
  <c r="EA17" i="7" a="1"/>
  <c r="EA17" i="7" s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 a="1"/>
  <c r="DC17" i="7" s="1"/>
  <c r="DB17" i="7" a="1"/>
  <c r="DB17" i="7" s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 a="1"/>
  <c r="CU17" i="7" s="1"/>
  <c r="CT17" i="7" a="1"/>
  <c r="CT17" i="7" s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 a="1"/>
  <c r="CL17" i="7" s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 a="1"/>
  <c r="CF17" i="7" s="1"/>
  <c r="CE17" i="7" a="1"/>
  <c r="CE17" i="7" s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 a="1"/>
  <c r="BU17" i="7" s="1"/>
  <c r="BT17" i="7" a="1"/>
  <c r="BT17" i="7" s="1"/>
  <c r="BS17" i="7" a="1"/>
  <c r="BS17" i="7" s="1"/>
  <c r="BR17" i="7" a="1"/>
  <c r="BR17" i="7" s="1"/>
  <c r="BQ17" i="7" a="1"/>
  <c r="BQ17" i="7" s="1"/>
  <c r="BP17" i="7" a="1"/>
  <c r="BP17" i="7" s="1"/>
  <c r="BO17" i="7" a="1"/>
  <c r="BO17" i="7" s="1"/>
  <c r="BN17" i="7" a="1"/>
  <c r="BN17" i="7" s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 a="1"/>
  <c r="BH17" i="7" s="1"/>
  <c r="BG17" i="7" a="1"/>
  <c r="BG17" i="7" s="1"/>
  <c r="BF17" i="7" a="1"/>
  <c r="BF17" i="7" s="1"/>
  <c r="BE17" i="7" a="1"/>
  <c r="BE17" i="7" s="1"/>
  <c r="BD17" i="7" a="1"/>
  <c r="BD17" i="7" s="1"/>
  <c r="BC17" i="7" a="1"/>
  <c r="BC17" i="7" s="1"/>
  <c r="BB17" i="7" a="1"/>
  <c r="BB17" i="7" s="1"/>
  <c r="BA17" i="7" a="1"/>
  <c r="BA17" i="7" s="1"/>
  <c r="AZ17" i="7" a="1"/>
  <c r="AZ17" i="7" s="1"/>
  <c r="AY17" i="7" a="1"/>
  <c r="AY17" i="7" s="1"/>
  <c r="AX17" i="7" a="1"/>
  <c r="AX17" i="7" s="1"/>
  <c r="AW17" i="7" a="1"/>
  <c r="AW17" i="7" s="1"/>
  <c r="AV17" i="7" a="1"/>
  <c r="AV17" i="7" s="1"/>
  <c r="AU17" i="7" a="1"/>
  <c r="AU17" i="7" s="1"/>
  <c r="AT17" i="7" a="1"/>
  <c r="AT17" i="7" s="1"/>
  <c r="AS17" i="7" a="1"/>
  <c r="AS17" i="7" s="1"/>
  <c r="AR17" i="7" a="1"/>
  <c r="AR17" i="7" s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AD17" i="7" a="1"/>
  <c r="AD17" i="7" s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 a="1"/>
  <c r="G17" i="7" s="1"/>
  <c r="F17" i="7" a="1"/>
  <c r="F17" i="7" s="1"/>
  <c r="E17" i="7" a="1"/>
  <c r="E17" i="7" s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 a="1"/>
  <c r="EA16" i="7" s="1"/>
  <c r="DZ16" i="7" a="1"/>
  <c r="DZ16" i="7" s="1"/>
  <c r="DY16" i="7" a="1"/>
  <c r="DY16" i="7" s="1"/>
  <c r="DX16" i="7" a="1"/>
  <c r="DX16" i="7" s="1"/>
  <c r="DW16" i="7" a="1"/>
  <c r="DW16" i="7" s="1"/>
  <c r="DV16" i="7" a="1"/>
  <c r="DV16" i="7" s="1"/>
  <c r="DU16" i="7" a="1"/>
  <c r="DU16" i="7" s="1"/>
  <c r="DT16" i="7" a="1"/>
  <c r="DT16" i="7" s="1"/>
  <c r="DS16" i="7" a="1"/>
  <c r="DS16" i="7" s="1"/>
  <c r="DR16" i="7" a="1"/>
  <c r="DR16" i="7" s="1"/>
  <c r="DQ16" i="7" a="1"/>
  <c r="DQ16" i="7" s="1"/>
  <c r="DP16" i="7" a="1"/>
  <c r="DP16" i="7" s="1"/>
  <c r="DO16" i="7" a="1"/>
  <c r="DO16" i="7" s="1"/>
  <c r="DN16" i="7" a="1"/>
  <c r="DN16" i="7" s="1"/>
  <c r="DM16" i="7" a="1"/>
  <c r="DM16" i="7" s="1"/>
  <c r="DL16" i="7" a="1"/>
  <c r="DL16" i="7" s="1"/>
  <c r="DK16" i="7" a="1"/>
  <c r="DK16" i="7" s="1"/>
  <c r="DJ16" i="7" a="1"/>
  <c r="DJ16" i="7" s="1"/>
  <c r="DI16" i="7" a="1"/>
  <c r="DI16" i="7" s="1"/>
  <c r="DH16" i="7" a="1"/>
  <c r="DH16" i="7" s="1"/>
  <c r="DG16" i="7" a="1"/>
  <c r="DG16" i="7" s="1"/>
  <c r="DF16" i="7" a="1"/>
  <c r="DF16" i="7" s="1"/>
  <c r="DE16" i="7" a="1"/>
  <c r="DE16" i="7" s="1"/>
  <c r="DD16" i="7" a="1"/>
  <c r="DD16" i="7" s="1"/>
  <c r="DC16" i="7" a="1"/>
  <c r="DC16" i="7" s="1"/>
  <c r="DB16" i="7" a="1"/>
  <c r="DB16" i="7" s="1"/>
  <c r="DA16" i="7" a="1"/>
  <c r="DA16" i="7" s="1"/>
  <c r="CZ16" i="7" a="1"/>
  <c r="CZ16" i="7" s="1"/>
  <c r="CY16" i="7" a="1"/>
  <c r="CY16" i="7" s="1"/>
  <c r="CX16" i="7" a="1"/>
  <c r="CX16" i="7" s="1"/>
  <c r="CW16" i="7" a="1"/>
  <c r="CW16" i="7" s="1"/>
  <c r="CV16" i="7" a="1"/>
  <c r="CV16" i="7" s="1"/>
  <c r="CU16" i="7" a="1"/>
  <c r="CU16" i="7" s="1"/>
  <c r="CT16" i="7" a="1"/>
  <c r="CT16" i="7" s="1"/>
  <c r="CS16" i="7" a="1"/>
  <c r="CS16" i="7" s="1"/>
  <c r="CR16" i="7" a="1"/>
  <c r="CR16" i="7" s="1"/>
  <c r="CQ16" i="7" a="1"/>
  <c r="CQ16" i="7" s="1"/>
  <c r="CP16" i="7" a="1"/>
  <c r="CP16" i="7" s="1"/>
  <c r="CO16" i="7" a="1"/>
  <c r="CO16" i="7" s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 a="1"/>
  <c r="CI16" i="7" s="1"/>
  <c r="CH16" i="7" a="1"/>
  <c r="CH16" i="7" s="1"/>
  <c r="CG16" i="7" a="1"/>
  <c r="CG16" i="7" s="1"/>
  <c r="CF16" i="7" a="1"/>
  <c r="CF16" i="7" s="1"/>
  <c r="CE16" i="7" a="1"/>
  <c r="CE16" i="7" s="1"/>
  <c r="CD16" i="7" a="1"/>
  <c r="CD16" i="7" s="1"/>
  <c r="CC16" i="7" a="1"/>
  <c r="CC16" i="7" s="1"/>
  <c r="CB16" i="7" a="1"/>
  <c r="CB16" i="7" s="1"/>
  <c r="CA16" i="7" a="1"/>
  <c r="CA16" i="7" s="1"/>
  <c r="BZ16" i="7" a="1"/>
  <c r="BZ16" i="7" s="1"/>
  <c r="BY16" i="7" a="1"/>
  <c r="BY16" i="7" s="1"/>
  <c r="BX16" i="7" a="1"/>
  <c r="BX16" i="7" s="1"/>
  <c r="BW16" i="7" a="1"/>
  <c r="BW16" i="7" s="1"/>
  <c r="BV16" i="7" a="1"/>
  <c r="BV16" i="7" s="1"/>
  <c r="BU16" i="7" a="1"/>
  <c r="BU16" i="7" s="1"/>
  <c r="BT16" i="7" a="1"/>
  <c r="BT16" i="7" s="1"/>
  <c r="BS16" i="7" a="1"/>
  <c r="BS16" i="7" s="1"/>
  <c r="BR16" i="7" a="1"/>
  <c r="BR16" i="7" s="1"/>
  <c r="BQ16" i="7" a="1"/>
  <c r="BQ16" i="7" s="1"/>
  <c r="BP16" i="7" a="1"/>
  <c r="BP16" i="7" s="1"/>
  <c r="BO16" i="7" a="1"/>
  <c r="BO16" i="7" s="1"/>
  <c r="BN16" i="7" a="1"/>
  <c r="BN16" i="7" s="1"/>
  <c r="BM16" i="7" a="1"/>
  <c r="BM16" i="7" s="1"/>
  <c r="BL16" i="7" a="1"/>
  <c r="BL16" i="7" s="1"/>
  <c r="BK16" i="7"/>
  <c r="BK16" i="7" a="1"/>
  <c r="BJ16" i="7" a="1"/>
  <c r="BJ16" i="7" s="1"/>
  <c r="BI16" i="7" a="1"/>
  <c r="BI16" i="7" s="1"/>
  <c r="BH16" i="7"/>
  <c r="BH16" i="7" a="1"/>
  <c r="BG16" i="7"/>
  <c r="BG16" i="7" a="1"/>
  <c r="BF16" i="7" a="1"/>
  <c r="BF16" i="7" s="1"/>
  <c r="BE16" i="7" a="1"/>
  <c r="BE16" i="7" s="1"/>
  <c r="BD16" i="7"/>
  <c r="BD16" i="7" a="1"/>
  <c r="BC16" i="7"/>
  <c r="BC16" i="7" a="1"/>
  <c r="BB16" i="7"/>
  <c r="BB16" i="7" a="1"/>
  <c r="BA16" i="7" a="1"/>
  <c r="BA16" i="7" s="1"/>
  <c r="AZ16" i="7"/>
  <c r="AZ16" i="7" a="1"/>
  <c r="AY16" i="7"/>
  <c r="AY16" i="7" a="1"/>
  <c r="AX16" i="7" a="1"/>
  <c r="AX16" i="7" s="1"/>
  <c r="AW16" i="7" a="1"/>
  <c r="AW16" i="7" s="1"/>
  <c r="AV16" i="7"/>
  <c r="AV16" i="7" a="1"/>
  <c r="AU16" i="7"/>
  <c r="AU16" i="7" a="1"/>
  <c r="AT16" i="7"/>
  <c r="AT16" i="7" a="1"/>
  <c r="AS16" i="7" a="1"/>
  <c r="AS16" i="7" s="1"/>
  <c r="AR16" i="7"/>
  <c r="AR16" i="7" a="1"/>
  <c r="AQ16" i="7"/>
  <c r="AQ16" i="7" a="1"/>
  <c r="AP16" i="7" a="1"/>
  <c r="AP16" i="7" s="1"/>
  <c r="AO16" i="7" a="1"/>
  <c r="AO16" i="7" s="1"/>
  <c r="AN16" i="7"/>
  <c r="AN16" i="7" a="1"/>
  <c r="AM16" i="7"/>
  <c r="AM16" i="7" a="1"/>
  <c r="AL16" i="7" a="1"/>
  <c r="AL16" i="7" s="1"/>
  <c r="AK16" i="7" a="1"/>
  <c r="AK16" i="7" s="1"/>
  <c r="AJ16" i="7"/>
  <c r="AJ16" i="7" a="1"/>
  <c r="AI16" i="7"/>
  <c r="AI16" i="7" a="1"/>
  <c r="AH16" i="7"/>
  <c r="AH16" i="7" a="1"/>
  <c r="AG16" i="7" a="1"/>
  <c r="AG16" i="7" s="1"/>
  <c r="AF16" i="7"/>
  <c r="AF16" i="7" a="1"/>
  <c r="AE16" i="7"/>
  <c r="AE16" i="7" a="1"/>
  <c r="AD16" i="7"/>
  <c r="AD16" i="7" a="1"/>
  <c r="AC16" i="7" a="1"/>
  <c r="AC16" i="7" s="1"/>
  <c r="AB16" i="7"/>
  <c r="AB16" i="7" a="1"/>
  <c r="AA16" i="7"/>
  <c r="AA16" i="7" a="1"/>
  <c r="Z16" i="7" a="1"/>
  <c r="Z16" i="7" s="1"/>
  <c r="Y16" i="7" a="1"/>
  <c r="Y16" i="7" s="1"/>
  <c r="X16" i="7"/>
  <c r="X16" i="7" a="1"/>
  <c r="W16" i="7"/>
  <c r="W16" i="7" a="1"/>
  <c r="V16" i="7"/>
  <c r="V16" i="7" a="1"/>
  <c r="U16" i="7" a="1"/>
  <c r="U16" i="7" s="1"/>
  <c r="T16" i="7"/>
  <c r="T16" i="7" a="1"/>
  <c r="S16" i="7"/>
  <c r="S16" i="7" a="1"/>
  <c r="R16" i="7" a="1"/>
  <c r="R16" i="7" s="1"/>
  <c r="Q16" i="7" a="1"/>
  <c r="Q16" i="7" s="1"/>
  <c r="P16" i="7"/>
  <c r="P16" i="7" a="1"/>
  <c r="O16" i="7"/>
  <c r="O16" i="7" a="1"/>
  <c r="N16" i="7"/>
  <c r="N16" i="7" a="1"/>
  <c r="M16" i="7" a="1"/>
  <c r="M16" i="7" s="1"/>
  <c r="L16" i="7"/>
  <c r="L16" i="7" a="1"/>
  <c r="K16" i="7"/>
  <c r="K16" i="7" a="1"/>
  <c r="J16" i="7"/>
  <c r="J16" i="7" a="1"/>
  <c r="I16" i="7" a="1"/>
  <c r="I16" i="7" s="1"/>
  <c r="H16" i="7"/>
  <c r="H16" i="7" a="1"/>
  <c r="G16" i="7"/>
  <c r="G16" i="7" a="1"/>
  <c r="F16" i="7" a="1"/>
  <c r="F16" i="7" s="1"/>
  <c r="E16" i="7" a="1"/>
  <c r="E16" i="7" s="1"/>
  <c r="EF15" i="7"/>
  <c r="EF15" i="7" a="1"/>
  <c r="EE15" i="7"/>
  <c r="EE15" i="7" a="1"/>
  <c r="ED15" i="7" a="1"/>
  <c r="ED15" i="7" s="1"/>
  <c r="EC15" i="7"/>
  <c r="EC15" i="7" a="1"/>
  <c r="EB15" i="7"/>
  <c r="EB15" i="7" a="1"/>
  <c r="EA15" i="7"/>
  <c r="EA15" i="7" a="1"/>
  <c r="DZ15" i="7" a="1"/>
  <c r="DZ15" i="7" s="1"/>
  <c r="DY15" i="7"/>
  <c r="DY15" i="7" a="1"/>
  <c r="DX15" i="7"/>
  <c r="DX15" i="7" a="1"/>
  <c r="DW15" i="7" a="1"/>
  <c r="DW15" i="7" s="1"/>
  <c r="DV15" i="7" a="1"/>
  <c r="DV15" i="7" s="1"/>
  <c r="DU15" i="7"/>
  <c r="DU15" i="7" a="1"/>
  <c r="DT15" i="7"/>
  <c r="DT15" i="7" a="1"/>
  <c r="DS15" i="7"/>
  <c r="DS15" i="7" a="1"/>
  <c r="DR15" i="7" a="1"/>
  <c r="DR15" i="7" s="1"/>
  <c r="DQ15" i="7"/>
  <c r="DQ15" i="7" a="1"/>
  <c r="DP15" i="7"/>
  <c r="DP15" i="7" a="1"/>
  <c r="DO15" i="7" a="1"/>
  <c r="DO15" i="7" s="1"/>
  <c r="DN15" i="7" a="1"/>
  <c r="DN15" i="7" s="1"/>
  <c r="DM15" i="7"/>
  <c r="DM15" i="7" a="1"/>
  <c r="DL15" i="7"/>
  <c r="DL15" i="7" a="1"/>
  <c r="DK15" i="7"/>
  <c r="DK15" i="7" a="1"/>
  <c r="DJ15" i="7" a="1"/>
  <c r="DJ15" i="7" s="1"/>
  <c r="DI15" i="7"/>
  <c r="DI15" i="7" a="1"/>
  <c r="DH15" i="7"/>
  <c r="DH15" i="7" a="1"/>
  <c r="DG15" i="7"/>
  <c r="DG15" i="7" a="1"/>
  <c r="DF15" i="7" a="1"/>
  <c r="DF15" i="7" s="1"/>
  <c r="DE15" i="7"/>
  <c r="DE15" i="7" a="1"/>
  <c r="DD15" i="7"/>
  <c r="DD15" i="7" a="1"/>
  <c r="DC15" i="7" a="1"/>
  <c r="DC15" i="7" s="1"/>
  <c r="DB15" i="7" a="1"/>
  <c r="DB15" i="7" s="1"/>
  <c r="DA15" i="7"/>
  <c r="DA15" i="7" a="1"/>
  <c r="CZ15" i="7"/>
  <c r="CZ15" i="7" a="1"/>
  <c r="CY15" i="7"/>
  <c r="CY15" i="7" a="1"/>
  <c r="CX15" i="7" a="1"/>
  <c r="CX15" i="7" s="1"/>
  <c r="CW15" i="7"/>
  <c r="CW15" i="7" a="1"/>
  <c r="CV15" i="7"/>
  <c r="CV15" i="7" a="1"/>
  <c r="CU15" i="7" a="1"/>
  <c r="CU15" i="7" s="1"/>
  <c r="CT15" i="7" a="1"/>
  <c r="CT15" i="7" s="1"/>
  <c r="CS15" i="7"/>
  <c r="CS15" i="7" a="1"/>
  <c r="CR15" i="7"/>
  <c r="CR15" i="7" a="1"/>
  <c r="CQ15" i="7" a="1"/>
  <c r="CQ15" i="7" s="1"/>
  <c r="CP15" i="7" a="1"/>
  <c r="CP15" i="7" s="1"/>
  <c r="CO15" i="7" a="1"/>
  <c r="CO15" i="7" s="1"/>
  <c r="CN15" i="7"/>
  <c r="CN15" i="7" a="1"/>
  <c r="CM15" i="7" a="1"/>
  <c r="CM15" i="7" s="1"/>
  <c r="CL15" i="7" a="1"/>
  <c r="CL15" i="7" s="1"/>
  <c r="CK15" i="7" a="1"/>
  <c r="CK15" i="7" s="1"/>
  <c r="CJ15" i="7"/>
  <c r="CJ15" i="7" a="1"/>
  <c r="CI15" i="7"/>
  <c r="CI15" i="7" a="1"/>
  <c r="CH15" i="7" a="1"/>
  <c r="CH15" i="7" s="1"/>
  <c r="CG15" i="7" a="1"/>
  <c r="CG15" i="7" s="1"/>
  <c r="CF15" i="7"/>
  <c r="CF15" i="7" a="1"/>
  <c r="CE15" i="7"/>
  <c r="CE15" i="7" a="1"/>
  <c r="CD15" i="7" a="1"/>
  <c r="CD15" i="7" s="1"/>
  <c r="CC15" i="7" a="1"/>
  <c r="CC15" i="7" s="1"/>
  <c r="CB15" i="7"/>
  <c r="CB15" i="7" a="1"/>
  <c r="CA15" i="7" a="1"/>
  <c r="CA15" i="7" s="1"/>
  <c r="BZ15" i="7" a="1"/>
  <c r="BZ15" i="7" s="1"/>
  <c r="BY15" i="7" a="1"/>
  <c r="BY15" i="7" s="1"/>
  <c r="BX15" i="7"/>
  <c r="BX15" i="7" a="1"/>
  <c r="BW15" i="7" a="1"/>
  <c r="BW15" i="7" s="1"/>
  <c r="BV15" i="7" a="1"/>
  <c r="BV15" i="7" s="1"/>
  <c r="BU15" i="7" a="1"/>
  <c r="BU15" i="7" s="1"/>
  <c r="BT15" i="7"/>
  <c r="BT15" i="7" a="1"/>
  <c r="BS15" i="7"/>
  <c r="BS15" i="7" a="1"/>
  <c r="BR15" i="7" a="1"/>
  <c r="BR15" i="7" s="1"/>
  <c r="BQ15" i="7" a="1"/>
  <c r="BQ15" i="7" s="1"/>
  <c r="BP15" i="7"/>
  <c r="BP15" i="7" a="1"/>
  <c r="BO15" i="7"/>
  <c r="BO15" i="7" a="1"/>
  <c r="BN15" i="7" a="1"/>
  <c r="BN15" i="7" s="1"/>
  <c r="BM15" i="7" a="1"/>
  <c r="BM15" i="7" s="1"/>
  <c r="BL15" i="7"/>
  <c r="BL15" i="7" a="1"/>
  <c r="BK15" i="7" a="1"/>
  <c r="BK15" i="7" s="1"/>
  <c r="BJ15" i="7" a="1"/>
  <c r="BJ15" i="7" s="1"/>
  <c r="BI15" i="7" a="1"/>
  <c r="BI15" i="7" s="1"/>
  <c r="BH15" i="7"/>
  <c r="BH15" i="7" a="1"/>
  <c r="BG15" i="7" a="1"/>
  <c r="BG15" i="7" s="1"/>
  <c r="BF15" i="7" a="1"/>
  <c r="BF15" i="7" s="1"/>
  <c r="BE15" i="7" a="1"/>
  <c r="BE15" i="7" s="1"/>
  <c r="BD15" i="7"/>
  <c r="BD15" i="7" a="1"/>
  <c r="BC15" i="7"/>
  <c r="BC15" i="7" a="1"/>
  <c r="BB15" i="7" a="1"/>
  <c r="BB15" i="7" s="1"/>
  <c r="BA15" i="7" a="1"/>
  <c r="BA15" i="7" s="1"/>
  <c r="AZ15" i="7"/>
  <c r="AZ15" i="7" a="1"/>
  <c r="AY15" i="7"/>
  <c r="AY15" i="7" a="1"/>
  <c r="AX15" i="7" a="1"/>
  <c r="AX15" i="7" s="1"/>
  <c r="AW15" i="7" a="1"/>
  <c r="AW15" i="7" s="1"/>
  <c r="AV15" i="7"/>
  <c r="AV15" i="7" a="1"/>
  <c r="AU15" i="7" a="1"/>
  <c r="AU15" i="7" s="1"/>
  <c r="AT15" i="7" a="1"/>
  <c r="AT15" i="7" s="1"/>
  <c r="AS15" i="7" a="1"/>
  <c r="AS15" i="7" s="1"/>
  <c r="AR15" i="7"/>
  <c r="AR15" i="7" a="1"/>
  <c r="AQ15" i="7" a="1"/>
  <c r="AQ15" i="7" s="1"/>
  <c r="AP15" i="7" a="1"/>
  <c r="AP15" i="7" s="1"/>
  <c r="AO15" i="7" a="1"/>
  <c r="AO15" i="7" s="1"/>
  <c r="AN15" i="7"/>
  <c r="AN15" i="7" a="1"/>
  <c r="AM15" i="7"/>
  <c r="AM15" i="7" a="1"/>
  <c r="AL15" i="7" a="1"/>
  <c r="AL15" i="7" s="1"/>
  <c r="AK15" i="7" a="1"/>
  <c r="AK15" i="7" s="1"/>
  <c r="AJ15" i="7"/>
  <c r="AJ15" i="7" a="1"/>
  <c r="AI15" i="7"/>
  <c r="AI15" i="7" a="1"/>
  <c r="AH15" i="7" a="1"/>
  <c r="AH15" i="7" s="1"/>
  <c r="AG15" i="7" a="1"/>
  <c r="AG15" i="7" s="1"/>
  <c r="AF15" i="7"/>
  <c r="AF15" i="7" a="1"/>
  <c r="AE15" i="7" a="1"/>
  <c r="AE15" i="7" s="1"/>
  <c r="AD15" i="7"/>
  <c r="AD15" i="7" a="1"/>
  <c r="AC15" i="7" a="1"/>
  <c r="AC15" i="7" s="1"/>
  <c r="AB15" i="7"/>
  <c r="AB15" i="7" a="1"/>
  <c r="AA15" i="7"/>
  <c r="AA15" i="7" a="1"/>
  <c r="Z15" i="7" a="1"/>
  <c r="Z15" i="7" s="1"/>
  <c r="Y15" i="7" a="1"/>
  <c r="Y15" i="7" s="1"/>
  <c r="X15" i="7"/>
  <c r="X15" i="7" a="1"/>
  <c r="W15" i="7" a="1"/>
  <c r="W15" i="7" s="1"/>
  <c r="V15" i="7" a="1"/>
  <c r="V15" i="7" s="1"/>
  <c r="U15" i="7" a="1"/>
  <c r="U15" i="7" s="1"/>
  <c r="T15" i="7"/>
  <c r="T15" i="7" a="1"/>
  <c r="S15" i="7"/>
  <c r="S15" i="7" a="1"/>
  <c r="R15" i="7"/>
  <c r="R15" i="7" a="1"/>
  <c r="Q15" i="7" a="1"/>
  <c r="Q15" i="7" s="1"/>
  <c r="P15" i="7"/>
  <c r="P15" i="7" a="1"/>
  <c r="O15" i="7"/>
  <c r="O15" i="7" a="1"/>
  <c r="N15" i="7" a="1"/>
  <c r="N15" i="7" s="1"/>
  <c r="M15" i="7" a="1"/>
  <c r="M15" i="7" s="1"/>
  <c r="L15" i="7"/>
  <c r="L15" i="7" a="1"/>
  <c r="K15" i="7"/>
  <c r="K15" i="7" a="1"/>
  <c r="J15" i="7"/>
  <c r="J15" i="7" a="1"/>
  <c r="I15" i="7" a="1"/>
  <c r="I15" i="7" s="1"/>
  <c r="H15" i="7"/>
  <c r="H15" i="7" a="1"/>
  <c r="G15" i="7"/>
  <c r="G15" i="7" a="1"/>
  <c r="F15" i="7"/>
  <c r="F15" i="7" a="1"/>
  <c r="E15" i="7" a="1"/>
  <c r="E15" i="7" s="1"/>
  <c r="EF14" i="7" a="1"/>
  <c r="EF14" i="7" s="1"/>
  <c r="EE14" i="7" a="1"/>
  <c r="EE14" i="7" s="1"/>
  <c r="ED14" i="7" a="1"/>
  <c r="ED14" i="7" s="1"/>
  <c r="EC14" i="7"/>
  <c r="EC14" i="7" a="1"/>
  <c r="EB14" i="7" a="1"/>
  <c r="EB14" i="7" s="1"/>
  <c r="EA14" i="7"/>
  <c r="EA14" i="7" a="1"/>
  <c r="DZ14" i="7" a="1"/>
  <c r="DZ14" i="7" s="1"/>
  <c r="DY14" i="7"/>
  <c r="DY14" i="7" a="1"/>
  <c r="DX14" i="7"/>
  <c r="DX14" i="7" a="1"/>
  <c r="DW14" i="7" a="1"/>
  <c r="DW14" i="7" s="1"/>
  <c r="DV14" i="7" a="1"/>
  <c r="DV14" i="7" s="1"/>
  <c r="DU14" i="7"/>
  <c r="DU14" i="7" a="1"/>
  <c r="DT14" i="7" a="1"/>
  <c r="DT14" i="7" s="1"/>
  <c r="DS14" i="7" a="1"/>
  <c r="DS14" i="7" s="1"/>
  <c r="DR14" i="7" a="1"/>
  <c r="DR14" i="7" s="1"/>
  <c r="DQ14" i="7"/>
  <c r="DQ14" i="7" a="1"/>
  <c r="DP14" i="7"/>
  <c r="DP14" i="7" a="1"/>
  <c r="DO14" i="7"/>
  <c r="DO14" i="7" a="1"/>
  <c r="DN14" i="7" a="1"/>
  <c r="DN14" i="7" s="1"/>
  <c r="DM14" i="7"/>
  <c r="DM14" i="7" a="1"/>
  <c r="DL14" i="7"/>
  <c r="DL14" i="7" a="1"/>
  <c r="DK14" i="7" a="1"/>
  <c r="DK14" i="7" s="1"/>
  <c r="DJ14" i="7" a="1"/>
  <c r="DJ14" i="7" s="1"/>
  <c r="DI14" i="7"/>
  <c r="DI14" i="7" a="1"/>
  <c r="DH14" i="7" a="1"/>
  <c r="DH14" i="7" s="1"/>
  <c r="DG14" i="7"/>
  <c r="DG14" i="7" a="1"/>
  <c r="DF14" i="7" a="1"/>
  <c r="DF14" i="7" s="1"/>
  <c r="DE14" i="7"/>
  <c r="DE14" i="7" a="1"/>
  <c r="DD14" i="7"/>
  <c r="DD14" i="7" a="1"/>
  <c r="DC14" i="7"/>
  <c r="DC14" i="7" a="1"/>
  <c r="DB14" i="7" a="1"/>
  <c r="DB14" i="7" s="1"/>
  <c r="DA14" i="7"/>
  <c r="DA14" i="7" a="1"/>
  <c r="CZ14" i="7"/>
  <c r="CZ14" i="7" a="1"/>
  <c r="CY14" i="7"/>
  <c r="CY14" i="7" a="1"/>
  <c r="CX14" i="7" a="1"/>
  <c r="CX14" i="7" s="1"/>
  <c r="CW14" i="7"/>
  <c r="CW14" i="7" a="1"/>
  <c r="CV14" i="7" a="1"/>
  <c r="CV14" i="7" s="1"/>
  <c r="CU14" i="7"/>
  <c r="CU14" i="7" a="1"/>
  <c r="CT14" i="7" a="1"/>
  <c r="CT14" i="7" s="1"/>
  <c r="CS14" i="7"/>
  <c r="CS14" i="7" a="1"/>
  <c r="CR14" i="7"/>
  <c r="CR14" i="7" a="1"/>
  <c r="CQ14" i="7"/>
  <c r="CQ14" i="7" a="1"/>
  <c r="CP14" i="7" a="1"/>
  <c r="CP14" i="7" s="1"/>
  <c r="CO14" i="7"/>
  <c r="CO14" i="7" a="1"/>
  <c r="CN14" i="7" a="1"/>
  <c r="CN14" i="7" s="1"/>
  <c r="CM14" i="7" a="1"/>
  <c r="CM14" i="7" s="1"/>
  <c r="CL14" i="7" a="1"/>
  <c r="CL14" i="7" s="1"/>
  <c r="CK14" i="7"/>
  <c r="CK14" i="7" a="1"/>
  <c r="CJ14" i="7"/>
  <c r="CJ14" i="7" a="1"/>
  <c r="CI14" i="7"/>
  <c r="CI14" i="7" a="1"/>
  <c r="CH14" i="7" a="1"/>
  <c r="CH14" i="7" s="1"/>
  <c r="CG14" i="7"/>
  <c r="CG14" i="7" a="1"/>
  <c r="CF14" i="7"/>
  <c r="CF14" i="7" a="1"/>
  <c r="CE14" i="7" a="1"/>
  <c r="CE14" i="7" s="1"/>
  <c r="CD14" i="7" a="1"/>
  <c r="CD14" i="7" s="1"/>
  <c r="CC14" i="7"/>
  <c r="CC14" i="7" a="1"/>
  <c r="CB14" i="7"/>
  <c r="CB14" i="7" a="1"/>
  <c r="CA14" i="7"/>
  <c r="CA14" i="7" a="1"/>
  <c r="BZ14" i="7" a="1"/>
  <c r="BZ14" i="7" s="1"/>
  <c r="BY14" i="7"/>
  <c r="BY14" i="7" a="1"/>
  <c r="BX14" i="7"/>
  <c r="BX14" i="7" a="1"/>
  <c r="BW14" i="7"/>
  <c r="BW14" i="7" a="1"/>
  <c r="BV14" i="7" a="1"/>
  <c r="BV14" i="7" s="1"/>
  <c r="BU14" i="7"/>
  <c r="BU14" i="7" a="1"/>
  <c r="BT14" i="7" a="1"/>
  <c r="BT14" i="7" s="1"/>
  <c r="BS14" i="7"/>
  <c r="BS14" i="7" a="1"/>
  <c r="BR14" i="7" a="1"/>
  <c r="BR14" i="7" s="1"/>
  <c r="BQ14" i="7"/>
  <c r="BQ14" i="7" a="1"/>
  <c r="BP14" i="7" a="1"/>
  <c r="BP14" i="7" s="1"/>
  <c r="BO14" i="7"/>
  <c r="BO14" i="7" a="1"/>
  <c r="BN14" i="7" a="1"/>
  <c r="BN14" i="7" s="1"/>
  <c r="BM14" i="7"/>
  <c r="BM14" i="7" a="1"/>
  <c r="BL14" i="7"/>
  <c r="BL14" i="7" a="1"/>
  <c r="BK14" i="7" a="1"/>
  <c r="BK14" i="7" s="1"/>
  <c r="BJ14" i="7" a="1"/>
  <c r="BJ14" i="7" s="1"/>
  <c r="BI14" i="7"/>
  <c r="BI14" i="7" a="1"/>
  <c r="BH14" i="7" a="1"/>
  <c r="BH14" i="7" s="1"/>
  <c r="BG14" i="7" a="1"/>
  <c r="BG14" i="7" s="1"/>
  <c r="BF14" i="7" a="1"/>
  <c r="BF14" i="7" s="1"/>
  <c r="BE14" i="7"/>
  <c r="BE14" i="7" a="1"/>
  <c r="BD14" i="7"/>
  <c r="BD14" i="7" a="1"/>
  <c r="BC14" i="7"/>
  <c r="BC14" i="7" a="1"/>
  <c r="BB14" i="7" a="1"/>
  <c r="BB14" i="7" s="1"/>
  <c r="BA14" i="7"/>
  <c r="BA14" i="7" a="1"/>
  <c r="AZ14" i="7"/>
  <c r="AZ14" i="7" a="1"/>
  <c r="AY14" i="7" a="1"/>
  <c r="AY14" i="7" s="1"/>
  <c r="AX14" i="7" a="1"/>
  <c r="AX14" i="7" s="1"/>
  <c r="AW14" i="7"/>
  <c r="AW14" i="7" a="1"/>
  <c r="AV14" i="7"/>
  <c r="AV14" i="7" a="1"/>
  <c r="AU14" i="7"/>
  <c r="AU14" i="7" a="1"/>
  <c r="AT14" i="7" a="1"/>
  <c r="AT14" i="7" s="1"/>
  <c r="AS14" i="7" a="1"/>
  <c r="AS14" i="7" s="1"/>
  <c r="AR14" i="7"/>
  <c r="AR14" i="7" a="1"/>
  <c r="AQ14" i="7"/>
  <c r="AQ14" i="7" a="1"/>
  <c r="AP14" i="7" a="1"/>
  <c r="AP14" i="7" s="1"/>
  <c r="AO14" i="7"/>
  <c r="AO14" i="7" a="1"/>
  <c r="AN14" i="7"/>
  <c r="AN14" i="7" a="1"/>
  <c r="AM14" i="7"/>
  <c r="AM14" i="7" a="1"/>
  <c r="AL14" i="7" a="1"/>
  <c r="AL14" i="7" s="1"/>
  <c r="AK14" i="7" a="1"/>
  <c r="AK14" i="7" s="1"/>
  <c r="AJ14" i="7" a="1"/>
  <c r="AJ14" i="7" s="1"/>
  <c r="AI14" i="7"/>
  <c r="AI14" i="7" a="1"/>
  <c r="AH14" i="7" a="1"/>
  <c r="AH14" i="7" s="1"/>
  <c r="AG14" i="7"/>
  <c r="AG14" i="7" a="1"/>
  <c r="AF14" i="7"/>
  <c r="AF14" i="7" a="1"/>
  <c r="AE14" i="7"/>
  <c r="AE14" i="7" a="1"/>
  <c r="AD14" i="7" a="1"/>
  <c r="AD14" i="7" s="1"/>
  <c r="AC14" i="7"/>
  <c r="AC14" i="7" a="1"/>
  <c r="AB14" i="7" a="1"/>
  <c r="AB14" i="7" s="1"/>
  <c r="AA14" i="7" a="1"/>
  <c r="AA14" i="7" s="1"/>
  <c r="Z14" i="7" a="1"/>
  <c r="Z14" i="7" s="1"/>
  <c r="Y14" i="7"/>
  <c r="Y14" i="7" a="1"/>
  <c r="X14" i="7"/>
  <c r="X14" i="7" a="1"/>
  <c r="W14" i="7"/>
  <c r="W14" i="7" a="1"/>
  <c r="V14" i="7" a="1"/>
  <c r="V14" i="7" s="1"/>
  <c r="U14" i="7"/>
  <c r="U14" i="7" a="1"/>
  <c r="T14" i="7"/>
  <c r="T14" i="7" a="1"/>
  <c r="S14" i="7" a="1"/>
  <c r="S14" i="7" s="1"/>
  <c r="R14" i="7" a="1"/>
  <c r="R14" i="7" s="1"/>
  <c r="Q14" i="7"/>
  <c r="Q14" i="7" a="1"/>
  <c r="P14" i="7"/>
  <c r="P14" i="7" a="1"/>
  <c r="O14" i="7"/>
  <c r="O14" i="7" a="1"/>
  <c r="N14" i="7" a="1"/>
  <c r="N14" i="7" s="1"/>
  <c r="M14" i="7" a="1"/>
  <c r="M14" i="7" s="1"/>
  <c r="L14" i="7"/>
  <c r="L14" i="7" a="1"/>
  <c r="K14" i="7"/>
  <c r="K14" i="7" a="1"/>
  <c r="J14" i="7" a="1"/>
  <c r="J14" i="7" s="1"/>
  <c r="I14" i="7"/>
  <c r="I14" i="7" a="1"/>
  <c r="H14" i="7" a="1"/>
  <c r="H14" i="7" s="1"/>
  <c r="G14" i="7"/>
  <c r="G14" i="7" a="1"/>
  <c r="F14" i="7" a="1"/>
  <c r="F14" i="7" s="1"/>
  <c r="E14" i="7" a="1"/>
  <c r="E14" i="7" s="1"/>
  <c r="EF13" i="7"/>
  <c r="EF13" i="7" a="1"/>
  <c r="EE13" i="7" a="1"/>
  <c r="EE13" i="7" s="1"/>
  <c r="ED13" i="7"/>
  <c r="ED13" i="7" a="1"/>
  <c r="EC13" i="7"/>
  <c r="EC13" i="7" a="1"/>
  <c r="EB13" i="7"/>
  <c r="EB13" i="7" a="1"/>
  <c r="EA13" i="7" a="1"/>
  <c r="EA13" i="7" s="1"/>
  <c r="DZ13" i="7"/>
  <c r="DZ13" i="7" a="1"/>
  <c r="DY13" i="7" a="1"/>
  <c r="DY13" i="7" s="1"/>
  <c r="DX13" i="7" a="1"/>
  <c r="DX13" i="7" s="1"/>
  <c r="DW13" i="7" a="1"/>
  <c r="DW13" i="7" s="1"/>
  <c r="DV13" i="7"/>
  <c r="DV13" i="7" a="1"/>
  <c r="DU13" i="7"/>
  <c r="DU13" i="7" a="1"/>
  <c r="DT13" i="7"/>
  <c r="DT13" i="7" a="1"/>
  <c r="DS13" i="7" a="1"/>
  <c r="DS13" i="7" s="1"/>
  <c r="DR13" i="7"/>
  <c r="DR13" i="7" a="1"/>
  <c r="DQ13" i="7"/>
  <c r="DQ13" i="7" a="1"/>
  <c r="DP13" i="7" a="1"/>
  <c r="DP13" i="7" s="1"/>
  <c r="DO13" i="7" a="1"/>
  <c r="DO13" i="7" s="1"/>
  <c r="DN13" i="7" a="1"/>
  <c r="DN13" i="7" s="1"/>
  <c r="DM13" i="7"/>
  <c r="DM13" i="7" a="1"/>
  <c r="DL13" i="7"/>
  <c r="DL13" i="7" a="1"/>
  <c r="DK13" i="7" a="1"/>
  <c r="DK13" i="7" s="1"/>
  <c r="DJ13" i="7" a="1"/>
  <c r="DJ13" i="7" s="1"/>
  <c r="DI13" i="7"/>
  <c r="DI13" i="7" a="1"/>
  <c r="DH13" i="7"/>
  <c r="DH13" i="7" a="1"/>
  <c r="DG13" i="7" a="1"/>
  <c r="DG13" i="7" s="1"/>
  <c r="DF13" i="7"/>
  <c r="DF13" i="7" a="1"/>
  <c r="DE13" i="7" a="1"/>
  <c r="DE13" i="7" s="1"/>
  <c r="DD13" i="7"/>
  <c r="DD13" i="7" a="1"/>
  <c r="DC13" i="7" a="1"/>
  <c r="DC13" i="7" s="1"/>
  <c r="DB13" i="7" a="1"/>
  <c r="DB13" i="7" s="1"/>
  <c r="DA13" i="7" a="1"/>
  <c r="DA13" i="7" s="1"/>
  <c r="CZ13" i="7"/>
  <c r="CZ13" i="7" a="1"/>
  <c r="CY13" i="7" a="1"/>
  <c r="CY13" i="7" s="1"/>
  <c r="CX13" i="7"/>
  <c r="CX13" i="7" a="1"/>
  <c r="CW13" i="7"/>
  <c r="CW13" i="7" a="1"/>
  <c r="CV13" i="7" a="1"/>
  <c r="CV13" i="7" s="1"/>
  <c r="CU13" i="7" a="1"/>
  <c r="CU13" i="7" s="1"/>
  <c r="CT13" i="7"/>
  <c r="CT13" i="7" a="1"/>
  <c r="CS13" i="7" a="1"/>
  <c r="CS13" i="7" s="1"/>
  <c r="CR13" i="7" a="1"/>
  <c r="CR13" i="7" s="1"/>
  <c r="CQ13" i="7" a="1"/>
  <c r="CQ13" i="7" s="1"/>
  <c r="CP13" i="7"/>
  <c r="CP13" i="7" a="1"/>
  <c r="CO13" i="7"/>
  <c r="CO13" i="7" a="1"/>
  <c r="CN13" i="7"/>
  <c r="CN13" i="7" a="1"/>
  <c r="CM13" i="7" a="1"/>
  <c r="CM13" i="7" s="1"/>
  <c r="CL13" i="7"/>
  <c r="CL13" i="7" a="1"/>
  <c r="CK13" i="7"/>
  <c r="CK13" i="7" a="1"/>
  <c r="CJ13" i="7" a="1"/>
  <c r="CJ13" i="7" s="1"/>
  <c r="CI13" i="7" a="1"/>
  <c r="CI13" i="7" s="1"/>
  <c r="CH13" i="7" a="1"/>
  <c r="CH13" i="7" s="1"/>
  <c r="CG13" i="7"/>
  <c r="CG13" i="7" a="1"/>
  <c r="CF13" i="7"/>
  <c r="CF13" i="7" a="1"/>
  <c r="CE13" i="7" a="1"/>
  <c r="CE13" i="7" s="1"/>
  <c r="CD13" i="7" a="1"/>
  <c r="CD13" i="7" s="1"/>
  <c r="CC13" i="7"/>
  <c r="CC13" i="7" a="1"/>
  <c r="CB13" i="7"/>
  <c r="CB13" i="7" a="1"/>
  <c r="CA13" i="7" a="1"/>
  <c r="CA13" i="7" s="1"/>
  <c r="BZ13" i="7"/>
  <c r="BZ13" i="7" a="1"/>
  <c r="BY13" i="7"/>
  <c r="BY13" i="7" a="1"/>
  <c r="BX13" i="7"/>
  <c r="BX13" i="7" a="1"/>
  <c r="BW13" i="7" a="1"/>
  <c r="BW13" i="7" s="1"/>
  <c r="BV13" i="7" a="1"/>
  <c r="BV13" i="7" s="1"/>
  <c r="BU13" i="7" a="1"/>
  <c r="BU13" i="7" s="1"/>
  <c r="BT13" i="7"/>
  <c r="BT13" i="7" a="1"/>
  <c r="BS13" i="7" a="1"/>
  <c r="BS13" i="7" s="1"/>
  <c r="BR13" i="7"/>
  <c r="BR13" i="7" a="1"/>
  <c r="BQ13" i="7"/>
  <c r="BQ13" i="7" a="1"/>
  <c r="BP13" i="7" a="1"/>
  <c r="BP13" i="7" s="1"/>
  <c r="BO13" i="7" a="1"/>
  <c r="BO13" i="7" s="1"/>
  <c r="BN13" i="7"/>
  <c r="BN13" i="7" a="1"/>
  <c r="BM13" i="7" a="1"/>
  <c r="BM13" i="7" s="1"/>
  <c r="BL13" i="7" a="1"/>
  <c r="BL13" i="7" s="1"/>
  <c r="BK13" i="7" a="1"/>
  <c r="BK13" i="7" s="1"/>
  <c r="BJ13" i="7"/>
  <c r="BJ13" i="7" a="1"/>
  <c r="BI13" i="7"/>
  <c r="BI13" i="7" a="1"/>
  <c r="BH13" i="7"/>
  <c r="BH13" i="7" a="1"/>
  <c r="BG13" i="7" a="1"/>
  <c r="BG13" i="7" s="1"/>
  <c r="BF13" i="7"/>
  <c r="BF13" i="7" a="1"/>
  <c r="BE13" i="7"/>
  <c r="BE13" i="7" a="1"/>
  <c r="BD13" i="7" a="1"/>
  <c r="BD13" i="7" s="1"/>
  <c r="BC13" i="7" a="1"/>
  <c r="BC13" i="7" s="1"/>
  <c r="BB13" i="7"/>
  <c r="BB13" i="7" a="1"/>
  <c r="BA13" i="7"/>
  <c r="BA13" i="7" a="1"/>
  <c r="AZ13" i="7"/>
  <c r="AZ13" i="7" a="1"/>
  <c r="AY13" i="7" a="1"/>
  <c r="AY13" i="7" s="1"/>
  <c r="AX13" i="7" a="1"/>
  <c r="AX13" i="7" s="1"/>
  <c r="AW13" i="7" a="1"/>
  <c r="AW13" i="7" s="1"/>
  <c r="AV13" i="7"/>
  <c r="AV13" i="7" a="1"/>
  <c r="AU13" i="7" a="1"/>
  <c r="AU13" i="7" s="1"/>
  <c r="AT13" i="7"/>
  <c r="AT13" i="7" a="1"/>
  <c r="AS13" i="7"/>
  <c r="AS13" i="7" a="1"/>
  <c r="AR13" i="7" a="1"/>
  <c r="AR13" i="7" s="1"/>
  <c r="AQ13" i="7" a="1"/>
  <c r="AQ13" i="7" s="1"/>
  <c r="AP13" i="7" a="1"/>
  <c r="AP13" i="7" s="1"/>
  <c r="AO13" i="7" a="1"/>
  <c r="AO13" i="7" s="1"/>
  <c r="AN13" i="7" a="1"/>
  <c r="AN13" i="7" s="1"/>
  <c r="AM13" i="7" a="1"/>
  <c r="AM13" i="7" s="1"/>
  <c r="AL13" i="7"/>
  <c r="AL13" i="7" a="1"/>
  <c r="AK13" i="7"/>
  <c r="AK13" i="7" a="1"/>
  <c r="AJ13" i="7"/>
  <c r="AJ13" i="7" a="1"/>
  <c r="AI13" i="7" a="1"/>
  <c r="AI13" i="7" s="1"/>
  <c r="AH13" i="7"/>
  <c r="AH13" i="7" a="1"/>
  <c r="AG13" i="7" a="1"/>
  <c r="AG13" i="7" s="1"/>
  <c r="AF13" i="7" a="1"/>
  <c r="AF13" i="7" s="1"/>
  <c r="AE13" i="7" a="1"/>
  <c r="AE13" i="7" s="1"/>
  <c r="AD13" i="7"/>
  <c r="AD13" i="7" a="1"/>
  <c r="AC13" i="7"/>
  <c r="AC13" i="7" a="1"/>
  <c r="AB13" i="7"/>
  <c r="AB13" i="7" a="1"/>
  <c r="AA13" i="7" a="1"/>
  <c r="AA13" i="7" s="1"/>
  <c r="Z13" i="7"/>
  <c r="Z13" i="7" a="1"/>
  <c r="Y13" i="7"/>
  <c r="Y13" i="7" a="1"/>
  <c r="X13" i="7" a="1"/>
  <c r="X13" i="7" s="1"/>
  <c r="W13" i="7" a="1"/>
  <c r="W13" i="7" s="1"/>
  <c r="V13" i="7"/>
  <c r="V13" i="7" a="1"/>
  <c r="U13" i="7"/>
  <c r="U13" i="7" a="1"/>
  <c r="T13" i="7"/>
  <c r="T13" i="7" a="1"/>
  <c r="S13" i="7" a="1"/>
  <c r="S13" i="7" s="1"/>
  <c r="R13" i="7" a="1"/>
  <c r="R13" i="7" s="1"/>
  <c r="Q13" i="7"/>
  <c r="Q13" i="7" a="1"/>
  <c r="P13" i="7"/>
  <c r="P13" i="7" a="1"/>
  <c r="O13" i="7" a="1"/>
  <c r="O13" i="7" s="1"/>
  <c r="N13" i="7"/>
  <c r="N13" i="7" a="1"/>
  <c r="M13" i="7" a="1"/>
  <c r="M13" i="7" s="1"/>
  <c r="L13" i="7" a="1"/>
  <c r="L13" i="7" s="1"/>
  <c r="K13" i="7" a="1"/>
  <c r="K13" i="7" s="1"/>
  <c r="J13" i="7" a="1"/>
  <c r="J13" i="7" s="1"/>
  <c r="I13" i="7" a="1"/>
  <c r="I13" i="7" s="1"/>
  <c r="H13" i="7"/>
  <c r="H13" i="7" a="1"/>
  <c r="G13" i="7" a="1"/>
  <c r="G13" i="7" s="1"/>
  <c r="F13" i="7"/>
  <c r="F13" i="7" a="1"/>
  <c r="E13" i="7"/>
  <c r="E13" i="7" a="1"/>
  <c r="EF12" i="7" a="1"/>
  <c r="EF12" i="7" s="1"/>
  <c r="EE12" i="7"/>
  <c r="EE12" i="7" a="1"/>
  <c r="ED12" i="7" a="1"/>
  <c r="ED12" i="7" s="1"/>
  <c r="EC12" i="7" a="1"/>
  <c r="EC12" i="7" s="1"/>
  <c r="EB12" i="7" a="1"/>
  <c r="EB12" i="7" s="1"/>
  <c r="EA12" i="7"/>
  <c r="EA12" i="7" a="1"/>
  <c r="DZ12" i="7"/>
  <c r="DZ12" i="7" a="1"/>
  <c r="DY12" i="7"/>
  <c r="DY12" i="7" a="1"/>
  <c r="DX12" i="7" a="1"/>
  <c r="DX12" i="7" s="1"/>
  <c r="DW12" i="7" a="1"/>
  <c r="DW12" i="7" s="1"/>
  <c r="DV12" i="7"/>
  <c r="DV12" i="7" a="1"/>
  <c r="DU12" i="7" a="1"/>
  <c r="DU12" i="7" s="1"/>
  <c r="DT12" i="7" a="1"/>
  <c r="DT12" i="7" s="1"/>
  <c r="DS12" i="7"/>
  <c r="DS12" i="7" a="1"/>
  <c r="DR12" i="7" a="1"/>
  <c r="DR12" i="7" s="1"/>
  <c r="DQ12" i="7"/>
  <c r="DQ12" i="7" a="1"/>
  <c r="DP12" i="7" a="1"/>
  <c r="DP12" i="7" s="1"/>
  <c r="DO12" i="7" a="1"/>
  <c r="DO12" i="7" s="1"/>
  <c r="DN12" i="7" a="1"/>
  <c r="DN12" i="7" s="1"/>
  <c r="DM12" i="7"/>
  <c r="DM12" i="7" a="1"/>
  <c r="DL12" i="7" a="1"/>
  <c r="DL12" i="7" s="1"/>
  <c r="DK12" i="7"/>
  <c r="DK12" i="7" a="1"/>
  <c r="DJ12" i="7" a="1"/>
  <c r="DJ12" i="7" s="1"/>
  <c r="DI12" i="7"/>
  <c r="DI12" i="7" a="1"/>
  <c r="DH12" i="7" a="1"/>
  <c r="DH12" i="7" s="1"/>
  <c r="DG12" i="7" a="1"/>
  <c r="DG12" i="7" s="1"/>
  <c r="DF12" i="7" a="1"/>
  <c r="DF12" i="7" s="1"/>
  <c r="DE12" i="7"/>
  <c r="DE12" i="7" a="1"/>
  <c r="DD12" i="7" a="1"/>
  <c r="DD12" i="7" s="1"/>
  <c r="DC12" i="7"/>
  <c r="DC12" i="7" a="1"/>
  <c r="DB12" i="7"/>
  <c r="DB12" i="7" a="1"/>
  <c r="DA12" i="7" a="1"/>
  <c r="DA12" i="7" s="1"/>
  <c r="CZ12" i="7" a="1"/>
  <c r="CZ12" i="7" s="1"/>
  <c r="CY12" i="7"/>
  <c r="CY12" i="7" a="1"/>
  <c r="CX12" i="7" a="1"/>
  <c r="CX12" i="7" s="1"/>
  <c r="CW12" i="7" a="1"/>
  <c r="CW12" i="7" s="1"/>
  <c r="CV12" i="7" a="1"/>
  <c r="CV12" i="7" s="1"/>
  <c r="CU12" i="7" a="1"/>
  <c r="CU12" i="7" s="1"/>
  <c r="CT12" i="7"/>
  <c r="CT12" i="7" a="1"/>
  <c r="CS12" i="7"/>
  <c r="CS12" i="7" a="1"/>
  <c r="CR12" i="7" a="1"/>
  <c r="CR12" i="7" s="1"/>
  <c r="CQ12" i="7"/>
  <c r="CQ12" i="7" a="1"/>
  <c r="CP12" i="7"/>
  <c r="CP12" i="7" a="1"/>
  <c r="CO12" i="7" a="1"/>
  <c r="CO12" i="7" s="1"/>
  <c r="CN12" i="7" a="1"/>
  <c r="CN12" i="7" s="1"/>
  <c r="CM12" i="7" a="1"/>
  <c r="CM12" i="7" s="1"/>
  <c r="CL12" i="7"/>
  <c r="CL12" i="7" a="1"/>
  <c r="CK12" i="7"/>
  <c r="CK12" i="7" a="1"/>
  <c r="CJ12" i="7" a="1"/>
  <c r="CJ12" i="7" s="1"/>
  <c r="CI12" i="7" a="1"/>
  <c r="CI12" i="7" s="1"/>
  <c r="CH12" i="7" a="1"/>
  <c r="CH12" i="7" s="1"/>
  <c r="CG12" i="7"/>
  <c r="CG12" i="7" a="1"/>
  <c r="CF12" i="7" a="1"/>
  <c r="CF12" i="7" s="1"/>
  <c r="CE12" i="7"/>
  <c r="CE12" i="7" a="1"/>
  <c r="CD12" i="7"/>
  <c r="CD12" i="7" a="1"/>
  <c r="CC12" i="7"/>
  <c r="CC12" i="7" a="1"/>
  <c r="CB12" i="7" a="1"/>
  <c r="CB12" i="7" s="1"/>
  <c r="CA12" i="7" a="1"/>
  <c r="CA12" i="7" s="1"/>
  <c r="BZ12" i="7" a="1"/>
  <c r="BZ12" i="7" s="1"/>
  <c r="BY12" i="7" a="1"/>
  <c r="BY12" i="7" s="1"/>
  <c r="BX12" i="7" a="1"/>
  <c r="BX12" i="7" s="1"/>
  <c r="BW12" i="7"/>
  <c r="BW12" i="7" a="1"/>
  <c r="BV12" i="7"/>
  <c r="BV12" i="7" a="1"/>
  <c r="BU12" i="7" a="1"/>
  <c r="BU12" i="7" s="1"/>
  <c r="BT12" i="7" a="1"/>
  <c r="BT12" i="7" s="1"/>
  <c r="BS12" i="7"/>
  <c r="BS12" i="7" a="1"/>
  <c r="BR12" i="7" a="1"/>
  <c r="BR12" i="7" s="1"/>
  <c r="BQ12" i="7" a="1"/>
  <c r="BQ12" i="7" s="1"/>
  <c r="BP12" i="7" a="1"/>
  <c r="BP12" i="7" s="1"/>
  <c r="BO12" i="7" a="1"/>
  <c r="BO12" i="7" s="1"/>
  <c r="BN12" i="7"/>
  <c r="BN12" i="7" a="1"/>
  <c r="BM12" i="7"/>
  <c r="BM12" i="7" a="1"/>
  <c r="BL12" i="7" a="1"/>
  <c r="BL12" i="7" s="1"/>
  <c r="BK12" i="7"/>
  <c r="BK12" i="7" a="1"/>
  <c r="BJ12" i="7"/>
  <c r="BJ12" i="7" a="1"/>
  <c r="BI12" i="7" a="1"/>
  <c r="BI12" i="7" s="1"/>
  <c r="BH12" i="7" a="1"/>
  <c r="BH12" i="7" s="1"/>
  <c r="BG12" i="7"/>
  <c r="BG12" i="7" a="1"/>
  <c r="BF12" i="7"/>
  <c r="BF12" i="7" a="1"/>
  <c r="BE12" i="7"/>
  <c r="BE12" i="7" a="1"/>
  <c r="BD12" i="7" a="1"/>
  <c r="BD12" i="7" s="1"/>
  <c r="BC12" i="7" a="1"/>
  <c r="BC12" i="7" s="1"/>
  <c r="BB12" i="7" a="1"/>
  <c r="BB12" i="7" s="1"/>
  <c r="BA12" i="7"/>
  <c r="BA12" i="7" a="1"/>
  <c r="AZ12" i="7" a="1"/>
  <c r="AZ12" i="7" s="1"/>
  <c r="AY12" i="7"/>
  <c r="AY12" i="7" a="1"/>
  <c r="AX12" i="7"/>
  <c r="AX12" i="7" a="1"/>
  <c r="AW12" i="7" a="1"/>
  <c r="AW12" i="7" s="1"/>
  <c r="AV12" i="7" a="1"/>
  <c r="AV12" i="7" s="1"/>
  <c r="AU12" i="7" a="1"/>
  <c r="AU12" i="7" s="1"/>
  <c r="AT12" i="7" a="1"/>
  <c r="AT12" i="7" s="1"/>
  <c r="AS12" i="7" a="1"/>
  <c r="AS12" i="7" s="1"/>
  <c r="AR12" i="7" a="1"/>
  <c r="AR12" i="7" s="1"/>
  <c r="AQ12" i="7"/>
  <c r="AQ12" i="7" a="1"/>
  <c r="AP12" i="7"/>
  <c r="AP12" i="7" a="1"/>
  <c r="AO12" i="7"/>
  <c r="AO12" i="7" a="1"/>
  <c r="AN12" i="7" a="1"/>
  <c r="AN12" i="7" s="1"/>
  <c r="AM12" i="7"/>
  <c r="AM12" i="7" a="1"/>
  <c r="AL12" i="7" a="1"/>
  <c r="AL12" i="7" s="1"/>
  <c r="AK12" i="7" a="1"/>
  <c r="AK12" i="7" s="1"/>
  <c r="AJ12" i="7" a="1"/>
  <c r="AJ12" i="7" s="1"/>
  <c r="AI12" i="7"/>
  <c r="AI12" i="7" a="1"/>
  <c r="AH12" i="7"/>
  <c r="AH12" i="7" a="1"/>
  <c r="AG12" i="7"/>
  <c r="AG12" i="7" a="1"/>
  <c r="AF12" i="7" a="1"/>
  <c r="AF12" i="7" s="1"/>
  <c r="AE12" i="7"/>
  <c r="AE12" i="7" a="1"/>
  <c r="AD12" i="7"/>
  <c r="AD12" i="7" a="1"/>
  <c r="AC12" i="7" a="1"/>
  <c r="AC12" i="7" s="1"/>
  <c r="AB12" i="7" a="1"/>
  <c r="AB12" i="7" s="1"/>
  <c r="AA12" i="7"/>
  <c r="AA12" i="7" a="1"/>
  <c r="Z12" i="7"/>
  <c r="Z12" i="7" a="1"/>
  <c r="Y12" i="7"/>
  <c r="Y12" i="7" a="1"/>
  <c r="X12" i="7" a="1"/>
  <c r="X12" i="7" s="1"/>
  <c r="W12" i="7" a="1"/>
  <c r="W12" i="7" s="1"/>
  <c r="V12" i="7"/>
  <c r="V12" i="7" a="1"/>
  <c r="U12" i="7"/>
  <c r="U12" i="7" a="1"/>
  <c r="T12" i="7" a="1"/>
  <c r="T12" i="7" s="1"/>
  <c r="S12" i="7"/>
  <c r="S12" i="7" a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M12" i="7"/>
  <c r="M12" i="7" a="1"/>
  <c r="L12" i="7" a="1"/>
  <c r="L12" i="7" s="1"/>
  <c r="K12" i="7"/>
  <c r="K12" i="7" a="1"/>
  <c r="J12" i="7"/>
  <c r="J12" i="7" a="1"/>
  <c r="I12" i="7"/>
  <c r="I12" i="7" a="1"/>
  <c r="H12" i="7" a="1"/>
  <c r="H12" i="7" s="1"/>
  <c r="G12" i="7"/>
  <c r="G12" i="7" a="1"/>
  <c r="F12" i="7" a="1"/>
  <c r="F12" i="7" s="1"/>
  <c r="E12" i="7" a="1"/>
  <c r="E12" i="7" s="1"/>
  <c r="EF11" i="7"/>
  <c r="EF11" i="7" a="1"/>
  <c r="EE11" i="7"/>
  <c r="EE11" i="7" a="1"/>
  <c r="ED11" i="7"/>
  <c r="ED11" i="7" a="1"/>
  <c r="EC11" i="7" a="1"/>
  <c r="EC11" i="7" s="1"/>
  <c r="EB11" i="7" a="1"/>
  <c r="EB11" i="7" s="1"/>
  <c r="EA11" i="7"/>
  <c r="EA11" i="7" a="1"/>
  <c r="DZ11" i="7" a="1"/>
  <c r="DZ11" i="7" s="1"/>
  <c r="DY11" i="7" a="1"/>
  <c r="DY11" i="7" s="1"/>
  <c r="DX11" i="7" a="1"/>
  <c r="DX11" i="7" s="1"/>
  <c r="DW11" i="7" a="1"/>
  <c r="DW11" i="7" s="1"/>
  <c r="DV11" i="7"/>
  <c r="DV11" i="7" a="1"/>
  <c r="DU11" i="7" a="1"/>
  <c r="DU11" i="7" s="1"/>
  <c r="DT11" i="7" a="1"/>
  <c r="DT11" i="7" s="1"/>
  <c r="DS11" i="7"/>
  <c r="DS11" i="7" a="1"/>
  <c r="DR11" i="7"/>
  <c r="DR11" i="7" a="1"/>
  <c r="DQ11" i="7" a="1"/>
  <c r="DQ11" i="7" s="1"/>
  <c r="DP11" i="7"/>
  <c r="DP11" i="7" a="1"/>
  <c r="DO11" i="7" a="1"/>
  <c r="DO11" i="7" s="1"/>
  <c r="DN11" i="7"/>
  <c r="DN11" i="7" a="1"/>
  <c r="DM11" i="7" a="1"/>
  <c r="DM11" i="7" s="1"/>
  <c r="DL11" i="7" a="1"/>
  <c r="DL11" i="7" s="1"/>
  <c r="DK11" i="7" a="1"/>
  <c r="DK11" i="7" s="1"/>
  <c r="DJ11" i="7"/>
  <c r="DJ11" i="7" a="1"/>
  <c r="DI11" i="7" a="1"/>
  <c r="DI11" i="7" s="1"/>
  <c r="DH11" i="7"/>
  <c r="DH11" i="7" a="1"/>
  <c r="DG11" i="7"/>
  <c r="DG11" i="7" a="1"/>
  <c r="DF11" i="7" a="1"/>
  <c r="DF11" i="7" s="1"/>
  <c r="DE11" i="7" a="1"/>
  <c r="DE11" i="7" s="1"/>
  <c r="DD11" i="7"/>
  <c r="DD11" i="7" a="1"/>
  <c r="DC11" i="7" a="1"/>
  <c r="DC11" i="7" s="1"/>
  <c r="DB11" i="7" a="1"/>
  <c r="DB11" i="7" s="1"/>
  <c r="DA11" i="7" a="1"/>
  <c r="DA11" i="7" s="1"/>
  <c r="CZ11" i="7" a="1"/>
  <c r="CZ11" i="7" s="1"/>
  <c r="CY11" i="7"/>
  <c r="CY11" i="7" a="1"/>
  <c r="CX11" i="7"/>
  <c r="CX11" i="7" a="1"/>
  <c r="CW11" i="7" a="1"/>
  <c r="CW11" i="7" s="1"/>
  <c r="CV11" i="7"/>
  <c r="CV11" i="7" a="1"/>
  <c r="CU11" i="7"/>
  <c r="CU11" i="7" a="1"/>
  <c r="CT11" i="7" a="1"/>
  <c r="CT11" i="7" s="1"/>
  <c r="CS11" i="7" a="1"/>
  <c r="CS11" i="7" s="1"/>
  <c r="CR11" i="7" a="1"/>
  <c r="CR11" i="7" s="1"/>
  <c r="CQ11" i="7"/>
  <c r="CQ11" i="7" a="1"/>
  <c r="CP11" i="7"/>
  <c r="CP11" i="7" a="1"/>
  <c r="CO11" i="7" a="1"/>
  <c r="CO11" i="7" s="1"/>
  <c r="CN11" i="7" a="1"/>
  <c r="CN11" i="7" s="1"/>
  <c r="CM11" i="7" a="1"/>
  <c r="CM11" i="7" s="1"/>
  <c r="CL11" i="7"/>
  <c r="CL11" i="7" a="1"/>
  <c r="CK11" i="7" a="1"/>
  <c r="CK11" i="7" s="1"/>
  <c r="CJ11" i="7"/>
  <c r="CJ11" i="7" a="1"/>
  <c r="CI11" i="7"/>
  <c r="CI11" i="7" a="1"/>
  <c r="CH11" i="7"/>
  <c r="CH11" i="7" a="1"/>
  <c r="CG11" i="7" a="1"/>
  <c r="CG11" i="7" s="1"/>
  <c r="CF11" i="7" a="1"/>
  <c r="CF11" i="7" s="1"/>
  <c r="CE11" i="7" a="1"/>
  <c r="CE11" i="7" s="1"/>
  <c r="CD11" i="7" a="1"/>
  <c r="CD11" i="7" s="1"/>
  <c r="CC11" i="7" a="1"/>
  <c r="CC11" i="7" s="1"/>
  <c r="CB11" i="7"/>
  <c r="CB11" i="7" a="1"/>
  <c r="CA11" i="7"/>
  <c r="CA11" i="7" a="1"/>
  <c r="BZ11" i="7" a="1"/>
  <c r="BZ11" i="7" s="1"/>
  <c r="BY11" i="7" a="1"/>
  <c r="BY11" i="7" s="1"/>
  <c r="BX11" i="7"/>
  <c r="BX11" i="7" a="1"/>
  <c r="BW11" i="7" a="1"/>
  <c r="BW11" i="7" s="1"/>
  <c r="BV11" i="7" a="1"/>
  <c r="BV11" i="7" s="1"/>
  <c r="BU11" i="7" a="1"/>
  <c r="BU11" i="7" s="1"/>
  <c r="BT11" i="7" a="1"/>
  <c r="BT11" i="7" s="1"/>
  <c r="BS11" i="7"/>
  <c r="BS11" i="7" a="1"/>
  <c r="BR11" i="7"/>
  <c r="BR11" i="7" a="1"/>
  <c r="BQ11" i="7" a="1"/>
  <c r="BQ11" i="7" s="1"/>
  <c r="BP11" i="7"/>
  <c r="BP11" i="7" a="1"/>
  <c r="BO11" i="7"/>
  <c r="BO11" i="7" a="1"/>
  <c r="BN11" i="7" a="1"/>
  <c r="BN11" i="7" s="1"/>
  <c r="BM11" i="7" a="1"/>
  <c r="BM11" i="7" s="1"/>
  <c r="BL11" i="7"/>
  <c r="BL11" i="7" a="1"/>
  <c r="BK11" i="7"/>
  <c r="BK11" i="7" a="1"/>
  <c r="BJ11" i="7"/>
  <c r="BJ11" i="7" a="1"/>
  <c r="BI11" i="7" a="1"/>
  <c r="BI11" i="7" s="1"/>
  <c r="BH11" i="7" a="1"/>
  <c r="BH11" i="7" s="1"/>
  <c r="BG11" i="7"/>
  <c r="BG11" i="7" a="1"/>
  <c r="BF11" i="7"/>
  <c r="BF11" i="7" a="1"/>
  <c r="BE11" i="7" a="1"/>
  <c r="BE11" i="7" s="1"/>
  <c r="BD11" i="7"/>
  <c r="BD11" i="7" a="1"/>
  <c r="BC11" i="7"/>
  <c r="BC11" i="7" a="1"/>
  <c r="BB11" i="7" a="1"/>
  <c r="BB11" i="7" s="1"/>
  <c r="BA11" i="7" a="1"/>
  <c r="BA11" i="7" s="1"/>
  <c r="AZ11" i="7" a="1"/>
  <c r="AZ11" i="7" s="1"/>
  <c r="AY11" i="7" a="1"/>
  <c r="AY11" i="7" s="1"/>
  <c r="AX11" i="7" a="1"/>
  <c r="AX11" i="7" s="1"/>
  <c r="AW11" i="7" a="1"/>
  <c r="AW11" i="7" s="1"/>
  <c r="AV11" i="7"/>
  <c r="AV11" i="7" a="1"/>
  <c r="AU11" i="7"/>
  <c r="AU11" i="7" a="1"/>
  <c r="AT11" i="7"/>
  <c r="AT11" i="7" a="1"/>
  <c r="AS11" i="7" a="1"/>
  <c r="AS11" i="7" s="1"/>
  <c r="AR11" i="7"/>
  <c r="AR11" i="7" a="1"/>
  <c r="AQ11" i="7" a="1"/>
  <c r="AQ11" i="7" s="1"/>
  <c r="AP11" i="7" a="1"/>
  <c r="AP11" i="7" s="1"/>
  <c r="AO11" i="7" a="1"/>
  <c r="AO11" i="7" s="1"/>
  <c r="AN11" i="7"/>
  <c r="AN11" i="7" a="1"/>
  <c r="AM11" i="7"/>
  <c r="AM11" i="7" a="1"/>
  <c r="AL11" i="7"/>
  <c r="AL11" i="7" a="1"/>
  <c r="AK11" i="7" a="1"/>
  <c r="AK11" i="7" s="1"/>
  <c r="AJ11" i="7"/>
  <c r="AJ11" i="7" a="1"/>
  <c r="AI11" i="7"/>
  <c r="AI11" i="7" a="1"/>
  <c r="AH11" i="7" a="1"/>
  <c r="AH11" i="7" s="1"/>
  <c r="AG11" i="7" a="1"/>
  <c r="AG11" i="7" s="1"/>
  <c r="AF11" i="7"/>
  <c r="AF11" i="7" a="1"/>
  <c r="AE11" i="7"/>
  <c r="AE11" i="7" a="1"/>
  <c r="AD11" i="7"/>
  <c r="AD11" i="7" a="1"/>
  <c r="AC11" i="7" a="1"/>
  <c r="AC11" i="7" s="1"/>
  <c r="AB11" i="7" a="1"/>
  <c r="AB11" i="7" s="1"/>
  <c r="AA11" i="7"/>
  <c r="AA11" i="7" a="1"/>
  <c r="Z11" i="7"/>
  <c r="Z11" i="7" a="1"/>
  <c r="Y11" i="7" a="1"/>
  <c r="Y11" i="7" s="1"/>
  <c r="X11" i="7"/>
  <c r="X11" i="7" a="1"/>
  <c r="W11" i="7" a="1"/>
  <c r="W11" i="7" s="1"/>
  <c r="V11" i="7" a="1"/>
  <c r="V11" i="7" s="1"/>
  <c r="U11" i="7" a="1"/>
  <c r="U11" i="7" s="1"/>
  <c r="T11" i="7" a="1"/>
  <c r="T11" i="7" s="1"/>
  <c r="S11" i="7" a="1"/>
  <c r="S11" i="7" s="1"/>
  <c r="R11" i="7"/>
  <c r="R11" i="7" a="1"/>
  <c r="Q11" i="7" a="1"/>
  <c r="Q11" i="7" s="1"/>
  <c r="P11" i="7"/>
  <c r="P11" i="7" a="1"/>
  <c r="O11" i="7"/>
  <c r="O11" i="7" a="1"/>
  <c r="N11" i="7"/>
  <c r="N11" i="7" a="1"/>
  <c r="M11" i="7" a="1"/>
  <c r="M11" i="7" s="1"/>
  <c r="L11" i="7"/>
  <c r="L11" i="7" a="1"/>
  <c r="K11" i="7" a="1"/>
  <c r="K11" i="7" s="1"/>
  <c r="J11" i="7" a="1"/>
  <c r="J11" i="7" s="1"/>
  <c r="I11" i="7" a="1"/>
  <c r="I11" i="7" s="1"/>
  <c r="H11" i="7"/>
  <c r="H11" i="7" a="1"/>
  <c r="G11" i="7"/>
  <c r="G11" i="7" a="1"/>
  <c r="F11" i="7"/>
  <c r="F11" i="7" a="1"/>
  <c r="E11" i="7" a="1"/>
  <c r="E11" i="7" s="1"/>
  <c r="EF10" i="7"/>
  <c r="EF10" i="7" a="1"/>
  <c r="EE10" i="7" a="1"/>
  <c r="EE10" i="7" s="1"/>
  <c r="ED10" i="7" a="1"/>
  <c r="ED10" i="7" s="1"/>
  <c r="EC10" i="7"/>
  <c r="EC10" i="7" a="1"/>
  <c r="EB10" i="7" a="1"/>
  <c r="EB10" i="7" s="1"/>
  <c r="EA10" i="7"/>
  <c r="EA10" i="7" a="1"/>
  <c r="DZ10" i="7" a="1"/>
  <c r="DZ10" i="7" s="1"/>
  <c r="DY10" i="7" a="1"/>
  <c r="DY10" i="7" s="1"/>
  <c r="DX10" i="7" a="1"/>
  <c r="DX10" i="7" s="1"/>
  <c r="DW10" i="7"/>
  <c r="DW10" i="7" a="1"/>
  <c r="DV10" i="7" a="1"/>
  <c r="DV10" i="7" s="1"/>
  <c r="DU10" i="7"/>
  <c r="DU10" i="7" a="1"/>
  <c r="DT10" i="7" a="1"/>
  <c r="DT10" i="7" s="1"/>
  <c r="DS10" i="7"/>
  <c r="DS10" i="7" a="1"/>
  <c r="DR10" i="7" a="1"/>
  <c r="DR10" i="7" s="1"/>
  <c r="DQ10" i="7" a="1"/>
  <c r="DQ10" i="7" s="1"/>
  <c r="DP10" i="7" a="1"/>
  <c r="DP10" i="7" s="1"/>
  <c r="DO10" i="7"/>
  <c r="DO10" i="7" a="1"/>
  <c r="DN10" i="7" a="1"/>
  <c r="DN10" i="7" s="1"/>
  <c r="DM10" i="7"/>
  <c r="DM10" i="7" a="1"/>
  <c r="DL10" i="7"/>
  <c r="DL10" i="7" a="1"/>
  <c r="DK10" i="7" a="1"/>
  <c r="DK10" i="7" s="1"/>
  <c r="DJ10" i="7" a="1"/>
  <c r="DJ10" i="7" s="1"/>
  <c r="DI10" i="7"/>
  <c r="DI10" i="7" a="1"/>
  <c r="DH10" i="7" a="1"/>
  <c r="DH10" i="7" s="1"/>
  <c r="DG10" i="7" a="1"/>
  <c r="DG10" i="7" s="1"/>
  <c r="DF10" i="7" a="1"/>
  <c r="DF10" i="7" s="1"/>
  <c r="DE10" i="7" a="1"/>
  <c r="DE10" i="7" s="1"/>
  <c r="DD10" i="7"/>
  <c r="DD10" i="7" a="1"/>
  <c r="DC10" i="7"/>
  <c r="DC10" i="7" a="1"/>
  <c r="DB10" i="7" a="1"/>
  <c r="DB10" i="7" s="1"/>
  <c r="DA10" i="7"/>
  <c r="DA10" i="7" a="1"/>
  <c r="CZ10" i="7"/>
  <c r="CZ10" i="7" a="1"/>
  <c r="CY10" i="7" a="1"/>
  <c r="CY10" i="7" s="1"/>
  <c r="CX10" i="7" a="1"/>
  <c r="CX10" i="7" s="1"/>
  <c r="CW10" i="7"/>
  <c r="CW10" i="7" a="1"/>
  <c r="CV10" i="7"/>
  <c r="CV10" i="7" a="1"/>
  <c r="CU10" i="7"/>
  <c r="CU10" i="7" a="1"/>
  <c r="CT10" i="7" a="1"/>
  <c r="CT10" i="7" s="1"/>
  <c r="CS10" i="7" a="1"/>
  <c r="CS10" i="7" s="1"/>
  <c r="CR10" i="7"/>
  <c r="CR10" i="7" a="1"/>
  <c r="CQ10" i="7"/>
  <c r="CQ10" i="7" a="1"/>
  <c r="CP10" i="7" a="1"/>
  <c r="CP10" i="7" s="1"/>
  <c r="CO10" i="7"/>
  <c r="CO10" i="7" a="1"/>
  <c r="CN10" i="7"/>
  <c r="CN10" i="7" a="1"/>
  <c r="CM10" i="7"/>
  <c r="CM10" i="7" a="1"/>
  <c r="CL10" i="7" a="1"/>
  <c r="CL10" i="7" s="1"/>
  <c r="CK10" i="7" a="1"/>
  <c r="CK10" i="7" s="1"/>
  <c r="CJ10" i="7" a="1"/>
  <c r="CJ10" i="7" s="1"/>
  <c r="CI10" i="7"/>
  <c r="CI10" i="7" a="1"/>
  <c r="CH10" i="7" a="1"/>
  <c r="CH10" i="7" s="1"/>
  <c r="CG10" i="7"/>
  <c r="CG10" i="7" a="1"/>
  <c r="CF10" i="7"/>
  <c r="CF10" i="7" a="1"/>
  <c r="CE10" i="7" a="1"/>
  <c r="CE10" i="7" s="1"/>
  <c r="CD10" i="7" a="1"/>
  <c r="CD10" i="7" s="1"/>
  <c r="CC10" i="7"/>
  <c r="CC10" i="7" a="1"/>
  <c r="CB10" i="7" a="1"/>
  <c r="CB10" i="7" s="1"/>
  <c r="CA10" i="7" a="1"/>
  <c r="CA10" i="7" s="1"/>
  <c r="BZ10" i="7"/>
  <c r="BZ10" i="7" a="1"/>
  <c r="BY10" i="7"/>
  <c r="BY10" i="7" a="1"/>
  <c r="BX10" i="7" a="1"/>
  <c r="BX10" i="7" s="1"/>
  <c r="BW10" i="7" a="1"/>
  <c r="BW10" i="7" s="1"/>
  <c r="BV10" i="7"/>
  <c r="BV10" i="7" a="1"/>
  <c r="BU10" i="7"/>
  <c r="BU10" i="7" a="1"/>
  <c r="BT10" i="7" a="1"/>
  <c r="BT10" i="7" s="1"/>
  <c r="BS10" i="7" a="1"/>
  <c r="BS10" i="7" s="1"/>
  <c r="BR10" i="7"/>
  <c r="BR10" i="7" a="1"/>
  <c r="BQ10" i="7"/>
  <c r="BQ10" i="7" a="1"/>
  <c r="BP10" i="7" a="1"/>
  <c r="BP10" i="7" s="1"/>
  <c r="BO10" i="7" a="1"/>
  <c r="BO10" i="7" s="1"/>
  <c r="BN10" i="7"/>
  <c r="BN10" i="7" a="1"/>
  <c r="BM10" i="7"/>
  <c r="BM10" i="7" a="1"/>
  <c r="BL10" i="7" a="1"/>
  <c r="BL10" i="7" s="1"/>
  <c r="BK10" i="7" a="1"/>
  <c r="BK10" i="7" s="1"/>
  <c r="BJ10" i="7"/>
  <c r="BJ10" i="7" a="1"/>
  <c r="BI10" i="7"/>
  <c r="BI10" i="7" a="1"/>
  <c r="BH10" i="7" a="1"/>
  <c r="BH10" i="7" s="1"/>
  <c r="BG10" i="7" a="1"/>
  <c r="BG10" i="7" s="1"/>
  <c r="BF10" i="7" a="1"/>
  <c r="BF10" i="7" s="1"/>
  <c r="BE10" i="7"/>
  <c r="BE10" i="7" a="1"/>
  <c r="BD10" i="7" a="1"/>
  <c r="BD10" i="7" s="1"/>
  <c r="BC10" i="7" a="1"/>
  <c r="BC10" i="7" s="1"/>
  <c r="BB10" i="7"/>
  <c r="BB10" i="7" a="1"/>
  <c r="BA10" i="7" a="1"/>
  <c r="BA10" i="7" s="1"/>
  <c r="AZ10" i="7" a="1"/>
  <c r="AZ10" i="7" s="1"/>
  <c r="AY10" i="7" a="1"/>
  <c r="AY10" i="7" s="1"/>
  <c r="AX10" i="7" a="1"/>
  <c r="AX10" i="7" s="1"/>
  <c r="AW10" i="7"/>
  <c r="AW10" i="7" a="1"/>
  <c r="AV10" i="7" a="1"/>
  <c r="AV10" i="7" s="1"/>
  <c r="AU10" i="7" a="1"/>
  <c r="AU10" i="7" s="1"/>
  <c r="AT10" i="7"/>
  <c r="AT10" i="7" a="1"/>
  <c r="AS10" i="7" a="1"/>
  <c r="AS10" i="7" s="1"/>
  <c r="AR10" i="7" a="1"/>
  <c r="AR10" i="7" s="1"/>
  <c r="AQ10" i="7" a="1"/>
  <c r="AQ10" i="7" s="1"/>
  <c r="AP10" i="7" a="1"/>
  <c r="AP10" i="7" s="1"/>
  <c r="AO10" i="7"/>
  <c r="AO10" i="7" a="1"/>
  <c r="AN10" i="7" a="1"/>
  <c r="AN10" i="7" s="1"/>
  <c r="AM10" i="7" a="1"/>
  <c r="AM10" i="7" s="1"/>
  <c r="AL10" i="7" a="1"/>
  <c r="AL10" i="7" s="1"/>
  <c r="AK10" i="7" a="1"/>
  <c r="AK10" i="7" s="1"/>
  <c r="AJ10" i="7" a="1"/>
  <c r="AJ10" i="7" s="1"/>
  <c r="AI10" i="7" a="1"/>
  <c r="AI10" i="7" s="1"/>
  <c r="AH10" i="7" a="1"/>
  <c r="AH10" i="7" s="1"/>
  <c r="AG10" i="7" a="1"/>
  <c r="AG10" i="7" s="1"/>
  <c r="AF10" i="7" a="1"/>
  <c r="AF10" i="7" s="1"/>
  <c r="AE10" i="7" a="1"/>
  <c r="AE10" i="7" s="1"/>
  <c r="AD10" i="7"/>
  <c r="AD10" i="7" a="1"/>
  <c r="AC10" i="7" a="1"/>
  <c r="AC10" i="7" s="1"/>
  <c r="AB10" i="7" a="1"/>
  <c r="AB10" i="7" s="1"/>
  <c r="AA10" i="7" a="1"/>
  <c r="AA10" i="7" s="1"/>
  <c r="Z10" i="7" a="1"/>
  <c r="Z10" i="7" s="1"/>
  <c r="Y10" i="7"/>
  <c r="Y10" i="7" a="1"/>
  <c r="X10" i="7" a="1"/>
  <c r="X10" i="7" s="1"/>
  <c r="W10" i="7" a="1"/>
  <c r="W10" i="7" s="1"/>
  <c r="V10" i="7"/>
  <c r="V10" i="7" a="1"/>
  <c r="U10" i="7" a="1"/>
  <c r="U10" i="7" s="1"/>
  <c r="T10" i="7" a="1"/>
  <c r="T10" i="7" s="1"/>
  <c r="S10" i="7" a="1"/>
  <c r="S10" i="7" s="1"/>
  <c r="R10" i="7"/>
  <c r="R10" i="7" a="1"/>
  <c r="Q10" i="7" a="1"/>
  <c r="Q10" i="7" s="1"/>
  <c r="P10" i="7" a="1"/>
  <c r="P10" i="7" s="1"/>
  <c r="O10" i="7" a="1"/>
  <c r="O10" i="7" s="1"/>
  <c r="N10" i="7"/>
  <c r="N10" i="7" a="1"/>
  <c r="M10" i="7"/>
  <c r="M10" i="7" a="1"/>
  <c r="L10" i="7" a="1"/>
  <c r="L10" i="7" s="1"/>
  <c r="K10" i="7" a="1"/>
  <c r="K10" i="7" s="1"/>
  <c r="J10" i="7" a="1"/>
  <c r="J10" i="7" s="1"/>
  <c r="I10" i="7"/>
  <c r="I10" i="7" a="1"/>
  <c r="H10" i="7" a="1"/>
  <c r="H10" i="7" s="1"/>
  <c r="G10" i="7" a="1"/>
  <c r="G10" i="7" s="1"/>
  <c r="F10" i="7"/>
  <c r="F10" i="7" a="1"/>
  <c r="E10" i="7" a="1"/>
  <c r="E10" i="7" s="1"/>
  <c r="EF9" i="7" a="1"/>
  <c r="EF9" i="7" s="1"/>
  <c r="EE9" i="7"/>
  <c r="EE9" i="7" a="1"/>
  <c r="ED9" i="7"/>
  <c r="ED9" i="7" a="1"/>
  <c r="EC9" i="7" a="1"/>
  <c r="EC9" i="7" s="1"/>
  <c r="EB9" i="7" a="1"/>
  <c r="EB9" i="7" s="1"/>
  <c r="EA9" i="7"/>
  <c r="EA9" i="7" a="1"/>
  <c r="DZ9" i="7"/>
  <c r="DZ9" i="7" a="1"/>
  <c r="DY9" i="7" a="1"/>
  <c r="DY9" i="7" s="1"/>
  <c r="DX9" i="7" a="1"/>
  <c r="DX9" i="7" s="1"/>
  <c r="DW9" i="7" a="1"/>
  <c r="DW9" i="7" s="1"/>
  <c r="DV9" i="7"/>
  <c r="DV9" i="7" a="1"/>
  <c r="DU9" i="7" a="1"/>
  <c r="DU9" i="7" s="1"/>
  <c r="DT9" i="7" a="1"/>
  <c r="DT9" i="7" s="1"/>
  <c r="DS9" i="7"/>
  <c r="DS9" i="7" a="1"/>
  <c r="DR9" i="7" a="1"/>
  <c r="DR9" i="7" s="1"/>
  <c r="DQ9" i="7" a="1"/>
  <c r="DQ9" i="7" s="1"/>
  <c r="DP9" i="7" a="1"/>
  <c r="DP9" i="7" s="1"/>
  <c r="DO9" i="7" a="1"/>
  <c r="DO9" i="7" s="1"/>
  <c r="DN9" i="7"/>
  <c r="DN9" i="7" a="1"/>
  <c r="DM9" i="7" a="1"/>
  <c r="DM9" i="7" s="1"/>
  <c r="DL9" i="7" a="1"/>
  <c r="DL9" i="7" s="1"/>
  <c r="DK9" i="7" a="1"/>
  <c r="DK9" i="7" s="1"/>
  <c r="DJ9" i="7"/>
  <c r="DJ9" i="7" a="1"/>
  <c r="DI9" i="7" a="1"/>
  <c r="DI9" i="7" s="1"/>
  <c r="DH9" i="7" a="1"/>
  <c r="DH9" i="7" s="1"/>
  <c r="DG9" i="7"/>
  <c r="DG9" i="7" a="1"/>
  <c r="DF9" i="7"/>
  <c r="DF9" i="7" a="1"/>
  <c r="DE9" i="7" a="1"/>
  <c r="DE9" i="7" s="1"/>
  <c r="DD9" i="7" a="1"/>
  <c r="DD9" i="7" s="1"/>
  <c r="DC9" i="7"/>
  <c r="DC9" i="7" a="1"/>
  <c r="DB9" i="7"/>
  <c r="DB9" i="7" a="1"/>
  <c r="DA9" i="7" a="1"/>
  <c r="DA9" i="7" s="1"/>
  <c r="CZ9" i="7" a="1"/>
  <c r="CZ9" i="7" s="1"/>
  <c r="CY9" i="7" a="1"/>
  <c r="CY9" i="7" s="1"/>
  <c r="CX9" i="7"/>
  <c r="CX9" i="7" a="1"/>
  <c r="CW9" i="7" a="1"/>
  <c r="CW9" i="7" s="1"/>
  <c r="CV9" i="7" a="1"/>
  <c r="CV9" i="7" s="1"/>
  <c r="CU9" i="7" a="1"/>
  <c r="CU9" i="7" s="1"/>
  <c r="CT9" i="7"/>
  <c r="CT9" i="7" a="1"/>
  <c r="CS9" i="7" a="1"/>
  <c r="CS9" i="7" s="1"/>
  <c r="CR9" i="7" a="1"/>
  <c r="CR9" i="7" s="1"/>
  <c r="CQ9" i="7"/>
  <c r="CQ9" i="7" a="1"/>
  <c r="CP9" i="7"/>
  <c r="CP9" i="7" a="1"/>
  <c r="CO9" i="7" a="1"/>
  <c r="CO9" i="7" s="1"/>
  <c r="CN9" i="7" a="1"/>
  <c r="CN9" i="7" s="1"/>
  <c r="CM9" i="7"/>
  <c r="CM9" i="7" a="1"/>
  <c r="CL9" i="7"/>
  <c r="CL9" i="7" a="1"/>
  <c r="CK9" i="7" a="1"/>
  <c r="CK9" i="7" s="1"/>
  <c r="CJ9" i="7" a="1"/>
  <c r="CJ9" i="7" s="1"/>
  <c r="CI9" i="7" a="1"/>
  <c r="CI9" i="7" s="1"/>
  <c r="CH9" i="7"/>
  <c r="CH9" i="7" a="1"/>
  <c r="CG9" i="7" a="1"/>
  <c r="CG9" i="7" s="1"/>
  <c r="CF9" i="7" a="1"/>
  <c r="CF9" i="7" s="1"/>
  <c r="CE9" i="7" a="1"/>
  <c r="CE9" i="7" s="1"/>
  <c r="CD9" i="7"/>
  <c r="CD9" i="7" a="1"/>
  <c r="CC9" i="7" a="1"/>
  <c r="CC9" i="7" s="1"/>
  <c r="CB9" i="7" a="1"/>
  <c r="CB9" i="7" s="1"/>
  <c r="CA9" i="7"/>
  <c r="CA9" i="7" a="1"/>
  <c r="BZ9" i="7"/>
  <c r="BZ9" i="7" a="1"/>
  <c r="BY9" i="7" a="1"/>
  <c r="BY9" i="7" s="1"/>
  <c r="BX9" i="7" a="1"/>
  <c r="BX9" i="7" s="1"/>
  <c r="BW9" i="7"/>
  <c r="BW9" i="7" a="1"/>
  <c r="BV9" i="7"/>
  <c r="BV9" i="7" a="1"/>
  <c r="BU9" i="7" a="1"/>
  <c r="BU9" i="7" s="1"/>
  <c r="BT9" i="7" a="1"/>
  <c r="BT9" i="7" s="1"/>
  <c r="BS9" i="7" a="1"/>
  <c r="BS9" i="7" s="1"/>
  <c r="BR9" i="7"/>
  <c r="BR9" i="7" a="1"/>
  <c r="BQ9" i="7" a="1"/>
  <c r="BQ9" i="7" s="1"/>
  <c r="BP9" i="7" a="1"/>
  <c r="BP9" i="7" s="1"/>
  <c r="BO9" i="7" a="1"/>
  <c r="BO9" i="7" s="1"/>
  <c r="BN9" i="7"/>
  <c r="BN9" i="7" a="1"/>
  <c r="BM9" i="7" a="1"/>
  <c r="BM9" i="7" s="1"/>
  <c r="BL9" i="7" a="1"/>
  <c r="BL9" i="7" s="1"/>
  <c r="BK9" i="7"/>
  <c r="BK9" i="7" a="1"/>
  <c r="BJ9" i="7"/>
  <c r="BJ9" i="7" a="1"/>
  <c r="BI9" i="7" a="1"/>
  <c r="BI9" i="7" s="1"/>
  <c r="BH9" i="7" a="1"/>
  <c r="BH9" i="7" s="1"/>
  <c r="BG9" i="7"/>
  <c r="BG9" i="7" a="1"/>
  <c r="BF9" i="7"/>
  <c r="BF9" i="7" a="1"/>
  <c r="BE9" i="7" a="1"/>
  <c r="BE9" i="7" s="1"/>
  <c r="BD9" i="7" a="1"/>
  <c r="BD9" i="7" s="1"/>
  <c r="BC9" i="7" a="1"/>
  <c r="BC9" i="7" s="1"/>
  <c r="BB9" i="7"/>
  <c r="BB9" i="7" a="1"/>
  <c r="BA9" i="7" a="1"/>
  <c r="BA9" i="7" s="1"/>
  <c r="AZ9" i="7" a="1"/>
  <c r="AZ9" i="7" s="1"/>
  <c r="AY9" i="7" a="1"/>
  <c r="AY9" i="7" s="1"/>
  <c r="AX9" i="7"/>
  <c r="AX9" i="7" a="1"/>
  <c r="AW9" i="7" a="1"/>
  <c r="AW9" i="7" s="1"/>
  <c r="AV9" i="7" a="1"/>
  <c r="AV9" i="7" s="1"/>
  <c r="AU9" i="7"/>
  <c r="AU9" i="7" a="1"/>
  <c r="AT9" i="7"/>
  <c r="AT9" i="7" a="1"/>
  <c r="AS9" i="7" a="1"/>
  <c r="AS9" i="7" s="1"/>
  <c r="AR9" i="7" a="1"/>
  <c r="AR9" i="7" s="1"/>
  <c r="AQ9" i="7"/>
  <c r="AQ9" i="7" a="1"/>
  <c r="AP9" i="7"/>
  <c r="AP9" i="7" a="1"/>
  <c r="AO9" i="7" a="1"/>
  <c r="AO9" i="7" s="1"/>
  <c r="AN9" i="7" a="1"/>
  <c r="AN9" i="7" s="1"/>
  <c r="AM9" i="7" a="1"/>
  <c r="AM9" i="7" s="1"/>
  <c r="AL9" i="7"/>
  <c r="AL9" i="7" a="1"/>
  <c r="AK9" i="7" a="1"/>
  <c r="AK9" i="7" s="1"/>
  <c r="AJ9" i="7" a="1"/>
  <c r="AJ9" i="7" s="1"/>
  <c r="AI9" i="7" a="1"/>
  <c r="AI9" i="7" s="1"/>
  <c r="AH9" i="7"/>
  <c r="AH9" i="7" a="1"/>
  <c r="AG9" i="7" a="1"/>
  <c r="AG9" i="7" s="1"/>
  <c r="AF9" i="7" a="1"/>
  <c r="AF9" i="7" s="1"/>
  <c r="AE9" i="7"/>
  <c r="AE9" i="7" a="1"/>
  <c r="AD9" i="7"/>
  <c r="AD9" i="7" a="1"/>
  <c r="AC9" i="7" a="1"/>
  <c r="AC9" i="7" s="1"/>
  <c r="AB9" i="7" a="1"/>
  <c r="AB9" i="7" s="1"/>
  <c r="AA9" i="7"/>
  <c r="AA9" i="7" a="1"/>
  <c r="Z9" i="7"/>
  <c r="Z9" i="7" a="1"/>
  <c r="Y9" i="7" a="1"/>
  <c r="Y9" i="7" s="1"/>
  <c r="X9" i="7" a="1"/>
  <c r="X9" i="7" s="1"/>
  <c r="W9" i="7" a="1"/>
  <c r="W9" i="7" s="1"/>
  <c r="V9" i="7"/>
  <c r="V9" i="7" a="1"/>
  <c r="U9" i="7" a="1"/>
  <c r="U9" i="7" s="1"/>
  <c r="T9" i="7" a="1"/>
  <c r="T9" i="7" s="1"/>
  <c r="S9" i="7" a="1"/>
  <c r="S9" i="7" s="1"/>
  <c r="R9" i="7"/>
  <c r="R9" i="7" a="1"/>
  <c r="Q9" i="7" a="1"/>
  <c r="Q9" i="7" s="1"/>
  <c r="P9" i="7" a="1"/>
  <c r="P9" i="7" s="1"/>
  <c r="O9" i="7"/>
  <c r="O9" i="7" a="1"/>
  <c r="N9" i="7"/>
  <c r="N9" i="7" a="1"/>
  <c r="M9" i="7" a="1"/>
  <c r="M9" i="7" s="1"/>
  <c r="L9" i="7" a="1"/>
  <c r="L9" i="7" s="1"/>
  <c r="K9" i="7"/>
  <c r="K9" i="7" a="1"/>
  <c r="J9" i="7"/>
  <c r="J9" i="7" a="1"/>
  <c r="I9" i="7" a="1"/>
  <c r="I9" i="7" s="1"/>
  <c r="H9" i="7" a="1"/>
  <c r="H9" i="7" s="1"/>
  <c r="G9" i="7" a="1"/>
  <c r="G9" i="7" s="1"/>
  <c r="F9" i="7"/>
  <c r="F9" i="7" a="1"/>
  <c r="E9" i="7" a="1"/>
  <c r="E9" i="7" s="1"/>
  <c r="EF8" i="7" a="1"/>
  <c r="EF8" i="7" s="1"/>
  <c r="EE8" i="7"/>
  <c r="EE8" i="7" a="1"/>
  <c r="ED8" i="7" a="1"/>
  <c r="ED8" i="7" s="1"/>
  <c r="EC8" i="7" a="1"/>
  <c r="EC8" i="7" s="1"/>
  <c r="EB8" i="7"/>
  <c r="EB8" i="7" a="1"/>
  <c r="EA8" i="7"/>
  <c r="EA8" i="7" a="1"/>
  <c r="DZ8" i="7" a="1"/>
  <c r="DZ8" i="7" s="1"/>
  <c r="DY8" i="7" a="1"/>
  <c r="DY8" i="7" s="1"/>
  <c r="DX8" i="7"/>
  <c r="DX8" i="7" a="1"/>
  <c r="DW8" i="7"/>
  <c r="DW8" i="7" a="1"/>
  <c r="DV8" i="7" a="1"/>
  <c r="DV8" i="7" s="1"/>
  <c r="DU8" i="7" a="1"/>
  <c r="DU8" i="7" s="1"/>
  <c r="DT8" i="7" a="1"/>
  <c r="DT8" i="7" s="1"/>
  <c r="DS8" i="7"/>
  <c r="DS8" i="7" a="1"/>
  <c r="DR8" i="7" a="1"/>
  <c r="DR8" i="7" s="1"/>
  <c r="DQ8" i="7" a="1"/>
  <c r="DQ8" i="7" s="1"/>
  <c r="DP8" i="7" a="1"/>
  <c r="DP8" i="7" s="1"/>
  <c r="DO8" i="7"/>
  <c r="DO8" i="7" a="1"/>
  <c r="DN8" i="7" a="1"/>
  <c r="DN8" i="7" s="1"/>
  <c r="DM8" i="7" a="1"/>
  <c r="DM8" i="7" s="1"/>
  <c r="DL8" i="7"/>
  <c r="DL8" i="7" a="1"/>
  <c r="DK8" i="7"/>
  <c r="DK8" i="7" a="1"/>
  <c r="DJ8" i="7" a="1"/>
  <c r="DJ8" i="7" s="1"/>
  <c r="DI8" i="7" a="1"/>
  <c r="DI8" i="7" s="1"/>
  <c r="DH8" i="7"/>
  <c r="DH8" i="7" a="1"/>
  <c r="DG8" i="7"/>
  <c r="DG8" i="7" a="1"/>
  <c r="DF8" i="7" a="1"/>
  <c r="DF8" i="7" s="1"/>
  <c r="DE8" i="7" a="1"/>
  <c r="DE8" i="7" s="1"/>
  <c r="DD8" i="7" a="1"/>
  <c r="DD8" i="7" s="1"/>
  <c r="DC8" i="7"/>
  <c r="DC8" i="7" a="1"/>
  <c r="DB8" i="7" a="1"/>
  <c r="DB8" i="7" s="1"/>
  <c r="DA8" i="7" a="1"/>
  <c r="DA8" i="7" s="1"/>
  <c r="CZ8" i="7" a="1"/>
  <c r="CZ8" i="7" s="1"/>
  <c r="CY8" i="7" a="1"/>
  <c r="CY8" i="7" s="1"/>
  <c r="CX8" i="7" a="1"/>
  <c r="CX8" i="7" s="1"/>
  <c r="CW8" i="7" a="1"/>
  <c r="CW8" i="7" s="1"/>
  <c r="CV8" i="7"/>
  <c r="CV8" i="7" a="1"/>
  <c r="CU8" i="7" a="1"/>
  <c r="CU8" i="7" s="1"/>
  <c r="CT8" i="7" a="1"/>
  <c r="CT8" i="7" s="1"/>
  <c r="CS8" i="7" a="1"/>
  <c r="CS8" i="7" s="1"/>
  <c r="CR8" i="7"/>
  <c r="CR8" i="7" a="1"/>
  <c r="CQ8" i="7"/>
  <c r="CQ8" i="7" a="1"/>
  <c r="CP8" i="7" a="1"/>
  <c r="CP8" i="7" s="1"/>
  <c r="CO8" i="7" a="1"/>
  <c r="CO8" i="7" s="1"/>
  <c r="CN8" i="7" a="1"/>
  <c r="CN8" i="7" s="1"/>
  <c r="CM8" i="7"/>
  <c r="CM8" i="7" a="1"/>
  <c r="CL8" i="7" a="1"/>
  <c r="CL8" i="7" s="1"/>
  <c r="CK8" i="7" a="1"/>
  <c r="CK8" i="7" s="1"/>
  <c r="CJ8" i="7" a="1"/>
  <c r="CJ8" i="7" s="1"/>
  <c r="CI8" i="7" a="1"/>
  <c r="CI8" i="7" s="1"/>
  <c r="CH8" i="7" a="1"/>
  <c r="CH8" i="7" s="1"/>
  <c r="CG8" i="7" a="1"/>
  <c r="CG8" i="7" s="1"/>
  <c r="CF8" i="7"/>
  <c r="CF8" i="7" a="1"/>
  <c r="CE8" i="7" a="1"/>
  <c r="CE8" i="7" s="1"/>
  <c r="CD8" i="7" a="1"/>
  <c r="CD8" i="7" s="1"/>
  <c r="CC8" i="7" a="1"/>
  <c r="CC8" i="7" s="1"/>
  <c r="CB8" i="7"/>
  <c r="CB8" i="7" a="1"/>
  <c r="CA8" i="7"/>
  <c r="CA8" i="7" a="1"/>
  <c r="BZ8" i="7" a="1"/>
  <c r="BZ8" i="7" s="1"/>
  <c r="BY8" i="7" a="1"/>
  <c r="BY8" i="7" s="1"/>
  <c r="BX8" i="7" a="1"/>
  <c r="BX8" i="7" s="1"/>
  <c r="BW8" i="7"/>
  <c r="BW8" i="7" a="1"/>
  <c r="BV8" i="7" a="1"/>
  <c r="BV8" i="7" s="1"/>
  <c r="BU8" i="7" a="1"/>
  <c r="BU8" i="7" s="1"/>
  <c r="BT8" i="7" a="1"/>
  <c r="BT8" i="7" s="1"/>
  <c r="BS8" i="7" a="1"/>
  <c r="BS8" i="7" s="1"/>
  <c r="BR8" i="7" a="1"/>
  <c r="BR8" i="7" s="1"/>
  <c r="BQ8" i="7" a="1"/>
  <c r="BQ8" i="7" s="1"/>
  <c r="BP8" i="7"/>
  <c r="BP8" i="7" a="1"/>
  <c r="BO8" i="7" a="1"/>
  <c r="BO8" i="7" s="1"/>
  <c r="BN8" i="7" a="1"/>
  <c r="BN8" i="7" s="1"/>
  <c r="BM8" i="7" a="1"/>
  <c r="BM8" i="7" s="1"/>
  <c r="BL8" i="7"/>
  <c r="BL8" i="7" a="1"/>
  <c r="BK8" i="7"/>
  <c r="BK8" i="7" a="1"/>
  <c r="BJ8" i="7" a="1"/>
  <c r="BJ8" i="7" s="1"/>
  <c r="BI8" i="7" a="1"/>
  <c r="BI8" i="7" s="1"/>
  <c r="BH8" i="7" a="1"/>
  <c r="BH8" i="7" s="1"/>
  <c r="BG8" i="7"/>
  <c r="BG8" i="7" a="1"/>
  <c r="BF8" i="7" a="1"/>
  <c r="BF8" i="7" s="1"/>
  <c r="BE8" i="7" a="1"/>
  <c r="BE8" i="7" s="1"/>
  <c r="BD8" i="7" a="1"/>
  <c r="BD8" i="7" s="1"/>
  <c r="BC8" i="7" a="1"/>
  <c r="BC8" i="7" s="1"/>
  <c r="BB8" i="7" a="1"/>
  <c r="BB8" i="7" s="1"/>
  <c r="BA8" i="7" a="1"/>
  <c r="BA8" i="7" s="1"/>
  <c r="AZ8" i="7"/>
  <c r="AZ8" i="7" a="1"/>
  <c r="AY8" i="7" a="1"/>
  <c r="AY8" i="7" s="1"/>
  <c r="AX8" i="7" a="1"/>
  <c r="AX8" i="7" s="1"/>
  <c r="AW8" i="7" a="1"/>
  <c r="AW8" i="7" s="1"/>
  <c r="AV8" i="7"/>
  <c r="AV8" i="7" a="1"/>
  <c r="AU8" i="7"/>
  <c r="AU8" i="7" a="1"/>
  <c r="AT8" i="7" a="1"/>
  <c r="AT8" i="7" s="1"/>
  <c r="AS8" i="7" a="1"/>
  <c r="AS8" i="7" s="1"/>
  <c r="AR8" i="7" a="1"/>
  <c r="AR8" i="7" s="1"/>
  <c r="AQ8" i="7"/>
  <c r="AQ8" i="7" a="1"/>
  <c r="AP8" i="7" a="1"/>
  <c r="AP8" i="7" s="1"/>
  <c r="AO8" i="7" a="1"/>
  <c r="AO8" i="7" s="1"/>
  <c r="AN8" i="7" a="1"/>
  <c r="AN8" i="7" s="1"/>
  <c r="AM8" i="7" a="1"/>
  <c r="AM8" i="7" s="1"/>
  <c r="AL8" i="7" a="1"/>
  <c r="AL8" i="7" s="1"/>
  <c r="AK8" i="7" a="1"/>
  <c r="AK8" i="7" s="1"/>
  <c r="AJ8" i="7"/>
  <c r="AJ8" i="7" a="1"/>
  <c r="AI8" i="7" a="1"/>
  <c r="AI8" i="7" s="1"/>
  <c r="AH8" i="7" a="1"/>
  <c r="AH8" i="7" s="1"/>
  <c r="AG8" i="7" a="1"/>
  <c r="AG8" i="7" s="1"/>
  <c r="AF8" i="7"/>
  <c r="AF8" i="7" a="1"/>
  <c r="AE8" i="7"/>
  <c r="AE8" i="7" a="1"/>
  <c r="AD8" i="7" a="1"/>
  <c r="AD8" i="7" s="1"/>
  <c r="AC8" i="7" a="1"/>
  <c r="AC8" i="7" s="1"/>
  <c r="AB8" i="7" a="1"/>
  <c r="AB8" i="7" s="1"/>
  <c r="AA8" i="7"/>
  <c r="AA8" i="7" a="1"/>
  <c r="Z8" i="7" a="1"/>
  <c r="Z8" i="7" s="1"/>
  <c r="Y8" i="7" a="1"/>
  <c r="Y8" i="7" s="1"/>
  <c r="X8" i="7" a="1"/>
  <c r="X8" i="7" s="1"/>
  <c r="W8" i="7" a="1"/>
  <c r="W8" i="7" s="1"/>
  <c r="V8" i="7" a="1"/>
  <c r="V8" i="7" s="1"/>
  <c r="U8" i="7" a="1"/>
  <c r="U8" i="7" s="1"/>
  <c r="T8" i="7"/>
  <c r="T8" i="7" a="1"/>
  <c r="S8" i="7" a="1"/>
  <c r="S8" i="7" s="1"/>
  <c r="R8" i="7" a="1"/>
  <c r="R8" i="7" s="1"/>
  <c r="Q8" i="7" a="1"/>
  <c r="Q8" i="7" s="1"/>
  <c r="P8" i="7"/>
  <c r="P8" i="7" a="1"/>
  <c r="O8" i="7"/>
  <c r="O8" i="7" a="1"/>
  <c r="N8" i="7" a="1"/>
  <c r="N8" i="7" s="1"/>
  <c r="M8" i="7" a="1"/>
  <c r="M8" i="7" s="1"/>
  <c r="L8" i="7" a="1"/>
  <c r="L8" i="7" s="1"/>
  <c r="K8" i="7"/>
  <c r="K8" i="7" a="1"/>
  <c r="J8" i="7" a="1"/>
  <c r="J8" i="7" s="1"/>
  <c r="I8" i="7" a="1"/>
  <c r="I8" i="7" s="1"/>
  <c r="H8" i="7" a="1"/>
  <c r="H8" i="7" s="1"/>
  <c r="G8" i="7" a="1"/>
  <c r="G8" i="7" s="1"/>
  <c r="F8" i="7" a="1"/>
  <c r="F8" i="7" s="1"/>
  <c r="E8" i="7" a="1"/>
  <c r="E8" i="7" s="1"/>
  <c r="EF7" i="7" a="1"/>
  <c r="EF7" i="7" s="1"/>
  <c r="EE7" i="7" a="1"/>
  <c r="EE7" i="7" s="1"/>
  <c r="ED7" i="7" a="1"/>
  <c r="ED7" i="7" s="1"/>
  <c r="EC7" i="7"/>
  <c r="EC7" i="7" a="1"/>
  <c r="EB7" i="7"/>
  <c r="EB7" i="7" a="1"/>
  <c r="EA7" i="7" a="1"/>
  <c r="EA7" i="7" s="1"/>
  <c r="DZ7" i="7" a="1"/>
  <c r="DZ7" i="7" s="1"/>
  <c r="DY7" i="7" a="1"/>
  <c r="DY7" i="7" s="1"/>
  <c r="DX7" i="7"/>
  <c r="DX7" i="7" a="1"/>
  <c r="DW7" i="7" a="1"/>
  <c r="DW7" i="7" s="1"/>
  <c r="DV7" i="7" a="1"/>
  <c r="DV7" i="7" s="1"/>
  <c r="DU7" i="7" a="1"/>
  <c r="DU7" i="7" s="1"/>
  <c r="DT7" i="7" a="1"/>
  <c r="DT7" i="7" s="1"/>
  <c r="DS7" i="7" a="1"/>
  <c r="DS7" i="7" s="1"/>
  <c r="DR7" i="7" a="1"/>
  <c r="DR7" i="7" s="1"/>
  <c r="DQ7" i="7"/>
  <c r="DQ7" i="7" a="1"/>
  <c r="DP7" i="7" a="1"/>
  <c r="DP7" i="7" s="1"/>
  <c r="DO7" i="7" a="1"/>
  <c r="DO7" i="7" s="1"/>
  <c r="DN7" i="7" a="1"/>
  <c r="DN7" i="7" s="1"/>
  <c r="DM7" i="7"/>
  <c r="DM7" i="7" a="1"/>
  <c r="DL7" i="7" a="1"/>
  <c r="DL7" i="7" s="1"/>
  <c r="DK7" i="7" a="1"/>
  <c r="DK7" i="7" s="1"/>
  <c r="DJ7" i="7" a="1"/>
  <c r="DJ7" i="7" s="1"/>
  <c r="DI7" i="7" a="1"/>
  <c r="DI7" i="7" s="1"/>
  <c r="DH7" i="7"/>
  <c r="DH7" i="7" a="1"/>
  <c r="DG7" i="7" a="1"/>
  <c r="DG7" i="7" s="1"/>
  <c r="DF7" i="7" a="1"/>
  <c r="DF7" i="7" s="1"/>
  <c r="DE7" i="7" a="1"/>
  <c r="DE7" i="7" s="1"/>
  <c r="DD7" i="7" a="1"/>
  <c r="DD7" i="7" s="1"/>
  <c r="DC7" i="7" a="1"/>
  <c r="DC7" i="7" s="1"/>
  <c r="DB7" i="7" a="1"/>
  <c r="DB7" i="7" s="1"/>
  <c r="DA7" i="7" a="1"/>
  <c r="DA7" i="7" s="1"/>
  <c r="CZ7" i="7" a="1"/>
  <c r="CZ7" i="7" s="1"/>
  <c r="CY7" i="7" a="1"/>
  <c r="CY7" i="7" s="1"/>
  <c r="CX7" i="7" a="1"/>
  <c r="CX7" i="7" s="1"/>
  <c r="CW7" i="7"/>
  <c r="CW7" i="7" a="1"/>
  <c r="CV7" i="7" a="1"/>
  <c r="CV7" i="7" s="1"/>
  <c r="CU7" i="7" a="1"/>
  <c r="CU7" i="7" s="1"/>
  <c r="CT7" i="7" a="1"/>
  <c r="CT7" i="7" s="1"/>
  <c r="CS7" i="7" a="1"/>
  <c r="CS7" i="7" s="1"/>
  <c r="CR7" i="7"/>
  <c r="CR7" i="7" a="1"/>
  <c r="CQ7" i="7" a="1"/>
  <c r="CQ7" i="7" s="1"/>
  <c r="CP7" i="7" a="1"/>
  <c r="CP7" i="7" s="1"/>
  <c r="CO7" i="7" a="1"/>
  <c r="CO7" i="7" s="1"/>
  <c r="CN7" i="7" a="1"/>
  <c r="CN7" i="7" s="1"/>
  <c r="CM7" i="7" a="1"/>
  <c r="CM7" i="7" s="1"/>
  <c r="CL7" i="7" a="1"/>
  <c r="CL7" i="7" s="1"/>
  <c r="CK7" i="7" a="1"/>
  <c r="CK7" i="7" s="1"/>
  <c r="CJ7" i="7" a="1"/>
  <c r="CJ7" i="7" s="1"/>
  <c r="CI7" i="7" a="1"/>
  <c r="CI7" i="7" s="1"/>
  <c r="CH7" i="7" a="1"/>
  <c r="CH7" i="7" s="1"/>
  <c r="CG7" i="7"/>
  <c r="CG7" i="7" a="1"/>
  <c r="CF7" i="7" a="1"/>
  <c r="CF7" i="7" s="1"/>
  <c r="CE7" i="7" a="1"/>
  <c r="CE7" i="7" s="1"/>
  <c r="CD7" i="7" a="1"/>
  <c r="CD7" i="7" s="1"/>
  <c r="CC7" i="7" a="1"/>
  <c r="CC7" i="7" s="1"/>
  <c r="CB7" i="7"/>
  <c r="CB7" i="7" a="1"/>
  <c r="CA7" i="7" a="1"/>
  <c r="CA7" i="7" s="1"/>
  <c r="BZ7" i="7" a="1"/>
  <c r="BZ7" i="7" s="1"/>
  <c r="BY7" i="7" a="1"/>
  <c r="BY7" i="7" s="1"/>
  <c r="BX7" i="7" a="1"/>
  <c r="BX7" i="7" s="1"/>
  <c r="BW7" i="7" a="1"/>
  <c r="BW7" i="7" s="1"/>
  <c r="BV7" i="7" a="1"/>
  <c r="BV7" i="7" s="1"/>
  <c r="BU7" i="7" a="1"/>
  <c r="BU7" i="7" s="1"/>
  <c r="BT7" i="7" a="1"/>
  <c r="BT7" i="7" s="1"/>
  <c r="BS7" i="7" a="1"/>
  <c r="BS7" i="7" s="1"/>
  <c r="BR7" i="7" a="1"/>
  <c r="BR7" i="7" s="1"/>
  <c r="BQ7" i="7"/>
  <c r="BQ7" i="7" a="1"/>
  <c r="BP7" i="7" a="1"/>
  <c r="BP7" i="7" s="1"/>
  <c r="BO7" i="7" a="1"/>
  <c r="BO7" i="7" s="1"/>
  <c r="BN7" i="7" a="1"/>
  <c r="BN7" i="7" s="1"/>
  <c r="BM7" i="7" a="1"/>
  <c r="BM7" i="7" s="1"/>
  <c r="BL7" i="7"/>
  <c r="BL7" i="7" a="1"/>
  <c r="BK7" i="7" a="1"/>
  <c r="BK7" i="7" s="1"/>
  <c r="BJ7" i="7" a="1"/>
  <c r="BJ7" i="7" s="1"/>
  <c r="BI7" i="7" a="1"/>
  <c r="BI7" i="7" s="1"/>
  <c r="BH7" i="7" a="1"/>
  <c r="BH7" i="7" s="1"/>
  <c r="BG7" i="7" a="1"/>
  <c r="BG7" i="7" s="1"/>
  <c r="BF7" i="7" a="1"/>
  <c r="BF7" i="7" s="1"/>
  <c r="BE7" i="7" a="1"/>
  <c r="BE7" i="7" s="1"/>
  <c r="BD7" i="7" a="1"/>
  <c r="BD7" i="7" s="1"/>
  <c r="BC7" i="7" a="1"/>
  <c r="BC7" i="7" s="1"/>
  <c r="BB7" i="7" a="1"/>
  <c r="BB7" i="7" s="1"/>
  <c r="BA7" i="7"/>
  <c r="BA7" i="7" a="1"/>
  <c r="AZ7" i="7" a="1"/>
  <c r="AZ7" i="7" s="1"/>
  <c r="AY7" i="7" a="1"/>
  <c r="AY7" i="7" s="1"/>
  <c r="AX7" i="7" a="1"/>
  <c r="AX7" i="7" s="1"/>
  <c r="AW7" i="7" a="1"/>
  <c r="AW7" i="7" s="1"/>
  <c r="AV7" i="7"/>
  <c r="AV7" i="7" a="1"/>
  <c r="AU7" i="7" a="1"/>
  <c r="AU7" i="7" s="1"/>
  <c r="AT7" i="7" a="1"/>
  <c r="AT7" i="7" s="1"/>
  <c r="AS7" i="7" a="1"/>
  <c r="AS7" i="7" s="1"/>
  <c r="AR7" i="7" a="1"/>
  <c r="AR7" i="7" s="1"/>
  <c r="AQ7" i="7" a="1"/>
  <c r="AQ7" i="7" s="1"/>
  <c r="AP7" i="7" a="1"/>
  <c r="AP7" i="7" s="1"/>
  <c r="AO7" i="7" a="1"/>
  <c r="AO7" i="7" s="1"/>
  <c r="AN7" i="7" a="1"/>
  <c r="AN7" i="7" s="1"/>
  <c r="AM7" i="7" a="1"/>
  <c r="AM7" i="7" s="1"/>
  <c r="AL7" i="7" a="1"/>
  <c r="AL7" i="7" s="1"/>
  <c r="AK7" i="7"/>
  <c r="AK7" i="7" a="1"/>
  <c r="AJ7" i="7" a="1"/>
  <c r="AJ7" i="7" s="1"/>
  <c r="AI7" i="7" a="1"/>
  <c r="AI7" i="7" s="1"/>
  <c r="AH7" i="7" a="1"/>
  <c r="AH7" i="7" s="1"/>
  <c r="AG7" i="7" a="1"/>
  <c r="AG7" i="7" s="1"/>
  <c r="AF7" i="7"/>
  <c r="AF7" i="7" a="1"/>
  <c r="AE7" i="7" a="1"/>
  <c r="AE7" i="7" s="1"/>
  <c r="AD7" i="7" a="1"/>
  <c r="AD7" i="7" s="1"/>
  <c r="AC7" i="7" a="1"/>
  <c r="AC7" i="7" s="1"/>
  <c r="AB7" i="7" a="1"/>
  <c r="AB7" i="7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 a="1"/>
  <c r="V7" i="7" s="1"/>
  <c r="U7" i="7"/>
  <c r="U7" i="7" a="1"/>
  <c r="T7" i="7" a="1"/>
  <c r="T7" i="7" s="1"/>
  <c r="S7" i="7" a="1"/>
  <c r="S7" i="7" s="1"/>
  <c r="R7" i="7" a="1"/>
  <c r="R7" i="7" s="1"/>
  <c r="Q7" i="7" a="1"/>
  <c r="Q7" i="7" s="1"/>
  <c r="P7" i="7"/>
  <c r="P7" i="7" a="1"/>
  <c r="O7" i="7" a="1"/>
  <c r="O7" i="7" s="1"/>
  <c r="N7" i="7" a="1"/>
  <c r="N7" i="7" s="1"/>
  <c r="M7" i="7" a="1"/>
  <c r="M7" i="7" s="1"/>
  <c r="L7" i="7" a="1"/>
  <c r="L7" i="7" s="1"/>
  <c r="K7" i="7" a="1"/>
  <c r="K7" i="7" s="1"/>
  <c r="J7" i="7" a="1"/>
  <c r="J7" i="7" s="1"/>
  <c r="I7" i="7" a="1"/>
  <c r="I7" i="7" s="1"/>
  <c r="H7" i="7" a="1"/>
  <c r="H7" i="7" s="1"/>
  <c r="G7" i="7" a="1"/>
  <c r="G7" i="7" s="1"/>
  <c r="F7" i="7" a="1"/>
  <c r="F7" i="7" s="1"/>
  <c r="E7" i="7"/>
  <c r="E7" i="7" a="1"/>
  <c r="EF6" i="7" a="1"/>
  <c r="EF6" i="7" s="1"/>
  <c r="EE6" i="7" a="1"/>
  <c r="EE6" i="7" s="1"/>
  <c r="ED6" i="7" a="1"/>
  <c r="ED6" i="7" s="1"/>
  <c r="EC6" i="7"/>
  <c r="EC6" i="7" a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W6" i="7" a="1"/>
  <c r="DW6" i="7" s="1"/>
  <c r="DV6" i="7" a="1"/>
  <c r="DV6" i="7" s="1"/>
  <c r="DU6" i="7" a="1"/>
  <c r="DU6" i="7" s="1"/>
  <c r="DT6" i="7" a="1"/>
  <c r="DT6" i="7" s="1"/>
  <c r="DS6" i="7" a="1"/>
  <c r="DS6" i="7" s="1"/>
  <c r="DR6" i="7"/>
  <c r="DR6" i="7" a="1"/>
  <c r="DQ6" i="7" a="1"/>
  <c r="DQ6" i="7" s="1"/>
  <c r="DP6" i="7" a="1"/>
  <c r="DP6" i="7" s="1"/>
  <c r="DO6" i="7" a="1"/>
  <c r="DO6" i="7" s="1"/>
  <c r="DN6" i="7" a="1"/>
  <c r="DN6" i="7" s="1"/>
  <c r="DM6" i="7"/>
  <c r="DM6" i="7" a="1"/>
  <c r="DL6" i="7" a="1"/>
  <c r="DL6" i="7" s="1"/>
  <c r="DK6" i="7" a="1"/>
  <c r="DK6" i="7" s="1"/>
  <c r="DJ6" i="7" a="1"/>
  <c r="DJ6" i="7" s="1"/>
  <c r="DI6" i="7" a="1"/>
  <c r="DI6" i="7" s="1"/>
  <c r="DH6" i="7" a="1"/>
  <c r="DH6" i="7" s="1"/>
  <c r="DG6" i="7" a="1"/>
  <c r="DG6" i="7" s="1"/>
  <c r="DF6" i="7" a="1"/>
  <c r="DF6" i="7" s="1"/>
  <c r="DE6" i="7" a="1"/>
  <c r="DE6" i="7" s="1"/>
  <c r="DD6" i="7" a="1"/>
  <c r="DD6" i="7" s="1"/>
  <c r="DC6" i="7" a="1"/>
  <c r="DC6" i="7" s="1"/>
  <c r="DB6" i="7"/>
  <c r="DB6" i="7" a="1"/>
  <c r="DA6" i="7" a="1"/>
  <c r="DA6" i="7" s="1"/>
  <c r="CZ6" i="7" a="1"/>
  <c r="CZ6" i="7" s="1"/>
  <c r="CY6" i="7" a="1"/>
  <c r="CY6" i="7" s="1"/>
  <c r="CX6" i="7" a="1"/>
  <c r="CX6" i="7" s="1"/>
  <c r="CW6" i="7"/>
  <c r="CW6" i="7" a="1"/>
  <c r="CV6" i="7" a="1"/>
  <c r="CV6" i="7" s="1"/>
  <c r="CU6" i="7" a="1"/>
  <c r="CU6" i="7" s="1"/>
  <c r="CT6" i="7" a="1"/>
  <c r="CT6" i="7" s="1"/>
  <c r="CS6" i="7" a="1"/>
  <c r="CS6" i="7" s="1"/>
  <c r="CR6" i="7" a="1"/>
  <c r="CR6" i="7" s="1"/>
  <c r="CQ6" i="7" a="1"/>
  <c r="CQ6" i="7" s="1"/>
  <c r="CP6" i="7" a="1"/>
  <c r="CP6" i="7" s="1"/>
  <c r="CO6" i="7" a="1"/>
  <c r="CO6" i="7" s="1"/>
  <c r="CN6" i="7" a="1"/>
  <c r="CN6" i="7" s="1"/>
  <c r="CM6" i="7" a="1"/>
  <c r="CM6" i="7" s="1"/>
  <c r="CL6" i="7"/>
  <c r="CL6" i="7" a="1"/>
  <c r="CK6" i="7" a="1"/>
  <c r="CK6" i="7" s="1"/>
  <c r="CJ6" i="7" a="1"/>
  <c r="CJ6" i="7" s="1"/>
  <c r="CI6" i="7" a="1"/>
  <c r="CI6" i="7" s="1"/>
  <c r="CH6" i="7" a="1"/>
  <c r="CH6" i="7" s="1"/>
  <c r="CG6" i="7"/>
  <c r="CG6" i="7" a="1"/>
  <c r="CF6" i="7" a="1"/>
  <c r="CF6" i="7" s="1"/>
  <c r="CE6" i="7" a="1"/>
  <c r="CE6" i="7" s="1"/>
  <c r="CD6" i="7" a="1"/>
  <c r="CD6" i="7" s="1"/>
  <c r="CC6" i="7" a="1"/>
  <c r="CC6" i="7" s="1"/>
  <c r="CB6" i="7" a="1"/>
  <c r="CB6" i="7" s="1"/>
  <c r="CA6" i="7" a="1"/>
  <c r="CA6" i="7" s="1"/>
  <c r="BZ6" i="7" a="1"/>
  <c r="BZ6" i="7" s="1"/>
  <c r="BY6" i="7" a="1"/>
  <c r="BY6" i="7" s="1"/>
  <c r="BX6" i="7" a="1"/>
  <c r="BX6" i="7" s="1"/>
  <c r="BW6" i="7" a="1"/>
  <c r="BW6" i="7" s="1"/>
  <c r="BV6" i="7"/>
  <c r="BV6" i="7" a="1"/>
  <c r="BU6" i="7" a="1"/>
  <c r="BU6" i="7" s="1"/>
  <c r="BT6" i="7" a="1"/>
  <c r="BT6" i="7" s="1"/>
  <c r="BS6" i="7" a="1"/>
  <c r="BS6" i="7" s="1"/>
  <c r="BR6" i="7" a="1"/>
  <c r="BR6" i="7" s="1"/>
  <c r="BQ6" i="7"/>
  <c r="BQ6" i="7" a="1"/>
  <c r="BP6" i="7" a="1"/>
  <c r="BP6" i="7" s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J6" i="7" a="1"/>
  <c r="BJ6" i="7" s="1"/>
  <c r="BI6" i="7" a="1"/>
  <c r="BI6" i="7" s="1"/>
  <c r="BH6" i="7" a="1"/>
  <c r="BH6" i="7" s="1"/>
  <c r="BG6" i="7" a="1"/>
  <c r="BG6" i="7" s="1"/>
  <c r="BF6" i="7"/>
  <c r="BF6" i="7" a="1"/>
  <c r="BE6" i="7" a="1"/>
  <c r="BE6" i="7" s="1"/>
  <c r="BD6" i="7" a="1"/>
  <c r="BD6" i="7" s="1"/>
  <c r="BC6" i="7" a="1"/>
  <c r="BC6" i="7" s="1"/>
  <c r="BB6" i="7" a="1"/>
  <c r="BB6" i="7" s="1"/>
  <c r="BA6" i="7"/>
  <c r="BA6" i="7" a="1"/>
  <c r="AZ6" i="7" a="1"/>
  <c r="AZ6" i="7" s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T6" i="7" a="1"/>
  <c r="AT6" i="7" s="1"/>
  <c r="AS6" i="7" a="1"/>
  <c r="AS6" i="7" s="1"/>
  <c r="AR6" i="7" a="1"/>
  <c r="AR6" i="7" s="1"/>
  <c r="AQ6" i="7" a="1"/>
  <c r="AQ6" i="7" s="1"/>
  <c r="AP6" i="7"/>
  <c r="AP6" i="7" a="1"/>
  <c r="AO6" i="7" a="1"/>
  <c r="AO6" i="7" s="1"/>
  <c r="AN6" i="7" a="1"/>
  <c r="AN6" i="7" s="1"/>
  <c r="AM6" i="7" a="1"/>
  <c r="AM6" i="7" s="1"/>
  <c r="AL6" i="7" a="1"/>
  <c r="AL6" i="7" s="1"/>
  <c r="AK6" i="7"/>
  <c r="AK6" i="7" a="1"/>
  <c r="AJ6" i="7" a="1"/>
  <c r="AJ6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 a="1"/>
  <c r="AD6" i="7" s="1"/>
  <c r="AC6" i="7" a="1"/>
  <c r="AC6" i="7" s="1"/>
  <c r="AB6" i="7" a="1"/>
  <c r="AB6" i="7" s="1"/>
  <c r="AA6" i="7" a="1"/>
  <c r="AA6" i="7" s="1"/>
  <c r="Z6" i="7"/>
  <c r="Z6" i="7" a="1"/>
  <c r="Y6" i="7" a="1"/>
  <c r="Y6" i="7" s="1"/>
  <c r="X6" i="7" a="1"/>
  <c r="X6" i="7" s="1"/>
  <c r="W6" i="7" a="1"/>
  <c r="W6" i="7" s="1"/>
  <c r="V6" i="7" a="1"/>
  <c r="V6" i="7" s="1"/>
  <c r="U6" i="7"/>
  <c r="U6" i="7" a="1"/>
  <c r="T6" i="7" a="1"/>
  <c r="T6" i="7" s="1"/>
  <c r="S6" i="7" a="1"/>
  <c r="S6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M6" i="7" a="1"/>
  <c r="M6" i="7" s="1"/>
  <c r="L6" i="7" a="1"/>
  <c r="L6" i="7" s="1"/>
  <c r="K6" i="7" a="1"/>
  <c r="K6" i="7" s="1"/>
  <c r="J6" i="7"/>
  <c r="J6" i="7" a="1"/>
  <c r="I6" i="7" a="1"/>
  <c r="I6" i="7" s="1"/>
  <c r="H6" i="7" a="1"/>
  <c r="H6" i="7" s="1"/>
  <c r="G6" i="7" a="1"/>
  <c r="G6" i="7" s="1"/>
  <c r="F6" i="7" a="1"/>
  <c r="F6" i="7" s="1"/>
  <c r="E6" i="7"/>
  <c r="E6" i="7" a="1"/>
  <c r="EF5" i="7" a="1"/>
  <c r="EF5" i="7" s="1"/>
  <c r="EE5" i="7" a="1"/>
  <c r="EE5" i="7" s="1"/>
  <c r="ED5" i="7" a="1"/>
  <c r="ED5" i="7" s="1"/>
  <c r="EC5" i="7" a="1"/>
  <c r="EC5" i="7" s="1"/>
  <c r="EB5" i="7" a="1"/>
  <c r="EB5" i="7" s="1"/>
  <c r="EA5" i="7" a="1"/>
  <c r="EA5" i="7" s="1"/>
  <c r="DZ5" i="7" a="1"/>
  <c r="DZ5" i="7" s="1"/>
  <c r="DY5" i="7" a="1"/>
  <c r="DY5" i="7" s="1"/>
  <c r="DX5" i="7" a="1"/>
  <c r="DX5" i="7" s="1"/>
  <c r="DW5" i="7"/>
  <c r="DW5" i="7" a="1"/>
  <c r="DV5" i="7" a="1"/>
  <c r="DV5" i="7" s="1"/>
  <c r="DU5" i="7" a="1"/>
  <c r="DU5" i="7" s="1"/>
  <c r="DT5" i="7" a="1"/>
  <c r="DT5" i="7" s="1"/>
  <c r="DS5" i="7" a="1"/>
  <c r="DS5" i="7" s="1"/>
  <c r="DR5" i="7"/>
  <c r="DR5" i="7" a="1"/>
  <c r="DQ5" i="7" a="1"/>
  <c r="DQ5" i="7" s="1"/>
  <c r="DP5" i="7" a="1"/>
  <c r="DP5" i="7" s="1"/>
  <c r="DO5" i="7" a="1"/>
  <c r="DO5" i="7" s="1"/>
  <c r="DN5" i="7" a="1"/>
  <c r="DN5" i="7" s="1"/>
  <c r="DM5" i="7" a="1"/>
  <c r="DM5" i="7" s="1"/>
  <c r="DL5" i="7" a="1"/>
  <c r="DL5" i="7" s="1"/>
  <c r="DK5" i="7" a="1"/>
  <c r="DK5" i="7" s="1"/>
  <c r="DJ5" i="7" a="1"/>
  <c r="DJ5" i="7" s="1"/>
  <c r="DI5" i="7" a="1"/>
  <c r="DI5" i="7" s="1"/>
  <c r="DH5" i="7" a="1"/>
  <c r="DH5" i="7" s="1"/>
  <c r="DG5" i="7"/>
  <c r="DG5" i="7" a="1"/>
  <c r="DF5" i="7" a="1"/>
  <c r="DF5" i="7" s="1"/>
  <c r="DE5" i="7" a="1"/>
  <c r="DE5" i="7" s="1"/>
  <c r="DD5" i="7" a="1"/>
  <c r="DD5" i="7" s="1"/>
  <c r="DC5" i="7" a="1"/>
  <c r="DC5" i="7" s="1"/>
  <c r="DB5" i="7"/>
  <c r="DB5" i="7" a="1"/>
  <c r="DA5" i="7" a="1"/>
  <c r="DA5" i="7" s="1"/>
  <c r="CZ5" i="7" a="1"/>
  <c r="CZ5" i="7" s="1"/>
  <c r="CY5" i="7" a="1"/>
  <c r="CY5" i="7" s="1"/>
  <c r="CX5" i="7" a="1"/>
  <c r="CX5" i="7" s="1"/>
  <c r="CW5" i="7" a="1"/>
  <c r="CW5" i="7" s="1"/>
  <c r="CV5" i="7" a="1"/>
  <c r="CV5" i="7" s="1"/>
  <c r="CU5" i="7" a="1"/>
  <c r="CU5" i="7" s="1"/>
  <c r="CT5" i="7" a="1"/>
  <c r="CT5" i="7" s="1"/>
  <c r="CS5" i="7" a="1"/>
  <c r="CS5" i="7" s="1"/>
  <c r="CR5" i="7" a="1"/>
  <c r="CR5" i="7" s="1"/>
  <c r="CQ5" i="7"/>
  <c r="CQ5" i="7" a="1"/>
  <c r="CP5" i="7" a="1"/>
  <c r="CP5" i="7" s="1"/>
  <c r="CO5" i="7" a="1"/>
  <c r="CO5" i="7" s="1"/>
  <c r="CN5" i="7" a="1"/>
  <c r="CN5" i="7" s="1"/>
  <c r="CM5" i="7" a="1"/>
  <c r="CM5" i="7" s="1"/>
  <c r="CL5" i="7" a="1"/>
  <c r="CL5" i="7" s="1"/>
  <c r="CK5" i="7" a="1"/>
  <c r="CK5" i="7" s="1"/>
  <c r="CJ5" i="7" a="1"/>
  <c r="CJ5" i="7" s="1"/>
  <c r="CI5" i="7" a="1"/>
  <c r="CI5" i="7" s="1"/>
  <c r="CH5" i="7" a="1"/>
  <c r="CH5" i="7" s="1"/>
  <c r="CG5" i="7" a="1"/>
  <c r="CG5" i="7" s="1"/>
  <c r="CF5" i="7" a="1"/>
  <c r="CF5" i="7" s="1"/>
  <c r="CE5" i="7" a="1"/>
  <c r="CE5" i="7" s="1"/>
  <c r="CD5" i="7" a="1"/>
  <c r="CD5" i="7" s="1"/>
  <c r="CC5" i="7" a="1"/>
  <c r="CC5" i="7" s="1"/>
  <c r="CB5" i="7" a="1"/>
  <c r="CB5" i="7" s="1"/>
  <c r="CA5" i="7"/>
  <c r="CA5" i="7" a="1"/>
  <c r="BZ5" i="7" a="1"/>
  <c r="BZ5" i="7" s="1"/>
  <c r="BY5" i="7" a="1"/>
  <c r="BY5" i="7" s="1"/>
  <c r="BX5" i="7" a="1"/>
  <c r="BX5" i="7" s="1"/>
  <c r="BW5" i="7" a="1"/>
  <c r="BW5" i="7" s="1"/>
  <c r="BV5" i="7" a="1"/>
  <c r="BV5" i="7" s="1"/>
  <c r="BU5" i="7" a="1"/>
  <c r="BU5" i="7" s="1"/>
  <c r="BT5" i="7" a="1"/>
  <c r="BT5" i="7" s="1"/>
  <c r="BS5" i="7" a="1"/>
  <c r="BS5" i="7" s="1"/>
  <c r="BR5" i="7" a="1"/>
  <c r="BR5" i="7" s="1"/>
  <c r="BQ5" i="7" a="1"/>
  <c r="BQ5" i="7" s="1"/>
  <c r="BP5" i="7" a="1"/>
  <c r="BP5" i="7" s="1"/>
  <c r="BO5" i="7" a="1"/>
  <c r="BO5" i="7" s="1"/>
  <c r="BN5" i="7" a="1"/>
  <c r="BN5" i="7" s="1"/>
  <c r="BM5" i="7" a="1"/>
  <c r="BM5" i="7" s="1"/>
  <c r="BL5" i="7" a="1"/>
  <c r="BL5" i="7" s="1"/>
  <c r="BK5" i="7" a="1"/>
  <c r="BK5" i="7" s="1"/>
  <c r="BJ5" i="7" a="1"/>
  <c r="BJ5" i="7" s="1"/>
  <c r="BI5" i="7" a="1"/>
  <c r="BI5" i="7" s="1"/>
  <c r="BH5" i="7" a="1"/>
  <c r="BH5" i="7" s="1"/>
  <c r="BG5" i="7" a="1"/>
  <c r="BG5" i="7" s="1"/>
  <c r="BF5" i="7" a="1"/>
  <c r="BF5" i="7" s="1"/>
  <c r="BE5" i="7" a="1"/>
  <c r="BE5" i="7" s="1"/>
  <c r="BD5" i="7" a="1"/>
  <c r="BD5" i="7" s="1"/>
  <c r="BC5" i="7" a="1"/>
  <c r="BC5" i="7" s="1"/>
  <c r="BB5" i="7" a="1"/>
  <c r="BB5" i="7" s="1"/>
  <c r="BA5" i="7" a="1"/>
  <c r="BA5" i="7" s="1"/>
  <c r="AZ5" i="7" a="1"/>
  <c r="AZ5" i="7" s="1"/>
  <c r="AY5" i="7" a="1"/>
  <c r="AY5" i="7" s="1"/>
  <c r="AX5" i="7" a="1"/>
  <c r="AX5" i="7" s="1"/>
  <c r="AW5" i="7" a="1"/>
  <c r="AW5" i="7" s="1"/>
  <c r="AV5" i="7" a="1"/>
  <c r="AV5" i="7" s="1"/>
  <c r="AU5" i="7" a="1"/>
  <c r="AU5" i="7" s="1"/>
  <c r="AT5" i="7" a="1"/>
  <c r="AT5" i="7" s="1"/>
  <c r="AS5" i="7" a="1"/>
  <c r="AS5" i="7" s="1"/>
  <c r="AR5" i="7" a="1"/>
  <c r="AR5" i="7" s="1"/>
  <c r="AQ5" i="7" a="1"/>
  <c r="AQ5" i="7" s="1"/>
  <c r="AP5" i="7" a="1"/>
  <c r="AP5" i="7" s="1"/>
  <c r="AO5" i="7" a="1"/>
  <c r="AO5" i="7" s="1"/>
  <c r="AN5" i="7" a="1"/>
  <c r="AN5" i="7" s="1"/>
  <c r="AM5" i="7" a="1"/>
  <c r="AM5" i="7" s="1"/>
  <c r="AL5" i="7" a="1"/>
  <c r="AL5" i="7" s="1"/>
  <c r="AK5" i="7" a="1"/>
  <c r="AK5" i="7" s="1"/>
  <c r="AJ5" i="7" a="1"/>
  <c r="AJ5" i="7" s="1"/>
  <c r="AI5" i="7" a="1"/>
  <c r="AI5" i="7" s="1"/>
  <c r="AH5" i="7" a="1"/>
  <c r="AH5" i="7" s="1"/>
  <c r="AG5" i="7" a="1"/>
  <c r="AG5" i="7" s="1"/>
  <c r="AF5" i="7" a="1"/>
  <c r="AF5" i="7" s="1"/>
  <c r="AE5" i="7" a="1"/>
  <c r="AE5" i="7" s="1"/>
  <c r="AD5" i="7" a="1"/>
  <c r="AD5" i="7" s="1"/>
  <c r="AC5" i="7" a="1"/>
  <c r="AC5" i="7" s="1"/>
  <c r="AB5" i="7" a="1"/>
  <c r="AB5" i="7" s="1"/>
  <c r="AA5" i="7" a="1"/>
  <c r="AA5" i="7" s="1"/>
  <c r="Z5" i="7" a="1"/>
  <c r="Z5" i="7" s="1"/>
  <c r="Y5" i="7" a="1"/>
  <c r="Y5" i="7" s="1"/>
  <c r="X5" i="7" a="1"/>
  <c r="X5" i="7" s="1"/>
  <c r="W5" i="7" a="1"/>
  <c r="W5" i="7" s="1"/>
  <c r="V5" i="7" a="1"/>
  <c r="V5" i="7" s="1"/>
  <c r="U5" i="7" a="1"/>
  <c r="U5" i="7" s="1"/>
  <c r="T5" i="7" a="1"/>
  <c r="T5" i="7" s="1"/>
  <c r="S5" i="7" a="1"/>
  <c r="S5" i="7" s="1"/>
  <c r="R5" i="7" a="1"/>
  <c r="R5" i="7" s="1"/>
  <c r="Q5" i="7" a="1"/>
  <c r="Q5" i="7" s="1"/>
  <c r="P5" i="7" a="1"/>
  <c r="P5" i="7" s="1"/>
  <c r="O5" i="7" a="1"/>
  <c r="O5" i="7" s="1"/>
  <c r="N5" i="7" a="1"/>
  <c r="N5" i="7" s="1"/>
  <c r="M5" i="7" a="1"/>
  <c r="M5" i="7" s="1"/>
  <c r="L5" i="7" a="1"/>
  <c r="L5" i="7" s="1"/>
  <c r="K5" i="7" a="1"/>
  <c r="K5" i="7" s="1"/>
  <c r="J5" i="7" a="1"/>
  <c r="J5" i="7" s="1"/>
  <c r="I5" i="7" a="1"/>
  <c r="I5" i="7" s="1"/>
  <c r="H5" i="7" a="1"/>
  <c r="H5" i="7" s="1"/>
  <c r="G5" i="7" a="1"/>
  <c r="G5" i="7" s="1"/>
  <c r="F5" i="7" a="1"/>
  <c r="F5" i="7" s="1"/>
  <c r="E5" i="7" a="1"/>
  <c r="E5" i="7" s="1"/>
  <c r="D6" i="7" a="1"/>
  <c r="D6" i="7" s="1"/>
  <c r="D7" i="7" a="1"/>
  <c r="D7" i="7" s="1"/>
  <c r="D8" i="7" a="1"/>
  <c r="D8" i="7" s="1"/>
  <c r="D9" i="7" a="1"/>
  <c r="D9" i="7"/>
  <c r="D10" i="7" a="1"/>
  <c r="D10" i="7" s="1"/>
  <c r="D11" i="7" a="1"/>
  <c r="D11" i="7" s="1"/>
  <c r="D12" i="7" a="1"/>
  <c r="D12" i="7" s="1"/>
  <c r="D13" i="7" a="1"/>
  <c r="D13" i="7"/>
  <c r="D14" i="7" a="1"/>
  <c r="D14" i="7" s="1"/>
  <c r="D15" i="7" a="1"/>
  <c r="D15" i="7" s="1"/>
  <c r="D16" i="7" a="1"/>
  <c r="D16" i="7" s="1"/>
  <c r="D17" i="7" a="1"/>
  <c r="D17" i="7"/>
  <c r="D18" i="7" a="1"/>
  <c r="D18" i="7" s="1"/>
  <c r="D5" i="7" a="1"/>
  <c r="D5" i="7" s="1"/>
  <c r="D25" i="4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C25" i="4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H25" i="5"/>
  <c r="EG25" i="5"/>
  <c r="EI25" i="5" s="1"/>
  <c r="EH24" i="5"/>
  <c r="EG24" i="5"/>
  <c r="EI24" i="5" s="1"/>
  <c r="EH23" i="5"/>
  <c r="EG23" i="5"/>
  <c r="EH22" i="5"/>
  <c r="EG22" i="5"/>
  <c r="EI22" i="5" s="1"/>
  <c r="EH21" i="5"/>
  <c r="EG21" i="5"/>
  <c r="EH20" i="5"/>
  <c r="EG20" i="5"/>
  <c r="EH19" i="5"/>
  <c r="EG19" i="5"/>
  <c r="EI19" i="5" s="1"/>
  <c r="EH18" i="5"/>
  <c r="EI18" i="5" s="1"/>
  <c r="EG18" i="5"/>
  <c r="EH17" i="5"/>
  <c r="EG17" i="5"/>
  <c r="EI17" i="5" s="1"/>
  <c r="EI16" i="5"/>
  <c r="EH16" i="5"/>
  <c r="EG16" i="5"/>
  <c r="EH15" i="5"/>
  <c r="EG15" i="5"/>
  <c r="EI15" i="5" s="1"/>
  <c r="EH14" i="5"/>
  <c r="EG14" i="5"/>
  <c r="EH13" i="5"/>
  <c r="EG13" i="5"/>
  <c r="EH12" i="5"/>
  <c r="EI12" i="5" s="1"/>
  <c r="EG12" i="5"/>
  <c r="DW8" i="5"/>
  <c r="DP8" i="5"/>
  <c r="BK8" i="5"/>
  <c r="BD8" i="5"/>
  <c r="DV7" i="5"/>
  <c r="DE7" i="5"/>
  <c r="EF6" i="5" a="1"/>
  <c r="EF6" i="5" s="1"/>
  <c r="EE6" i="5" a="1"/>
  <c r="EE6" i="5" s="1"/>
  <c r="EE7" i="5" s="1"/>
  <c r="ED6" i="5" a="1"/>
  <c r="ED6" i="5" s="1"/>
  <c r="ED8" i="5" s="1"/>
  <c r="EC6" i="5" a="1"/>
  <c r="EC6" i="5" s="1"/>
  <c r="EC8" i="5" s="1"/>
  <c r="EB6" i="5" a="1"/>
  <c r="EB6" i="5" s="1"/>
  <c r="EA6" i="5" a="1"/>
  <c r="EA6" i="5" s="1"/>
  <c r="DZ6" i="5" a="1"/>
  <c r="DZ6" i="5"/>
  <c r="DY6" i="5" a="1"/>
  <c r="DY6" i="5" s="1"/>
  <c r="DX6" i="5" a="1"/>
  <c r="DX6" i="5" s="1"/>
  <c r="DX7" i="5" s="1"/>
  <c r="DW6" i="5" a="1"/>
  <c r="DW6" i="5" s="1"/>
  <c r="DW7" i="5" s="1"/>
  <c r="DV6" i="5" a="1"/>
  <c r="DV6" i="5"/>
  <c r="DV8" i="5" s="1"/>
  <c r="DU6" i="5" a="1"/>
  <c r="DU6" i="5" s="1"/>
  <c r="DT6" i="5" a="1"/>
  <c r="DT6" i="5" s="1"/>
  <c r="DS6" i="5" a="1"/>
  <c r="DS6" i="5" s="1"/>
  <c r="DR6" i="5" a="1"/>
  <c r="DR6" i="5"/>
  <c r="DQ6" i="5" a="1"/>
  <c r="DQ6" i="5" s="1"/>
  <c r="DP6" i="5" a="1"/>
  <c r="DP6" i="5" s="1"/>
  <c r="DP7" i="5" s="1"/>
  <c r="DO6" i="5" a="1"/>
  <c r="DO6" i="5" s="1"/>
  <c r="DN6" i="5" a="1"/>
  <c r="DN6" i="5" s="1"/>
  <c r="DM6" i="5" a="1"/>
  <c r="DM6" i="5" s="1"/>
  <c r="DL6" i="5" a="1"/>
  <c r="DL6" i="5" s="1"/>
  <c r="DK6" i="5" a="1"/>
  <c r="DK6" i="5" s="1"/>
  <c r="DJ6" i="5" a="1"/>
  <c r="DJ6" i="5"/>
  <c r="DI6" i="5" a="1"/>
  <c r="DI6" i="5" s="1"/>
  <c r="DH6" i="5" a="1"/>
  <c r="DH6" i="5" s="1"/>
  <c r="DG6" i="5" a="1"/>
  <c r="DG6" i="5" s="1"/>
  <c r="DF6" i="5" a="1"/>
  <c r="DF6" i="5" s="1"/>
  <c r="DE6" i="5" a="1"/>
  <c r="DE6" i="5" s="1"/>
  <c r="DE8" i="5" s="1"/>
  <c r="DD6" i="5" a="1"/>
  <c r="DD6" i="5" s="1"/>
  <c r="DC6" i="5" a="1"/>
  <c r="DC6" i="5" s="1"/>
  <c r="DB6" i="5" a="1"/>
  <c r="DB6" i="5"/>
  <c r="DA6" i="5" a="1"/>
  <c r="DA6" i="5" s="1"/>
  <c r="CZ6" i="5" a="1"/>
  <c r="CZ6" i="5" s="1"/>
  <c r="CY6" i="5" a="1"/>
  <c r="CY6" i="5" s="1"/>
  <c r="CY7" i="5" s="1"/>
  <c r="CX6" i="5" a="1"/>
  <c r="CX6" i="5" s="1"/>
  <c r="CW6" i="5" a="1"/>
  <c r="CW6" i="5" s="1"/>
  <c r="CW8" i="5" s="1"/>
  <c r="CV6" i="5" a="1"/>
  <c r="CV6" i="5" s="1"/>
  <c r="CU6" i="5" a="1"/>
  <c r="CU6" i="5" s="1"/>
  <c r="CT6" i="5" a="1"/>
  <c r="CT6" i="5"/>
  <c r="CS6" i="5" a="1"/>
  <c r="CS6" i="5" s="1"/>
  <c r="CR6" i="5" a="1"/>
  <c r="CR6" i="5" s="1"/>
  <c r="CR7" i="5" s="1"/>
  <c r="CQ6" i="5" a="1"/>
  <c r="CQ6" i="5" s="1"/>
  <c r="CQ7" i="5" s="1"/>
  <c r="CP6" i="5" a="1"/>
  <c r="CP6" i="5"/>
  <c r="CP8" i="5" s="1"/>
  <c r="CO6" i="5" a="1"/>
  <c r="CO6" i="5" s="1"/>
  <c r="CN6" i="5" a="1"/>
  <c r="CN6" i="5" s="1"/>
  <c r="CM6" i="5" a="1"/>
  <c r="CM6" i="5" s="1"/>
  <c r="CL6" i="5" a="1"/>
  <c r="CL6" i="5"/>
  <c r="CK6" i="5" a="1"/>
  <c r="CK6" i="5" s="1"/>
  <c r="CJ6" i="5" a="1"/>
  <c r="CJ6" i="5" s="1"/>
  <c r="CJ7" i="5" s="1"/>
  <c r="CI6" i="5" a="1"/>
  <c r="CI6" i="5" s="1"/>
  <c r="CH6" i="5" a="1"/>
  <c r="CH6" i="5"/>
  <c r="CG6" i="5" a="1"/>
  <c r="CG6" i="5" s="1"/>
  <c r="CF6" i="5" a="1"/>
  <c r="CF6" i="5" s="1"/>
  <c r="CE6" i="5" a="1"/>
  <c r="CE6" i="5" s="1"/>
  <c r="CD6" i="5" a="1"/>
  <c r="CD6" i="5"/>
  <c r="CC6" i="5" a="1"/>
  <c r="CC6" i="5" s="1"/>
  <c r="CB6" i="5" a="1"/>
  <c r="CB6" i="5" s="1"/>
  <c r="CA6" i="5" a="1"/>
  <c r="CA6" i="5" s="1"/>
  <c r="BZ6" i="5" a="1"/>
  <c r="BZ6" i="5" s="1"/>
  <c r="BY6" i="5" a="1"/>
  <c r="BY6" i="5" s="1"/>
  <c r="BY8" i="5" s="1"/>
  <c r="BX6" i="5" a="1"/>
  <c r="BX6" i="5" s="1"/>
  <c r="BW6" i="5" a="1"/>
  <c r="BW6" i="5" s="1"/>
  <c r="BV6" i="5" a="1"/>
  <c r="BV6" i="5" s="1"/>
  <c r="BU6" i="5" a="1"/>
  <c r="BU6" i="5" s="1"/>
  <c r="BT6" i="5" a="1"/>
  <c r="BT6" i="5" s="1"/>
  <c r="BS6" i="5" a="1"/>
  <c r="BS6" i="5" s="1"/>
  <c r="BS7" i="5" s="1"/>
  <c r="BR6" i="5" a="1"/>
  <c r="BR6" i="5" s="1"/>
  <c r="BR8" i="5" s="1"/>
  <c r="BQ6" i="5" a="1"/>
  <c r="BQ6" i="5" s="1"/>
  <c r="BQ8" i="5" s="1"/>
  <c r="BP6" i="5" a="1"/>
  <c r="BP6" i="5" s="1"/>
  <c r="BO6" i="5" a="1"/>
  <c r="BO6" i="5" s="1"/>
  <c r="BN6" i="5" a="1"/>
  <c r="BN6" i="5" s="1"/>
  <c r="BM6" i="5" a="1"/>
  <c r="BM6" i="5" s="1"/>
  <c r="BL6" i="5" a="1"/>
  <c r="BL6" i="5" s="1"/>
  <c r="BL7" i="5" s="1"/>
  <c r="BK6" i="5" a="1"/>
  <c r="BK6" i="5" s="1"/>
  <c r="BK7" i="5" s="1"/>
  <c r="BJ6" i="5" a="1"/>
  <c r="BJ6" i="5"/>
  <c r="BI6" i="5" a="1"/>
  <c r="BI6" i="5" s="1"/>
  <c r="BH6" i="5" a="1"/>
  <c r="BH6" i="5" s="1"/>
  <c r="BG6" i="5" a="1"/>
  <c r="BG6" i="5" s="1"/>
  <c r="BF6" i="5" a="1"/>
  <c r="BF6" i="5"/>
  <c r="BE6" i="5" a="1"/>
  <c r="BE6" i="5" s="1"/>
  <c r="BD6" i="5" a="1"/>
  <c r="BD6" i="5" s="1"/>
  <c r="BD7" i="5" s="1"/>
  <c r="BC6" i="5" a="1"/>
  <c r="BC6" i="5" s="1"/>
  <c r="BB6" i="5" a="1"/>
  <c r="BB6" i="5" s="1"/>
  <c r="BA6" i="5" a="1"/>
  <c r="BA6" i="5" s="1"/>
  <c r="AZ6" i="5" a="1"/>
  <c r="AZ6" i="5" s="1"/>
  <c r="AY6" i="5" a="1"/>
  <c r="AY6" i="5" s="1"/>
  <c r="AX6" i="5" a="1"/>
  <c r="AX6" i="5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S8" i="5" s="1"/>
  <c r="AR6" i="5" a="1"/>
  <c r="AR6" i="5" s="1"/>
  <c r="AQ6" i="5" a="1"/>
  <c r="AQ6" i="5" s="1"/>
  <c r="AP6" i="5" a="1"/>
  <c r="AP6" i="5"/>
  <c r="AO6" i="5" a="1"/>
  <c r="AO6" i="5" s="1"/>
  <c r="AN6" i="5" a="1"/>
  <c r="AN6" i="5" s="1"/>
  <c r="AM6" i="5" a="1"/>
  <c r="AM6" i="5" s="1"/>
  <c r="AM7" i="5" s="1"/>
  <c r="AL6" i="5" a="1"/>
  <c r="AL6" i="5" s="1"/>
  <c r="AL8" i="5" s="1"/>
  <c r="AK6" i="5" a="1"/>
  <c r="AK6" i="5" s="1"/>
  <c r="AK8" i="5" s="1"/>
  <c r="AJ6" i="5" a="1"/>
  <c r="AJ6" i="5" s="1"/>
  <c r="AI6" i="5" a="1"/>
  <c r="AI6" i="5" s="1"/>
  <c r="AH6" i="5" a="1"/>
  <c r="AH6" i="5" s="1"/>
  <c r="AG6" i="5" a="1"/>
  <c r="AG6" i="5" s="1"/>
  <c r="AF6" i="5" a="1"/>
  <c r="AF6" i="5" s="1"/>
  <c r="AF7" i="5" s="1"/>
  <c r="AE6" i="5" a="1"/>
  <c r="AE6" i="5" s="1"/>
  <c r="AE7" i="5" s="1"/>
  <c r="AD6" i="5" a="1"/>
  <c r="AD6" i="5"/>
  <c r="AD8" i="5" s="1"/>
  <c r="AC6" i="5" a="1"/>
  <c r="AC6" i="5" s="1"/>
  <c r="AB6" i="5" a="1"/>
  <c r="AB6" i="5" s="1"/>
  <c r="AA6" i="5" a="1"/>
  <c r="AA6" i="5" s="1"/>
  <c r="Z6" i="5" a="1"/>
  <c r="Z6" i="5"/>
  <c r="Y6" i="5" a="1"/>
  <c r="Y6" i="5" s="1"/>
  <c r="X6" i="5" a="1"/>
  <c r="X6" i="5" s="1"/>
  <c r="X7" i="5" s="1"/>
  <c r="W6" i="5" a="1"/>
  <c r="W6" i="5" s="1"/>
  <c r="V6" i="5" a="1"/>
  <c r="V6" i="5"/>
  <c r="U6" i="5" a="1"/>
  <c r="U6" i="5" s="1"/>
  <c r="T6" i="5" a="1"/>
  <c r="T6" i="5" s="1"/>
  <c r="S6" i="5" a="1"/>
  <c r="S6" i="5" s="1"/>
  <c r="R6" i="5" a="1"/>
  <c r="R6" i="5"/>
  <c r="Q6" i="5" a="1"/>
  <c r="Q6" i="5"/>
  <c r="P6" i="5" a="1"/>
  <c r="P6" i="5" s="1"/>
  <c r="O6" i="5" a="1"/>
  <c r="O6" i="5" s="1"/>
  <c r="N6" i="5" a="1"/>
  <c r="N6" i="5"/>
  <c r="N8" i="5" s="1"/>
  <c r="M6" i="5" a="1"/>
  <c r="M6" i="5"/>
  <c r="M8" i="5" s="1"/>
  <c r="L6" i="5" a="1"/>
  <c r="L6" i="5" s="1"/>
  <c r="K6" i="5" a="1"/>
  <c r="K6" i="5" s="1"/>
  <c r="J6" i="5" a="1"/>
  <c r="J6" i="5"/>
  <c r="I6" i="5" a="1"/>
  <c r="I6" i="5"/>
  <c r="H6" i="5" a="1"/>
  <c r="H6" i="5" s="1"/>
  <c r="H7" i="5" s="1"/>
  <c r="G6" i="5" a="1"/>
  <c r="G6" i="5" s="1"/>
  <c r="G7" i="5" s="1"/>
  <c r="F6" i="5" a="1"/>
  <c r="F6" i="5"/>
  <c r="E6" i="5" a="1"/>
  <c r="E6" i="5" s="1"/>
  <c r="E8" i="5" s="1"/>
  <c r="D6" i="5" a="1"/>
  <c r="D6" i="5" s="1"/>
  <c r="C6" i="5" a="1"/>
  <c r="C6" i="5" s="1"/>
  <c r="E24" i="4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C24" i="4"/>
  <c r="D24" i="4" s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F23" i="4"/>
  <c r="G23" i="4" s="1"/>
  <c r="C23" i="4"/>
  <c r="D23" i="4" s="1"/>
  <c r="E23" i="4" s="1"/>
  <c r="H22" i="4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D22" i="4"/>
  <c r="E22" i="4" s="1"/>
  <c r="F22" i="4" s="1"/>
  <c r="G22" i="4" s="1"/>
  <c r="C22" i="4"/>
  <c r="Q21" i="4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C21" i="4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CV20" i="4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J20" i="4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D20" i="4"/>
  <c r="E20" i="4" s="1"/>
  <c r="F20" i="4" s="1"/>
  <c r="G20" i="4" s="1"/>
  <c r="H20" i="4" s="1"/>
  <c r="I20" i="4" s="1"/>
  <c r="C20" i="4"/>
  <c r="AO19" i="4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C19" i="4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D18" i="4"/>
  <c r="C18" i="4"/>
  <c r="AC17" i="4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17" i="4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C17" i="4"/>
  <c r="D17" i="4" s="1"/>
  <c r="O16" i="4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G16" i="4"/>
  <c r="H16" i="4" s="1"/>
  <c r="I16" i="4" s="1"/>
  <c r="J16" i="4" s="1"/>
  <c r="K16" i="4" s="1"/>
  <c r="L16" i="4" s="1"/>
  <c r="M16" i="4" s="1"/>
  <c r="N16" i="4" s="1"/>
  <c r="C16" i="4"/>
  <c r="D16" i="4" s="1"/>
  <c r="E16" i="4" s="1"/>
  <c r="F16" i="4" s="1"/>
  <c r="H15" i="4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C15" i="4"/>
  <c r="D15" i="4" s="1"/>
  <c r="E15" i="4" s="1"/>
  <c r="F15" i="4" s="1"/>
  <c r="G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C14" i="4"/>
  <c r="CC13" i="4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AK13" i="4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D13" i="4"/>
  <c r="C13" i="4"/>
  <c r="H12" i="4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D12" i="4"/>
  <c r="E12" i="4" s="1"/>
  <c r="F12" i="4" s="1"/>
  <c r="G12" i="4" s="1"/>
  <c r="C12" i="4"/>
  <c r="DG8" i="4"/>
  <c r="BK8" i="4"/>
  <c r="N8" i="4"/>
  <c r="DH7" i="4"/>
  <c r="CG7" i="4"/>
  <c r="AF7" i="4"/>
  <c r="EF6" i="4" a="1"/>
  <c r="EF6" i="4"/>
  <c r="EF8" i="4" s="1"/>
  <c r="EE6" i="4" a="1"/>
  <c r="EE6" i="4" s="1"/>
  <c r="EE7" i="4" s="1"/>
  <c r="ED6" i="4" a="1"/>
  <c r="ED6" i="4"/>
  <c r="ED7" i="4" s="1"/>
  <c r="EC6" i="4" a="1"/>
  <c r="EC6" i="4" s="1"/>
  <c r="EB6" i="4" a="1"/>
  <c r="EB6" i="4"/>
  <c r="EB8" i="4" s="1"/>
  <c r="EA6" i="4" a="1"/>
  <c r="EA6" i="4" s="1"/>
  <c r="DZ6" i="4" a="1"/>
  <c r="DZ6" i="4"/>
  <c r="DY6" i="4" a="1"/>
  <c r="DY6" i="4" s="1"/>
  <c r="DX6" i="4" a="1"/>
  <c r="DX6" i="4"/>
  <c r="DX8" i="4" s="1"/>
  <c r="DW6" i="4" a="1"/>
  <c r="DW6" i="4" s="1"/>
  <c r="DW7" i="4" s="1"/>
  <c r="DV6" i="4" a="1"/>
  <c r="DV6" i="4"/>
  <c r="DV7" i="4" s="1"/>
  <c r="DU6" i="4" a="1"/>
  <c r="DU6" i="4" s="1"/>
  <c r="DU8" i="4" s="1"/>
  <c r="DT6" i="4" a="1"/>
  <c r="DT6" i="4"/>
  <c r="DT8" i="4" s="1"/>
  <c r="DS6" i="4" a="1"/>
  <c r="DS6" i="4" s="1"/>
  <c r="DR6" i="4" a="1"/>
  <c r="DR6" i="4"/>
  <c r="DQ6" i="4" a="1"/>
  <c r="DQ6" i="4" s="1"/>
  <c r="DP6" i="4" a="1"/>
  <c r="DP6" i="4"/>
  <c r="DP8" i="4" s="1"/>
  <c r="DO6" i="4" a="1"/>
  <c r="DO6" i="4" s="1"/>
  <c r="DO7" i="4" s="1"/>
  <c r="DN6" i="4" a="1"/>
  <c r="DN6" i="4"/>
  <c r="DN7" i="4" s="1"/>
  <c r="DM6" i="4" a="1"/>
  <c r="DM6" i="4" s="1"/>
  <c r="DL6" i="4" a="1"/>
  <c r="DL6" i="4"/>
  <c r="DL8" i="4" s="1"/>
  <c r="DK6" i="4" a="1"/>
  <c r="DK6" i="4" s="1"/>
  <c r="DJ6" i="4" a="1"/>
  <c r="DJ6" i="4"/>
  <c r="DI6" i="4" a="1"/>
  <c r="DI6" i="4" s="1"/>
  <c r="DH6" i="4" a="1"/>
  <c r="DH6" i="4"/>
  <c r="DH8" i="4" s="1"/>
  <c r="DG6" i="4" a="1"/>
  <c r="DG6" i="4" s="1"/>
  <c r="DG7" i="4" s="1"/>
  <c r="DF6" i="4" a="1"/>
  <c r="DF6" i="4"/>
  <c r="DF7" i="4" s="1"/>
  <c r="DE6" i="4" a="1"/>
  <c r="DE6" i="4" s="1"/>
  <c r="DE8" i="4" s="1"/>
  <c r="DD6" i="4" a="1"/>
  <c r="DD6" i="4"/>
  <c r="DD8" i="4" s="1"/>
  <c r="DC6" i="4" a="1"/>
  <c r="DC6" i="4" s="1"/>
  <c r="DB6" i="4" a="1"/>
  <c r="DB6" i="4"/>
  <c r="DA6" i="4" a="1"/>
  <c r="DA6" i="4" s="1"/>
  <c r="CZ6" i="4" a="1"/>
  <c r="CZ6" i="4"/>
  <c r="CZ8" i="4" s="1"/>
  <c r="CY6" i="4" a="1"/>
  <c r="CY6" i="4" s="1"/>
  <c r="CY7" i="4" s="1"/>
  <c r="CX6" i="4" a="1"/>
  <c r="CX6" i="4"/>
  <c r="CX7" i="4" s="1"/>
  <c r="CW6" i="4" a="1"/>
  <c r="CW6" i="4" s="1"/>
  <c r="CW8" i="4" s="1"/>
  <c r="CV6" i="4" a="1"/>
  <c r="CV6" i="4"/>
  <c r="CV8" i="4" s="1"/>
  <c r="CU6" i="4" a="1"/>
  <c r="CU6" i="4" s="1"/>
  <c r="CT6" i="4" a="1"/>
  <c r="CT6" i="4"/>
  <c r="CS6" i="4" a="1"/>
  <c r="CS6" i="4" s="1"/>
  <c r="CR6" i="4" a="1"/>
  <c r="CR6" i="4"/>
  <c r="CR8" i="4" s="1"/>
  <c r="CQ6" i="4" a="1"/>
  <c r="CQ6" i="4" s="1"/>
  <c r="CQ7" i="4" s="1"/>
  <c r="CP6" i="4" a="1"/>
  <c r="CP6" i="4"/>
  <c r="CP7" i="4" s="1"/>
  <c r="CO6" i="4" a="1"/>
  <c r="CO6" i="4" s="1"/>
  <c r="CO8" i="4" s="1"/>
  <c r="CN6" i="4" a="1"/>
  <c r="CN6" i="4"/>
  <c r="CN8" i="4" s="1"/>
  <c r="CM6" i="4" a="1"/>
  <c r="CM6" i="4" s="1"/>
  <c r="CL6" i="4" a="1"/>
  <c r="CL6" i="4"/>
  <c r="CK6" i="4" a="1"/>
  <c r="CK6" i="4" s="1"/>
  <c r="CJ6" i="4" a="1"/>
  <c r="CJ6" i="4"/>
  <c r="CJ8" i="4" s="1"/>
  <c r="CI6" i="4" a="1"/>
  <c r="CI6" i="4" s="1"/>
  <c r="CI7" i="4" s="1"/>
  <c r="CH6" i="4" a="1"/>
  <c r="CH6" i="4"/>
  <c r="CH7" i="4" s="1"/>
  <c r="CG6" i="4" a="1"/>
  <c r="CG6" i="4" s="1"/>
  <c r="CG8" i="4" s="1"/>
  <c r="CF6" i="4" a="1"/>
  <c r="CF6" i="4"/>
  <c r="CF8" i="4" s="1"/>
  <c r="CE6" i="4" a="1"/>
  <c r="CE6" i="4" s="1"/>
  <c r="CD6" i="4" a="1"/>
  <c r="CD6" i="4"/>
  <c r="CC6" i="4" a="1"/>
  <c r="CC6" i="4" s="1"/>
  <c r="CB6" i="4" a="1"/>
  <c r="CB6" i="4"/>
  <c r="CB8" i="4" s="1"/>
  <c r="CA6" i="4" a="1"/>
  <c r="CA6" i="4" s="1"/>
  <c r="CA7" i="4" s="1"/>
  <c r="BZ6" i="4" a="1"/>
  <c r="BZ6" i="4"/>
  <c r="BZ7" i="4" s="1"/>
  <c r="BY6" i="4" a="1"/>
  <c r="BY6" i="4" s="1"/>
  <c r="BY8" i="4" s="1"/>
  <c r="BX6" i="4" a="1"/>
  <c r="BX6" i="4"/>
  <c r="BX8" i="4" s="1"/>
  <c r="BW6" i="4" a="1"/>
  <c r="BW6" i="4" s="1"/>
  <c r="BV6" i="4" a="1"/>
  <c r="BV6" i="4"/>
  <c r="BU6" i="4" a="1"/>
  <c r="BU6" i="4" s="1"/>
  <c r="BT6" i="4" a="1"/>
  <c r="BT6" i="4"/>
  <c r="BT8" i="4" s="1"/>
  <c r="BS6" i="4" a="1"/>
  <c r="BS6" i="4" s="1"/>
  <c r="BS7" i="4" s="1"/>
  <c r="BR6" i="4" a="1"/>
  <c r="BR6" i="4"/>
  <c r="BR7" i="4" s="1"/>
  <c r="BQ6" i="4" a="1"/>
  <c r="BQ6" i="4" s="1"/>
  <c r="BP6" i="4" a="1"/>
  <c r="BP6" i="4"/>
  <c r="BP8" i="4" s="1"/>
  <c r="BO6" i="4" a="1"/>
  <c r="BO6" i="4" s="1"/>
  <c r="BN6" i="4" a="1"/>
  <c r="BN6" i="4"/>
  <c r="BM6" i="4" a="1"/>
  <c r="BM6" i="4" s="1"/>
  <c r="BL6" i="4" a="1"/>
  <c r="BL6" i="4"/>
  <c r="BL8" i="4" s="1"/>
  <c r="BK6" i="4" a="1"/>
  <c r="BK6" i="4" s="1"/>
  <c r="BK7" i="4" s="1"/>
  <c r="BJ6" i="4" a="1"/>
  <c r="BJ6" i="4"/>
  <c r="BJ7" i="4" s="1"/>
  <c r="BI6" i="4" a="1"/>
  <c r="BI6" i="4" s="1"/>
  <c r="BI8" i="4" s="1"/>
  <c r="BH6" i="4" a="1"/>
  <c r="BH6" i="4"/>
  <c r="BH8" i="4" s="1"/>
  <c r="BG6" i="4" a="1"/>
  <c r="BG6" i="4" s="1"/>
  <c r="BF6" i="4" a="1"/>
  <c r="BF6" i="4"/>
  <c r="BE6" i="4" a="1"/>
  <c r="BE6" i="4" s="1"/>
  <c r="BD6" i="4" a="1"/>
  <c r="BD6" i="4"/>
  <c r="BD8" i="4" s="1"/>
  <c r="BC6" i="4" a="1"/>
  <c r="BC6" i="4" s="1"/>
  <c r="BC7" i="4" s="1"/>
  <c r="BB6" i="4" a="1"/>
  <c r="BB6" i="4"/>
  <c r="BB7" i="4" s="1"/>
  <c r="BA6" i="4" a="1"/>
  <c r="BA6" i="4" s="1"/>
  <c r="AZ6" i="4" a="1"/>
  <c r="AZ6" i="4"/>
  <c r="AZ8" i="4" s="1"/>
  <c r="AY6" i="4" a="1"/>
  <c r="AY6" i="4" s="1"/>
  <c r="AX6" i="4" a="1"/>
  <c r="AX6" i="4"/>
  <c r="AW6" i="4" a="1"/>
  <c r="AW6" i="4" s="1"/>
  <c r="AV6" i="4" a="1"/>
  <c r="AV6" i="4"/>
  <c r="AV8" i="4" s="1"/>
  <c r="AU6" i="4" a="1"/>
  <c r="AU6" i="4" s="1"/>
  <c r="AU7" i="4" s="1"/>
  <c r="AT6" i="4" a="1"/>
  <c r="AT6" i="4"/>
  <c r="AT7" i="4" s="1"/>
  <c r="AS6" i="4" a="1"/>
  <c r="AS6" i="4" s="1"/>
  <c r="AS8" i="4" s="1"/>
  <c r="AR6" i="4" a="1"/>
  <c r="AR6" i="4"/>
  <c r="AR8" i="4" s="1"/>
  <c r="AQ6" i="4" a="1"/>
  <c r="AQ6" i="4" s="1"/>
  <c r="AP6" i="4" a="1"/>
  <c r="AP6" i="4"/>
  <c r="AO6" i="4" a="1"/>
  <c r="AO6" i="4" s="1"/>
  <c r="AN6" i="4" a="1"/>
  <c r="AN6" i="4"/>
  <c r="AN8" i="4" s="1"/>
  <c r="AM6" i="4" a="1"/>
  <c r="AM6" i="4" s="1"/>
  <c r="AM7" i="4" s="1"/>
  <c r="AL6" i="4" a="1"/>
  <c r="AL6" i="4"/>
  <c r="AL7" i="4" s="1"/>
  <c r="AK6" i="4" a="1"/>
  <c r="AK6" i="4" s="1"/>
  <c r="AK8" i="4" s="1"/>
  <c r="AJ6" i="4" a="1"/>
  <c r="AJ6" i="4"/>
  <c r="AJ8" i="4" s="1"/>
  <c r="AI6" i="4" a="1"/>
  <c r="AI6" i="4" s="1"/>
  <c r="AH6" i="4" a="1"/>
  <c r="AH6" i="4"/>
  <c r="AG6" i="4" a="1"/>
  <c r="AG6" i="4" s="1"/>
  <c r="AF6" i="4" a="1"/>
  <c r="AF6" i="4"/>
  <c r="AF8" i="4" s="1"/>
  <c r="AE6" i="4" a="1"/>
  <c r="AE6" i="4" s="1"/>
  <c r="AE7" i="4" s="1"/>
  <c r="AD6" i="4" a="1"/>
  <c r="AD6" i="4"/>
  <c r="AD7" i="4" s="1"/>
  <c r="AC6" i="4" a="1"/>
  <c r="AC6" i="4" s="1"/>
  <c r="AC8" i="4" s="1"/>
  <c r="AB6" i="4" a="1"/>
  <c r="AB6" i="4" s="1"/>
  <c r="AB8" i="4" s="1"/>
  <c r="AA6" i="4" a="1"/>
  <c r="AA6" i="4" s="1"/>
  <c r="Z6" i="4" a="1"/>
  <c r="Z6" i="4"/>
  <c r="Y6" i="4" a="1"/>
  <c r="Y6" i="4" s="1"/>
  <c r="X6" i="4" a="1"/>
  <c r="X6" i="4" s="1"/>
  <c r="W6" i="4" a="1"/>
  <c r="W6" i="4" s="1"/>
  <c r="W7" i="4" s="1"/>
  <c r="V6" i="4" a="1"/>
  <c r="V6" i="4"/>
  <c r="V7" i="4" s="1"/>
  <c r="U6" i="4" a="1"/>
  <c r="U6" i="4" s="1"/>
  <c r="T6" i="4" a="1"/>
  <c r="T6" i="4" s="1"/>
  <c r="T8" i="4" s="1"/>
  <c r="S6" i="4" a="1"/>
  <c r="S6" i="4" s="1"/>
  <c r="R6" i="4" a="1"/>
  <c r="R6" i="4"/>
  <c r="Q6" i="4" a="1"/>
  <c r="Q6" i="4" s="1"/>
  <c r="P6" i="4" a="1"/>
  <c r="P6" i="4" s="1"/>
  <c r="O6" i="4" a="1"/>
  <c r="O6" i="4" s="1"/>
  <c r="O7" i="4" s="1"/>
  <c r="N6" i="4" a="1"/>
  <c r="N6" i="4"/>
  <c r="N7" i="4" s="1"/>
  <c r="M6" i="4" a="1"/>
  <c r="M6" i="4" s="1"/>
  <c r="L6" i="4" a="1"/>
  <c r="L6" i="4" s="1"/>
  <c r="L8" i="4" s="1"/>
  <c r="K6" i="4" a="1"/>
  <c r="K6" i="4" s="1"/>
  <c r="J6" i="4" a="1"/>
  <c r="J6" i="4"/>
  <c r="I6" i="4" a="1"/>
  <c r="I6" i="4" s="1"/>
  <c r="H6" i="4" a="1"/>
  <c r="H6" i="4" s="1"/>
  <c r="G6" i="4" a="1"/>
  <c r="G6" i="4" s="1"/>
  <c r="G7" i="4" s="1"/>
  <c r="F6" i="4" a="1"/>
  <c r="F6" i="4"/>
  <c r="F7" i="4" s="1"/>
  <c r="E6" i="4" a="1"/>
  <c r="E6" i="4" s="1"/>
  <c r="E8" i="4" s="1"/>
  <c r="D6" i="4" a="1"/>
  <c r="D6" i="4" s="1"/>
  <c r="D8" i="4" s="1"/>
  <c r="C6" i="4" a="1"/>
  <c r="C6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EH23" i="3" s="1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EH22" i="3" s="1"/>
  <c r="G22" i="3"/>
  <c r="F22" i="3"/>
  <c r="E22" i="3"/>
  <c r="D22" i="3"/>
  <c r="EG22" i="3" s="1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EH21" i="3" s="1"/>
  <c r="G21" i="3"/>
  <c r="F21" i="3"/>
  <c r="E21" i="3"/>
  <c r="D21" i="3"/>
  <c r="EG21" i="3" s="1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EH20" i="3" s="1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EH19" i="3" s="1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EH18" i="3" s="1"/>
  <c r="G18" i="3"/>
  <c r="F18" i="3"/>
  <c r="E18" i="3"/>
  <c r="D18" i="3"/>
  <c r="EG18" i="3" s="1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EH17" i="3" s="1"/>
  <c r="G17" i="3"/>
  <c r="F17" i="3"/>
  <c r="E17" i="3"/>
  <c r="D17" i="3"/>
  <c r="EG17" i="3" s="1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EH16" i="3" s="1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EH15" i="3" s="1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EH14" i="3" s="1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EH13" i="3" s="1"/>
  <c r="G13" i="3"/>
  <c r="F13" i="3"/>
  <c r="E13" i="3"/>
  <c r="D13" i="3"/>
  <c r="EG13" i="3" s="1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H12" i="3" s="1"/>
  <c r="E12" i="3"/>
  <c r="D12" i="3"/>
  <c r="C12" i="3"/>
  <c r="DK8" i="3"/>
  <c r="H8" i="3"/>
  <c r="BM7" i="3"/>
  <c r="I7" i="3"/>
  <c r="EF6" i="3" a="1"/>
  <c r="EF6" i="3"/>
  <c r="EF7" i="3" s="1"/>
  <c r="EE6" i="3" a="1"/>
  <c r="EE6" i="3" s="1"/>
  <c r="EE7" i="3" s="1"/>
  <c r="ED6" i="3" a="1"/>
  <c r="ED6" i="3" s="1"/>
  <c r="ED7" i="3" s="1"/>
  <c r="EC6" i="3" a="1"/>
  <c r="EC6" i="3" s="1"/>
  <c r="EC8" i="3" s="1"/>
  <c r="EB6" i="3" a="1"/>
  <c r="EB6" i="3"/>
  <c r="EA6" i="3" a="1"/>
  <c r="EA6" i="3" s="1"/>
  <c r="EA7" i="3" s="1"/>
  <c r="DZ6" i="3" a="1"/>
  <c r="DZ6" i="3" s="1"/>
  <c r="DY6" i="3" a="1"/>
  <c r="DY6" i="3" s="1"/>
  <c r="DY8" i="3" s="1"/>
  <c r="DX6" i="3" a="1"/>
  <c r="DX6" i="3"/>
  <c r="DX8" i="3" s="1"/>
  <c r="DW6" i="3" a="1"/>
  <c r="DW6" i="3" s="1"/>
  <c r="DW7" i="3" s="1"/>
  <c r="DV6" i="3" a="1"/>
  <c r="DV6" i="3" s="1"/>
  <c r="DV7" i="3" s="1"/>
  <c r="DU6" i="3" a="1"/>
  <c r="DU6" i="3" s="1"/>
  <c r="DT6" i="3" a="1"/>
  <c r="DT6" i="3"/>
  <c r="DS6" i="3" a="1"/>
  <c r="DS6" i="3" s="1"/>
  <c r="DS7" i="3" s="1"/>
  <c r="DR6" i="3" a="1"/>
  <c r="DR6" i="3" s="1"/>
  <c r="DQ6" i="3" a="1"/>
  <c r="DQ6" i="3" s="1"/>
  <c r="DQ8" i="3" s="1"/>
  <c r="DP6" i="3" a="1"/>
  <c r="DP6" i="3"/>
  <c r="DP7" i="3" s="1"/>
  <c r="DO6" i="3" a="1"/>
  <c r="DO6" i="3"/>
  <c r="DN6" i="3" a="1"/>
  <c r="DN6" i="3"/>
  <c r="DN8" i="3" s="1"/>
  <c r="DM6" i="3" a="1"/>
  <c r="DM6" i="3" s="1"/>
  <c r="DM8" i="3" s="1"/>
  <c r="DL6" i="3" a="1"/>
  <c r="DL6" i="3" s="1"/>
  <c r="DL8" i="3" s="1"/>
  <c r="DK6" i="3" a="1"/>
  <c r="DK6" i="3" s="1"/>
  <c r="DK7" i="3" s="1"/>
  <c r="DJ6" i="3" a="1"/>
  <c r="DJ6" i="3" s="1"/>
  <c r="DI6" i="3" a="1"/>
  <c r="DI6" i="3" s="1"/>
  <c r="DH6" i="3" a="1"/>
  <c r="DH6" i="3" s="1"/>
  <c r="DG6" i="3" a="1"/>
  <c r="DG6" i="3" s="1"/>
  <c r="DF6" i="3" a="1"/>
  <c r="DF6" i="3" s="1"/>
  <c r="DF8" i="3" s="1"/>
  <c r="DE6" i="3" a="1"/>
  <c r="DE6" i="3" s="1"/>
  <c r="DD6" i="3" a="1"/>
  <c r="DD6" i="3" s="1"/>
  <c r="DD8" i="3" s="1"/>
  <c r="DC6" i="3" a="1"/>
  <c r="DC6" i="3" s="1"/>
  <c r="DB6" i="3" a="1"/>
  <c r="DB6" i="3" s="1"/>
  <c r="DA6" i="3" a="1"/>
  <c r="DA6" i="3" s="1"/>
  <c r="CZ6" i="3" a="1"/>
  <c r="CZ6" i="3" s="1"/>
  <c r="CY6" i="3" a="1"/>
  <c r="CY6" i="3" s="1"/>
  <c r="CX6" i="3" a="1"/>
  <c r="CX6" i="3" s="1"/>
  <c r="CX7" i="3" s="1"/>
  <c r="CW6" i="3" a="1"/>
  <c r="CW6" i="3" s="1"/>
  <c r="CV6" i="3" a="1"/>
  <c r="CV6" i="3" s="1"/>
  <c r="CV8" i="3" s="1"/>
  <c r="CU6" i="3" a="1"/>
  <c r="CU6" i="3" s="1"/>
  <c r="CU7" i="3" s="1"/>
  <c r="CT6" i="3" a="1"/>
  <c r="CT6" i="3" s="1"/>
  <c r="CS6" i="3" a="1"/>
  <c r="CS6" i="3" s="1"/>
  <c r="CR6" i="3" a="1"/>
  <c r="CR6" i="3" s="1"/>
  <c r="CQ6" i="3" a="1"/>
  <c r="CQ6" i="3" s="1"/>
  <c r="CP6" i="3" a="1"/>
  <c r="CP6" i="3" s="1"/>
  <c r="CP8" i="3" s="1"/>
  <c r="CO6" i="3" a="1"/>
  <c r="CO6" i="3" s="1"/>
  <c r="CN6" i="3" a="1"/>
  <c r="CN6" i="3" s="1"/>
  <c r="CM6" i="3" a="1"/>
  <c r="CM6" i="3" s="1"/>
  <c r="CM7" i="3" s="1"/>
  <c r="CL6" i="3" a="1"/>
  <c r="CL6" i="3" s="1"/>
  <c r="CK6" i="3" a="1"/>
  <c r="CK6" i="3" s="1"/>
  <c r="CK8" i="3" s="1"/>
  <c r="CJ6" i="3" a="1"/>
  <c r="CJ6" i="3" s="1"/>
  <c r="CI6" i="3" a="1"/>
  <c r="CI6" i="3"/>
  <c r="CH6" i="3" a="1"/>
  <c r="CH6" i="3" s="1"/>
  <c r="CH8" i="3" s="1"/>
  <c r="CG6" i="3" a="1"/>
  <c r="CG6" i="3" s="1"/>
  <c r="CF6" i="3" a="1"/>
  <c r="CF6" i="3" s="1"/>
  <c r="CF8" i="3" s="1"/>
  <c r="CE6" i="3" a="1"/>
  <c r="CE6" i="3"/>
  <c r="CD6" i="3" a="1"/>
  <c r="CD6" i="3" s="1"/>
  <c r="CC6" i="3" a="1"/>
  <c r="CC6" i="3" s="1"/>
  <c r="CB6" i="3" a="1"/>
  <c r="CB6" i="3" s="1"/>
  <c r="CB7" i="3" s="1"/>
  <c r="CA6" i="3" a="1"/>
  <c r="CA6" i="3"/>
  <c r="BZ6" i="3" a="1"/>
  <c r="BZ6" i="3" s="1"/>
  <c r="BZ8" i="3" s="1"/>
  <c r="BY6" i="3" a="1"/>
  <c r="BY6" i="3" s="1"/>
  <c r="BX6" i="3" a="1"/>
  <c r="BX6" i="3" s="1"/>
  <c r="BW6" i="3" a="1"/>
  <c r="BW6" i="3" s="1"/>
  <c r="BV6" i="3" a="1"/>
  <c r="BV6" i="3" s="1"/>
  <c r="BU6" i="3" a="1"/>
  <c r="BU6" i="3" s="1"/>
  <c r="BU8" i="3" s="1"/>
  <c r="BT6" i="3" a="1"/>
  <c r="BT6" i="3" s="1"/>
  <c r="BT7" i="3" s="1"/>
  <c r="BS6" i="3" a="1"/>
  <c r="BS6" i="3"/>
  <c r="BR6" i="3" a="1"/>
  <c r="BR6" i="3" s="1"/>
  <c r="BQ6" i="3" a="1"/>
  <c r="BQ6" i="3" s="1"/>
  <c r="BP6" i="3" a="1"/>
  <c r="BP6" i="3" s="1"/>
  <c r="BP8" i="3" s="1"/>
  <c r="BO6" i="3" a="1"/>
  <c r="BO6" i="3" s="1"/>
  <c r="BN6" i="3" a="1"/>
  <c r="BN6" i="3" s="1"/>
  <c r="BM6" i="3" a="1"/>
  <c r="BM6" i="3" s="1"/>
  <c r="BM8" i="3" s="1"/>
  <c r="BL6" i="3" a="1"/>
  <c r="BL6" i="3" s="1"/>
  <c r="BK6" i="3" a="1"/>
  <c r="BK6" i="3" s="1"/>
  <c r="BJ6" i="3" a="1"/>
  <c r="BJ6" i="3" s="1"/>
  <c r="BJ7" i="3" s="1"/>
  <c r="BI6" i="3" a="1"/>
  <c r="BI6" i="3" s="1"/>
  <c r="BH6" i="3" a="1"/>
  <c r="BH6" i="3" s="1"/>
  <c r="BG6" i="3" a="1"/>
  <c r="BG6" i="3" s="1"/>
  <c r="BF6" i="3" a="1"/>
  <c r="BF6" i="3" s="1"/>
  <c r="BE6" i="3" a="1"/>
  <c r="BE6" i="3" s="1"/>
  <c r="BD6" i="3" a="1"/>
  <c r="BD6" i="3" s="1"/>
  <c r="BC6" i="3" a="1"/>
  <c r="BC6" i="3"/>
  <c r="BB6" i="3" a="1"/>
  <c r="BB6" i="3" s="1"/>
  <c r="BB8" i="3" s="1"/>
  <c r="BA6" i="3" a="1"/>
  <c r="BA6" i="3" s="1"/>
  <c r="AZ6" i="3" a="1"/>
  <c r="AZ6" i="3" s="1"/>
  <c r="AZ8" i="3" s="1"/>
  <c r="AY6" i="3" a="1"/>
  <c r="AY6" i="3"/>
  <c r="AX6" i="3" a="1"/>
  <c r="AX6" i="3" s="1"/>
  <c r="AW6" i="3" a="1"/>
  <c r="AW6" i="3" s="1"/>
  <c r="AV6" i="3" a="1"/>
  <c r="AV6" i="3" s="1"/>
  <c r="AV7" i="3" s="1"/>
  <c r="AU6" i="3" a="1"/>
  <c r="AU6" i="3"/>
  <c r="AT6" i="3" a="1"/>
  <c r="AT6" i="3" s="1"/>
  <c r="AT8" i="3" s="1"/>
  <c r="AS6" i="3" a="1"/>
  <c r="AS6" i="3" s="1"/>
  <c r="AR6" i="3" a="1"/>
  <c r="AR6" i="3" s="1"/>
  <c r="AQ6" i="3" a="1"/>
  <c r="AQ6" i="3" s="1"/>
  <c r="AP6" i="3" a="1"/>
  <c r="AP6" i="3" s="1"/>
  <c r="AO6" i="3" a="1"/>
  <c r="AO6" i="3" s="1"/>
  <c r="AO8" i="3" s="1"/>
  <c r="AN6" i="3" a="1"/>
  <c r="AN6" i="3" s="1"/>
  <c r="AN7" i="3" s="1"/>
  <c r="AM6" i="3" a="1"/>
  <c r="AM6" i="3"/>
  <c r="AL6" i="3" a="1"/>
  <c r="AL6" i="3" s="1"/>
  <c r="AK6" i="3" a="1"/>
  <c r="AK6" i="3" s="1"/>
  <c r="AJ6" i="3" a="1"/>
  <c r="AJ6" i="3" s="1"/>
  <c r="AJ8" i="3" s="1"/>
  <c r="AI6" i="3" a="1"/>
  <c r="AI6" i="3" s="1"/>
  <c r="AI7" i="3" s="1"/>
  <c r="AH6" i="3" a="1"/>
  <c r="AH6" i="3" s="1"/>
  <c r="AG6" i="3" a="1"/>
  <c r="AG6" i="3" s="1"/>
  <c r="AG8" i="3" s="1"/>
  <c r="AF6" i="3" a="1"/>
  <c r="AF6" i="3" s="1"/>
  <c r="AE6" i="3" a="1"/>
  <c r="AE6" i="3" s="1"/>
  <c r="AD6" i="3" a="1"/>
  <c r="AD6" i="3" s="1"/>
  <c r="AC6" i="3" a="1"/>
  <c r="AC6" i="3" s="1"/>
  <c r="AB6" i="3" a="1"/>
  <c r="AB6" i="3" s="1"/>
  <c r="AA6" i="3" a="1"/>
  <c r="AA6" i="3" s="1"/>
  <c r="Z6" i="3" a="1"/>
  <c r="Z6" i="3" s="1"/>
  <c r="Y6" i="3" a="1"/>
  <c r="Y6" i="3" s="1"/>
  <c r="X6" i="3" a="1"/>
  <c r="X6" i="3" s="1"/>
  <c r="W6" i="3" a="1"/>
  <c r="W6" i="3" s="1"/>
  <c r="V6" i="3" a="1"/>
  <c r="V6" i="3" s="1"/>
  <c r="V8" i="3" s="1"/>
  <c r="U6" i="3" a="1"/>
  <c r="U6" i="3" s="1"/>
  <c r="T6" i="3" a="1"/>
  <c r="T6" i="3" s="1"/>
  <c r="T8" i="3" s="1"/>
  <c r="S6" i="3" a="1"/>
  <c r="S6" i="3"/>
  <c r="R6" i="3" a="1"/>
  <c r="R6" i="3" s="1"/>
  <c r="Q6" i="3" a="1"/>
  <c r="Q6" i="3" s="1"/>
  <c r="P6" i="3" a="1"/>
  <c r="P6" i="3" s="1"/>
  <c r="P7" i="3" s="1"/>
  <c r="O6" i="3" a="1"/>
  <c r="O6" i="3"/>
  <c r="N6" i="3" a="1"/>
  <c r="N6" i="3" s="1"/>
  <c r="N7" i="3" s="1"/>
  <c r="M6" i="3" a="1"/>
  <c r="M6" i="3" s="1"/>
  <c r="L6" i="3" a="1"/>
  <c r="L6" i="3" s="1"/>
  <c r="K6" i="3" a="1"/>
  <c r="K6" i="3"/>
  <c r="J6" i="3" a="1"/>
  <c r="J6" i="3" s="1"/>
  <c r="I6" i="3" a="1"/>
  <c r="I6" i="3" s="1"/>
  <c r="I8" i="3" s="1"/>
  <c r="H6" i="3" a="1"/>
  <c r="H6" i="3" s="1"/>
  <c r="H7" i="3" s="1"/>
  <c r="G6" i="3" a="1"/>
  <c r="G6" i="3"/>
  <c r="F6" i="3" a="1"/>
  <c r="F6" i="3" s="1"/>
  <c r="F7" i="3" s="1"/>
  <c r="E6" i="3" a="1"/>
  <c r="E6" i="3" s="1"/>
  <c r="D6" i="3" a="1"/>
  <c r="D6" i="3" s="1"/>
  <c r="D8" i="3" s="1"/>
  <c r="C6" i="3" a="1"/>
  <c r="C6" i="3" s="1"/>
  <c r="DZ8" i="2"/>
  <c r="DY8" i="2"/>
  <c r="DX8" i="2"/>
  <c r="DR8" i="2"/>
  <c r="DN8" i="2"/>
  <c r="DL8" i="2"/>
  <c r="DJ8" i="2"/>
  <c r="DI8" i="2"/>
  <c r="DA8" i="2"/>
  <c r="CZ8" i="2"/>
  <c r="CX8" i="2"/>
  <c r="CV8" i="2"/>
  <c r="CS8" i="2"/>
  <c r="CN8" i="2"/>
  <c r="CL8" i="2"/>
  <c r="CC8" i="2"/>
  <c r="CB8" i="2"/>
  <c r="CA8" i="2"/>
  <c r="BS8" i="2"/>
  <c r="BR8" i="2"/>
  <c r="BP8" i="2"/>
  <c r="BM8" i="2"/>
  <c r="BH8" i="2"/>
  <c r="BF8" i="2"/>
  <c r="AW8" i="2"/>
  <c r="AV8" i="2"/>
  <c r="AU8" i="2"/>
  <c r="AN8" i="2"/>
  <c r="AM8" i="2"/>
  <c r="AL8" i="2"/>
  <c r="AJ8" i="2"/>
  <c r="AG8" i="2"/>
  <c r="AB8" i="2"/>
  <c r="Z8" i="2"/>
  <c r="Q8" i="2"/>
  <c r="P8" i="2"/>
  <c r="O8" i="2"/>
  <c r="G8" i="2"/>
  <c r="F8" i="2"/>
  <c r="D8" i="2"/>
  <c r="EC7" i="2"/>
  <c r="EB7" i="2"/>
  <c r="DX7" i="2"/>
  <c r="DW7" i="2"/>
  <c r="DP7" i="2"/>
  <c r="DO7" i="2"/>
  <c r="DN7" i="2"/>
  <c r="DM7" i="2"/>
  <c r="DD7" i="2"/>
  <c r="DB7" i="2"/>
  <c r="CW7" i="2"/>
  <c r="CV7" i="2"/>
  <c r="CT7" i="2"/>
  <c r="CR7" i="2"/>
  <c r="CQ7" i="2"/>
  <c r="CH7" i="2"/>
  <c r="CG7" i="2"/>
  <c r="BX7" i="2"/>
  <c r="BV7" i="2"/>
  <c r="BQ7" i="2"/>
  <c r="BP7" i="2"/>
  <c r="BL7" i="2"/>
  <c r="BK7" i="2"/>
  <c r="BD7" i="2"/>
  <c r="BC7" i="2"/>
  <c r="BB7" i="2"/>
  <c r="BA7" i="2"/>
  <c r="AS7" i="2"/>
  <c r="AR7" i="2"/>
  <c r="AP7" i="2"/>
  <c r="AK7" i="2"/>
  <c r="AJ7" i="2"/>
  <c r="AH7" i="2"/>
  <c r="AF7" i="2"/>
  <c r="AE7" i="2"/>
  <c r="W7" i="2"/>
  <c r="V7" i="2"/>
  <c r="U7" i="2"/>
  <c r="N7" i="2"/>
  <c r="L7" i="2"/>
  <c r="J7" i="2"/>
  <c r="E7" i="2"/>
  <c r="D7" i="2"/>
  <c r="EF6" i="2" a="1"/>
  <c r="EF6" i="2" s="1"/>
  <c r="EE6" i="2" a="1"/>
  <c r="EE6" i="2" s="1"/>
  <c r="ED6" i="2" a="1"/>
  <c r="ED6" i="2"/>
  <c r="ED8" i="2" s="1"/>
  <c r="EC6" i="2" a="1"/>
  <c r="EC6" i="2" s="1"/>
  <c r="EC8" i="2" s="1"/>
  <c r="EB6" i="2" a="1"/>
  <c r="EB6" i="2" s="1"/>
  <c r="EB8" i="2" s="1"/>
  <c r="EA6" i="2" a="1"/>
  <c r="EA6" i="2"/>
  <c r="DZ6" i="2" a="1"/>
  <c r="DZ6" i="2" s="1"/>
  <c r="DZ7" i="2" s="1"/>
  <c r="DY6" i="2" a="1"/>
  <c r="DY6" i="2" s="1"/>
  <c r="DY7" i="2" s="1"/>
  <c r="DX6" i="2" a="1"/>
  <c r="DX6" i="2" s="1"/>
  <c r="DW6" i="2" a="1"/>
  <c r="DW6" i="2"/>
  <c r="DW8" i="2" s="1"/>
  <c r="DV6" i="2" a="1"/>
  <c r="DV6" i="2"/>
  <c r="DU6" i="2" a="1"/>
  <c r="DU6" i="2" s="1"/>
  <c r="DT6" i="2" a="1"/>
  <c r="DT6" i="2" s="1"/>
  <c r="DT8" i="2" s="1"/>
  <c r="DS6" i="2" a="1"/>
  <c r="DS6" i="2"/>
  <c r="DR6" i="2" a="1"/>
  <c r="DR6" i="2"/>
  <c r="DR7" i="2" s="1"/>
  <c r="DQ6" i="2" a="1"/>
  <c r="DQ6" i="2" s="1"/>
  <c r="DP6" i="2" a="1"/>
  <c r="DP6" i="2" s="1"/>
  <c r="DP8" i="2" s="1"/>
  <c r="DO6" i="2" a="1"/>
  <c r="DO6" i="2" s="1"/>
  <c r="DO8" i="2" s="1"/>
  <c r="DN6" i="2" a="1"/>
  <c r="DN6" i="2"/>
  <c r="DM6" i="2" a="1"/>
  <c r="DM6" i="2" s="1"/>
  <c r="DM8" i="2" s="1"/>
  <c r="DL6" i="2" a="1"/>
  <c r="DL6" i="2" s="1"/>
  <c r="DL7" i="2" s="1"/>
  <c r="DK6" i="2" a="1"/>
  <c r="DK6" i="2"/>
  <c r="DJ6" i="2" a="1"/>
  <c r="DJ6" i="2" s="1"/>
  <c r="DJ7" i="2" s="1"/>
  <c r="DI6" i="2" a="1"/>
  <c r="DI6" i="2" s="1"/>
  <c r="DI7" i="2" s="1"/>
  <c r="DH6" i="2" a="1"/>
  <c r="DH6" i="2" s="1"/>
  <c r="DH8" i="2" s="1"/>
  <c r="DG6" i="2" a="1"/>
  <c r="DG6" i="2"/>
  <c r="DG8" i="2" s="1"/>
  <c r="DF6" i="2" a="1"/>
  <c r="DF6" i="2" s="1"/>
  <c r="DE6" i="2" a="1"/>
  <c r="DE6" i="2" s="1"/>
  <c r="DE8" i="2" s="1"/>
  <c r="DD6" i="2" a="1"/>
  <c r="DD6" i="2" s="1"/>
  <c r="DD8" i="2" s="1"/>
  <c r="DC6" i="2" a="1"/>
  <c r="DC6" i="2"/>
  <c r="DB6" i="2" a="1"/>
  <c r="DB6" i="2"/>
  <c r="DB8" i="2" s="1"/>
  <c r="DA6" i="2" a="1"/>
  <c r="DA6" i="2" s="1"/>
  <c r="DA7" i="2" s="1"/>
  <c r="CZ6" i="2" a="1"/>
  <c r="CZ6" i="2" s="1"/>
  <c r="CZ7" i="2" s="1"/>
  <c r="CY6" i="2" a="1"/>
  <c r="CY6" i="2" s="1"/>
  <c r="CX6" i="2" a="1"/>
  <c r="CX6" i="2"/>
  <c r="CX7" i="2" s="1"/>
  <c r="CW6" i="2" a="1"/>
  <c r="CW6" i="2" s="1"/>
  <c r="CW8" i="2" s="1"/>
  <c r="CV6" i="2" a="1"/>
  <c r="CV6" i="2" s="1"/>
  <c r="CU6" i="2" a="1"/>
  <c r="CU6" i="2" s="1"/>
  <c r="CT6" i="2" a="1"/>
  <c r="CT6" i="2" s="1"/>
  <c r="CT8" i="2" s="1"/>
  <c r="CS6" i="2" a="1"/>
  <c r="CS6" i="2" s="1"/>
  <c r="CS7" i="2" s="1"/>
  <c r="CR6" i="2" a="1"/>
  <c r="CR6" i="2" s="1"/>
  <c r="CR8" i="2" s="1"/>
  <c r="CQ6" i="2" a="1"/>
  <c r="CQ6" i="2"/>
  <c r="CQ8" i="2" s="1"/>
  <c r="CP6" i="2" a="1"/>
  <c r="CP6" i="2"/>
  <c r="CP7" i="2" s="1"/>
  <c r="CO6" i="2" a="1"/>
  <c r="CO6" i="2" s="1"/>
  <c r="CN6" i="2" a="1"/>
  <c r="CN6" i="2" s="1"/>
  <c r="CN7" i="2" s="1"/>
  <c r="CM6" i="2" a="1"/>
  <c r="CM6" i="2"/>
  <c r="CL6" i="2" a="1"/>
  <c r="CL6" i="2"/>
  <c r="CL7" i="2" s="1"/>
  <c r="CK6" i="2" a="1"/>
  <c r="CK6" i="2" s="1"/>
  <c r="CJ6" i="2" a="1"/>
  <c r="CJ6" i="2" s="1"/>
  <c r="CJ8" i="2" s="1"/>
  <c r="CI6" i="2" a="1"/>
  <c r="CI6" i="2" s="1"/>
  <c r="CI8" i="2" s="1"/>
  <c r="CH6" i="2" a="1"/>
  <c r="CH6" i="2"/>
  <c r="CH8" i="2" s="1"/>
  <c r="CG6" i="2" a="1"/>
  <c r="CG6" i="2" s="1"/>
  <c r="CG8" i="2" s="1"/>
  <c r="CF6" i="2" a="1"/>
  <c r="CF6" i="2" s="1"/>
  <c r="CF7" i="2" s="1"/>
  <c r="CE6" i="2" a="1"/>
  <c r="CE6" i="2" s="1"/>
  <c r="CD6" i="2" a="1"/>
  <c r="CD6" i="2" s="1"/>
  <c r="CD7" i="2" s="1"/>
  <c r="CC6" i="2" a="1"/>
  <c r="CC6" i="2" s="1"/>
  <c r="CC7" i="2" s="1"/>
  <c r="CB6" i="2" a="1"/>
  <c r="CB6" i="2" s="1"/>
  <c r="CB7" i="2" s="1"/>
  <c r="CA6" i="2" a="1"/>
  <c r="CA6" i="2"/>
  <c r="CA7" i="2" s="1"/>
  <c r="BZ6" i="2" a="1"/>
  <c r="BZ6" i="2"/>
  <c r="BZ8" i="2" s="1"/>
  <c r="BY6" i="2" a="1"/>
  <c r="BY6" i="2" s="1"/>
  <c r="BY8" i="2" s="1"/>
  <c r="BX6" i="2" a="1"/>
  <c r="BX6" i="2" s="1"/>
  <c r="BX8" i="2" s="1"/>
  <c r="BW6" i="2" a="1"/>
  <c r="BW6" i="2"/>
  <c r="BV6" i="2" a="1"/>
  <c r="BV6" i="2"/>
  <c r="BV8" i="2" s="1"/>
  <c r="BU6" i="2" a="1"/>
  <c r="BU6" i="2" s="1"/>
  <c r="BT6" i="2" a="1"/>
  <c r="BT6" i="2" s="1"/>
  <c r="BT7" i="2" s="1"/>
  <c r="BS6" i="2" a="1"/>
  <c r="BS6" i="2" s="1"/>
  <c r="BS7" i="2" s="1"/>
  <c r="BR6" i="2" a="1"/>
  <c r="BR6" i="2"/>
  <c r="BR7" i="2" s="1"/>
  <c r="BQ6" i="2" a="1"/>
  <c r="BQ6" i="2" s="1"/>
  <c r="BQ8" i="2" s="1"/>
  <c r="BP6" i="2" a="1"/>
  <c r="BP6" i="2" s="1"/>
  <c r="BO6" i="2" a="1"/>
  <c r="BO6" i="2"/>
  <c r="BN6" i="2" a="1"/>
  <c r="BN6" i="2" s="1"/>
  <c r="BN8" i="2" s="1"/>
  <c r="BM6" i="2" a="1"/>
  <c r="BM6" i="2" s="1"/>
  <c r="BM7" i="2" s="1"/>
  <c r="BL6" i="2" a="1"/>
  <c r="BL6" i="2" s="1"/>
  <c r="BL8" i="2" s="1"/>
  <c r="BK6" i="2" a="1"/>
  <c r="BK6" i="2"/>
  <c r="BK8" i="2" s="1"/>
  <c r="BJ6" i="2" a="1"/>
  <c r="BJ6" i="2"/>
  <c r="BJ7" i="2" s="1"/>
  <c r="BI6" i="2" a="1"/>
  <c r="BI6" i="2" s="1"/>
  <c r="BH6" i="2" a="1"/>
  <c r="BH6" i="2" s="1"/>
  <c r="BH7" i="2" s="1"/>
  <c r="BG6" i="2" a="1"/>
  <c r="BG6" i="2"/>
  <c r="BF6" i="2" a="1"/>
  <c r="BF6" i="2"/>
  <c r="BF7" i="2" s="1"/>
  <c r="BE6" i="2" a="1"/>
  <c r="BE6" i="2" s="1"/>
  <c r="BD6" i="2" a="1"/>
  <c r="BD6" i="2" s="1"/>
  <c r="BD8" i="2" s="1"/>
  <c r="BC6" i="2" a="1"/>
  <c r="BC6" i="2" s="1"/>
  <c r="BC8" i="2" s="1"/>
  <c r="BB6" i="2" a="1"/>
  <c r="BB6" i="2"/>
  <c r="BB8" i="2" s="1"/>
  <c r="BA6" i="2" a="1"/>
  <c r="BA6" i="2" s="1"/>
  <c r="BA8" i="2" s="1"/>
  <c r="AZ6" i="2" a="1"/>
  <c r="AZ6" i="2" s="1"/>
  <c r="AZ7" i="2" s="1"/>
  <c r="AY6" i="2" a="1"/>
  <c r="AY6" i="2"/>
  <c r="AX6" i="2" a="1"/>
  <c r="AX6" i="2" s="1"/>
  <c r="AX7" i="2" s="1"/>
  <c r="AW6" i="2" a="1"/>
  <c r="AW6" i="2" s="1"/>
  <c r="AW7" i="2" s="1"/>
  <c r="AV6" i="2" a="1"/>
  <c r="AV6" i="2" s="1"/>
  <c r="AV7" i="2" s="1"/>
  <c r="AU6" i="2" a="1"/>
  <c r="AU6" i="2"/>
  <c r="AU7" i="2" s="1"/>
  <c r="AT6" i="2" a="1"/>
  <c r="AT6" i="2" s="1"/>
  <c r="AS6" i="2" a="1"/>
  <c r="AS6" i="2" s="1"/>
  <c r="AS8" i="2" s="1"/>
  <c r="AR6" i="2" a="1"/>
  <c r="AR6" i="2" s="1"/>
  <c r="AR8" i="2" s="1"/>
  <c r="AQ6" i="2" a="1"/>
  <c r="AQ6" i="2"/>
  <c r="AP6" i="2" a="1"/>
  <c r="AP6" i="2"/>
  <c r="AP8" i="2" s="1"/>
  <c r="AO6" i="2" a="1"/>
  <c r="AO6" i="2" s="1"/>
  <c r="AN6" i="2" a="1"/>
  <c r="AN6" i="2" s="1"/>
  <c r="AN7" i="2" s="1"/>
  <c r="AM6" i="2" a="1"/>
  <c r="AM6" i="2" s="1"/>
  <c r="AM7" i="2" s="1"/>
  <c r="AL6" i="2" a="1"/>
  <c r="AL6" i="2"/>
  <c r="AL7" i="2" s="1"/>
  <c r="AK6" i="2" a="1"/>
  <c r="AK6" i="2" s="1"/>
  <c r="AK8" i="2" s="1"/>
  <c r="AJ6" i="2" a="1"/>
  <c r="AJ6" i="2" s="1"/>
  <c r="AI6" i="2" a="1"/>
  <c r="AI6" i="2" s="1"/>
  <c r="AH6" i="2" a="1"/>
  <c r="AH6" i="2" s="1"/>
  <c r="AH8" i="2" s="1"/>
  <c r="AG6" i="2" a="1"/>
  <c r="AG6" i="2" s="1"/>
  <c r="AG7" i="2" s="1"/>
  <c r="AF6" i="2" a="1"/>
  <c r="AF6" i="2" s="1"/>
  <c r="AF8" i="2" s="1"/>
  <c r="AE6" i="2" a="1"/>
  <c r="AE6" i="2"/>
  <c r="AE8" i="2" s="1"/>
  <c r="AD6" i="2" a="1"/>
  <c r="AD6" i="2"/>
  <c r="AD7" i="2" s="1"/>
  <c r="AC6" i="2" a="1"/>
  <c r="AC6" i="2" s="1"/>
  <c r="AB6" i="2" a="1"/>
  <c r="AB6" i="2" s="1"/>
  <c r="AB7" i="2" s="1"/>
  <c r="AA6" i="2" a="1"/>
  <c r="AA6" i="2"/>
  <c r="Z6" i="2" a="1"/>
  <c r="Z6" i="2"/>
  <c r="Z7" i="2" s="1"/>
  <c r="Y6" i="2" a="1"/>
  <c r="Y6" i="2" s="1"/>
  <c r="X6" i="2" a="1"/>
  <c r="X6" i="2" s="1"/>
  <c r="X8" i="2" s="1"/>
  <c r="W6" i="2" a="1"/>
  <c r="W6" i="2" s="1"/>
  <c r="W8" i="2" s="1"/>
  <c r="V6" i="2" a="1"/>
  <c r="V6" i="2"/>
  <c r="V8" i="2" s="1"/>
  <c r="U6" i="2" a="1"/>
  <c r="U6" i="2" s="1"/>
  <c r="U8" i="2" s="1"/>
  <c r="T6" i="2" a="1"/>
  <c r="T6" i="2" s="1"/>
  <c r="T7" i="2" s="1"/>
  <c r="S6" i="2" a="1"/>
  <c r="S6" i="2" s="1"/>
  <c r="R6" i="2" a="1"/>
  <c r="R6" i="2" s="1"/>
  <c r="R7" i="2" s="1"/>
  <c r="Q6" i="2" a="1"/>
  <c r="Q6" i="2" s="1"/>
  <c r="Q7" i="2" s="1"/>
  <c r="P6" i="2" a="1"/>
  <c r="P6" i="2" s="1"/>
  <c r="P7" i="2" s="1"/>
  <c r="O6" i="2" a="1"/>
  <c r="O6" i="2"/>
  <c r="O7" i="2" s="1"/>
  <c r="N6" i="2" a="1"/>
  <c r="N6" i="2"/>
  <c r="N8" i="2" s="1"/>
  <c r="M6" i="2" a="1"/>
  <c r="M6" i="2" s="1"/>
  <c r="M8" i="2" s="1"/>
  <c r="L6" i="2" a="1"/>
  <c r="L6" i="2" s="1"/>
  <c r="L8" i="2" s="1"/>
  <c r="K6" i="2" a="1"/>
  <c r="K6" i="2"/>
  <c r="J6" i="2" a="1"/>
  <c r="J6" i="2"/>
  <c r="J8" i="2" s="1"/>
  <c r="I6" i="2" a="1"/>
  <c r="I6" i="2" s="1"/>
  <c r="H6" i="2" a="1"/>
  <c r="H6" i="2" s="1"/>
  <c r="H7" i="2" s="1"/>
  <c r="G6" i="2" a="1"/>
  <c r="G6" i="2" s="1"/>
  <c r="G7" i="2" s="1"/>
  <c r="F6" i="2" a="1"/>
  <c r="F6" i="2"/>
  <c r="F7" i="2" s="1"/>
  <c r="E6" i="2" a="1"/>
  <c r="E6" i="2" s="1"/>
  <c r="E8" i="2" s="1"/>
  <c r="D6" i="2" a="1"/>
  <c r="D6" i="2" s="1"/>
  <c r="C6" i="2" a="1"/>
  <c r="C6" i="2"/>
  <c r="EE8" i="1"/>
  <c r="ED8" i="1"/>
  <c r="DW8" i="1"/>
  <c r="DV8" i="1"/>
  <c r="DS8" i="1"/>
  <c r="DM8" i="1"/>
  <c r="DK8" i="1"/>
  <c r="DF8" i="1"/>
  <c r="CY8" i="1"/>
  <c r="CX8" i="1"/>
  <c r="CQ8" i="1"/>
  <c r="CP8" i="1"/>
  <c r="CO8" i="1"/>
  <c r="CM8" i="1"/>
  <c r="CE8" i="1"/>
  <c r="BZ8" i="1"/>
  <c r="BR8" i="1"/>
  <c r="BL8" i="1"/>
  <c r="BK8" i="1"/>
  <c r="BJ8" i="1"/>
  <c r="BB8" i="1"/>
  <c r="AV8" i="1"/>
  <c r="AU8" i="1"/>
  <c r="AT8" i="1"/>
  <c r="AL8" i="1"/>
  <c r="AE8" i="1"/>
  <c r="AD8" i="1"/>
  <c r="W8" i="1"/>
  <c r="V8" i="1"/>
  <c r="O8" i="1"/>
  <c r="N8" i="1"/>
  <c r="F8" i="1"/>
  <c r="EF7" i="1"/>
  <c r="ED7" i="1"/>
  <c r="EA7" i="1"/>
  <c r="DZ7" i="1"/>
  <c r="DV7" i="1"/>
  <c r="DT7" i="1"/>
  <c r="DS7" i="1"/>
  <c r="DR7" i="1"/>
  <c r="DN7" i="1"/>
  <c r="DM7" i="1"/>
  <c r="DL7" i="1"/>
  <c r="DK7" i="1"/>
  <c r="DJ7" i="1"/>
  <c r="DF7" i="1"/>
  <c r="DC7" i="1"/>
  <c r="DB7" i="1"/>
  <c r="CX7" i="1"/>
  <c r="CU7" i="1"/>
  <c r="CT7" i="1"/>
  <c r="CP7" i="1"/>
  <c r="CM7" i="1"/>
  <c r="CL7" i="1"/>
  <c r="CH7" i="1"/>
  <c r="CF7" i="1"/>
  <c r="CD7" i="1"/>
  <c r="BZ7" i="1"/>
  <c r="BV7" i="1"/>
  <c r="BR7" i="1"/>
  <c r="BP7" i="1"/>
  <c r="BN7" i="1"/>
  <c r="BJ7" i="1"/>
  <c r="BF7" i="1"/>
  <c r="BB7" i="1"/>
  <c r="AZ7" i="1"/>
  <c r="AX7" i="1"/>
  <c r="AT7" i="1"/>
  <c r="AP7" i="1"/>
  <c r="AL7" i="1"/>
  <c r="AJ7" i="1"/>
  <c r="AH7" i="1"/>
  <c r="AD7" i="1"/>
  <c r="Z7" i="1"/>
  <c r="V7" i="1"/>
  <c r="T7" i="1"/>
  <c r="R7" i="1"/>
  <c r="N7" i="1"/>
  <c r="J7" i="1"/>
  <c r="F7" i="1"/>
  <c r="E7" i="1"/>
  <c r="EE6" i="1" a="1"/>
  <c r="EE6" i="1"/>
  <c r="EE7" i="1" s="1"/>
  <c r="ED6" i="1" a="1"/>
  <c r="ED6" i="1"/>
  <c r="EC6" i="1" a="1"/>
  <c r="EC6" i="1" s="1"/>
  <c r="EB6" i="1" a="1"/>
  <c r="EB6" i="1" s="1"/>
  <c r="EB8" i="1" s="1"/>
  <c r="EA6" i="1" a="1"/>
  <c r="EA6" i="1"/>
  <c r="EA8" i="1" s="1"/>
  <c r="DZ6" i="1" a="1"/>
  <c r="DZ6" i="1"/>
  <c r="DZ8" i="1" s="1"/>
  <c r="DY6" i="1" a="1"/>
  <c r="DY6" i="1"/>
  <c r="DX6" i="1" a="1"/>
  <c r="DX6" i="1" s="1"/>
  <c r="DW6" i="1" a="1"/>
  <c r="DW6" i="1"/>
  <c r="DW7" i="1" s="1"/>
  <c r="DV6" i="1" a="1"/>
  <c r="DV6" i="1"/>
  <c r="DU6" i="1" a="1"/>
  <c r="DU6" i="1"/>
  <c r="DU8" i="1" s="1"/>
  <c r="DT6" i="1" a="1"/>
  <c r="DT6" i="1" s="1"/>
  <c r="DT8" i="1" s="1"/>
  <c r="DS6" i="1" a="1"/>
  <c r="DS6" i="1"/>
  <c r="DR6" i="1" a="1"/>
  <c r="DR6" i="1"/>
  <c r="DR8" i="1" s="1"/>
  <c r="DQ6" i="1" a="1"/>
  <c r="DQ6" i="1"/>
  <c r="DP6" i="1" a="1"/>
  <c r="DP6" i="1" s="1"/>
  <c r="DO6" i="1" a="1"/>
  <c r="DO6" i="1"/>
  <c r="DO8" i="1" s="1"/>
  <c r="DN6" i="1" a="1"/>
  <c r="DN6" i="1"/>
  <c r="DN8" i="1" s="1"/>
  <c r="DM6" i="1" a="1"/>
  <c r="DM6" i="1"/>
  <c r="DL6" i="1" a="1"/>
  <c r="DL6" i="1" s="1"/>
  <c r="DL8" i="1" s="1"/>
  <c r="DK6" i="1" a="1"/>
  <c r="DK6" i="1"/>
  <c r="DJ6" i="1" a="1"/>
  <c r="DJ6" i="1"/>
  <c r="DJ8" i="1" s="1"/>
  <c r="DI6" i="1" a="1"/>
  <c r="DI6" i="1" s="1"/>
  <c r="DH6" i="1" a="1"/>
  <c r="DH6" i="1" s="1"/>
  <c r="DG6" i="1" a="1"/>
  <c r="DG6" i="1"/>
  <c r="DG8" i="1" s="1"/>
  <c r="DF6" i="1" a="1"/>
  <c r="DF6" i="1"/>
  <c r="DE6" i="1" a="1"/>
  <c r="DE6" i="1" s="1"/>
  <c r="DD6" i="1" a="1"/>
  <c r="DD6" i="1" s="1"/>
  <c r="DD8" i="1" s="1"/>
  <c r="DC6" i="1" a="1"/>
  <c r="DC6" i="1"/>
  <c r="DC8" i="1" s="1"/>
  <c r="DB6" i="1" a="1"/>
  <c r="DB6" i="1"/>
  <c r="DB8" i="1" s="1"/>
  <c r="DA6" i="1" a="1"/>
  <c r="DA6" i="1"/>
  <c r="DA7" i="1" s="1"/>
  <c r="CZ6" i="1" a="1"/>
  <c r="CZ6" i="1" s="1"/>
  <c r="CZ7" i="1" s="1"/>
  <c r="CY6" i="1" a="1"/>
  <c r="CY6" i="1"/>
  <c r="CY7" i="1" s="1"/>
  <c r="CX6" i="1" a="1"/>
  <c r="CX6" i="1"/>
  <c r="CW6" i="1" a="1"/>
  <c r="CW6" i="1" s="1"/>
  <c r="CV6" i="1" a="1"/>
  <c r="CV6" i="1" s="1"/>
  <c r="CV8" i="1" s="1"/>
  <c r="CU6" i="1" a="1"/>
  <c r="CU6" i="1"/>
  <c r="CU8" i="1" s="1"/>
  <c r="CT6" i="1" a="1"/>
  <c r="CT6" i="1"/>
  <c r="CT8" i="1" s="1"/>
  <c r="CS6" i="1" a="1"/>
  <c r="CS6" i="1"/>
  <c r="CR6" i="1" a="1"/>
  <c r="CR6" i="1" s="1"/>
  <c r="CQ6" i="1" a="1"/>
  <c r="CQ6" i="1"/>
  <c r="CQ7" i="1" s="1"/>
  <c r="CP6" i="1" a="1"/>
  <c r="CP6" i="1"/>
  <c r="CO6" i="1" a="1"/>
  <c r="CO6" i="1"/>
  <c r="CO7" i="1" s="1"/>
  <c r="CN6" i="1" a="1"/>
  <c r="CN6" i="1" s="1"/>
  <c r="CN8" i="1" s="1"/>
  <c r="CM6" i="1" a="1"/>
  <c r="CM6" i="1"/>
  <c r="CL6" i="1" a="1"/>
  <c r="CL6" i="1"/>
  <c r="CL8" i="1" s="1"/>
  <c r="CK6" i="1" a="1"/>
  <c r="CK6" i="1"/>
  <c r="CJ6" i="1" a="1"/>
  <c r="CJ6" i="1" s="1"/>
  <c r="CI6" i="1" a="1"/>
  <c r="CI6" i="1" s="1"/>
  <c r="CH6" i="1" a="1"/>
  <c r="CH6" i="1"/>
  <c r="CH8" i="1" s="1"/>
  <c r="CG6" i="1" a="1"/>
  <c r="CG6" i="1" s="1"/>
  <c r="CF6" i="1" a="1"/>
  <c r="CF6" i="1" s="1"/>
  <c r="CF8" i="1" s="1"/>
  <c r="CE6" i="1" a="1"/>
  <c r="CE6" i="1" s="1"/>
  <c r="CE7" i="1" s="1"/>
  <c r="CD6" i="1" a="1"/>
  <c r="CD6" i="1"/>
  <c r="CD8" i="1" s="1"/>
  <c r="CC6" i="1" a="1"/>
  <c r="CC6" i="1"/>
  <c r="CC7" i="1" s="1"/>
  <c r="CB6" i="1" a="1"/>
  <c r="CB6" i="1" s="1"/>
  <c r="CA6" i="1" a="1"/>
  <c r="CA6" i="1" s="1"/>
  <c r="BZ6" i="1" a="1"/>
  <c r="BZ6" i="1"/>
  <c r="BY6" i="1" a="1"/>
  <c r="BY6" i="1"/>
  <c r="BY8" i="1" s="1"/>
  <c r="BX6" i="1" a="1"/>
  <c r="BX6" i="1" s="1"/>
  <c r="BX8" i="1" s="1"/>
  <c r="BW6" i="1" a="1"/>
  <c r="BW6" i="1" s="1"/>
  <c r="BV6" i="1" a="1"/>
  <c r="BV6" i="1"/>
  <c r="BV8" i="1" s="1"/>
  <c r="BU6" i="1" a="1"/>
  <c r="BU6" i="1"/>
  <c r="BU7" i="1" s="1"/>
  <c r="BT6" i="1" a="1"/>
  <c r="BT6" i="1" s="1"/>
  <c r="BT7" i="1" s="1"/>
  <c r="BS6" i="1" a="1"/>
  <c r="BS6" i="1" s="1"/>
  <c r="BS7" i="1" s="1"/>
  <c r="BR6" i="1" a="1"/>
  <c r="BR6" i="1"/>
  <c r="BQ6" i="1" a="1"/>
  <c r="BQ6" i="1" s="1"/>
  <c r="BP6" i="1" a="1"/>
  <c r="BP6" i="1" s="1"/>
  <c r="BP8" i="1" s="1"/>
  <c r="BO6" i="1" a="1"/>
  <c r="BO6" i="1" s="1"/>
  <c r="BN6" i="1" a="1"/>
  <c r="BN6" i="1"/>
  <c r="BN8" i="1" s="1"/>
  <c r="BM6" i="1" a="1"/>
  <c r="BM6" i="1"/>
  <c r="BL6" i="1" a="1"/>
  <c r="BL6" i="1" s="1"/>
  <c r="BL7" i="1" s="1"/>
  <c r="BK6" i="1" a="1"/>
  <c r="BK6" i="1" s="1"/>
  <c r="BK7" i="1" s="1"/>
  <c r="BJ6" i="1" a="1"/>
  <c r="BJ6" i="1"/>
  <c r="BI6" i="1" a="1"/>
  <c r="BI6" i="1"/>
  <c r="BI8" i="1" s="1"/>
  <c r="BH6" i="1" a="1"/>
  <c r="BH6" i="1" s="1"/>
  <c r="BH8" i="1" s="1"/>
  <c r="BG6" i="1" a="1"/>
  <c r="BG6" i="1" s="1"/>
  <c r="BF6" i="1" a="1"/>
  <c r="BF6" i="1"/>
  <c r="BF8" i="1" s="1"/>
  <c r="BE6" i="1" a="1"/>
  <c r="BE6" i="1"/>
  <c r="BD6" i="1" a="1"/>
  <c r="BD6" i="1" s="1"/>
  <c r="BD7" i="1" s="1"/>
  <c r="BC6" i="1" a="1"/>
  <c r="BC6" i="1" s="1"/>
  <c r="BC7" i="1" s="1"/>
  <c r="BB6" i="1" a="1"/>
  <c r="BB6" i="1"/>
  <c r="BA6" i="1" a="1"/>
  <c r="BA6" i="1" s="1"/>
  <c r="AZ6" i="1" a="1"/>
  <c r="AZ6" i="1" s="1"/>
  <c r="AZ8" i="1" s="1"/>
  <c r="AY6" i="1" a="1"/>
  <c r="AY6" i="1" s="1"/>
  <c r="AX6" i="1" a="1"/>
  <c r="AX6" i="1"/>
  <c r="AX8" i="1" s="1"/>
  <c r="AW6" i="1" a="1"/>
  <c r="AW6" i="1"/>
  <c r="AV6" i="1" a="1"/>
  <c r="AV6" i="1" s="1"/>
  <c r="AV7" i="1" s="1"/>
  <c r="AU6" i="1" a="1"/>
  <c r="AU6" i="1" s="1"/>
  <c r="AU7" i="1" s="1"/>
  <c r="AT6" i="1" a="1"/>
  <c r="AT6" i="1"/>
  <c r="AS6" i="1" a="1"/>
  <c r="AS6" i="1"/>
  <c r="AS8" i="1" s="1"/>
  <c r="AR6" i="1" a="1"/>
  <c r="AR6" i="1" s="1"/>
  <c r="AR8" i="1" s="1"/>
  <c r="AQ6" i="1" a="1"/>
  <c r="AQ6" i="1" s="1"/>
  <c r="AP6" i="1" a="1"/>
  <c r="AP6" i="1"/>
  <c r="AP8" i="1" s="1"/>
  <c r="AO6" i="1" a="1"/>
  <c r="AO6" i="1"/>
  <c r="AN6" i="1" a="1"/>
  <c r="AN6" i="1" s="1"/>
  <c r="AN7" i="1" s="1"/>
  <c r="AM6" i="1" a="1"/>
  <c r="AM6" i="1" s="1"/>
  <c r="AM7" i="1" s="1"/>
  <c r="AL6" i="1" a="1"/>
  <c r="AL6" i="1"/>
  <c r="AK6" i="1" a="1"/>
  <c r="AK6" i="1" s="1"/>
  <c r="AJ6" i="1" a="1"/>
  <c r="AJ6" i="1" s="1"/>
  <c r="AJ8" i="1" s="1"/>
  <c r="AI6" i="1" a="1"/>
  <c r="AI6" i="1" s="1"/>
  <c r="AH6" i="1" a="1"/>
  <c r="AH6" i="1"/>
  <c r="AH8" i="1" s="1"/>
  <c r="AG6" i="1" a="1"/>
  <c r="AG6" i="1"/>
  <c r="AF6" i="1" a="1"/>
  <c r="AF6" i="1" s="1"/>
  <c r="AF7" i="1" s="1"/>
  <c r="AE6" i="1" a="1"/>
  <c r="AE6" i="1" s="1"/>
  <c r="AE7" i="1" s="1"/>
  <c r="AD6" i="1" a="1"/>
  <c r="AD6" i="1"/>
  <c r="AC6" i="1" a="1"/>
  <c r="AC6" i="1"/>
  <c r="AC8" i="1" s="1"/>
  <c r="AB6" i="1" a="1"/>
  <c r="AB6" i="1" s="1"/>
  <c r="AB8" i="1" s="1"/>
  <c r="AA6" i="1" a="1"/>
  <c r="AA6" i="1" s="1"/>
  <c r="Z6" i="1" a="1"/>
  <c r="Z6" i="1"/>
  <c r="Z8" i="1" s="1"/>
  <c r="Y6" i="1" a="1"/>
  <c r="Y6" i="1"/>
  <c r="X6" i="1" a="1"/>
  <c r="X6" i="1" s="1"/>
  <c r="X7" i="1" s="1"/>
  <c r="W6" i="1" a="1"/>
  <c r="W6" i="1" s="1"/>
  <c r="W7" i="1" s="1"/>
  <c r="V6" i="1" a="1"/>
  <c r="V6" i="1"/>
  <c r="U6" i="1" a="1"/>
  <c r="U6" i="1" s="1"/>
  <c r="T6" i="1" a="1"/>
  <c r="T6" i="1" s="1"/>
  <c r="T8" i="1" s="1"/>
  <c r="S6" i="1" a="1"/>
  <c r="S6" i="1" s="1"/>
  <c r="R6" i="1" a="1"/>
  <c r="R6" i="1"/>
  <c r="R8" i="1" s="1"/>
  <c r="Q6" i="1" a="1"/>
  <c r="Q6" i="1"/>
  <c r="P6" i="1" a="1"/>
  <c r="P6" i="1" s="1"/>
  <c r="P7" i="1" s="1"/>
  <c r="O6" i="1" a="1"/>
  <c r="O6" i="1" s="1"/>
  <c r="O7" i="1" s="1"/>
  <c r="N6" i="1" a="1"/>
  <c r="N6" i="1"/>
  <c r="M6" i="1" a="1"/>
  <c r="M6" i="1"/>
  <c r="M8" i="1" s="1"/>
  <c r="L6" i="1" a="1"/>
  <c r="L6" i="1"/>
  <c r="L8" i="1" s="1"/>
  <c r="K6" i="1" a="1"/>
  <c r="K6" i="1" s="1"/>
  <c r="J6" i="1" a="1"/>
  <c r="J6" i="1"/>
  <c r="J8" i="1" s="1"/>
  <c r="I6" i="1" a="1"/>
  <c r="I6" i="1"/>
  <c r="H6" i="1" a="1"/>
  <c r="H6" i="1" s="1"/>
  <c r="G6" i="1" a="1"/>
  <c r="G6" i="1" s="1"/>
  <c r="G7" i="1" s="1"/>
  <c r="F6" i="1" a="1"/>
  <c r="F6" i="1"/>
  <c r="E6" i="1" a="1"/>
  <c r="E6" i="1"/>
  <c r="E8" i="1" s="1"/>
  <c r="D6" i="1" a="1"/>
  <c r="D6" i="1"/>
  <c r="D8" i="1" s="1"/>
  <c r="C6" i="1" a="1"/>
  <c r="C6" i="1" s="1"/>
  <c r="EI21" i="5" l="1"/>
  <c r="EI23" i="5"/>
  <c r="EI13" i="5"/>
  <c r="EI20" i="5"/>
  <c r="M7" i="5"/>
  <c r="EC7" i="5"/>
  <c r="BL8" i="5"/>
  <c r="DX8" i="5"/>
  <c r="AK7" i="5"/>
  <c r="G8" i="5"/>
  <c r="BS8" i="5"/>
  <c r="EE8" i="5"/>
  <c r="AS7" i="5"/>
  <c r="X8" i="5"/>
  <c r="CJ8" i="5"/>
  <c r="BQ7" i="5"/>
  <c r="AE8" i="5"/>
  <c r="CQ8" i="5"/>
  <c r="BY7" i="5"/>
  <c r="AF8" i="5"/>
  <c r="CR8" i="5"/>
  <c r="CW7" i="5"/>
  <c r="AM8" i="5"/>
  <c r="CY8" i="5"/>
  <c r="AJ7" i="4"/>
  <c r="BI7" i="4"/>
  <c r="CJ7" i="4"/>
  <c r="DL7" i="4"/>
  <c r="O8" i="4"/>
  <c r="BS8" i="4"/>
  <c r="DN8" i="4"/>
  <c r="AK7" i="4"/>
  <c r="BL7" i="4"/>
  <c r="CN7" i="4"/>
  <c r="DP7" i="4"/>
  <c r="V8" i="4"/>
  <c r="BZ8" i="4"/>
  <c r="DW8" i="4"/>
  <c r="AN7" i="4"/>
  <c r="BP7" i="4"/>
  <c r="CO7" i="4"/>
  <c r="DT7" i="4"/>
  <c r="AE8" i="4"/>
  <c r="CA8" i="4"/>
  <c r="EE8" i="4"/>
  <c r="BH7" i="4"/>
  <c r="L7" i="4"/>
  <c r="AR7" i="4"/>
  <c r="BT7" i="4"/>
  <c r="CR7" i="4"/>
  <c r="DU7" i="4"/>
  <c r="AM8" i="4"/>
  <c r="CH8" i="4"/>
  <c r="T7" i="4"/>
  <c r="AV7" i="4"/>
  <c r="BX7" i="4"/>
  <c r="CV7" i="4"/>
  <c r="DX7" i="4"/>
  <c r="AT8" i="4"/>
  <c r="CQ8" i="4"/>
  <c r="AB7" i="4"/>
  <c r="AZ7" i="4"/>
  <c r="CB7" i="4"/>
  <c r="CZ7" i="4"/>
  <c r="EB7" i="4"/>
  <c r="AU8" i="4"/>
  <c r="CY8" i="4"/>
  <c r="AC7" i="4"/>
  <c r="BD7" i="4"/>
  <c r="CF7" i="4"/>
  <c r="DD7" i="4"/>
  <c r="EF7" i="4"/>
  <c r="BB8" i="4"/>
  <c r="DF8" i="4"/>
  <c r="T7" i="3"/>
  <c r="BZ7" i="3"/>
  <c r="N8" i="3"/>
  <c r="DP8" i="3"/>
  <c r="AG7" i="3"/>
  <c r="CF7" i="3"/>
  <c r="AI8" i="3"/>
  <c r="DS8" i="3"/>
  <c r="AJ7" i="3"/>
  <c r="CK7" i="3"/>
  <c r="BJ8" i="3"/>
  <c r="EA8" i="3"/>
  <c r="AT7" i="3"/>
  <c r="CP7" i="3"/>
  <c r="AZ7" i="3"/>
  <c r="DM7" i="3"/>
  <c r="CM8" i="3"/>
  <c r="BB7" i="3"/>
  <c r="DN7" i="3"/>
  <c r="DX7" i="3"/>
  <c r="CU8" i="3"/>
  <c r="AE7" i="3"/>
  <c r="AE8" i="3"/>
  <c r="DI7" i="1"/>
  <c r="DI8" i="1"/>
  <c r="CU7" i="2"/>
  <c r="CU8" i="2"/>
  <c r="BA8" i="1"/>
  <c r="BA7" i="1"/>
  <c r="AK8" i="1"/>
  <c r="AK7" i="1"/>
  <c r="AT8" i="2"/>
  <c r="AT7" i="2"/>
  <c r="BK7" i="3"/>
  <c r="BK8" i="3"/>
  <c r="S7" i="2"/>
  <c r="S8" i="2"/>
  <c r="U8" i="1"/>
  <c r="U7" i="1"/>
  <c r="DE8" i="1"/>
  <c r="DE7" i="1"/>
  <c r="EC8" i="1"/>
  <c r="EC7" i="1"/>
  <c r="CW8" i="1"/>
  <c r="CW7" i="1"/>
  <c r="DF8" i="2"/>
  <c r="DF7" i="2"/>
  <c r="H7" i="1"/>
  <c r="H8" i="1"/>
  <c r="CG7" i="1"/>
  <c r="CG8" i="1"/>
  <c r="AI7" i="2"/>
  <c r="AI8" i="2"/>
  <c r="CE7" i="2"/>
  <c r="CE8" i="2"/>
  <c r="BQ8" i="1"/>
  <c r="BQ7" i="1"/>
  <c r="R8" i="2"/>
  <c r="CD8" i="2"/>
  <c r="AD8" i="3"/>
  <c r="AD7" i="3"/>
  <c r="AK8" i="3"/>
  <c r="AK7" i="3"/>
  <c r="AR8" i="3"/>
  <c r="AR7" i="3"/>
  <c r="AY7" i="3"/>
  <c r="AY8" i="3"/>
  <c r="BE8" i="3"/>
  <c r="BE7" i="3"/>
  <c r="C8" i="1"/>
  <c r="C7" i="1"/>
  <c r="CR7" i="1"/>
  <c r="CR8" i="1"/>
  <c r="DX7" i="1"/>
  <c r="DX8" i="1"/>
  <c r="CV7" i="1"/>
  <c r="DU7" i="1"/>
  <c r="X8" i="1"/>
  <c r="Y7" i="2"/>
  <c r="Y8" i="2"/>
  <c r="CK7" i="2"/>
  <c r="CK8" i="2"/>
  <c r="EE8" i="2"/>
  <c r="EE7" i="2"/>
  <c r="BY7" i="2"/>
  <c r="C7" i="3"/>
  <c r="C8" i="3"/>
  <c r="W7" i="3"/>
  <c r="W8" i="3"/>
  <c r="AL7" i="3"/>
  <c r="AL8" i="3"/>
  <c r="G8" i="1"/>
  <c r="BS8" i="1"/>
  <c r="K7" i="3"/>
  <c r="K8" i="3"/>
  <c r="X7" i="3"/>
  <c r="X8" i="3"/>
  <c r="CJ8" i="1"/>
  <c r="CJ7" i="1"/>
  <c r="DP8" i="1"/>
  <c r="DP7" i="1"/>
  <c r="L7" i="1"/>
  <c r="C7" i="2"/>
  <c r="C8" i="2"/>
  <c r="DU8" i="2"/>
  <c r="DU7" i="2"/>
  <c r="CP8" i="2"/>
  <c r="R7" i="3"/>
  <c r="R8" i="3"/>
  <c r="BI7" i="1"/>
  <c r="BU8" i="1"/>
  <c r="X7" i="2"/>
  <c r="L8" i="3"/>
  <c r="L7" i="3"/>
  <c r="S7" i="3"/>
  <c r="S8" i="3"/>
  <c r="CD7" i="3"/>
  <c r="CD8" i="3"/>
  <c r="CR8" i="3"/>
  <c r="CR7" i="3"/>
  <c r="CZ7" i="3"/>
  <c r="CZ8" i="3"/>
  <c r="DH7" i="3"/>
  <c r="DH8" i="3"/>
  <c r="DO7" i="3"/>
  <c r="DO8" i="3"/>
  <c r="D7" i="3"/>
  <c r="AR7" i="1"/>
  <c r="BT8" i="1"/>
  <c r="I7" i="2"/>
  <c r="I8" i="2"/>
  <c r="BI8" i="2"/>
  <c r="BI7" i="2"/>
  <c r="BO7" i="2"/>
  <c r="BO8" i="2"/>
  <c r="AD8" i="2"/>
  <c r="E8" i="3"/>
  <c r="E7" i="3"/>
  <c r="Y8" i="3"/>
  <c r="Y7" i="3"/>
  <c r="BO7" i="3"/>
  <c r="BO8" i="3"/>
  <c r="DQ8" i="1"/>
  <c r="DQ7" i="1"/>
  <c r="AC7" i="1"/>
  <c r="AS7" i="1"/>
  <c r="BY7" i="1"/>
  <c r="CN7" i="1"/>
  <c r="BC8" i="1"/>
  <c r="AX8" i="2"/>
  <c r="BW7" i="3"/>
  <c r="BW8" i="3"/>
  <c r="DH7" i="1"/>
  <c r="DH8" i="1"/>
  <c r="BD8" i="1"/>
  <c r="AY7" i="2"/>
  <c r="AY8" i="2"/>
  <c r="BE7" i="2"/>
  <c r="BE8" i="2"/>
  <c r="CY8" i="2"/>
  <c r="CY7" i="2"/>
  <c r="DK7" i="2"/>
  <c r="DK8" i="2"/>
  <c r="DQ7" i="2"/>
  <c r="DQ8" i="2"/>
  <c r="CI7" i="2"/>
  <c r="AA7" i="3"/>
  <c r="AA8" i="3"/>
  <c r="BQ8" i="3"/>
  <c r="BQ7" i="3"/>
  <c r="BX8" i="3"/>
  <c r="BX7" i="3"/>
  <c r="CE7" i="3"/>
  <c r="CE8" i="3"/>
  <c r="CS8" i="3"/>
  <c r="CS7" i="3"/>
  <c r="DA8" i="3"/>
  <c r="DA7" i="3"/>
  <c r="DI8" i="3"/>
  <c r="DI7" i="3"/>
  <c r="DU8" i="3"/>
  <c r="DU7" i="3"/>
  <c r="EB8" i="3"/>
  <c r="EB7" i="3"/>
  <c r="F8" i="3"/>
  <c r="Q7" i="1"/>
  <c r="Q8" i="1"/>
  <c r="AA8" i="1"/>
  <c r="AA7" i="1"/>
  <c r="AG7" i="1"/>
  <c r="AG8" i="1"/>
  <c r="AQ8" i="1"/>
  <c r="AQ7" i="1"/>
  <c r="AW7" i="1"/>
  <c r="AW8" i="1"/>
  <c r="BG8" i="1"/>
  <c r="BG7" i="1"/>
  <c r="CI8" i="1"/>
  <c r="CI7" i="1"/>
  <c r="DY7" i="1"/>
  <c r="DY8" i="1"/>
  <c r="EF7" i="2"/>
  <c r="EF8" i="2"/>
  <c r="BZ7" i="2"/>
  <c r="Q8" i="3"/>
  <c r="Q7" i="3"/>
  <c r="BG7" i="3"/>
  <c r="BG8" i="3"/>
  <c r="I7" i="1"/>
  <c r="I8" i="1"/>
  <c r="AB7" i="1"/>
  <c r="BH7" i="1"/>
  <c r="BX7" i="1"/>
  <c r="BU7" i="2"/>
  <c r="BU8" i="2"/>
  <c r="EA7" i="2"/>
  <c r="EA8" i="2"/>
  <c r="S8" i="1"/>
  <c r="S7" i="1"/>
  <c r="Y7" i="1"/>
  <c r="Y8" i="1"/>
  <c r="AI8" i="1"/>
  <c r="AI7" i="1"/>
  <c r="AO7" i="1"/>
  <c r="AO8" i="1"/>
  <c r="AY8" i="1"/>
  <c r="AY7" i="1"/>
  <c r="BE7" i="1"/>
  <c r="BE8" i="1"/>
  <c r="BO8" i="1"/>
  <c r="BO7" i="1"/>
  <c r="CK8" i="1"/>
  <c r="CK7" i="1"/>
  <c r="M7" i="1"/>
  <c r="AF8" i="1"/>
  <c r="DV7" i="2"/>
  <c r="DV8" i="2"/>
  <c r="BN7" i="2"/>
  <c r="H8" i="2"/>
  <c r="BT8" i="2"/>
  <c r="CJ7" i="3"/>
  <c r="CJ8" i="3"/>
  <c r="EB7" i="1"/>
  <c r="CA8" i="1"/>
  <c r="CA7" i="1"/>
  <c r="DD7" i="1"/>
  <c r="P8" i="1"/>
  <c r="AM8" i="1"/>
  <c r="CC8" i="1"/>
  <c r="CJ7" i="2"/>
  <c r="DE7" i="2"/>
  <c r="BR7" i="3"/>
  <c r="BR8" i="3"/>
  <c r="BM7" i="1"/>
  <c r="BM8" i="1"/>
  <c r="BW8" i="1"/>
  <c r="BW7" i="1"/>
  <c r="DA8" i="1"/>
  <c r="CS7" i="1"/>
  <c r="CS8" i="1"/>
  <c r="K8" i="1"/>
  <c r="K7" i="1"/>
  <c r="CB7" i="1"/>
  <c r="CB8" i="1"/>
  <c r="D7" i="1"/>
  <c r="AN8" i="1"/>
  <c r="CZ8" i="1"/>
  <c r="AC8" i="2"/>
  <c r="AC7" i="2"/>
  <c r="AO7" i="2"/>
  <c r="AO8" i="2"/>
  <c r="CO8" i="2"/>
  <c r="CO7" i="2"/>
  <c r="M7" i="2"/>
  <c r="BJ8" i="2"/>
  <c r="AQ7" i="3"/>
  <c r="AQ8" i="3"/>
  <c r="AX7" i="3"/>
  <c r="AX8" i="3"/>
  <c r="BD7" i="3"/>
  <c r="BD8" i="3"/>
  <c r="J8" i="3"/>
  <c r="J7" i="3"/>
  <c r="AC8" i="3"/>
  <c r="AC7" i="3"/>
  <c r="AP8" i="3"/>
  <c r="AP7" i="3"/>
  <c r="BC7" i="3"/>
  <c r="BC8" i="3"/>
  <c r="BI8" i="3"/>
  <c r="BI7" i="3"/>
  <c r="BV8" i="3"/>
  <c r="BV7" i="3"/>
  <c r="CI7" i="3"/>
  <c r="CI8" i="3"/>
  <c r="DF7" i="3"/>
  <c r="AW8" i="3"/>
  <c r="AW7" i="3"/>
  <c r="CC8" i="3"/>
  <c r="CC7" i="3"/>
  <c r="CQ7" i="3"/>
  <c r="CQ8" i="3"/>
  <c r="CY7" i="3"/>
  <c r="CY8" i="3"/>
  <c r="DG7" i="3"/>
  <c r="DG8" i="3"/>
  <c r="DT7" i="3"/>
  <c r="DT8" i="3"/>
  <c r="DZ8" i="3"/>
  <c r="DZ7" i="3"/>
  <c r="CH7" i="3"/>
  <c r="DL7" i="3"/>
  <c r="EG12" i="3"/>
  <c r="DG7" i="1"/>
  <c r="DO7" i="1"/>
  <c r="DG7" i="2"/>
  <c r="T8" i="2"/>
  <c r="AZ8" i="2"/>
  <c r="CF8" i="2"/>
  <c r="G7" i="3"/>
  <c r="G8" i="3"/>
  <c r="M8" i="3"/>
  <c r="M7" i="3"/>
  <c r="Z7" i="3"/>
  <c r="Z8" i="3"/>
  <c r="AF8" i="3"/>
  <c r="AF7" i="3"/>
  <c r="AM7" i="3"/>
  <c r="AM8" i="3"/>
  <c r="AS8" i="3"/>
  <c r="AS7" i="3"/>
  <c r="BF7" i="3"/>
  <c r="BF8" i="3"/>
  <c r="BL8" i="3"/>
  <c r="BL7" i="3"/>
  <c r="BS7" i="3"/>
  <c r="BS8" i="3"/>
  <c r="BY8" i="3"/>
  <c r="BY7" i="3"/>
  <c r="CL7" i="3"/>
  <c r="CL8" i="3"/>
  <c r="CT8" i="3"/>
  <c r="CT7" i="3"/>
  <c r="DB8" i="3"/>
  <c r="DB7" i="3"/>
  <c r="DJ7" i="3"/>
  <c r="DJ8" i="3"/>
  <c r="AO7" i="3"/>
  <c r="BP7" i="3"/>
  <c r="DQ7" i="3"/>
  <c r="AN8" i="3"/>
  <c r="DV8" i="3"/>
  <c r="EG16" i="3"/>
  <c r="EG20" i="3"/>
  <c r="EG24" i="3"/>
  <c r="DH7" i="2"/>
  <c r="DT7" i="2"/>
  <c r="ED7" i="2"/>
  <c r="DC7" i="3"/>
  <c r="DC8" i="3"/>
  <c r="BU7" i="3"/>
  <c r="CV7" i="3"/>
  <c r="P8" i="3"/>
  <c r="BT8" i="3"/>
  <c r="CX8" i="3"/>
  <c r="M8" i="4"/>
  <c r="M7" i="4"/>
  <c r="S7" i="4"/>
  <c r="S8" i="4"/>
  <c r="Z7" i="4"/>
  <c r="Z8" i="4"/>
  <c r="BA8" i="4"/>
  <c r="BA7" i="4"/>
  <c r="BQ8" i="4"/>
  <c r="BQ7" i="4"/>
  <c r="DM8" i="4"/>
  <c r="DM7" i="4"/>
  <c r="EC8" i="4"/>
  <c r="EC7" i="4"/>
  <c r="CW7" i="4"/>
  <c r="K7" i="2"/>
  <c r="K8" i="2"/>
  <c r="AA7" i="2"/>
  <c r="AA8" i="2"/>
  <c r="AQ7" i="2"/>
  <c r="AQ8" i="2"/>
  <c r="BG7" i="2"/>
  <c r="BG8" i="2"/>
  <c r="BW7" i="2"/>
  <c r="BW8" i="2"/>
  <c r="CM7" i="2"/>
  <c r="CM8" i="2"/>
  <c r="DC7" i="2"/>
  <c r="DC8" i="2"/>
  <c r="DS7" i="2"/>
  <c r="DS8" i="2"/>
  <c r="O7" i="3"/>
  <c r="O8" i="3"/>
  <c r="U8" i="3"/>
  <c r="U7" i="3"/>
  <c r="AH8" i="3"/>
  <c r="AH7" i="3"/>
  <c r="AU7" i="3"/>
  <c r="AU8" i="3"/>
  <c r="BA8" i="3"/>
  <c r="BA7" i="3"/>
  <c r="BN8" i="3"/>
  <c r="BN7" i="3"/>
  <c r="CA7" i="3"/>
  <c r="CA8" i="3"/>
  <c r="CG8" i="3"/>
  <c r="CG7" i="3"/>
  <c r="CN7" i="3"/>
  <c r="CN8" i="3"/>
  <c r="AV8" i="3"/>
  <c r="ED8" i="3"/>
  <c r="EG15" i="3"/>
  <c r="EG19" i="3"/>
  <c r="EG23" i="3"/>
  <c r="AB7" i="3"/>
  <c r="AB8" i="3"/>
  <c r="BH7" i="3"/>
  <c r="BH8" i="3"/>
  <c r="CO8" i="3"/>
  <c r="CO7" i="3"/>
  <c r="CW8" i="3"/>
  <c r="CW7" i="3"/>
  <c r="DE8" i="3"/>
  <c r="DE7" i="3"/>
  <c r="DR7" i="3"/>
  <c r="DR8" i="3"/>
  <c r="V7" i="3"/>
  <c r="DD7" i="3"/>
  <c r="DY7" i="3"/>
  <c r="CB8" i="3"/>
  <c r="EF8" i="3"/>
  <c r="EG14" i="3"/>
  <c r="H7" i="4"/>
  <c r="H8" i="4"/>
  <c r="U8" i="4"/>
  <c r="U7" i="4"/>
  <c r="AA7" i="4"/>
  <c r="AA8" i="4"/>
  <c r="AG7" i="4"/>
  <c r="AG8" i="4"/>
  <c r="AW7" i="4"/>
  <c r="AW8" i="4"/>
  <c r="BM7" i="4"/>
  <c r="BM8" i="4"/>
  <c r="CC7" i="4"/>
  <c r="CC8" i="4"/>
  <c r="CS7" i="4"/>
  <c r="CS8" i="4"/>
  <c r="DI7" i="4"/>
  <c r="DI8" i="4"/>
  <c r="DY7" i="4"/>
  <c r="DY8" i="4"/>
  <c r="AQ7" i="4"/>
  <c r="AQ8" i="4"/>
  <c r="BG7" i="4"/>
  <c r="BG8" i="4"/>
  <c r="BW7" i="4"/>
  <c r="BW8" i="4"/>
  <c r="CM7" i="4"/>
  <c r="CM8" i="4"/>
  <c r="DC7" i="4"/>
  <c r="DC8" i="4"/>
  <c r="DS7" i="4"/>
  <c r="DS8" i="4"/>
  <c r="EE8" i="3"/>
  <c r="I7" i="4"/>
  <c r="I8" i="4"/>
  <c r="AH7" i="4"/>
  <c r="AH8" i="4"/>
  <c r="AX7" i="4"/>
  <c r="AX8" i="4"/>
  <c r="BN7" i="4"/>
  <c r="BN8" i="4"/>
  <c r="CD7" i="4"/>
  <c r="CD8" i="4"/>
  <c r="CT7" i="4"/>
  <c r="CT8" i="4"/>
  <c r="DJ7" i="4"/>
  <c r="DJ8" i="4"/>
  <c r="DZ7" i="4"/>
  <c r="DZ8" i="4"/>
  <c r="AS7" i="4"/>
  <c r="DE7" i="4"/>
  <c r="W8" i="4"/>
  <c r="BC8" i="4"/>
  <c r="CI8" i="4"/>
  <c r="DO8" i="4"/>
  <c r="C7" i="4"/>
  <c r="C8" i="4"/>
  <c r="J7" i="4"/>
  <c r="J8" i="4"/>
  <c r="P7" i="4"/>
  <c r="P8" i="4"/>
  <c r="AD8" i="4"/>
  <c r="BJ8" i="4"/>
  <c r="CP8" i="4"/>
  <c r="DV8" i="4"/>
  <c r="EC7" i="3"/>
  <c r="DW8" i="3"/>
  <c r="Q7" i="4"/>
  <c r="Q8" i="4"/>
  <c r="AI7" i="4"/>
  <c r="AI8" i="4"/>
  <c r="AY7" i="4"/>
  <c r="AY8" i="4"/>
  <c r="BO7" i="4"/>
  <c r="BO8" i="4"/>
  <c r="CE7" i="4"/>
  <c r="CE8" i="4"/>
  <c r="CU7" i="4"/>
  <c r="CU8" i="4"/>
  <c r="DK7" i="4"/>
  <c r="DK8" i="4"/>
  <c r="EA7" i="4"/>
  <c r="EA8" i="4"/>
  <c r="EH24" i="3"/>
  <c r="K7" i="4"/>
  <c r="K8" i="4"/>
  <c r="R7" i="4"/>
  <c r="R8" i="4"/>
  <c r="X7" i="4"/>
  <c r="X8" i="4"/>
  <c r="AO7" i="4"/>
  <c r="AO8" i="4"/>
  <c r="BE7" i="4"/>
  <c r="BE8" i="4"/>
  <c r="BU7" i="4"/>
  <c r="BU8" i="4"/>
  <c r="CK7" i="4"/>
  <c r="CK8" i="4"/>
  <c r="DA7" i="4"/>
  <c r="DA8" i="4"/>
  <c r="DQ7" i="4"/>
  <c r="DQ8" i="4"/>
  <c r="D7" i="4"/>
  <c r="F8" i="4"/>
  <c r="AL8" i="4"/>
  <c r="BR8" i="4"/>
  <c r="CX8" i="4"/>
  <c r="ED8" i="4"/>
  <c r="Y7" i="4"/>
  <c r="Y8" i="4"/>
  <c r="AP7" i="4"/>
  <c r="AP8" i="4"/>
  <c r="BF7" i="4"/>
  <c r="BF8" i="4"/>
  <c r="BV7" i="4"/>
  <c r="BV8" i="4"/>
  <c r="CL7" i="4"/>
  <c r="CL8" i="4"/>
  <c r="DB7" i="4"/>
  <c r="DB8" i="4"/>
  <c r="DR7" i="4"/>
  <c r="DR8" i="4"/>
  <c r="E7" i="4"/>
  <c r="BY7" i="4"/>
  <c r="G8" i="4"/>
  <c r="BO7" i="5"/>
  <c r="BO8" i="5"/>
  <c r="CX8" i="5"/>
  <c r="CX7" i="5"/>
  <c r="DS7" i="5"/>
  <c r="DS8" i="5"/>
  <c r="DZ7" i="5"/>
  <c r="DZ8" i="5"/>
  <c r="E7" i="5"/>
  <c r="AH7" i="5"/>
  <c r="AH8" i="5"/>
  <c r="BN7" i="5"/>
  <c r="BN8" i="5"/>
  <c r="BV7" i="5"/>
  <c r="BV8" i="5"/>
  <c r="EF7" i="5"/>
  <c r="EF8" i="5"/>
  <c r="BB8" i="5"/>
  <c r="BB7" i="5"/>
  <c r="BI8" i="5"/>
  <c r="BI7" i="5"/>
  <c r="BP7" i="5"/>
  <c r="BP8" i="5"/>
  <c r="DF8" i="5"/>
  <c r="DF7" i="5"/>
  <c r="DM8" i="5"/>
  <c r="DM7" i="5"/>
  <c r="J7" i="5"/>
  <c r="J8" i="5"/>
  <c r="O7" i="5"/>
  <c r="O8" i="5"/>
  <c r="U8" i="5"/>
  <c r="U7" i="5"/>
  <c r="AA7" i="5"/>
  <c r="AA8" i="5"/>
  <c r="AO7" i="5"/>
  <c r="AO8" i="5"/>
  <c r="AV7" i="5"/>
  <c r="AV8" i="5"/>
  <c r="BC7" i="5"/>
  <c r="BC8" i="5"/>
  <c r="BJ8" i="5"/>
  <c r="BJ7" i="5"/>
  <c r="DN8" i="5"/>
  <c r="DN7" i="5"/>
  <c r="P7" i="5"/>
  <c r="P8" i="5"/>
  <c r="V8" i="5"/>
  <c r="V7" i="5"/>
  <c r="AB7" i="5"/>
  <c r="AB8" i="5"/>
  <c r="AP7" i="5"/>
  <c r="AP8" i="5"/>
  <c r="AW7" i="5"/>
  <c r="AW8" i="5"/>
  <c r="F8" i="5"/>
  <c r="F7" i="5"/>
  <c r="K7" i="5"/>
  <c r="K8" i="5"/>
  <c r="Q7" i="5"/>
  <c r="Q8" i="5"/>
  <c r="AC8" i="5"/>
  <c r="AC7" i="5"/>
  <c r="AI7" i="5"/>
  <c r="AI8" i="5"/>
  <c r="L7" i="5"/>
  <c r="L8" i="5"/>
  <c r="W7" i="5"/>
  <c r="W8" i="5"/>
  <c r="AJ7" i="5"/>
  <c r="AJ8" i="5"/>
  <c r="CZ7" i="5"/>
  <c r="CZ8" i="5"/>
  <c r="DG7" i="5"/>
  <c r="DG8" i="5"/>
  <c r="DT7" i="5"/>
  <c r="DT8" i="5"/>
  <c r="BR7" i="5"/>
  <c r="ED7" i="5"/>
  <c r="BZ8" i="5"/>
  <c r="BZ7" i="5"/>
  <c r="CG8" i="5"/>
  <c r="CG7" i="5"/>
  <c r="CM7" i="5"/>
  <c r="CM8" i="5"/>
  <c r="CT7" i="5"/>
  <c r="CT8" i="5"/>
  <c r="DA7" i="5"/>
  <c r="DA8" i="5"/>
  <c r="DH7" i="5"/>
  <c r="DH8" i="5"/>
  <c r="DU8" i="5"/>
  <c r="DU7" i="5"/>
  <c r="EA7" i="5"/>
  <c r="EA8" i="5"/>
  <c r="BT7" i="5"/>
  <c r="BT8" i="5"/>
  <c r="CA7" i="5"/>
  <c r="CA8" i="5"/>
  <c r="CH8" i="5"/>
  <c r="CH7" i="5"/>
  <c r="CN7" i="5"/>
  <c r="CN8" i="5"/>
  <c r="DB7" i="5"/>
  <c r="DB8" i="5"/>
  <c r="DI7" i="5"/>
  <c r="DI8" i="5"/>
  <c r="DO7" i="5"/>
  <c r="DO8" i="5"/>
  <c r="EB7" i="5"/>
  <c r="EB8" i="5"/>
  <c r="AD7" i="5"/>
  <c r="CP7" i="5"/>
  <c r="C7" i="5"/>
  <c r="C8" i="5"/>
  <c r="AT8" i="5"/>
  <c r="AT7" i="5"/>
  <c r="BA8" i="5"/>
  <c r="BA7" i="5"/>
  <c r="BG7" i="5"/>
  <c r="BG8" i="5"/>
  <c r="BU7" i="5"/>
  <c r="BU8" i="5"/>
  <c r="CB7" i="5"/>
  <c r="CB8" i="5"/>
  <c r="CO8" i="5"/>
  <c r="CO7" i="5"/>
  <c r="CU7" i="5"/>
  <c r="CU8" i="5"/>
  <c r="AN7" i="5"/>
  <c r="AN8" i="5"/>
  <c r="AU7" i="5"/>
  <c r="AU8" i="5"/>
  <c r="BH7" i="5"/>
  <c r="BH8" i="5"/>
  <c r="CC7" i="5"/>
  <c r="CC8" i="5"/>
  <c r="CI7" i="5"/>
  <c r="CI8" i="5"/>
  <c r="CV7" i="5"/>
  <c r="CV8" i="5"/>
  <c r="AL7" i="5"/>
  <c r="EI14" i="5"/>
  <c r="R7" i="5"/>
  <c r="R8" i="5"/>
  <c r="AQ7" i="5"/>
  <c r="AQ8" i="5"/>
  <c r="AX7" i="5"/>
  <c r="AX8" i="5"/>
  <c r="BW7" i="5"/>
  <c r="BW8" i="5"/>
  <c r="CD7" i="5"/>
  <c r="CD8" i="5"/>
  <c r="DC7" i="5"/>
  <c r="DC8" i="5"/>
  <c r="DJ7" i="5"/>
  <c r="DJ8" i="5"/>
  <c r="N7" i="5"/>
  <c r="H8" i="5"/>
  <c r="Y7" i="5"/>
  <c r="Y8" i="5"/>
  <c r="AR7" i="5"/>
  <c r="AR8" i="5"/>
  <c r="BE7" i="5"/>
  <c r="BE8" i="5"/>
  <c r="BX7" i="5"/>
  <c r="BX8" i="5"/>
  <c r="CK7" i="5"/>
  <c r="CK8" i="5"/>
  <c r="DD7" i="5"/>
  <c r="DD8" i="5"/>
  <c r="DQ7" i="5"/>
  <c r="DQ8" i="5"/>
  <c r="I7" i="5"/>
  <c r="I8" i="5"/>
  <c r="S7" i="5"/>
  <c r="S8" i="5"/>
  <c r="Z7" i="5"/>
  <c r="Z8" i="5"/>
  <c r="AY7" i="5"/>
  <c r="AY8" i="5"/>
  <c r="BF7" i="5"/>
  <c r="BF8" i="5"/>
  <c r="CE7" i="5"/>
  <c r="CE8" i="5"/>
  <c r="CL7" i="5"/>
  <c r="CL8" i="5"/>
  <c r="DK7" i="5"/>
  <c r="DK8" i="5"/>
  <c r="DR7" i="5"/>
  <c r="DR8" i="5"/>
  <c r="D7" i="5"/>
  <c r="D8" i="5"/>
  <c r="T7" i="5"/>
  <c r="T8" i="5"/>
  <c r="AG7" i="5"/>
  <c r="AG8" i="5"/>
  <c r="AZ7" i="5"/>
  <c r="AZ8" i="5"/>
  <c r="BM7" i="5"/>
  <c r="BM8" i="5"/>
  <c r="CF7" i="5"/>
  <c r="CF8" i="5"/>
  <c r="CS7" i="5"/>
  <c r="CS8" i="5"/>
  <c r="DL7" i="5"/>
  <c r="DL8" i="5"/>
  <c r="DY7" i="5"/>
  <c r="DY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<sst xmlns="http://schemas.openxmlformats.org/spreadsheetml/2006/main" count="2513" uniqueCount="215">
  <si>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</si>
  <si>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</si>
  <si>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</si>
  <si>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</si>
  <si>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</si>
  <si>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</si>
  <si>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</si>
  <si>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</si>
  <si>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</si>
  <si>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</si>
  <si>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</si>
  <si>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</si>
  <si>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</si>
  <si>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</si>
  <si>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</si>
  <si>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</si>
  <si>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</si>
  <si>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</si>
  <si>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</si>
  <si>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</si>
  <si>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</si>
  <si>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</si>
  <si>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</si>
  <si>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</si>
  <si>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</si>
  <si>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</si>
  <si>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</si>
  <si>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</si>
  <si>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</si>
  <si>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</si>
  <si>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</si>
  <si>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</si>
  <si>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</si>
  <si>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</si>
  <si>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</si>
  <si>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</si>
  <si>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</si>
  <si>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</si>
  <si>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</si>
  <si>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</si>
  <si>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</si>
  <si>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</si>
  <si>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</si>
  <si>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</si>
  <si>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</si>
  <si>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</si>
  <si>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</si>
  <si>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</si>
  <si>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</si>
  <si>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</si>
  <si>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</si>
  <si>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</si>
  <si>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</si>
  <si>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</si>
  <si>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</si>
  <si>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</si>
  <si>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</si>
  <si>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</si>
  <si>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</si>
  <si>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</si>
  <si>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</si>
  <si>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</si>
  <si>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</si>
  <si>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</si>
  <si>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</si>
  <si>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</si>
  <si>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</si>
  <si>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</si>
  <si>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</si>
  <si>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</si>
  <si>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</si>
  <si>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</si>
  <si>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</si>
  <si>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</si>
  <si>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</si>
  <si>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</si>
  <si>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</si>
  <si>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</si>
  <si>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</si>
  <si>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</si>
  <si>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</si>
  <si>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</si>
  <si>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</si>
  <si>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</si>
  <si>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</si>
  <si>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</si>
  <si>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</si>
  <si>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</si>
  <si>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</si>
  <si>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</si>
  <si>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</si>
  <si>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</si>
  <si>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</si>
  <si>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</si>
  <si>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</si>
  <si>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</si>
  <si>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</si>
  <si>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</si>
  <si>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</si>
  <si>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</si>
  <si>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</si>
  <si>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</si>
  <si>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</si>
  <si>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</si>
  <si>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</si>
  <si>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</si>
  <si>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</si>
  <si>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</si>
  <si>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</si>
  <si>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</si>
  <si>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</si>
  <si>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</si>
  <si>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</si>
  <si>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</si>
  <si>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</si>
  <si>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</si>
  <si>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</si>
  <si>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</si>
  <si>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</si>
  <si>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</si>
  <si>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</si>
  <si>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</si>
  <si>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</si>
  <si>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</si>
  <si>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</si>
  <si>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</si>
  <si>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</si>
  <si>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</si>
  <si>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</si>
  <si>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</si>
  <si>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</si>
  <si>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</si>
  <si>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</si>
  <si>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</si>
  <si>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</si>
  <si>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</si>
  <si>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</si>
  <si>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</si>
  <si>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</si>
  <si>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</si>
  <si>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</si>
  <si>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</si>
  <si>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</si>
  <si>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</si>
  <si>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</si>
  <si>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</si>
  <si>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</si>
  <si>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</si>
  <si>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</si>
  <si>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</si>
  <si>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</si>
  <si>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</si>
  <si>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</si>
  <si>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</si>
  <si>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</si>
  <si>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</si>
  <si>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</si>
  <si>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</si>
  <si>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</si>
  <si>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</si>
  <si>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</si>
  <si>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</si>
  <si>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</si>
  <si>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</si>
  <si>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</si>
  <si>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</si>
  <si>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</si>
  <si>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</si>
  <si>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</si>
  <si>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</si>
  <si>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</si>
  <si>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</si>
  <si>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</si>
  <si>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天仁</t>
  </si>
  <si>
    <t>瑞昱</t>
  </si>
  <si>
    <t>寶徠</t>
  </si>
  <si>
    <t>郡都開發</t>
  </si>
  <si>
    <t>建國</t>
  </si>
  <si>
    <t>憶聲</t>
  </si>
  <si>
    <t>工信</t>
  </si>
  <si>
    <t>得力</t>
  </si>
  <si>
    <t>威健</t>
  </si>
  <si>
    <t>飛寶企業</t>
  </si>
  <si>
    <t>創見</t>
  </si>
  <si>
    <t>聚亨</t>
  </si>
  <si>
    <t>華友聯</t>
  </si>
  <si>
    <t>三圓</t>
  </si>
  <si>
    <t>北基</t>
  </si>
  <si>
    <t>豐謙</t>
  </si>
  <si>
    <t>新潤</t>
  </si>
  <si>
    <t>帆宣</t>
  </si>
  <si>
    <t>聯上發</t>
  </si>
  <si>
    <t>京城</t>
  </si>
  <si>
    <t>三星</t>
  </si>
  <si>
    <t>加捷生醫</t>
  </si>
  <si>
    <t>天揚</t>
  </si>
  <si>
    <t>寶成</t>
  </si>
  <si>
    <t>力成</t>
  </si>
  <si>
    <t>揚博</t>
  </si>
  <si>
    <t>中光電</t>
  </si>
  <si>
    <t>驊訊</t>
  </si>
  <si>
    <t>光聯</t>
  </si>
  <si>
    <t>基泰</t>
  </si>
  <si>
    <t>沛亨</t>
  </si>
  <si>
    <t>廣積</t>
  </si>
  <si>
    <t>皇田</t>
  </si>
  <si>
    <t>倚強科</t>
  </si>
  <si>
    <t>廣宇</t>
  </si>
  <si>
    <t>中鋼</t>
  </si>
  <si>
    <t>宏璟</t>
  </si>
  <si>
    <t>光洋科</t>
  </si>
  <si>
    <t>中華食</t>
  </si>
  <si>
    <t>建榮</t>
  </si>
  <si>
    <t>統懋</t>
  </si>
  <si>
    <t>台富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</si>
</sst>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4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name val="Calibri"/>
      <family val="2"/>
      <charset val="136"/>
    </font>
    <font>
      <b/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/>
    </xf>
    <xf numFmtId="176" fontId="1" fillId="5" borderId="3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 wrapText="1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'NN3累積報酬 '!$A$21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'NN3累積報酬 '!$B$21:$EE$21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-0.19801687373664528</c:v>
                </c:pt>
                <c:pt idx="2">
                  <c:v>-0.21170704402243587</c:v>
                </c:pt>
                <c:pt idx="3">
                  <c:v>-0.26280452786884406</c:v>
                </c:pt>
                <c:pt idx="4">
                  <c:v>-0.27010066589669551</c:v>
                </c:pt>
                <c:pt idx="5">
                  <c:v>-0.10793657810285762</c:v>
                </c:pt>
                <c:pt idx="6">
                  <c:v>-9.3825299621875663E-2</c:v>
                </c:pt>
                <c:pt idx="7">
                  <c:v>-0.23056821496173227</c:v>
                </c:pt>
                <c:pt idx="8">
                  <c:v>-0.22909791900159635</c:v>
                </c:pt>
                <c:pt idx="9">
                  <c:v>-0.11941831154736644</c:v>
                </c:pt>
                <c:pt idx="10">
                  <c:v>-0.31930328623788207</c:v>
                </c:pt>
                <c:pt idx="11">
                  <c:v>0.2655879783828432</c:v>
                </c:pt>
                <c:pt idx="12">
                  <c:v>0.4048654718298324</c:v>
                </c:pt>
                <c:pt idx="13">
                  <c:v>0.45029266484733549</c:v>
                </c:pt>
                <c:pt idx="14">
                  <c:v>0.17620921957664581</c:v>
                </c:pt>
                <c:pt idx="15">
                  <c:v>0.26111445076998641</c:v>
                </c:pt>
                <c:pt idx="16">
                  <c:v>0.22455115911328949</c:v>
                </c:pt>
                <c:pt idx="17">
                  <c:v>9.3430798174862301E-2</c:v>
                </c:pt>
                <c:pt idx="18">
                  <c:v>0.1797092157866203</c:v>
                </c:pt>
                <c:pt idx="19">
                  <c:v>4.795872713411789E-2</c:v>
                </c:pt>
                <c:pt idx="20">
                  <c:v>0.17245734596262591</c:v>
                </c:pt>
                <c:pt idx="21">
                  <c:v>-3.534392139071188E-2</c:v>
                </c:pt>
                <c:pt idx="22">
                  <c:v>-4.5487581763914438E-2</c:v>
                </c:pt>
                <c:pt idx="23">
                  <c:v>-6.0298660839573845E-3</c:v>
                </c:pt>
                <c:pt idx="24">
                  <c:v>2.2003590108251127E-2</c:v>
                </c:pt>
                <c:pt idx="25">
                  <c:v>-4.3284004922614715E-2</c:v>
                </c:pt>
                <c:pt idx="26">
                  <c:v>-0.20282627738681641</c:v>
                </c:pt>
                <c:pt idx="27">
                  <c:v>-7.400161173925851E-2</c:v>
                </c:pt>
                <c:pt idx="28">
                  <c:v>-6.3690001045198494E-2</c:v>
                </c:pt>
                <c:pt idx="29">
                  <c:v>-3.0123175661217937E-2</c:v>
                </c:pt>
                <c:pt idx="30">
                  <c:v>-4.0693928701176309E-2</c:v>
                </c:pt>
                <c:pt idx="31">
                  <c:v>-8.4100311205615286E-2</c:v>
                </c:pt>
                <c:pt idx="32">
                  <c:v>-4.5061018723242252E-3</c:v>
                </c:pt>
                <c:pt idx="33">
                  <c:v>6.7982377337685862E-4</c:v>
                </c:pt>
                <c:pt idx="34">
                  <c:v>-2.9963609964054411E-2</c:v>
                </c:pt>
                <c:pt idx="35">
                  <c:v>-1.018279640420287E-2</c:v>
                </c:pt>
                <c:pt idx="36">
                  <c:v>2.652817353021027E-2</c:v>
                </c:pt>
                <c:pt idx="37">
                  <c:v>4.5223706122454577E-2</c:v>
                </c:pt>
                <c:pt idx="38">
                  <c:v>0.140208857898654</c:v>
                </c:pt>
                <c:pt idx="39">
                  <c:v>0.15915123681482696</c:v>
                </c:pt>
                <c:pt idx="40">
                  <c:v>9.1951270717361713E-2</c:v>
                </c:pt>
                <c:pt idx="41">
                  <c:v>4.3963129314051573E-2</c:v>
                </c:pt>
                <c:pt idx="42">
                  <c:v>6.1009149278636765E-2</c:v>
                </c:pt>
                <c:pt idx="43">
                  <c:v>-2.4348991333248693E-3</c:v>
                </c:pt>
                <c:pt idx="44">
                  <c:v>0.34404636483010209</c:v>
                </c:pt>
                <c:pt idx="45">
                  <c:v>0.39494393280154438</c:v>
                </c:pt>
                <c:pt idx="46">
                  <c:v>0.5678904655103767</c:v>
                </c:pt>
                <c:pt idx="47">
                  <c:v>0.6338965177278606</c:v>
                </c:pt>
                <c:pt idx="48">
                  <c:v>0.51502032290286681</c:v>
                </c:pt>
                <c:pt idx="49">
                  <c:v>0.62352268131747302</c:v>
                </c:pt>
                <c:pt idx="50">
                  <c:v>0.76311536347879971</c:v>
                </c:pt>
                <c:pt idx="51">
                  <c:v>1.0576280004561216</c:v>
                </c:pt>
                <c:pt idx="52">
                  <c:v>1.0959491481813155</c:v>
                </c:pt>
                <c:pt idx="53">
                  <c:v>1.0656611688734021</c:v>
                </c:pt>
                <c:pt idx="54">
                  <c:v>1.0250728363695902</c:v>
                </c:pt>
                <c:pt idx="55">
                  <c:v>0.96278288699440195</c:v>
                </c:pt>
                <c:pt idx="56">
                  <c:v>0.8842578275324473</c:v>
                </c:pt>
                <c:pt idx="57">
                  <c:v>0.81634109697038471</c:v>
                </c:pt>
                <c:pt idx="58">
                  <c:v>0.86261486560207468</c:v>
                </c:pt>
                <c:pt idx="59">
                  <c:v>0.83903583942035698</c:v>
                </c:pt>
                <c:pt idx="60">
                  <c:v>0.91175895416907093</c:v>
                </c:pt>
                <c:pt idx="61">
                  <c:v>0.91551175267711615</c:v>
                </c:pt>
                <c:pt idx="62">
                  <c:v>0.82054139768381407</c:v>
                </c:pt>
                <c:pt idx="63">
                  <c:v>0.84633216413226098</c:v>
                </c:pt>
                <c:pt idx="64">
                  <c:v>0.86133626684214737</c:v>
                </c:pt>
                <c:pt idx="65">
                  <c:v>0.86551706917374027</c:v>
                </c:pt>
                <c:pt idx="66">
                  <c:v>0.8222126324367337</c:v>
                </c:pt>
                <c:pt idx="67">
                  <c:v>0.8334980304160472</c:v>
                </c:pt>
                <c:pt idx="68">
                  <c:v>0.87960958777730414</c:v>
                </c:pt>
                <c:pt idx="69">
                  <c:v>0.94043033031982892</c:v>
                </c:pt>
                <c:pt idx="70">
                  <c:v>0.76969181976941115</c:v>
                </c:pt>
                <c:pt idx="71">
                  <c:v>0.78893230792165048</c:v>
                </c:pt>
                <c:pt idx="72">
                  <c:v>1.1910632237607097</c:v>
                </c:pt>
                <c:pt idx="73">
                  <c:v>1.1138982212401127</c:v>
                </c:pt>
                <c:pt idx="74">
                  <c:v>1.0989818423232758</c:v>
                </c:pt>
                <c:pt idx="75">
                  <c:v>1.3503836202058621</c:v>
                </c:pt>
                <c:pt idx="76">
                  <c:v>1.4454430540534215</c:v>
                </c:pt>
                <c:pt idx="77">
                  <c:v>1.6533129019550095</c:v>
                </c:pt>
                <c:pt idx="78">
                  <c:v>1.6452939476840431</c:v>
                </c:pt>
                <c:pt idx="79">
                  <c:v>1.7297174986765587</c:v>
                </c:pt>
                <c:pt idx="80">
                  <c:v>1.7912323810307129</c:v>
                </c:pt>
                <c:pt idx="81">
                  <c:v>1.6640619049391048</c:v>
                </c:pt>
                <c:pt idx="82">
                  <c:v>1.9842286883195812</c:v>
                </c:pt>
                <c:pt idx="83">
                  <c:v>1.9128918844362475</c:v>
                </c:pt>
                <c:pt idx="84">
                  <c:v>1.7895985380247004</c:v>
                </c:pt>
                <c:pt idx="85">
                  <c:v>1.7776420711837828</c:v>
                </c:pt>
                <c:pt idx="86">
                  <c:v>1.7862057014999646</c:v>
                </c:pt>
                <c:pt idx="87">
                  <c:v>2.1482894523981608</c:v>
                </c:pt>
                <c:pt idx="88">
                  <c:v>2.0320576332176019</c:v>
                </c:pt>
                <c:pt idx="89">
                  <c:v>2.0207757140271427</c:v>
                </c:pt>
                <c:pt idx="90">
                  <c:v>2.3562594722220225</c:v>
                </c:pt>
                <c:pt idx="91">
                  <c:v>2.2600061838186303</c:v>
                </c:pt>
                <c:pt idx="92">
                  <c:v>2.2006025668005953</c:v>
                </c:pt>
                <c:pt idx="93">
                  <c:v>2.2122183556606982</c:v>
                </c:pt>
                <c:pt idx="94">
                  <c:v>2.2431261013431958</c:v>
                </c:pt>
                <c:pt idx="95">
                  <c:v>2.1608332284888569</c:v>
                </c:pt>
                <c:pt idx="96">
                  <c:v>2.1628306115379416</c:v>
                </c:pt>
                <c:pt idx="97">
                  <c:v>2.2944581426998982</c:v>
                </c:pt>
                <c:pt idx="98">
                  <c:v>2.2637056613918594</c:v>
                </c:pt>
                <c:pt idx="99">
                  <c:v>2.2771011853529184</c:v>
                </c:pt>
                <c:pt idx="100">
                  <c:v>2.3796063464344814</c:v>
                </c:pt>
                <c:pt idx="101">
                  <c:v>2.5698997330776239</c:v>
                </c:pt>
                <c:pt idx="102">
                  <c:v>2.6116087971415496</c:v>
                </c:pt>
                <c:pt idx="103">
                  <c:v>2.6830700109155479</c:v>
                </c:pt>
                <c:pt idx="104">
                  <c:v>2.7313791582810545</c:v>
                </c:pt>
                <c:pt idx="105">
                  <c:v>2.6643516620803127</c:v>
                </c:pt>
                <c:pt idx="106">
                  <c:v>2.6096323940859008</c:v>
                </c:pt>
                <c:pt idx="107">
                  <c:v>2.9107826057679445</c:v>
                </c:pt>
                <c:pt idx="108">
                  <c:v>2.8513730869230307</c:v>
                </c:pt>
                <c:pt idx="109">
                  <c:v>2.8654499071354853</c:v>
                </c:pt>
                <c:pt idx="110">
                  <c:v>2.8998573854156646</c:v>
                </c:pt>
                <c:pt idx="111">
                  <c:v>2.8619460722251047</c:v>
                </c:pt>
                <c:pt idx="112">
                  <c:v>2.7710504813181589</c:v>
                </c:pt>
                <c:pt idx="113">
                  <c:v>2.8032586845677194</c:v>
                </c:pt>
                <c:pt idx="114">
                  <c:v>2.8282474870098651</c:v>
                </c:pt>
                <c:pt idx="115">
                  <c:v>2.7813726516432298</c:v>
                </c:pt>
                <c:pt idx="116">
                  <c:v>3.1129994565218757</c:v>
                </c:pt>
                <c:pt idx="117">
                  <c:v>3.0758908234236424</c:v>
                </c:pt>
                <c:pt idx="118">
                  <c:v>3.0476747713712453</c:v>
                </c:pt>
                <c:pt idx="119">
                  <c:v>2.994117781564551</c:v>
                </c:pt>
                <c:pt idx="120">
                  <c:v>2.9924456868852296</c:v>
                </c:pt>
                <c:pt idx="121">
                  <c:v>2.9827370439429663</c:v>
                </c:pt>
                <c:pt idx="122">
                  <c:v>2.834122327304553</c:v>
                </c:pt>
                <c:pt idx="123">
                  <c:v>2.7844579231551871</c:v>
                </c:pt>
                <c:pt idx="124">
                  <c:v>2.6809234305588845</c:v>
                </c:pt>
                <c:pt idx="125">
                  <c:v>2.494957216527701</c:v>
                </c:pt>
                <c:pt idx="126">
                  <c:v>2.5195532120657171</c:v>
                </c:pt>
                <c:pt idx="127">
                  <c:v>2.6184837857256227</c:v>
                </c:pt>
                <c:pt idx="128">
                  <c:v>2.8845406180049689</c:v>
                </c:pt>
                <c:pt idx="129">
                  <c:v>2.7812450589809612</c:v>
                </c:pt>
                <c:pt idx="130">
                  <c:v>2.8084339905907272</c:v>
                </c:pt>
                <c:pt idx="131">
                  <c:v>2.7257039430875158</c:v>
                </c:pt>
                <c:pt idx="132">
                  <c:v>2.7043933507796485</c:v>
                </c:pt>
                <c:pt idx="133">
                  <c:v>2.6964017479236166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6-4340-864E-74146E024CE7}"/>
            </c:ext>
          </c:extLst>
        </c:ser>
        <c:ser>
          <c:idx val="1"/>
          <c:order val="1"/>
          <c:tx>
            <c:strRef>
              <c:f>'NN3累積報酬 '!$A$22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'NN3累積報酬 '!$B$22:$EE$22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1.9554820724968169E-2</c:v>
                </c:pt>
                <c:pt idx="2">
                  <c:v>2.1997218085091884E-3</c:v>
                </c:pt>
                <c:pt idx="3">
                  <c:v>-9.523427377047726E-2</c:v>
                </c:pt>
                <c:pt idx="4">
                  <c:v>-0.12818909802027587</c:v>
                </c:pt>
                <c:pt idx="5">
                  <c:v>-4.0110350596295613E-3</c:v>
                </c:pt>
                <c:pt idx="6">
                  <c:v>1.3426308146660609E-2</c:v>
                </c:pt>
                <c:pt idx="7">
                  <c:v>-9.0827194589968893E-2</c:v>
                </c:pt>
                <c:pt idx="8">
                  <c:v>-6.2170414473574895E-2</c:v>
                </c:pt>
                <c:pt idx="9">
                  <c:v>0.10901294495232632</c:v>
                </c:pt>
                <c:pt idx="10">
                  <c:v>-7.5649842390623792E-2</c:v>
                </c:pt>
                <c:pt idx="11">
                  <c:v>0.68049360072671516</c:v>
                </c:pt>
                <c:pt idx="12">
                  <c:v>0.74693593289166937</c:v>
                </c:pt>
                <c:pt idx="13">
                  <c:v>0.83756680731830369</c:v>
                </c:pt>
                <c:pt idx="14">
                  <c:v>0.71029591708691342</c:v>
                </c:pt>
                <c:pt idx="15">
                  <c:v>0.77699420969324506</c:v>
                </c:pt>
                <c:pt idx="16">
                  <c:v>0.73776006615606593</c:v>
                </c:pt>
                <c:pt idx="17">
                  <c:v>0.63291109899943598</c:v>
                </c:pt>
                <c:pt idx="18">
                  <c:v>0.74350112240194022</c:v>
                </c:pt>
                <c:pt idx="19">
                  <c:v>0.56787621993152781</c:v>
                </c:pt>
                <c:pt idx="20">
                  <c:v>0.72592397309547851</c:v>
                </c:pt>
                <c:pt idx="21">
                  <c:v>0.46872162188198152</c:v>
                </c:pt>
                <c:pt idx="22">
                  <c:v>0.39886829017918068</c:v>
                </c:pt>
                <c:pt idx="23">
                  <c:v>0.42273441196953709</c:v>
                </c:pt>
                <c:pt idx="24">
                  <c:v>0.54085502633941995</c:v>
                </c:pt>
                <c:pt idx="25">
                  <c:v>0.50258097191784867</c:v>
                </c:pt>
                <c:pt idx="26">
                  <c:v>0.32536789376898601</c:v>
                </c:pt>
                <c:pt idx="27">
                  <c:v>0.33894068254134735</c:v>
                </c:pt>
                <c:pt idx="28">
                  <c:v>0.25379299658364018</c:v>
                </c:pt>
                <c:pt idx="29">
                  <c:v>0.34019723562606374</c:v>
                </c:pt>
                <c:pt idx="30">
                  <c:v>0.29422342261837464</c:v>
                </c:pt>
                <c:pt idx="31">
                  <c:v>0.29471236861239675</c:v>
                </c:pt>
                <c:pt idx="32">
                  <c:v>0.38885362926978279</c:v>
                </c:pt>
                <c:pt idx="33">
                  <c:v>0.40193517090713976</c:v>
                </c:pt>
                <c:pt idx="34">
                  <c:v>0.50322373164753542</c:v>
                </c:pt>
                <c:pt idx="35">
                  <c:v>0.49378399317382515</c:v>
                </c:pt>
                <c:pt idx="36">
                  <c:v>0.53525777329926894</c:v>
                </c:pt>
                <c:pt idx="37">
                  <c:v>0.5705218956697814</c:v>
                </c:pt>
                <c:pt idx="38">
                  <c:v>0.76119467528448714</c:v>
                </c:pt>
                <c:pt idx="39">
                  <c:v>0.78168740380246571</c:v>
                </c:pt>
                <c:pt idx="40">
                  <c:v>0.67155569151118721</c:v>
                </c:pt>
                <c:pt idx="41">
                  <c:v>0.60363120380758384</c:v>
                </c:pt>
                <c:pt idx="42">
                  <c:v>0.76822064415476965</c:v>
                </c:pt>
                <c:pt idx="43">
                  <c:v>0.76929433888503251</c:v>
                </c:pt>
                <c:pt idx="44">
                  <c:v>1.1986481235633786</c:v>
                </c:pt>
                <c:pt idx="45">
                  <c:v>1.258294263737044</c:v>
                </c:pt>
                <c:pt idx="46">
                  <c:v>1.4905038488407496</c:v>
                </c:pt>
                <c:pt idx="47">
                  <c:v>1.3827432130661852</c:v>
                </c:pt>
                <c:pt idx="48">
                  <c:v>1.2190188817206182</c:v>
                </c:pt>
                <c:pt idx="49">
                  <c:v>1.3742072857641519</c:v>
                </c:pt>
                <c:pt idx="50">
                  <c:v>1.4239822433483389</c:v>
                </c:pt>
                <c:pt idx="51">
                  <c:v>1.7935328266448267</c:v>
                </c:pt>
                <c:pt idx="52">
                  <c:v>1.6626958885218714</c:v>
                </c:pt>
                <c:pt idx="53">
                  <c:v>1.6043595338803107</c:v>
                </c:pt>
                <c:pt idx="54">
                  <c:v>1.5358764970122101</c:v>
                </c:pt>
                <c:pt idx="55">
                  <c:v>1.4809904832574039</c:v>
                </c:pt>
                <c:pt idx="56">
                  <c:v>1.3848119541277659</c:v>
                </c:pt>
                <c:pt idx="57">
                  <c:v>1.3768185420642156</c:v>
                </c:pt>
                <c:pt idx="58">
                  <c:v>1.4591640095368898</c:v>
                </c:pt>
                <c:pt idx="59">
                  <c:v>1.4041675943861689</c:v>
                </c:pt>
                <c:pt idx="60">
                  <c:v>1.4524828354378332</c:v>
                </c:pt>
                <c:pt idx="61">
                  <c:v>1.4703467175721145</c:v>
                </c:pt>
                <c:pt idx="62">
                  <c:v>1.349407082244539</c:v>
                </c:pt>
                <c:pt idx="63">
                  <c:v>1.4323449814448614</c:v>
                </c:pt>
                <c:pt idx="64">
                  <c:v>1.4706950444087044</c:v>
                </c:pt>
                <c:pt idx="65">
                  <c:v>1.471236044533236</c:v>
                </c:pt>
                <c:pt idx="66">
                  <c:v>1.3890866476737183</c:v>
                </c:pt>
                <c:pt idx="67">
                  <c:v>1.4087269785339169</c:v>
                </c:pt>
                <c:pt idx="68">
                  <c:v>1.4606419660770396</c:v>
                </c:pt>
                <c:pt idx="69">
                  <c:v>1.3719157717442561</c:v>
                </c:pt>
                <c:pt idx="70">
                  <c:v>1.2675651886618911</c:v>
                </c:pt>
                <c:pt idx="71">
                  <c:v>1.2682469488294483</c:v>
                </c:pt>
                <c:pt idx="72">
                  <c:v>1.6959634452938246</c:v>
                </c:pt>
                <c:pt idx="73">
                  <c:v>1.5829345463894593</c:v>
                </c:pt>
                <c:pt idx="74">
                  <c:v>1.6152874219099587</c:v>
                </c:pt>
                <c:pt idx="75">
                  <c:v>1.8949167607571131</c:v>
                </c:pt>
                <c:pt idx="76">
                  <c:v>2.0389954967913684</c:v>
                </c:pt>
                <c:pt idx="77">
                  <c:v>2.2937347525062295</c:v>
                </c:pt>
                <c:pt idx="78">
                  <c:v>2.1686307571861967</c:v>
                </c:pt>
                <c:pt idx="79">
                  <c:v>2.264149300051193</c:v>
                </c:pt>
                <c:pt idx="80">
                  <c:v>2.3309894456880107</c:v>
                </c:pt>
                <c:pt idx="81">
                  <c:v>2.175416877265544</c:v>
                </c:pt>
                <c:pt idx="82">
                  <c:v>2.6192176923199542</c:v>
                </c:pt>
                <c:pt idx="83">
                  <c:v>2.5924565747972212</c:v>
                </c:pt>
                <c:pt idx="84">
                  <c:v>2.3620074077590369</c:v>
                </c:pt>
                <c:pt idx="85">
                  <c:v>2.3457645599159149</c:v>
                </c:pt>
                <c:pt idx="86">
                  <c:v>2.3186120633449776</c:v>
                </c:pt>
                <c:pt idx="87">
                  <c:v>2.8725664287474957</c:v>
                </c:pt>
                <c:pt idx="88">
                  <c:v>2.6527339435500323</c:v>
                </c:pt>
                <c:pt idx="89">
                  <c:v>2.6745842503356201</c:v>
                </c:pt>
                <c:pt idx="90">
                  <c:v>2.946643748482495</c:v>
                </c:pt>
                <c:pt idx="91">
                  <c:v>2.865320642461108</c:v>
                </c:pt>
                <c:pt idx="92">
                  <c:v>2.7908536321870798</c:v>
                </c:pt>
                <c:pt idx="93">
                  <c:v>2.7624314271079191</c:v>
                </c:pt>
                <c:pt idx="94">
                  <c:v>2.786871013939952</c:v>
                </c:pt>
                <c:pt idx="95">
                  <c:v>2.7286384925839666</c:v>
                </c:pt>
                <c:pt idx="96">
                  <c:v>2.755219497631002</c:v>
                </c:pt>
                <c:pt idx="97">
                  <c:v>2.8848369963998852</c:v>
                </c:pt>
                <c:pt idx="98">
                  <c:v>2.8713371978639235</c:v>
                </c:pt>
                <c:pt idx="99">
                  <c:v>2.918622651122714</c:v>
                </c:pt>
                <c:pt idx="100">
                  <c:v>3.0231334771907754</c:v>
                </c:pt>
                <c:pt idx="101">
                  <c:v>3.2298273392765338</c:v>
                </c:pt>
                <c:pt idx="102">
                  <c:v>3.2622813340866723</c:v>
                </c:pt>
                <c:pt idx="103">
                  <c:v>3.3163229557971943</c:v>
                </c:pt>
                <c:pt idx="104">
                  <c:v>3.3886649895301382</c:v>
                </c:pt>
                <c:pt idx="105">
                  <c:v>3.3727024117145756</c:v>
                </c:pt>
                <c:pt idx="106">
                  <c:v>3.2393462684691463</c:v>
                </c:pt>
                <c:pt idx="107">
                  <c:v>3.6290139021632699</c:v>
                </c:pt>
                <c:pt idx="108">
                  <c:v>3.557124402746267</c:v>
                </c:pt>
                <c:pt idx="109">
                  <c:v>3.5710697489297711</c:v>
                </c:pt>
                <c:pt idx="110">
                  <c:v>3.6346307481920204</c:v>
                </c:pt>
                <c:pt idx="111">
                  <c:v>3.5843847423589246</c:v>
                </c:pt>
                <c:pt idx="112">
                  <c:v>3.4929563372994132</c:v>
                </c:pt>
                <c:pt idx="113">
                  <c:v>3.5146366634573036</c:v>
                </c:pt>
                <c:pt idx="114">
                  <c:v>3.5465213727470344</c:v>
                </c:pt>
                <c:pt idx="115">
                  <c:v>3.4633476656694757</c:v>
                </c:pt>
                <c:pt idx="116">
                  <c:v>3.5390634817243818</c:v>
                </c:pt>
                <c:pt idx="117">
                  <c:v>3.4339644219239029</c:v>
                </c:pt>
                <c:pt idx="118">
                  <c:v>3.3821142200862817</c:v>
                </c:pt>
                <c:pt idx="119">
                  <c:v>3.3108779204131462</c:v>
                </c:pt>
                <c:pt idx="120">
                  <c:v>3.2745316581636104</c:v>
                </c:pt>
                <c:pt idx="121">
                  <c:v>3.2308502118395221</c:v>
                </c:pt>
                <c:pt idx="122">
                  <c:v>3.069303300956792</c:v>
                </c:pt>
                <c:pt idx="123">
                  <c:v>3.1226734677850341</c:v>
                </c:pt>
                <c:pt idx="124">
                  <c:v>3.0412580544051107</c:v>
                </c:pt>
                <c:pt idx="125">
                  <c:v>2.8188154459568158</c:v>
                </c:pt>
                <c:pt idx="126">
                  <c:v>2.8106683293312757</c:v>
                </c:pt>
                <c:pt idx="127">
                  <c:v>2.921502834118987</c:v>
                </c:pt>
                <c:pt idx="128">
                  <c:v>3.0618589961196805</c:v>
                </c:pt>
                <c:pt idx="129">
                  <c:v>2.9189319200673531</c:v>
                </c:pt>
                <c:pt idx="130">
                  <c:v>3.0070173674937775</c:v>
                </c:pt>
                <c:pt idx="131">
                  <c:v>2.9495181488849673</c:v>
                </c:pt>
                <c:pt idx="132">
                  <c:v>2.9018814895002683</c:v>
                </c:pt>
                <c:pt idx="133">
                  <c:v>2.8670912431280957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6-4340-864E-74146E024CE7}"/>
            </c:ext>
          </c:extLst>
        </c:ser>
        <c:ser>
          <c:idx val="2"/>
          <c:order val="2"/>
          <c:tx>
            <c:strRef>
              <c:f>'NN3累積報酬 '!$A$23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'NN3累積報酬 '!$B$23:$EE$23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-6.4797676971711279E-2</c:v>
                </c:pt>
                <c:pt idx="2">
                  <c:v>6.8207517084459726E-2</c:v>
                </c:pt>
                <c:pt idx="3">
                  <c:v>-7.3457391967441985E-2</c:v>
                </c:pt>
                <c:pt idx="4">
                  <c:v>-0.12568156581394035</c:v>
                </c:pt>
                <c:pt idx="5">
                  <c:v>-0.14387003665542503</c:v>
                </c:pt>
                <c:pt idx="6">
                  <c:v>-0.18025652552183213</c:v>
                </c:pt>
                <c:pt idx="7">
                  <c:v>-0.29513403145227723</c:v>
                </c:pt>
                <c:pt idx="8">
                  <c:v>-0.35505191596034014</c:v>
                </c:pt>
                <c:pt idx="9">
                  <c:v>-0.30100838618474152</c:v>
                </c:pt>
                <c:pt idx="10">
                  <c:v>-0.44829535421223843</c:v>
                </c:pt>
                <c:pt idx="11">
                  <c:v>0.52760608905904161</c:v>
                </c:pt>
                <c:pt idx="12">
                  <c:v>0.65050579636620998</c:v>
                </c:pt>
                <c:pt idx="13">
                  <c:v>0.70518732240075788</c:v>
                </c:pt>
                <c:pt idx="14">
                  <c:v>0.41401382893405325</c:v>
                </c:pt>
                <c:pt idx="15">
                  <c:v>0.47683580690381494</c:v>
                </c:pt>
                <c:pt idx="16">
                  <c:v>0.40426314245375267</c:v>
                </c:pt>
                <c:pt idx="17">
                  <c:v>0.31958696668502401</c:v>
                </c:pt>
                <c:pt idx="18">
                  <c:v>0.41334438912581839</c:v>
                </c:pt>
                <c:pt idx="19">
                  <c:v>0.18086718575489369</c:v>
                </c:pt>
                <c:pt idx="20">
                  <c:v>0.44041450943195287</c:v>
                </c:pt>
                <c:pt idx="21">
                  <c:v>0.24585804797430857</c:v>
                </c:pt>
                <c:pt idx="22">
                  <c:v>0.17790812638295778</c:v>
                </c:pt>
                <c:pt idx="23">
                  <c:v>0.21896009290320914</c:v>
                </c:pt>
                <c:pt idx="24">
                  <c:v>0.37060942474925523</c:v>
                </c:pt>
                <c:pt idx="25">
                  <c:v>0.32286047953009978</c:v>
                </c:pt>
                <c:pt idx="26">
                  <c:v>8.8851858583654963E-2</c:v>
                </c:pt>
                <c:pt idx="27">
                  <c:v>0.160480726669329</c:v>
                </c:pt>
                <c:pt idx="28">
                  <c:v>-6.1232509152320092E-2</c:v>
                </c:pt>
                <c:pt idx="29">
                  <c:v>-3.593201678577284E-2</c:v>
                </c:pt>
                <c:pt idx="30">
                  <c:v>-3.7989693836200204E-2</c:v>
                </c:pt>
                <c:pt idx="31">
                  <c:v>-7.1020346553050256E-4</c:v>
                </c:pt>
                <c:pt idx="32">
                  <c:v>1.6495713847936768E-2</c:v>
                </c:pt>
                <c:pt idx="33">
                  <c:v>4.0083154141960939E-2</c:v>
                </c:pt>
                <c:pt idx="34">
                  <c:v>0.15419425348915194</c:v>
                </c:pt>
                <c:pt idx="35">
                  <c:v>0.14012766038214758</c:v>
                </c:pt>
                <c:pt idx="36">
                  <c:v>0.22682048809843763</c:v>
                </c:pt>
                <c:pt idx="37">
                  <c:v>0.35445008691162228</c:v>
                </c:pt>
                <c:pt idx="38">
                  <c:v>0.70093440172553101</c:v>
                </c:pt>
                <c:pt idx="39">
                  <c:v>0.53566802939203895</c:v>
                </c:pt>
                <c:pt idx="40">
                  <c:v>0.43628739037928671</c:v>
                </c:pt>
                <c:pt idx="41">
                  <c:v>0.29015122603991961</c:v>
                </c:pt>
                <c:pt idx="42">
                  <c:v>0.32231823745011806</c:v>
                </c:pt>
                <c:pt idx="43">
                  <c:v>0.33926946826584903</c:v>
                </c:pt>
                <c:pt idx="44">
                  <c:v>0.94760151251532565</c:v>
                </c:pt>
                <c:pt idx="45">
                  <c:v>0.85084426211519215</c:v>
                </c:pt>
                <c:pt idx="46">
                  <c:v>1.1772725348203066</c:v>
                </c:pt>
                <c:pt idx="47">
                  <c:v>1.242409689146009</c:v>
                </c:pt>
                <c:pt idx="48">
                  <c:v>1.0792617780652987</c:v>
                </c:pt>
                <c:pt idx="49">
                  <c:v>1.1573333545865057</c:v>
                </c:pt>
                <c:pt idx="50">
                  <c:v>1.2113316932163631</c:v>
                </c:pt>
                <c:pt idx="51">
                  <c:v>1.7781582192638035</c:v>
                </c:pt>
                <c:pt idx="52">
                  <c:v>1.4773299700907376</c:v>
                </c:pt>
                <c:pt idx="53">
                  <c:v>1.4619793008663033</c:v>
                </c:pt>
                <c:pt idx="54">
                  <c:v>1.3754469060763004</c:v>
                </c:pt>
                <c:pt idx="55">
                  <c:v>1.3154339624544751</c:v>
                </c:pt>
                <c:pt idx="56">
                  <c:v>1.2705252877602085</c:v>
                </c:pt>
                <c:pt idx="57">
                  <c:v>1.3241221516951986</c:v>
                </c:pt>
                <c:pt idx="58">
                  <c:v>1.4453276753306088</c:v>
                </c:pt>
                <c:pt idx="59">
                  <c:v>1.3413243600626819</c:v>
                </c:pt>
                <c:pt idx="60">
                  <c:v>1.3891736833638699</c:v>
                </c:pt>
                <c:pt idx="61">
                  <c:v>1.3357414634191971</c:v>
                </c:pt>
                <c:pt idx="62">
                  <c:v>1.1515936561613285</c:v>
                </c:pt>
                <c:pt idx="63">
                  <c:v>1.1900468934016017</c:v>
                </c:pt>
                <c:pt idx="64">
                  <c:v>1.2518623733694683</c:v>
                </c:pt>
                <c:pt idx="65">
                  <c:v>1.2743380947621501</c:v>
                </c:pt>
                <c:pt idx="66">
                  <c:v>1.1521173640307949</c:v>
                </c:pt>
                <c:pt idx="67">
                  <c:v>1.160469550283673</c:v>
                </c:pt>
                <c:pt idx="68">
                  <c:v>1.2861397080209487</c:v>
                </c:pt>
                <c:pt idx="69">
                  <c:v>1.0679530318880446</c:v>
                </c:pt>
                <c:pt idx="70">
                  <c:v>0.96226775809464138</c:v>
                </c:pt>
                <c:pt idx="71">
                  <c:v>0.94524880721871352</c:v>
                </c:pt>
                <c:pt idx="72">
                  <c:v>1.5462463336521646</c:v>
                </c:pt>
                <c:pt idx="73">
                  <c:v>1.4775112443213667</c:v>
                </c:pt>
                <c:pt idx="74">
                  <c:v>1.5174506931974971</c:v>
                </c:pt>
                <c:pt idx="75">
                  <c:v>1.8698485602625199</c:v>
                </c:pt>
                <c:pt idx="76">
                  <c:v>2.0762212826500068</c:v>
                </c:pt>
                <c:pt idx="77">
                  <c:v>2.3923880444087571</c:v>
                </c:pt>
                <c:pt idx="78">
                  <c:v>2.3078434296929817</c:v>
                </c:pt>
                <c:pt idx="79">
                  <c:v>2.4490853738545306</c:v>
                </c:pt>
                <c:pt idx="80">
                  <c:v>2.508687675692248</c:v>
                </c:pt>
                <c:pt idx="81">
                  <c:v>2.3252544394066885</c:v>
                </c:pt>
                <c:pt idx="82">
                  <c:v>2.6181583775244257</c:v>
                </c:pt>
                <c:pt idx="83">
                  <c:v>2.6401089417500363</c:v>
                </c:pt>
                <c:pt idx="84">
                  <c:v>2.5809864678365124</c:v>
                </c:pt>
                <c:pt idx="85">
                  <c:v>2.6192417167727893</c:v>
                </c:pt>
                <c:pt idx="86">
                  <c:v>2.5626473913932841</c:v>
                </c:pt>
                <c:pt idx="87">
                  <c:v>3.3837962181588157</c:v>
                </c:pt>
                <c:pt idx="88">
                  <c:v>3.1490912455427167</c:v>
                </c:pt>
                <c:pt idx="89">
                  <c:v>3.1990603011069592</c:v>
                </c:pt>
                <c:pt idx="90">
                  <c:v>3.4652188388340606</c:v>
                </c:pt>
                <c:pt idx="91">
                  <c:v>3.3455005251549683</c:v>
                </c:pt>
                <c:pt idx="92">
                  <c:v>3.278185427006596</c:v>
                </c:pt>
                <c:pt idx="93">
                  <c:v>3.2399525878353761</c:v>
                </c:pt>
                <c:pt idx="94">
                  <c:v>3.3089679586922811</c:v>
                </c:pt>
                <c:pt idx="95">
                  <c:v>3.2633054169810274</c:v>
                </c:pt>
                <c:pt idx="96">
                  <c:v>3.2545311269100341</c:v>
                </c:pt>
                <c:pt idx="97">
                  <c:v>3.4563825897969127</c:v>
                </c:pt>
                <c:pt idx="98">
                  <c:v>3.5205477019127542</c:v>
                </c:pt>
                <c:pt idx="99">
                  <c:v>3.4762936223632193</c:v>
                </c:pt>
                <c:pt idx="100">
                  <c:v>3.6300439560347582</c:v>
                </c:pt>
                <c:pt idx="101">
                  <c:v>3.7960484052520975</c:v>
                </c:pt>
                <c:pt idx="102">
                  <c:v>3.8606932877004865</c:v>
                </c:pt>
                <c:pt idx="103">
                  <c:v>3.8794403541437061</c:v>
                </c:pt>
                <c:pt idx="104">
                  <c:v>3.9518563878001323</c:v>
                </c:pt>
                <c:pt idx="105">
                  <c:v>3.9334485615271308</c:v>
                </c:pt>
                <c:pt idx="106">
                  <c:v>3.7920032616675718</c:v>
                </c:pt>
                <c:pt idx="107">
                  <c:v>4.2007981822284925</c:v>
                </c:pt>
                <c:pt idx="108">
                  <c:v>4.1331777548220829</c:v>
                </c:pt>
                <c:pt idx="109">
                  <c:v>4.1885912021308256</c:v>
                </c:pt>
                <c:pt idx="110">
                  <c:v>4.2420707990468465</c:v>
                </c:pt>
                <c:pt idx="111">
                  <c:v>4.1550127908744985</c:v>
                </c:pt>
                <c:pt idx="112">
                  <c:v>4.0637678021336718</c:v>
                </c:pt>
                <c:pt idx="113">
                  <c:v>4.0071604678025965</c:v>
                </c:pt>
                <c:pt idx="114">
                  <c:v>4.0536377837918387</c:v>
                </c:pt>
                <c:pt idx="115">
                  <c:v>3.9354330293644693</c:v>
                </c:pt>
                <c:pt idx="116">
                  <c:v>4.0595014713521982</c:v>
                </c:pt>
                <c:pt idx="117">
                  <c:v>4.0210970755141995</c:v>
                </c:pt>
                <c:pt idx="118">
                  <c:v>3.8999650342567418</c:v>
                </c:pt>
                <c:pt idx="119">
                  <c:v>3.7975392390217406</c:v>
                </c:pt>
                <c:pt idx="120">
                  <c:v>3.6809632473548013</c:v>
                </c:pt>
                <c:pt idx="121">
                  <c:v>3.6267127866861886</c:v>
                </c:pt>
                <c:pt idx="122">
                  <c:v>3.5710733079779065</c:v>
                </c:pt>
                <c:pt idx="123">
                  <c:v>3.579206561593181</c:v>
                </c:pt>
                <c:pt idx="124">
                  <c:v>3.6022583823482428</c:v>
                </c:pt>
                <c:pt idx="125">
                  <c:v>3.2887651759692766</c:v>
                </c:pt>
                <c:pt idx="126">
                  <c:v>3.4586420046215309</c:v>
                </c:pt>
                <c:pt idx="127">
                  <c:v>3.2414680168690895</c:v>
                </c:pt>
                <c:pt idx="128">
                  <c:v>3.2127092370926844</c:v>
                </c:pt>
                <c:pt idx="129">
                  <c:v>3.0744837419694822</c:v>
                </c:pt>
                <c:pt idx="130">
                  <c:v>3.1681282751300022</c:v>
                </c:pt>
                <c:pt idx="131">
                  <c:v>3.2070286976997262</c:v>
                </c:pt>
                <c:pt idx="132">
                  <c:v>3.1378166217147334</c:v>
                </c:pt>
                <c:pt idx="133">
                  <c:v>3.0900343431230737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6-4340-864E-74146E024CE7}"/>
            </c:ext>
          </c:extLst>
        </c:ser>
        <c:ser>
          <c:idx val="3"/>
          <c:order val="3"/>
          <c:tx>
            <c:strRef>
              <c:f>'NN3累積報酬 '!$A$24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'NN3累積報酬 '!$B$24:$EE$24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0.34345662464917404</c:v>
                </c:pt>
                <c:pt idx="3">
                  <c:v>0.11629707801242523</c:v>
                </c:pt>
                <c:pt idx="4">
                  <c:v>0.34205710106999765</c:v>
                </c:pt>
                <c:pt idx="5">
                  <c:v>0.37791289772495429</c:v>
                </c:pt>
                <c:pt idx="6">
                  <c:v>0.39483998690569805</c:v>
                </c:pt>
                <c:pt idx="7">
                  <c:v>0.27937718869167555</c:v>
                </c:pt>
                <c:pt idx="8">
                  <c:v>0.33311018535990955</c:v>
                </c:pt>
                <c:pt idx="9">
                  <c:v>0.42873343586859169</c:v>
                </c:pt>
                <c:pt idx="10">
                  <c:v>0.21094776283085021</c:v>
                </c:pt>
                <c:pt idx="11">
                  <c:v>1.9799791319434192</c:v>
                </c:pt>
                <c:pt idx="12">
                  <c:v>2.2242569953316025</c:v>
                </c:pt>
                <c:pt idx="13">
                  <c:v>2.2259932841959498</c:v>
                </c:pt>
                <c:pt idx="14">
                  <c:v>2.2288404197983471</c:v>
                </c:pt>
                <c:pt idx="15">
                  <c:v>2.201017595913259</c:v>
                </c:pt>
                <c:pt idx="16">
                  <c:v>2.1899631357058102</c:v>
                </c:pt>
                <c:pt idx="17">
                  <c:v>1.9021465321863225</c:v>
                </c:pt>
                <c:pt idx="18">
                  <c:v>2.0506652064102404</c:v>
                </c:pt>
                <c:pt idx="19">
                  <c:v>1.9519866951509104</c:v>
                </c:pt>
                <c:pt idx="20">
                  <c:v>1.7874221775640302</c:v>
                </c:pt>
                <c:pt idx="21">
                  <c:v>1.7883210540290475</c:v>
                </c:pt>
                <c:pt idx="22">
                  <c:v>1.668003560964517</c:v>
                </c:pt>
                <c:pt idx="23">
                  <c:v>1.6436090122149407</c:v>
                </c:pt>
                <c:pt idx="24">
                  <c:v>1.7379685950287351</c:v>
                </c:pt>
                <c:pt idx="25">
                  <c:v>1.5537171723599568</c:v>
                </c:pt>
                <c:pt idx="26">
                  <c:v>1.3075482135752572</c:v>
                </c:pt>
                <c:pt idx="27">
                  <c:v>1.4087235128319802</c:v>
                </c:pt>
                <c:pt idx="28">
                  <c:v>1.2334546978246381</c:v>
                </c:pt>
                <c:pt idx="29">
                  <c:v>1.3991584774711805</c:v>
                </c:pt>
                <c:pt idx="30">
                  <c:v>1.5050589499455811</c:v>
                </c:pt>
                <c:pt idx="31">
                  <c:v>1.4364451504841835</c:v>
                </c:pt>
                <c:pt idx="32">
                  <c:v>1.4276368193857563</c:v>
                </c:pt>
                <c:pt idx="33">
                  <c:v>1.5130720211766204</c:v>
                </c:pt>
                <c:pt idx="34">
                  <c:v>1.5979559742448126</c:v>
                </c:pt>
                <c:pt idx="35">
                  <c:v>1.6851296757214476</c:v>
                </c:pt>
                <c:pt idx="36">
                  <c:v>1.7637281736945607</c:v>
                </c:pt>
                <c:pt idx="37">
                  <c:v>1.9266699155512601</c:v>
                </c:pt>
                <c:pt idx="38">
                  <c:v>2.0093616313963736</c:v>
                </c:pt>
                <c:pt idx="39">
                  <c:v>1.8448749422384534</c:v>
                </c:pt>
                <c:pt idx="40">
                  <c:v>1.6277477391103892</c:v>
                </c:pt>
                <c:pt idx="41">
                  <c:v>1.4569143329395635</c:v>
                </c:pt>
                <c:pt idx="42">
                  <c:v>1.6947466765850046</c:v>
                </c:pt>
                <c:pt idx="43">
                  <c:v>1.7006752861740604</c:v>
                </c:pt>
                <c:pt idx="44">
                  <c:v>2.1777294734164627</c:v>
                </c:pt>
                <c:pt idx="45">
                  <c:v>2.1582072589939387</c:v>
                </c:pt>
                <c:pt idx="46">
                  <c:v>2.2785101824007867</c:v>
                </c:pt>
                <c:pt idx="47">
                  <c:v>2.2529483839829298</c:v>
                </c:pt>
                <c:pt idx="48">
                  <c:v>1.8094749422464307</c:v>
                </c:pt>
                <c:pt idx="49">
                  <c:v>1.9280986673176073</c:v>
                </c:pt>
                <c:pt idx="50">
                  <c:v>1.9785899727296195</c:v>
                </c:pt>
                <c:pt idx="51">
                  <c:v>2.6693665041102914</c:v>
                </c:pt>
                <c:pt idx="52">
                  <c:v>2.0699448630863997</c:v>
                </c:pt>
                <c:pt idx="53">
                  <c:v>2.2425150017997399</c:v>
                </c:pt>
                <c:pt idx="54">
                  <c:v>2.1383838789490555</c:v>
                </c:pt>
                <c:pt idx="55">
                  <c:v>2.0381521735676489</c:v>
                </c:pt>
                <c:pt idx="56">
                  <c:v>1.861528637888332</c:v>
                </c:pt>
                <c:pt idx="57">
                  <c:v>1.8710980889044828</c:v>
                </c:pt>
                <c:pt idx="58">
                  <c:v>2.0403670138972019</c:v>
                </c:pt>
                <c:pt idx="59">
                  <c:v>2.0370186981423175</c:v>
                </c:pt>
                <c:pt idx="60">
                  <c:v>2.0718463453150915</c:v>
                </c:pt>
                <c:pt idx="61">
                  <c:v>2.0409477337959174</c:v>
                </c:pt>
                <c:pt idx="62">
                  <c:v>1.6640313762362733</c:v>
                </c:pt>
                <c:pt idx="63">
                  <c:v>1.7729446365528208</c:v>
                </c:pt>
                <c:pt idx="64">
                  <c:v>1.7673202149943543</c:v>
                </c:pt>
                <c:pt idx="65">
                  <c:v>1.7355261106644646</c:v>
                </c:pt>
                <c:pt idx="66">
                  <c:v>1.443668666802203</c:v>
                </c:pt>
                <c:pt idx="67">
                  <c:v>1.4339692697134894</c:v>
                </c:pt>
                <c:pt idx="68">
                  <c:v>1.4726562036754551</c:v>
                </c:pt>
                <c:pt idx="69">
                  <c:v>1.1959371875352467</c:v>
                </c:pt>
                <c:pt idx="70">
                  <c:v>1.1871886952204012</c:v>
                </c:pt>
                <c:pt idx="71">
                  <c:v>0.98388454338995079</c:v>
                </c:pt>
                <c:pt idx="72">
                  <c:v>2.092896613427313</c:v>
                </c:pt>
                <c:pt idx="73">
                  <c:v>1.9889415793782217</c:v>
                </c:pt>
                <c:pt idx="74">
                  <c:v>1.6986047044328048</c:v>
                </c:pt>
                <c:pt idx="75">
                  <c:v>2.5125627311753265</c:v>
                </c:pt>
                <c:pt idx="76">
                  <c:v>2.6125876468642772</c:v>
                </c:pt>
                <c:pt idx="77">
                  <c:v>3.2522857804987924</c:v>
                </c:pt>
                <c:pt idx="78">
                  <c:v>3.0698159006112307</c:v>
                </c:pt>
                <c:pt idx="79">
                  <c:v>3.099769426481247</c:v>
                </c:pt>
                <c:pt idx="80">
                  <c:v>3.2653343004723614</c:v>
                </c:pt>
                <c:pt idx="81">
                  <c:v>3.1002029474629653</c:v>
                </c:pt>
                <c:pt idx="82">
                  <c:v>3.3374807823228907</c:v>
                </c:pt>
                <c:pt idx="83">
                  <c:v>3.4831241146167096</c:v>
                </c:pt>
                <c:pt idx="84">
                  <c:v>3.4246159573836708</c:v>
                </c:pt>
                <c:pt idx="85">
                  <c:v>3.4817900869574263</c:v>
                </c:pt>
                <c:pt idx="86">
                  <c:v>3.5136452531986442</c:v>
                </c:pt>
                <c:pt idx="87">
                  <c:v>4.6622652880689905</c:v>
                </c:pt>
                <c:pt idx="88">
                  <c:v>4.02583202370948</c:v>
                </c:pt>
                <c:pt idx="89">
                  <c:v>4.0407485539575285</c:v>
                </c:pt>
                <c:pt idx="90">
                  <c:v>4.4932259957479816</c:v>
                </c:pt>
                <c:pt idx="91">
                  <c:v>4.2438872784938484</c:v>
                </c:pt>
                <c:pt idx="92">
                  <c:v>4.0662818559626936</c:v>
                </c:pt>
                <c:pt idx="93">
                  <c:v>3.969463948771355</c:v>
                </c:pt>
                <c:pt idx="94">
                  <c:v>3.9426090262502465</c:v>
                </c:pt>
                <c:pt idx="95">
                  <c:v>3.8461900181028508</c:v>
                </c:pt>
                <c:pt idx="96">
                  <c:v>3.8398881404889056</c:v>
                </c:pt>
                <c:pt idx="97">
                  <c:v>4.2013684358403154</c:v>
                </c:pt>
                <c:pt idx="98">
                  <c:v>4.1997802936325073</c:v>
                </c:pt>
                <c:pt idx="99">
                  <c:v>4.252545552475774</c:v>
                </c:pt>
                <c:pt idx="100">
                  <c:v>4.5736933046825143</c:v>
                </c:pt>
                <c:pt idx="101">
                  <c:v>4.8962831820394239</c:v>
                </c:pt>
                <c:pt idx="102">
                  <c:v>4.9302627671318771</c:v>
                </c:pt>
                <c:pt idx="103">
                  <c:v>4.9137609012828811</c:v>
                </c:pt>
                <c:pt idx="104">
                  <c:v>5.0933140165222293</c:v>
                </c:pt>
                <c:pt idx="105">
                  <c:v>5.1426137891930042</c:v>
                </c:pt>
                <c:pt idx="106">
                  <c:v>4.8359777088575484</c:v>
                </c:pt>
                <c:pt idx="107">
                  <c:v>5.3615627150020462</c:v>
                </c:pt>
                <c:pt idx="108">
                  <c:v>5.2420174286019137</c:v>
                </c:pt>
                <c:pt idx="109">
                  <c:v>5.3413844091018525</c:v>
                </c:pt>
                <c:pt idx="110">
                  <c:v>5.4832598680401219</c:v>
                </c:pt>
                <c:pt idx="111">
                  <c:v>5.3507712575308819</c:v>
                </c:pt>
                <c:pt idx="112">
                  <c:v>5.2310910763226923</c:v>
                </c:pt>
                <c:pt idx="113">
                  <c:v>5.1993423780081116</c:v>
                </c:pt>
                <c:pt idx="114">
                  <c:v>5.1997558232531791</c:v>
                </c:pt>
                <c:pt idx="115">
                  <c:v>5.0507225674236977</c:v>
                </c:pt>
                <c:pt idx="116">
                  <c:v>5.1663345224471779</c:v>
                </c:pt>
                <c:pt idx="117">
                  <c:v>5.0220038800668219</c:v>
                </c:pt>
                <c:pt idx="118">
                  <c:v>4.9715176895878965</c:v>
                </c:pt>
                <c:pt idx="119">
                  <c:v>4.9481259583143675</c:v>
                </c:pt>
                <c:pt idx="120">
                  <c:v>4.8807634126004231</c:v>
                </c:pt>
                <c:pt idx="121">
                  <c:v>4.8060300673344187</c:v>
                </c:pt>
                <c:pt idx="122">
                  <c:v>4.8278114626956485</c:v>
                </c:pt>
                <c:pt idx="123">
                  <c:v>4.9258582974982748</c:v>
                </c:pt>
                <c:pt idx="124">
                  <c:v>5.0270407941535185</c:v>
                </c:pt>
                <c:pt idx="125">
                  <c:v>4.7154476663610145</c:v>
                </c:pt>
                <c:pt idx="126">
                  <c:v>5.0592519531592233</c:v>
                </c:pt>
                <c:pt idx="127">
                  <c:v>4.6257453744225314</c:v>
                </c:pt>
                <c:pt idx="128">
                  <c:v>4.5708251905810284</c:v>
                </c:pt>
                <c:pt idx="129">
                  <c:v>4.4615964182082219</c:v>
                </c:pt>
                <c:pt idx="130">
                  <c:v>4.6052398917679316</c:v>
                </c:pt>
                <c:pt idx="131">
                  <c:v>4.5354047381013149</c:v>
                </c:pt>
                <c:pt idx="132">
                  <c:v>4.4279240808668971</c:v>
                </c:pt>
                <c:pt idx="133">
                  <c:v>4.4952007579108653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96-4340-864E-74146E024CE7}"/>
            </c:ext>
          </c:extLst>
        </c:ser>
        <c:ser>
          <c:idx val="4"/>
          <c:order val="4"/>
          <c:tx>
            <c:strRef>
              <c:f>'NN3累積報酬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'NN3累積報酬 '!$B$25:$EE$25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-1.7446770539390338E-2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96-4340-864E-74146E024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NN3再投資累積報酬!$C$23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NN3再投資累積報酬!$D$23:$EG$23</c:f>
              <c:numCache>
                <c:formatCode>General</c:formatCode>
                <c:ptCount val="134"/>
                <c:pt idx="0">
                  <c:v>4.686768274486397E-2</c:v>
                </c:pt>
                <c:pt idx="1">
                  <c:v>6.8464078560415143E-2</c:v>
                </c:pt>
                <c:pt idx="2">
                  <c:v>0.11977901415700631</c:v>
                </c:pt>
                <c:pt idx="3">
                  <c:v>9.8707330970930762E-2</c:v>
                </c:pt>
                <c:pt idx="4">
                  <c:v>0.1081531408374552</c:v>
                </c:pt>
                <c:pt idx="5">
                  <c:v>0.1508508490052447</c:v>
                </c:pt>
                <c:pt idx="6">
                  <c:v>0.16559300519835207</c:v>
                </c:pt>
                <c:pt idx="7">
                  <c:v>0.13131510292121162</c:v>
                </c:pt>
                <c:pt idx="8">
                  <c:v>0.15255484271855857</c:v>
                </c:pt>
                <c:pt idx="9">
                  <c:v>0.15107980240017693</c:v>
                </c:pt>
                <c:pt idx="10">
                  <c:v>0.1506234257242407</c:v>
                </c:pt>
                <c:pt idx="11">
                  <c:v>0.23039268074628816</c:v>
                </c:pt>
                <c:pt idx="12">
                  <c:v>0.20917980160229477</c:v>
                </c:pt>
                <c:pt idx="13">
                  <c:v>0.20873715699453643</c:v>
                </c:pt>
                <c:pt idx="14">
                  <c:v>0.16610513592518461</c:v>
                </c:pt>
                <c:pt idx="15">
                  <c:v>0.17387475893888316</c:v>
                </c:pt>
                <c:pt idx="16">
                  <c:v>0.15453823053205151</c:v>
                </c:pt>
                <c:pt idx="17">
                  <c:v>0.14560233545570145</c:v>
                </c:pt>
                <c:pt idx="18">
                  <c:v>0.16874443553470453</c:v>
                </c:pt>
                <c:pt idx="19">
                  <c:v>0.17599587540369255</c:v>
                </c:pt>
                <c:pt idx="20">
                  <c:v>0.25130596328976584</c:v>
                </c:pt>
                <c:pt idx="21">
                  <c:v>0.21908530445870533</c:v>
                </c:pt>
                <c:pt idx="22">
                  <c:v>0.23790843068710554</c:v>
                </c:pt>
                <c:pt idx="23">
                  <c:v>0.24430335126943215</c:v>
                </c:pt>
                <c:pt idx="24">
                  <c:v>0.22947518728575655</c:v>
                </c:pt>
                <c:pt idx="25">
                  <c:v>0.2249120904344688</c:v>
                </c:pt>
                <c:pt idx="26">
                  <c:v>0.23124167637891846</c:v>
                </c:pt>
                <c:pt idx="27">
                  <c:v>0.24506950389360105</c:v>
                </c:pt>
                <c:pt idx="28">
                  <c:v>0.17246083161408654</c:v>
                </c:pt>
                <c:pt idx="29">
                  <c:v>0.11831482126074522</c:v>
                </c:pt>
                <c:pt idx="30">
                  <c:v>0.13182308908989837</c:v>
                </c:pt>
                <c:pt idx="31">
                  <c:v>0.15456521589604089</c:v>
                </c:pt>
                <c:pt idx="32">
                  <c:v>0.17650711032842259</c:v>
                </c:pt>
                <c:pt idx="33">
                  <c:v>0.20128701214713463</c:v>
                </c:pt>
                <c:pt idx="34">
                  <c:v>0.25817355201461067</c:v>
                </c:pt>
                <c:pt idx="35">
                  <c:v>0.30108434263830608</c:v>
                </c:pt>
                <c:pt idx="36">
                  <c:v>0.32737446386133295</c:v>
                </c:pt>
                <c:pt idx="37">
                  <c:v>0.2515371937325237</c:v>
                </c:pt>
                <c:pt idx="38">
                  <c:v>0.26618523901295355</c:v>
                </c:pt>
                <c:pt idx="39">
                  <c:v>0.26031781698289325</c:v>
                </c:pt>
                <c:pt idx="40">
                  <c:v>0.25189594131076487</c:v>
                </c:pt>
                <c:pt idx="41">
                  <c:v>0.24250117824458761</c:v>
                </c:pt>
                <c:pt idx="42">
                  <c:v>0.23524097940691102</c:v>
                </c:pt>
                <c:pt idx="43">
                  <c:v>0.20769923065173379</c:v>
                </c:pt>
                <c:pt idx="44">
                  <c:v>0.28427975535022298</c:v>
                </c:pt>
                <c:pt idx="45">
                  <c:v>0.25629543404228938</c:v>
                </c:pt>
                <c:pt idx="46">
                  <c:v>0.2533341606890962</c:v>
                </c:pt>
                <c:pt idx="47">
                  <c:v>0.24248268668881745</c:v>
                </c:pt>
                <c:pt idx="48">
                  <c:v>0.23289798977291265</c:v>
                </c:pt>
                <c:pt idx="49">
                  <c:v>0.31496436890430135</c:v>
                </c:pt>
                <c:pt idx="50">
                  <c:v>0.4086899747661854</c:v>
                </c:pt>
                <c:pt idx="51">
                  <c:v>0.41683980258198816</c:v>
                </c:pt>
                <c:pt idx="52">
                  <c:v>0.43523828406718956</c:v>
                </c:pt>
                <c:pt idx="53">
                  <c:v>0.44703821064174165</c:v>
                </c:pt>
                <c:pt idx="54">
                  <c:v>0.38105537369868325</c:v>
                </c:pt>
                <c:pt idx="55">
                  <c:v>0.34846100303168015</c:v>
                </c:pt>
                <c:pt idx="56">
                  <c:v>0.36195108599857551</c:v>
                </c:pt>
                <c:pt idx="57">
                  <c:v>0.32800834315698002</c:v>
                </c:pt>
                <c:pt idx="58">
                  <c:v>0.35568106406378641</c:v>
                </c:pt>
                <c:pt idx="59">
                  <c:v>0.35676017713472019</c:v>
                </c:pt>
                <c:pt idx="60">
                  <c:v>0.32952233196665759</c:v>
                </c:pt>
                <c:pt idx="61">
                  <c:v>0.34422733916776971</c:v>
                </c:pt>
                <c:pt idx="62">
                  <c:v>0.3036694348374791</c:v>
                </c:pt>
                <c:pt idx="63">
                  <c:v>0.32909429780376231</c:v>
                </c:pt>
                <c:pt idx="64">
                  <c:v>0.35157429173514299</c:v>
                </c:pt>
                <c:pt idx="65">
                  <c:v>0.31586305346495958</c:v>
                </c:pt>
                <c:pt idx="66">
                  <c:v>0.32694611865743184</c:v>
                </c:pt>
                <c:pt idx="67">
                  <c:v>0.35329074671549532</c:v>
                </c:pt>
                <c:pt idx="68">
                  <c:v>0.38788218617812609</c:v>
                </c:pt>
                <c:pt idx="69">
                  <c:v>0.35833681525206851</c:v>
                </c:pt>
                <c:pt idx="70">
                  <c:v>0.29302340415537786</c:v>
                </c:pt>
                <c:pt idx="71">
                  <c:v>0.33446897577238355</c:v>
                </c:pt>
                <c:pt idx="72">
                  <c:v>0.40851540247931606</c:v>
                </c:pt>
                <c:pt idx="73">
                  <c:v>0.43102932626084933</c:v>
                </c:pt>
                <c:pt idx="74">
                  <c:v>0.36546530635010588</c:v>
                </c:pt>
                <c:pt idx="75">
                  <c:v>0.37062286570121006</c:v>
                </c:pt>
                <c:pt idx="76">
                  <c:v>0.3906073112785764</c:v>
                </c:pt>
                <c:pt idx="77">
                  <c:v>0.49139279443586892</c:v>
                </c:pt>
                <c:pt idx="78">
                  <c:v>0.58917836806437363</c:v>
                </c:pt>
                <c:pt idx="79">
                  <c:v>0.65951300069341356</c:v>
                </c:pt>
                <c:pt idx="80">
                  <c:v>0.91508964078189847</c:v>
                </c:pt>
                <c:pt idx="81">
                  <c:v>0.92289917579604897</c:v>
                </c:pt>
                <c:pt idx="82">
                  <c:v>0.92349267573721794</c:v>
                </c:pt>
                <c:pt idx="83">
                  <c:v>0.90530986862424312</c:v>
                </c:pt>
                <c:pt idx="84">
                  <c:v>0.85893177216940564</c:v>
                </c:pt>
                <c:pt idx="85">
                  <c:v>0.86556533333932451</c:v>
                </c:pt>
                <c:pt idx="86">
                  <c:v>0.92995486345249279</c:v>
                </c:pt>
                <c:pt idx="87">
                  <c:v>0.99390200803040485</c:v>
                </c:pt>
                <c:pt idx="88">
                  <c:v>0.85092250917026191</c:v>
                </c:pt>
                <c:pt idx="89">
                  <c:v>0.80778205684087334</c:v>
                </c:pt>
                <c:pt idx="90">
                  <c:v>0.93666289429969418</c:v>
                </c:pt>
                <c:pt idx="91">
                  <c:v>0.91188104953887672</c:v>
                </c:pt>
                <c:pt idx="92">
                  <c:v>1.0456682655090752</c:v>
                </c:pt>
                <c:pt idx="93">
                  <c:v>1.144160288950665</c:v>
                </c:pt>
                <c:pt idx="94">
                  <c:v>1.1130492726739432</c:v>
                </c:pt>
                <c:pt idx="95">
                  <c:v>1.1150812784856687</c:v>
                </c:pt>
                <c:pt idx="96">
                  <c:v>1.1446239444677424</c:v>
                </c:pt>
                <c:pt idx="97">
                  <c:v>1.1538957014196773</c:v>
                </c:pt>
                <c:pt idx="98">
                  <c:v>1.2179906607636202</c:v>
                </c:pt>
                <c:pt idx="99">
                  <c:v>1.3212324889200944</c:v>
                </c:pt>
                <c:pt idx="100">
                  <c:v>1.4281785815384382</c:v>
                </c:pt>
                <c:pt idx="101">
                  <c:v>1.6432222680682083</c:v>
                </c:pt>
                <c:pt idx="102">
                  <c:v>1.7409650892161861</c:v>
                </c:pt>
                <c:pt idx="103">
                  <c:v>1.9848611418123681</c:v>
                </c:pt>
                <c:pt idx="104">
                  <c:v>2.0147908912024781</c:v>
                </c:pt>
                <c:pt idx="105">
                  <c:v>1.8969366937285388</c:v>
                </c:pt>
                <c:pt idx="106">
                  <c:v>1.7890676776074614</c:v>
                </c:pt>
                <c:pt idx="107">
                  <c:v>1.9438211451040939</c:v>
                </c:pt>
                <c:pt idx="108">
                  <c:v>1.8071989421843013</c:v>
                </c:pt>
                <c:pt idx="109">
                  <c:v>1.7924270577460524</c:v>
                </c:pt>
                <c:pt idx="110">
                  <c:v>1.6403984683732729</c:v>
                </c:pt>
                <c:pt idx="111">
                  <c:v>1.6616869404562777</c:v>
                </c:pt>
                <c:pt idx="112">
                  <c:v>1.5767040692604231</c:v>
                </c:pt>
                <c:pt idx="113">
                  <c:v>1.5846637954584573</c:v>
                </c:pt>
                <c:pt idx="114">
                  <c:v>1.534940825352658</c:v>
                </c:pt>
                <c:pt idx="115">
                  <c:v>1.5904984430305178</c:v>
                </c:pt>
                <c:pt idx="116">
                  <c:v>1.6696561539682033</c:v>
                </c:pt>
                <c:pt idx="117">
                  <c:v>1.7923363262229026</c:v>
                </c:pt>
                <c:pt idx="118">
                  <c:v>1.6977818974781536</c:v>
                </c:pt>
                <c:pt idx="119">
                  <c:v>1.743819490119519</c:v>
                </c:pt>
                <c:pt idx="120">
                  <c:v>1.9349280323859457</c:v>
                </c:pt>
                <c:pt idx="121">
                  <c:v>2.0086464277815534</c:v>
                </c:pt>
                <c:pt idx="122">
                  <c:v>1.8364607408385023</c:v>
                </c:pt>
                <c:pt idx="123">
                  <c:v>1.920249963582545</c:v>
                </c:pt>
                <c:pt idx="124">
                  <c:v>2.0515672798040585</c:v>
                </c:pt>
                <c:pt idx="125">
                  <c:v>1.9001509318734984</c:v>
                </c:pt>
                <c:pt idx="126">
                  <c:v>1.9501644637339521</c:v>
                </c:pt>
                <c:pt idx="127">
                  <c:v>1.9684129895319487</c:v>
                </c:pt>
                <c:pt idx="128">
                  <c:v>2.1200918656906866</c:v>
                </c:pt>
                <c:pt idx="129">
                  <c:v>2.1381446253712562</c:v>
                </c:pt>
                <c:pt idx="130">
                  <c:v>2.1073707824892782</c:v>
                </c:pt>
                <c:pt idx="131">
                  <c:v>2.0857513076703191</c:v>
                </c:pt>
                <c:pt idx="132">
                  <c:v>2.0039576305217817</c:v>
                </c:pt>
                <c:pt idx="133">
                  <c:v>2.1218129457338386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C-4EA4-8461-2DDEB11A5E8B}"/>
            </c:ext>
          </c:extLst>
        </c:ser>
        <c:ser>
          <c:idx val="1"/>
          <c:order val="1"/>
          <c:tx>
            <c:strRef>
              <c:f>NN3再投資累積報酬!$C$24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NN3再投資累積報酬!$D$24:$EG$24</c:f>
              <c:numCache>
                <c:formatCode>General</c:formatCode>
                <c:ptCount val="134"/>
                <c:pt idx="0">
                  <c:v>5.4209042671596208E-2</c:v>
                </c:pt>
                <c:pt idx="1">
                  <c:v>8.3739642131258618E-2</c:v>
                </c:pt>
                <c:pt idx="2">
                  <c:v>0.15945138021178185</c:v>
                </c:pt>
                <c:pt idx="3">
                  <c:v>0.11896083837366711</c:v>
                </c:pt>
                <c:pt idx="4">
                  <c:v>0.10227939284597731</c:v>
                </c:pt>
                <c:pt idx="5">
                  <c:v>0.13533634589627996</c:v>
                </c:pt>
                <c:pt idx="6">
                  <c:v>0.16840936909073578</c:v>
                </c:pt>
                <c:pt idx="7">
                  <c:v>0.11711710087764571</c:v>
                </c:pt>
                <c:pt idx="8">
                  <c:v>0.11558965903967455</c:v>
                </c:pt>
                <c:pt idx="9">
                  <c:v>8.067732510633463E-2</c:v>
                </c:pt>
                <c:pt idx="10">
                  <c:v>0.1084367939434614</c:v>
                </c:pt>
                <c:pt idx="11">
                  <c:v>0.21906645298829464</c:v>
                </c:pt>
                <c:pt idx="12">
                  <c:v>0.17056066237809886</c:v>
                </c:pt>
                <c:pt idx="13">
                  <c:v>0.19021628126560475</c:v>
                </c:pt>
                <c:pt idx="14">
                  <c:v>0.10306344570632175</c:v>
                </c:pt>
                <c:pt idx="15">
                  <c:v>0.11868276286209944</c:v>
                </c:pt>
                <c:pt idx="16">
                  <c:v>0.10498597892653749</c:v>
                </c:pt>
                <c:pt idx="17">
                  <c:v>8.1081156391127784E-2</c:v>
                </c:pt>
                <c:pt idx="18">
                  <c:v>0.14157572334122714</c:v>
                </c:pt>
                <c:pt idx="19">
                  <c:v>0.11863652630373256</c:v>
                </c:pt>
                <c:pt idx="20">
                  <c:v>0.20306736528031988</c:v>
                </c:pt>
                <c:pt idx="21">
                  <c:v>0.13897167191206194</c:v>
                </c:pt>
                <c:pt idx="22">
                  <c:v>0.15482728808012247</c:v>
                </c:pt>
                <c:pt idx="23">
                  <c:v>0.17859797716955561</c:v>
                </c:pt>
                <c:pt idx="24">
                  <c:v>0.15922109634198889</c:v>
                </c:pt>
                <c:pt idx="25">
                  <c:v>0.14063171244305872</c:v>
                </c:pt>
                <c:pt idx="26">
                  <c:v>0.14979262737089694</c:v>
                </c:pt>
                <c:pt idx="27">
                  <c:v>0.17456340305237239</c:v>
                </c:pt>
                <c:pt idx="28">
                  <c:v>9.7371822051523171E-2</c:v>
                </c:pt>
                <c:pt idx="29">
                  <c:v>4.037920433388531E-2</c:v>
                </c:pt>
                <c:pt idx="30">
                  <c:v>4.3794051588321725E-2</c:v>
                </c:pt>
                <c:pt idx="31">
                  <c:v>7.7065524463483026E-2</c:v>
                </c:pt>
                <c:pt idx="32">
                  <c:v>9.0063066613003562E-2</c:v>
                </c:pt>
                <c:pt idx="33">
                  <c:v>0.11174041397008905</c:v>
                </c:pt>
                <c:pt idx="34">
                  <c:v>0.18510184347522984</c:v>
                </c:pt>
                <c:pt idx="35">
                  <c:v>0.21182631382206041</c:v>
                </c:pt>
                <c:pt idx="36">
                  <c:v>0.20906063112047901</c:v>
                </c:pt>
                <c:pt idx="37">
                  <c:v>0.12292084038757101</c:v>
                </c:pt>
                <c:pt idx="38">
                  <c:v>0.1263125205173139</c:v>
                </c:pt>
                <c:pt idx="39">
                  <c:v>0.11889238499929422</c:v>
                </c:pt>
                <c:pt idx="40">
                  <c:v>0.10649170689151677</c:v>
                </c:pt>
                <c:pt idx="41">
                  <c:v>0.11672756566693399</c:v>
                </c:pt>
                <c:pt idx="42">
                  <c:v>0.11456490471892367</c:v>
                </c:pt>
                <c:pt idx="43">
                  <c:v>0.11644847810303571</c:v>
                </c:pt>
                <c:pt idx="44">
                  <c:v>0.20217423052459016</c:v>
                </c:pt>
                <c:pt idx="45">
                  <c:v>0.18899971105109059</c:v>
                </c:pt>
                <c:pt idx="46">
                  <c:v>0.21945713855000215</c:v>
                </c:pt>
                <c:pt idx="47">
                  <c:v>0.20496880696144526</c:v>
                </c:pt>
                <c:pt idx="48">
                  <c:v>0.17644405187038403</c:v>
                </c:pt>
                <c:pt idx="49">
                  <c:v>0.24167761097085383</c:v>
                </c:pt>
                <c:pt idx="50">
                  <c:v>0.34079964240523375</c:v>
                </c:pt>
                <c:pt idx="51">
                  <c:v>0.37572257318170399</c:v>
                </c:pt>
                <c:pt idx="52">
                  <c:v>0.39364353368800997</c:v>
                </c:pt>
                <c:pt idx="53">
                  <c:v>0.40892109056047854</c:v>
                </c:pt>
                <c:pt idx="54">
                  <c:v>0.34404273067083957</c:v>
                </c:pt>
                <c:pt idx="55">
                  <c:v>0.30869051344436249</c:v>
                </c:pt>
                <c:pt idx="56">
                  <c:v>0.31959329998270491</c:v>
                </c:pt>
                <c:pt idx="57">
                  <c:v>0.27480068905631305</c:v>
                </c:pt>
                <c:pt idx="58">
                  <c:v>0.30773181197948452</c:v>
                </c:pt>
                <c:pt idx="59">
                  <c:v>0.33081865131128563</c:v>
                </c:pt>
                <c:pt idx="60">
                  <c:v>0.29738080349092932</c:v>
                </c:pt>
                <c:pt idx="61">
                  <c:v>0.31505006405401326</c:v>
                </c:pt>
                <c:pt idx="62">
                  <c:v>0.27927561650736421</c:v>
                </c:pt>
                <c:pt idx="63">
                  <c:v>0.27402861994449701</c:v>
                </c:pt>
                <c:pt idx="64">
                  <c:v>0.27836887172801106</c:v>
                </c:pt>
                <c:pt idx="65">
                  <c:v>0.26820437365297622</c:v>
                </c:pt>
                <c:pt idx="66">
                  <c:v>0.31839468919809044</c:v>
                </c:pt>
                <c:pt idx="67">
                  <c:v>0.32533578436560284</c:v>
                </c:pt>
                <c:pt idx="68">
                  <c:v>0.35785724403835228</c:v>
                </c:pt>
                <c:pt idx="69">
                  <c:v>0.31214121898194636</c:v>
                </c:pt>
                <c:pt idx="70">
                  <c:v>0.21417915940264276</c:v>
                </c:pt>
                <c:pt idx="71">
                  <c:v>0.25235384876739353</c:v>
                </c:pt>
                <c:pt idx="72">
                  <c:v>0.36034451482474683</c:v>
                </c:pt>
                <c:pt idx="73">
                  <c:v>0.36235433511861914</c:v>
                </c:pt>
                <c:pt idx="74">
                  <c:v>0.32035600309786538</c:v>
                </c:pt>
                <c:pt idx="75">
                  <c:v>0.30218903092676541</c:v>
                </c:pt>
                <c:pt idx="76">
                  <c:v>0.33345807134209271</c:v>
                </c:pt>
                <c:pt idx="77">
                  <c:v>0.49404238880546103</c:v>
                </c:pt>
                <c:pt idx="78">
                  <c:v>0.6735040320362804</c:v>
                </c:pt>
                <c:pt idx="79">
                  <c:v>0.76597525119453524</c:v>
                </c:pt>
                <c:pt idx="80">
                  <c:v>1.0906106608557766</c:v>
                </c:pt>
                <c:pt idx="81">
                  <c:v>1.1287202789049391</c:v>
                </c:pt>
                <c:pt idx="82">
                  <c:v>1.1448139761503069</c:v>
                </c:pt>
                <c:pt idx="83">
                  <c:v>1.0897828059767973</c:v>
                </c:pt>
                <c:pt idx="84">
                  <c:v>1.0732828538686388</c:v>
                </c:pt>
                <c:pt idx="85">
                  <c:v>1.1165757513441106</c:v>
                </c:pt>
                <c:pt idx="86">
                  <c:v>1.1840090018761171</c:v>
                </c:pt>
                <c:pt idx="87">
                  <c:v>1.2801062524464846</c:v>
                </c:pt>
                <c:pt idx="88">
                  <c:v>1.0487844142320828</c:v>
                </c:pt>
                <c:pt idx="89">
                  <c:v>0.98705244014421178</c:v>
                </c:pt>
                <c:pt idx="90">
                  <c:v>1.1570770447552889</c:v>
                </c:pt>
                <c:pt idx="91">
                  <c:v>1.0829220441435412</c:v>
                </c:pt>
                <c:pt idx="92">
                  <c:v>1.2227129936106493</c:v>
                </c:pt>
                <c:pt idx="93">
                  <c:v>1.365812698096379</c:v>
                </c:pt>
                <c:pt idx="94">
                  <c:v>1.3751521001624596</c:v>
                </c:pt>
                <c:pt idx="95">
                  <c:v>1.3559827242161733</c:v>
                </c:pt>
                <c:pt idx="96">
                  <c:v>1.3819720747854167</c:v>
                </c:pt>
                <c:pt idx="97">
                  <c:v>1.439899213223133</c:v>
                </c:pt>
                <c:pt idx="98">
                  <c:v>1.4654131488519608</c:v>
                </c:pt>
                <c:pt idx="99">
                  <c:v>1.4777088928808864</c:v>
                </c:pt>
                <c:pt idx="100">
                  <c:v>1.6386951163230674</c:v>
                </c:pt>
                <c:pt idx="101">
                  <c:v>1.8769434404614747</c:v>
                </c:pt>
                <c:pt idx="102">
                  <c:v>2.0191968827280244</c:v>
                </c:pt>
                <c:pt idx="103">
                  <c:v>2.3399422336415121</c:v>
                </c:pt>
                <c:pt idx="104">
                  <c:v>2.4185678093163285</c:v>
                </c:pt>
                <c:pt idx="105">
                  <c:v>2.242830678125058</c:v>
                </c:pt>
                <c:pt idx="106">
                  <c:v>2.1048022528975938</c:v>
                </c:pt>
                <c:pt idx="107">
                  <c:v>2.3628802065721897</c:v>
                </c:pt>
                <c:pt idx="108">
                  <c:v>2.2023730160341981</c:v>
                </c:pt>
                <c:pt idx="109">
                  <c:v>2.2439790309865462</c:v>
                </c:pt>
                <c:pt idx="110">
                  <c:v>2.0929346414289869</c:v>
                </c:pt>
                <c:pt idx="111">
                  <c:v>2.0938083335084392</c:v>
                </c:pt>
                <c:pt idx="112">
                  <c:v>2.0338298041017553</c:v>
                </c:pt>
                <c:pt idx="113">
                  <c:v>2.1161131522942056</c:v>
                </c:pt>
                <c:pt idx="114">
                  <c:v>2.1177697485027576</c:v>
                </c:pt>
                <c:pt idx="115">
                  <c:v>2.1705699115596495</c:v>
                </c:pt>
                <c:pt idx="116">
                  <c:v>2.2906186747048833</c:v>
                </c:pt>
                <c:pt idx="117">
                  <c:v>2.4386871389819316</c:v>
                </c:pt>
                <c:pt idx="118">
                  <c:v>2.3218871020793923</c:v>
                </c:pt>
                <c:pt idx="119">
                  <c:v>2.3722753131665049</c:v>
                </c:pt>
                <c:pt idx="120">
                  <c:v>2.6036027858866153</c:v>
                </c:pt>
                <c:pt idx="121">
                  <c:v>2.7867784556381672</c:v>
                </c:pt>
                <c:pt idx="122">
                  <c:v>2.6617914421575013</c:v>
                </c:pt>
                <c:pt idx="123">
                  <c:v>2.8201814209469869</c:v>
                </c:pt>
                <c:pt idx="124">
                  <c:v>2.9807386252515555</c:v>
                </c:pt>
                <c:pt idx="125">
                  <c:v>2.7234160395251972</c:v>
                </c:pt>
                <c:pt idx="126">
                  <c:v>2.8548754798279212</c:v>
                </c:pt>
                <c:pt idx="127">
                  <c:v>2.9254278894282661</c:v>
                </c:pt>
                <c:pt idx="128">
                  <c:v>3.1692702772694448</c:v>
                </c:pt>
                <c:pt idx="129">
                  <c:v>3.1701091603776108</c:v>
                </c:pt>
                <c:pt idx="130">
                  <c:v>3.0918111757892248</c:v>
                </c:pt>
                <c:pt idx="131">
                  <c:v>3.1208005123165474</c:v>
                </c:pt>
                <c:pt idx="132">
                  <c:v>2.9508818416211375</c:v>
                </c:pt>
                <c:pt idx="133">
                  <c:v>3.216741250892623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EA4-8461-2DDEB11A5E8B}"/>
            </c:ext>
          </c:extLst>
        </c:ser>
        <c:ser>
          <c:idx val="2"/>
          <c:order val="2"/>
          <c:tx>
            <c:strRef>
              <c:f>NN3再投資累積報酬!$C$25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NN3再投資累積報酬!$D$25:$EG$25</c:f>
              <c:numCache>
                <c:formatCode>General</c:formatCode>
                <c:ptCount val="134"/>
                <c:pt idx="0">
                  <c:v>-3.037156627906501E-2</c:v>
                </c:pt>
                <c:pt idx="1">
                  <c:v>5.0444356867517248E-2</c:v>
                </c:pt>
                <c:pt idx="2">
                  <c:v>0.15419490576620509</c:v>
                </c:pt>
                <c:pt idx="3">
                  <c:v>9.8269380983338595E-2</c:v>
                </c:pt>
                <c:pt idx="4">
                  <c:v>5.3218462683173762E-2</c:v>
                </c:pt>
                <c:pt idx="5">
                  <c:v>0.1159774405717704</c:v>
                </c:pt>
                <c:pt idx="6">
                  <c:v>0.20203599897571323</c:v>
                </c:pt>
                <c:pt idx="7">
                  <c:v>7.5708762772620508E-2</c:v>
                </c:pt>
                <c:pt idx="8">
                  <c:v>8.9102586321855526E-2</c:v>
                </c:pt>
                <c:pt idx="9">
                  <c:v>9.4381681315399035E-2</c:v>
                </c:pt>
                <c:pt idx="10">
                  <c:v>1.1261704006021445E-2</c:v>
                </c:pt>
                <c:pt idx="11">
                  <c:v>0.21840104297927887</c:v>
                </c:pt>
                <c:pt idx="12">
                  <c:v>0.17010081348125228</c:v>
                </c:pt>
                <c:pt idx="13">
                  <c:v>0.22600795453650746</c:v>
                </c:pt>
                <c:pt idx="14">
                  <c:v>0.15460776929505626</c:v>
                </c:pt>
                <c:pt idx="15">
                  <c:v>0.13826799533121648</c:v>
                </c:pt>
                <c:pt idx="16">
                  <c:v>0.18213012755059022</c:v>
                </c:pt>
                <c:pt idx="17">
                  <c:v>0.16160748412190862</c:v>
                </c:pt>
                <c:pt idx="18">
                  <c:v>0.28960794976010473</c:v>
                </c:pt>
                <c:pt idx="19">
                  <c:v>0.24011854022101287</c:v>
                </c:pt>
                <c:pt idx="20">
                  <c:v>0.38417789079904852</c:v>
                </c:pt>
                <c:pt idx="21">
                  <c:v>0.31001127452247701</c:v>
                </c:pt>
                <c:pt idx="22">
                  <c:v>0.288051996534189</c:v>
                </c:pt>
                <c:pt idx="23">
                  <c:v>0.31542593659623486</c:v>
                </c:pt>
                <c:pt idx="24">
                  <c:v>0.3119697867971607</c:v>
                </c:pt>
                <c:pt idx="25">
                  <c:v>0.21359447071409199</c:v>
                </c:pt>
                <c:pt idx="26">
                  <c:v>0.17804575982050985</c:v>
                </c:pt>
                <c:pt idx="27">
                  <c:v>0.22437581645765281</c:v>
                </c:pt>
                <c:pt idx="28">
                  <c:v>0.21945516413512123</c:v>
                </c:pt>
                <c:pt idx="29">
                  <c:v>0.11663435187019755</c:v>
                </c:pt>
                <c:pt idx="30">
                  <c:v>0.12376986983766614</c:v>
                </c:pt>
                <c:pt idx="31">
                  <c:v>0.1950285440165902</c:v>
                </c:pt>
                <c:pt idx="32">
                  <c:v>0.2811577776260068</c:v>
                </c:pt>
                <c:pt idx="33">
                  <c:v>0.40986728907047043</c:v>
                </c:pt>
                <c:pt idx="34">
                  <c:v>0.50337919886618865</c:v>
                </c:pt>
                <c:pt idx="35">
                  <c:v>0.5312812286376547</c:v>
                </c:pt>
                <c:pt idx="36">
                  <c:v>0.53610400862066099</c:v>
                </c:pt>
                <c:pt idx="37">
                  <c:v>0.36663535852190132</c:v>
                </c:pt>
                <c:pt idx="38">
                  <c:v>0.35297084888118158</c:v>
                </c:pt>
                <c:pt idx="39">
                  <c:v>0.36251582623527945</c:v>
                </c:pt>
                <c:pt idx="40">
                  <c:v>0.35144072982862751</c:v>
                </c:pt>
                <c:pt idx="41">
                  <c:v>0.37599752015085675</c:v>
                </c:pt>
                <c:pt idx="42">
                  <c:v>0.38873569722502532</c:v>
                </c:pt>
                <c:pt idx="43">
                  <c:v>0.36317264740976429</c:v>
                </c:pt>
                <c:pt idx="44">
                  <c:v>0.55108937214256293</c:v>
                </c:pt>
                <c:pt idx="45">
                  <c:v>0.56415955430876275</c:v>
                </c:pt>
                <c:pt idx="46">
                  <c:v>0.63255915720785394</c:v>
                </c:pt>
                <c:pt idx="47">
                  <c:v>0.63390044829764358</c:v>
                </c:pt>
                <c:pt idx="48">
                  <c:v>0.53776276498809494</c:v>
                </c:pt>
                <c:pt idx="49">
                  <c:v>0.57717397541872861</c:v>
                </c:pt>
                <c:pt idx="50">
                  <c:v>0.72911469783161764</c:v>
                </c:pt>
                <c:pt idx="51">
                  <c:v>0.90530861565716436</c:v>
                </c:pt>
                <c:pt idx="52">
                  <c:v>0.88800093790002377</c:v>
                </c:pt>
                <c:pt idx="53">
                  <c:v>0.99012225290239431</c:v>
                </c:pt>
                <c:pt idx="54">
                  <c:v>0.94212643771864779</c:v>
                </c:pt>
                <c:pt idx="55">
                  <c:v>0.9319440865144053</c:v>
                </c:pt>
                <c:pt idx="56">
                  <c:v>0.95222294607747981</c:v>
                </c:pt>
                <c:pt idx="57">
                  <c:v>0.76920188042799742</c:v>
                </c:pt>
                <c:pt idx="58">
                  <c:v>0.82629425669893908</c:v>
                </c:pt>
                <c:pt idx="59">
                  <c:v>0.85050046997375661</c:v>
                </c:pt>
                <c:pt idx="60">
                  <c:v>0.9120062609453552</c:v>
                </c:pt>
                <c:pt idx="61">
                  <c:v>0.93221967471788947</c:v>
                </c:pt>
                <c:pt idx="62">
                  <c:v>0.8909183890094472</c:v>
                </c:pt>
                <c:pt idx="63">
                  <c:v>0.80512419520951606</c:v>
                </c:pt>
                <c:pt idx="64">
                  <c:v>0.83202700620934333</c:v>
                </c:pt>
                <c:pt idx="65">
                  <c:v>0.924237108549953</c:v>
                </c:pt>
                <c:pt idx="66">
                  <c:v>1.0157560042379115</c:v>
                </c:pt>
                <c:pt idx="67">
                  <c:v>0.94411358782402099</c:v>
                </c:pt>
                <c:pt idx="68">
                  <c:v>1.077405233222497</c:v>
                </c:pt>
                <c:pt idx="69">
                  <c:v>1.109164454654092</c:v>
                </c:pt>
                <c:pt idx="70">
                  <c:v>0.87471088481679637</c:v>
                </c:pt>
                <c:pt idx="71">
                  <c:v>0.95210361603102678</c:v>
                </c:pt>
                <c:pt idx="72">
                  <c:v>1.1832483829459814</c:v>
                </c:pt>
                <c:pt idx="73">
                  <c:v>1.182577832646631</c:v>
                </c:pt>
                <c:pt idx="74">
                  <c:v>1.0070990799857946</c:v>
                </c:pt>
                <c:pt idx="75">
                  <c:v>1.1094315151346512</c:v>
                </c:pt>
                <c:pt idx="76">
                  <c:v>1.1800028802660334</c:v>
                </c:pt>
                <c:pt idx="77">
                  <c:v>1.5385381468521873</c:v>
                </c:pt>
                <c:pt idx="78">
                  <c:v>1.8446760957946635</c:v>
                </c:pt>
                <c:pt idx="79">
                  <c:v>1.9809982111051676</c:v>
                </c:pt>
                <c:pt idx="80">
                  <c:v>2.489423262718037</c:v>
                </c:pt>
                <c:pt idx="81">
                  <c:v>2.4185523193177478</c:v>
                </c:pt>
                <c:pt idx="82">
                  <c:v>2.8934804315432583</c:v>
                </c:pt>
                <c:pt idx="83">
                  <c:v>2.909263488087372</c:v>
                </c:pt>
                <c:pt idx="84">
                  <c:v>2.8942935259671638</c:v>
                </c:pt>
                <c:pt idx="85">
                  <c:v>2.9724396318573638</c:v>
                </c:pt>
                <c:pt idx="86">
                  <c:v>2.9705969777191483</c:v>
                </c:pt>
                <c:pt idx="87">
                  <c:v>3.4869050867735911</c:v>
                </c:pt>
                <c:pt idx="88">
                  <c:v>2.9930360520463957</c:v>
                </c:pt>
                <c:pt idx="89">
                  <c:v>2.9155649738386979</c:v>
                </c:pt>
                <c:pt idx="90">
                  <c:v>3.5939332928079892</c:v>
                </c:pt>
                <c:pt idx="91">
                  <c:v>3.1093664767447695</c:v>
                </c:pt>
                <c:pt idx="92">
                  <c:v>3.4362120950937793</c:v>
                </c:pt>
                <c:pt idx="93">
                  <c:v>3.7140993281193797</c:v>
                </c:pt>
                <c:pt idx="94">
                  <c:v>3.6961097907706648</c:v>
                </c:pt>
                <c:pt idx="95">
                  <c:v>3.6064113862216294</c:v>
                </c:pt>
                <c:pt idx="96">
                  <c:v>3.9484402678369648</c:v>
                </c:pt>
                <c:pt idx="97">
                  <c:v>4.1434060130837418</c:v>
                </c:pt>
                <c:pt idx="98">
                  <c:v>4.1857568278670101</c:v>
                </c:pt>
                <c:pt idx="99">
                  <c:v>4.3114816464836005</c:v>
                </c:pt>
                <c:pt idx="100">
                  <c:v>4.5777873507415832</c:v>
                </c:pt>
                <c:pt idx="101">
                  <c:v>5.3373260710137886</c:v>
                </c:pt>
                <c:pt idx="102">
                  <c:v>5.7517449097716682</c:v>
                </c:pt>
                <c:pt idx="103">
                  <c:v>6.4580276677443846</c:v>
                </c:pt>
                <c:pt idx="104">
                  <c:v>6.5680616291925187</c:v>
                </c:pt>
                <c:pt idx="105">
                  <c:v>6.16014335902622</c:v>
                </c:pt>
                <c:pt idx="106">
                  <c:v>5.9377660103552987</c:v>
                </c:pt>
                <c:pt idx="107">
                  <c:v>7.3361618269609306</c:v>
                </c:pt>
                <c:pt idx="108">
                  <c:v>6.9561712635591064</c:v>
                </c:pt>
                <c:pt idx="109">
                  <c:v>6.9941606864193311</c:v>
                </c:pt>
                <c:pt idx="110">
                  <c:v>6.5689353132143626</c:v>
                </c:pt>
                <c:pt idx="111">
                  <c:v>6.5766838159721051</c:v>
                </c:pt>
                <c:pt idx="112">
                  <c:v>5.9582631428116528</c:v>
                </c:pt>
                <c:pt idx="113">
                  <c:v>5.893730941535547</c:v>
                </c:pt>
                <c:pt idx="114">
                  <c:v>5.8860020368982537</c:v>
                </c:pt>
                <c:pt idx="115">
                  <c:v>6.0946398643755737</c:v>
                </c:pt>
                <c:pt idx="116">
                  <c:v>6.82249450080554</c:v>
                </c:pt>
                <c:pt idx="117">
                  <c:v>6.8507951772408164</c:v>
                </c:pt>
                <c:pt idx="118">
                  <c:v>6.4109992369879585</c:v>
                </c:pt>
                <c:pt idx="119">
                  <c:v>6.4687636910678519</c:v>
                </c:pt>
                <c:pt idx="120">
                  <c:v>6.8874014885685808</c:v>
                </c:pt>
                <c:pt idx="121">
                  <c:v>7.8155318453850828</c:v>
                </c:pt>
                <c:pt idx="122">
                  <c:v>7.2090649237475919</c:v>
                </c:pt>
                <c:pt idx="123">
                  <c:v>7.3685912217889893</c:v>
                </c:pt>
                <c:pt idx="124">
                  <c:v>7.383732593459456</c:v>
                </c:pt>
                <c:pt idx="125">
                  <c:v>6.5272402445149673</c:v>
                </c:pt>
                <c:pt idx="126">
                  <c:v>6.8132533938649384</c:v>
                </c:pt>
                <c:pt idx="127">
                  <c:v>7.0869594724410998</c:v>
                </c:pt>
                <c:pt idx="128">
                  <c:v>7.9565136973141222</c:v>
                </c:pt>
                <c:pt idx="129">
                  <c:v>7.7316199319636443</c:v>
                </c:pt>
                <c:pt idx="130">
                  <c:v>7.5631742382295144</c:v>
                </c:pt>
                <c:pt idx="131">
                  <c:v>7.2754748088496122</c:v>
                </c:pt>
                <c:pt idx="132">
                  <c:v>7.3036052457073151</c:v>
                </c:pt>
                <c:pt idx="133">
                  <c:v>7.8568939495434531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EA4-8461-2DDEB11A5E8B}"/>
            </c:ext>
          </c:extLst>
        </c:ser>
        <c:ser>
          <c:idx val="3"/>
          <c:order val="3"/>
          <c:tx>
            <c:strRef>
              <c:f>NN3再投資累積報酬!$C$26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NN3再投資累積報酬!$D$26:$EG$26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-8.2093696582953402E-2</c:v>
                </c:pt>
                <c:pt idx="2">
                  <c:v>-2.1476552903661683E-2</c:v>
                </c:pt>
                <c:pt idx="3">
                  <c:v>-0.12770730243987938</c:v>
                </c:pt>
                <c:pt idx="4">
                  <c:v>-0.1673286271123271</c:v>
                </c:pt>
                <c:pt idx="5">
                  <c:v>-6.8370877187264423E-2</c:v>
                </c:pt>
                <c:pt idx="6">
                  <c:v>4.9693308737068786E-2</c:v>
                </c:pt>
                <c:pt idx="7">
                  <c:v>-1.8037826719474515E-2</c:v>
                </c:pt>
                <c:pt idx="8">
                  <c:v>-2.2172247245531018E-2</c:v>
                </c:pt>
                <c:pt idx="9">
                  <c:v>9.6643626853636366E-3</c:v>
                </c:pt>
                <c:pt idx="10">
                  <c:v>-0.18064934255710519</c:v>
                </c:pt>
                <c:pt idx="11">
                  <c:v>8.9989829762600948E-2</c:v>
                </c:pt>
                <c:pt idx="12">
                  <c:v>3.9737491000165548E-2</c:v>
                </c:pt>
                <c:pt idx="13">
                  <c:v>9.4826196931536488E-2</c:v>
                </c:pt>
                <c:pt idx="14">
                  <c:v>-1.506736531906816E-2</c:v>
                </c:pt>
                <c:pt idx="15">
                  <c:v>1.4356106918789191E-3</c:v>
                </c:pt>
                <c:pt idx="16">
                  <c:v>-4.1660103056891051E-2</c:v>
                </c:pt>
                <c:pt idx="17">
                  <c:v>-8.8943321529678876E-2</c:v>
                </c:pt>
                <c:pt idx="18">
                  <c:v>3.5842345789421248E-2</c:v>
                </c:pt>
                <c:pt idx="19">
                  <c:v>-5.2909539885297341E-2</c:v>
                </c:pt>
                <c:pt idx="20">
                  <c:v>4.8367157161390617E-2</c:v>
                </c:pt>
                <c:pt idx="21">
                  <c:v>-3.3863001572128182E-2</c:v>
                </c:pt>
                <c:pt idx="22">
                  <c:v>-5.723252089139319E-2</c:v>
                </c:pt>
                <c:pt idx="23">
                  <c:v>-7.9535023100420821E-2</c:v>
                </c:pt>
                <c:pt idx="24">
                  <c:v>-3.6654127617224863E-2</c:v>
                </c:pt>
                <c:pt idx="25">
                  <c:v>-0.10793782234155302</c:v>
                </c:pt>
                <c:pt idx="26">
                  <c:v>-0.14366948845226213</c:v>
                </c:pt>
                <c:pt idx="27">
                  <c:v>-0.10968131844459583</c:v>
                </c:pt>
                <c:pt idx="28">
                  <c:v>-6.7581285258120127E-2</c:v>
                </c:pt>
                <c:pt idx="29">
                  <c:v>-0.11398965272227513</c:v>
                </c:pt>
                <c:pt idx="30">
                  <c:v>-0.12262409875299807</c:v>
                </c:pt>
                <c:pt idx="31">
                  <c:v>-0.13534665201333795</c:v>
                </c:pt>
                <c:pt idx="32">
                  <c:v>-9.1375181918762483E-2</c:v>
                </c:pt>
                <c:pt idx="33">
                  <c:v>-8.757310076218594E-2</c:v>
                </c:pt>
                <c:pt idx="34">
                  <c:v>-3.5112591098085733E-2</c:v>
                </c:pt>
                <c:pt idx="35">
                  <c:v>-4.1752713815806475E-2</c:v>
                </c:pt>
                <c:pt idx="36">
                  <c:v>-3.9889199344983695E-2</c:v>
                </c:pt>
                <c:pt idx="37">
                  <c:v>-9.8201463343869588E-2</c:v>
                </c:pt>
                <c:pt idx="38">
                  <c:v>-6.6005593882960789E-2</c:v>
                </c:pt>
                <c:pt idx="39">
                  <c:v>-5.4254127676315211E-2</c:v>
                </c:pt>
                <c:pt idx="40">
                  <c:v>-7.2933542321854339E-2</c:v>
                </c:pt>
                <c:pt idx="41">
                  <c:v>-5.0173300871076298E-2</c:v>
                </c:pt>
                <c:pt idx="42">
                  <c:v>-7.1478812785240486E-2</c:v>
                </c:pt>
                <c:pt idx="43">
                  <c:v>-6.511239031787508E-2</c:v>
                </c:pt>
                <c:pt idx="44">
                  <c:v>9.1115211362354787E-2</c:v>
                </c:pt>
                <c:pt idx="45">
                  <c:v>0.12736784401493906</c:v>
                </c:pt>
                <c:pt idx="46">
                  <c:v>0.22720679948847522</c:v>
                </c:pt>
                <c:pt idx="47">
                  <c:v>0.23231160144030816</c:v>
                </c:pt>
                <c:pt idx="48">
                  <c:v>0.17914536851206098</c:v>
                </c:pt>
                <c:pt idx="49">
                  <c:v>0.22259375267307724</c:v>
                </c:pt>
                <c:pt idx="50">
                  <c:v>0.41538205326894651</c:v>
                </c:pt>
                <c:pt idx="51">
                  <c:v>0.56936019273997074</c:v>
                </c:pt>
                <c:pt idx="52">
                  <c:v>0.66690400098629743</c:v>
                </c:pt>
                <c:pt idx="53">
                  <c:v>0.68298542589837274</c:v>
                </c:pt>
                <c:pt idx="54">
                  <c:v>0.6052026966378623</c:v>
                </c:pt>
                <c:pt idx="55">
                  <c:v>0.51374141850935739</c:v>
                </c:pt>
                <c:pt idx="56">
                  <c:v>0.53459494796111606</c:v>
                </c:pt>
                <c:pt idx="57">
                  <c:v>0.45063844589258606</c:v>
                </c:pt>
                <c:pt idx="58">
                  <c:v>0.48886425357295682</c:v>
                </c:pt>
                <c:pt idx="59">
                  <c:v>0.51211897721417143</c:v>
                </c:pt>
                <c:pt idx="60">
                  <c:v>0.62230620836510275</c:v>
                </c:pt>
                <c:pt idx="61">
                  <c:v>0.62243258829604065</c:v>
                </c:pt>
                <c:pt idx="62">
                  <c:v>0.52087091296652988</c:v>
                </c:pt>
                <c:pt idx="63">
                  <c:v>0.420411252107876</c:v>
                </c:pt>
                <c:pt idx="64">
                  <c:v>0.4439750843586403</c:v>
                </c:pt>
                <c:pt idx="65">
                  <c:v>0.5185085361492674</c:v>
                </c:pt>
                <c:pt idx="66">
                  <c:v>0.55597221021218957</c:v>
                </c:pt>
                <c:pt idx="67">
                  <c:v>0.52575207969286009</c:v>
                </c:pt>
                <c:pt idx="68">
                  <c:v>0.64029992244321998</c:v>
                </c:pt>
                <c:pt idx="69">
                  <c:v>0.58020972262383208</c:v>
                </c:pt>
                <c:pt idx="70">
                  <c:v>0.4450295224682228</c:v>
                </c:pt>
                <c:pt idx="71">
                  <c:v>0.5867253393051366</c:v>
                </c:pt>
                <c:pt idx="72">
                  <c:v>0.91064871551944004</c:v>
                </c:pt>
                <c:pt idx="73">
                  <c:v>0.95640766593261728</c:v>
                </c:pt>
                <c:pt idx="74">
                  <c:v>0.77379971939053949</c:v>
                </c:pt>
                <c:pt idx="75">
                  <c:v>0.89328244859749883</c:v>
                </c:pt>
                <c:pt idx="76">
                  <c:v>0.95001278135295153</c:v>
                </c:pt>
                <c:pt idx="77">
                  <c:v>1.2056426923073591</c:v>
                </c:pt>
                <c:pt idx="78">
                  <c:v>1.5886563080400609</c:v>
                </c:pt>
                <c:pt idx="79">
                  <c:v>1.8192913984106722</c:v>
                </c:pt>
                <c:pt idx="80">
                  <c:v>2.0261375081808306</c:v>
                </c:pt>
                <c:pt idx="81">
                  <c:v>2.0151622614326765</c:v>
                </c:pt>
                <c:pt idx="82">
                  <c:v>2.6957785391093712</c:v>
                </c:pt>
                <c:pt idx="83">
                  <c:v>2.5480278748180205</c:v>
                </c:pt>
                <c:pt idx="84">
                  <c:v>2.3020188169454707</c:v>
                </c:pt>
                <c:pt idx="85">
                  <c:v>2.3263964014362606</c:v>
                </c:pt>
                <c:pt idx="86">
                  <c:v>2.4404259735540075</c:v>
                </c:pt>
                <c:pt idx="87">
                  <c:v>3.1723796528285719</c:v>
                </c:pt>
                <c:pt idx="88">
                  <c:v>2.7212629840231775</c:v>
                </c:pt>
                <c:pt idx="89">
                  <c:v>2.722071000126677</c:v>
                </c:pt>
                <c:pt idx="90">
                  <c:v>3.3673291886556154</c:v>
                </c:pt>
                <c:pt idx="91">
                  <c:v>3.2171226977901064</c:v>
                </c:pt>
                <c:pt idx="92">
                  <c:v>3.8058482892608376</c:v>
                </c:pt>
                <c:pt idx="93">
                  <c:v>3.9229875670763441</c:v>
                </c:pt>
                <c:pt idx="94">
                  <c:v>4.0062401443683875</c:v>
                </c:pt>
                <c:pt idx="95">
                  <c:v>3.9692211262757233</c:v>
                </c:pt>
                <c:pt idx="96">
                  <c:v>4.7338037531432455</c:v>
                </c:pt>
                <c:pt idx="97">
                  <c:v>5.08038062938392</c:v>
                </c:pt>
                <c:pt idx="98">
                  <c:v>4.9146450098041345</c:v>
                </c:pt>
                <c:pt idx="99">
                  <c:v>5.0203331616189795</c:v>
                </c:pt>
                <c:pt idx="100">
                  <c:v>5.3558626487846128</c:v>
                </c:pt>
                <c:pt idx="101">
                  <c:v>6.0891006740037614</c:v>
                </c:pt>
                <c:pt idx="102">
                  <c:v>6.7190538423855024</c:v>
                </c:pt>
                <c:pt idx="103">
                  <c:v>7.4681744440294011</c:v>
                </c:pt>
                <c:pt idx="104">
                  <c:v>8.1179122706522726</c:v>
                </c:pt>
                <c:pt idx="105">
                  <c:v>7.5022123968204841</c:v>
                </c:pt>
                <c:pt idx="106">
                  <c:v>6.9443983752582872</c:v>
                </c:pt>
                <c:pt idx="107">
                  <c:v>9.3493302235578639</c:v>
                </c:pt>
                <c:pt idx="108">
                  <c:v>8.8534163480760224</c:v>
                </c:pt>
                <c:pt idx="109">
                  <c:v>8.669068672799801</c:v>
                </c:pt>
                <c:pt idx="110">
                  <c:v>8.5557621845886516</c:v>
                </c:pt>
                <c:pt idx="111">
                  <c:v>8.0634224572786497</c:v>
                </c:pt>
                <c:pt idx="112">
                  <c:v>7.1540990083877993</c:v>
                </c:pt>
                <c:pt idx="113">
                  <c:v>7.2171940711254479</c:v>
                </c:pt>
                <c:pt idx="114">
                  <c:v>7.231765331610573</c:v>
                </c:pt>
                <c:pt idx="115">
                  <c:v>6.6800512697995833</c:v>
                </c:pt>
                <c:pt idx="116">
                  <c:v>7.9053682089000592</c:v>
                </c:pt>
                <c:pt idx="117">
                  <c:v>7.546212992158198</c:v>
                </c:pt>
                <c:pt idx="118">
                  <c:v>6.9228686260583396</c:v>
                </c:pt>
                <c:pt idx="119">
                  <c:v>6.7482861163635715</c:v>
                </c:pt>
                <c:pt idx="120">
                  <c:v>7.0390804083435317</c:v>
                </c:pt>
                <c:pt idx="121">
                  <c:v>7.3147919169070317</c:v>
                </c:pt>
                <c:pt idx="122">
                  <c:v>6.340899850250409</c:v>
                </c:pt>
                <c:pt idx="123">
                  <c:v>6.7162180386914132</c:v>
                </c:pt>
                <c:pt idx="124">
                  <c:v>6.2468688421795848</c:v>
                </c:pt>
                <c:pt idx="125">
                  <c:v>5.3872724311680349</c:v>
                </c:pt>
                <c:pt idx="126">
                  <c:v>6.0677671128382817</c:v>
                </c:pt>
                <c:pt idx="127">
                  <c:v>6.3536982487887457</c:v>
                </c:pt>
                <c:pt idx="128">
                  <c:v>7.1565524691362459</c:v>
                </c:pt>
                <c:pt idx="129">
                  <c:v>6.6987538879278716</c:v>
                </c:pt>
                <c:pt idx="130">
                  <c:v>6.5618275590376767</c:v>
                </c:pt>
                <c:pt idx="131">
                  <c:v>6.0144773803937825</c:v>
                </c:pt>
                <c:pt idx="132">
                  <c:v>5.9920961436086637</c:v>
                </c:pt>
                <c:pt idx="133">
                  <c:v>6.4270625947712379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EA4-8461-2DDEB11A5E8B}"/>
            </c:ext>
          </c:extLst>
        </c:ser>
        <c:ser>
          <c:idx val="4"/>
          <c:order val="4"/>
          <c:tx>
            <c:strRef>
              <c:f>NN3再投資累積報酬!$C$27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NN3再投資累積報酬!$D$27:$EG$27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-0.13902188870904963</c:v>
                </c:pt>
                <c:pt idx="2">
                  <c:v>-8.9656546096381851E-2</c:v>
                </c:pt>
                <c:pt idx="3">
                  <c:v>-0.17269663959612058</c:v>
                </c:pt>
                <c:pt idx="4">
                  <c:v>-0.2650273952835448</c:v>
                </c:pt>
                <c:pt idx="5">
                  <c:v>-0.15924111089130699</c:v>
                </c:pt>
                <c:pt idx="6">
                  <c:v>-0.13575405593170919</c:v>
                </c:pt>
                <c:pt idx="7">
                  <c:v>-0.25087791869384601</c:v>
                </c:pt>
                <c:pt idx="8">
                  <c:v>-0.22285724332683132</c:v>
                </c:pt>
                <c:pt idx="9">
                  <c:v>-0.14847797049340883</c:v>
                </c:pt>
                <c:pt idx="10">
                  <c:v>-0.37727668179078744</c:v>
                </c:pt>
                <c:pt idx="11">
                  <c:v>-6.5907875062035104E-2</c:v>
                </c:pt>
                <c:pt idx="12">
                  <c:v>3.6949235678247927E-2</c:v>
                </c:pt>
                <c:pt idx="13">
                  <c:v>7.8456752716446809E-2</c:v>
                </c:pt>
                <c:pt idx="14">
                  <c:v>-0.16400708287650057</c:v>
                </c:pt>
                <c:pt idx="15">
                  <c:v>-0.10843894041041868</c:v>
                </c:pt>
                <c:pt idx="16">
                  <c:v>-0.15956201674703907</c:v>
                </c:pt>
                <c:pt idx="17">
                  <c:v>-0.24431643315816509</c:v>
                </c:pt>
                <c:pt idx="18">
                  <c:v>-0.15187439157398208</c:v>
                </c:pt>
                <c:pt idx="19">
                  <c:v>-0.26746378823881178</c:v>
                </c:pt>
                <c:pt idx="20">
                  <c:v>-0.20074082303593299</c:v>
                </c:pt>
                <c:pt idx="21">
                  <c:v>-0.3206635175371455</c:v>
                </c:pt>
                <c:pt idx="22">
                  <c:v>-0.32396221100166367</c:v>
                </c:pt>
                <c:pt idx="23">
                  <c:v>-0.30425074053787271</c:v>
                </c:pt>
                <c:pt idx="24">
                  <c:v>-0.25766199338801044</c:v>
                </c:pt>
                <c:pt idx="25">
                  <c:v>-0.30251674619425839</c:v>
                </c:pt>
                <c:pt idx="26">
                  <c:v>-0.36969069075496441</c:v>
                </c:pt>
                <c:pt idx="27">
                  <c:v>-0.28784917519554076</c:v>
                </c:pt>
                <c:pt idx="28">
                  <c:v>-0.27552102571033277</c:v>
                </c:pt>
                <c:pt idx="29">
                  <c:v>-0.27083416729692389</c:v>
                </c:pt>
                <c:pt idx="30">
                  <c:v>-0.27538543111289759</c:v>
                </c:pt>
                <c:pt idx="31">
                  <c:v>-0.29553457269473282</c:v>
                </c:pt>
                <c:pt idx="32">
                  <c:v>-0.2404773978109932</c:v>
                </c:pt>
                <c:pt idx="33">
                  <c:v>-0.22738192502409682</c:v>
                </c:pt>
                <c:pt idx="34">
                  <c:v>-0.23788575698769365</c:v>
                </c:pt>
                <c:pt idx="35">
                  <c:v>-0.24216626793565477</c:v>
                </c:pt>
                <c:pt idx="36">
                  <c:v>-0.2173558606251379</c:v>
                </c:pt>
                <c:pt idx="37">
                  <c:v>-0.19159381127760455</c:v>
                </c:pt>
                <c:pt idx="38">
                  <c:v>-0.13655310671724052</c:v>
                </c:pt>
                <c:pt idx="39">
                  <c:v>-0.12566977656751144</c:v>
                </c:pt>
                <c:pt idx="40">
                  <c:v>-0.18940910222868634</c:v>
                </c:pt>
                <c:pt idx="41">
                  <c:v>-0.17863693842406947</c:v>
                </c:pt>
                <c:pt idx="42">
                  <c:v>-0.19271824657371228</c:v>
                </c:pt>
                <c:pt idx="43">
                  <c:v>-0.19501862750756371</c:v>
                </c:pt>
                <c:pt idx="44">
                  <c:v>3.1742912592660932E-2</c:v>
                </c:pt>
                <c:pt idx="45">
                  <c:v>0.10548486533152612</c:v>
                </c:pt>
                <c:pt idx="46">
                  <c:v>0.26722928937558987</c:v>
                </c:pt>
                <c:pt idx="47">
                  <c:v>0.37606676612577306</c:v>
                </c:pt>
                <c:pt idx="48">
                  <c:v>0.29035763048495777</c:v>
                </c:pt>
                <c:pt idx="49">
                  <c:v>0.41914087476763529</c:v>
                </c:pt>
                <c:pt idx="50">
                  <c:v>0.63391042692744048</c:v>
                </c:pt>
                <c:pt idx="51">
                  <c:v>1.0116927816038426</c:v>
                </c:pt>
                <c:pt idx="52">
                  <c:v>1.1537294924421939</c:v>
                </c:pt>
                <c:pt idx="53">
                  <c:v>1.1293744831596051</c:v>
                </c:pt>
                <c:pt idx="54">
                  <c:v>1.0474641917023164</c:v>
                </c:pt>
                <c:pt idx="55">
                  <c:v>0.93440956581869883</c:v>
                </c:pt>
                <c:pt idx="56">
                  <c:v>0.83434798825113821</c:v>
                </c:pt>
                <c:pt idx="57">
                  <c:v>0.73914665329723794</c:v>
                </c:pt>
                <c:pt idx="58">
                  <c:v>0.77944544065442356</c:v>
                </c:pt>
                <c:pt idx="59">
                  <c:v>0.74095690443927875</c:v>
                </c:pt>
                <c:pt idx="60">
                  <c:v>0.94578113258765417</c:v>
                </c:pt>
                <c:pt idx="61">
                  <c:v>0.98427518522611179</c:v>
                </c:pt>
                <c:pt idx="62">
                  <c:v>0.87602124615400223</c:v>
                </c:pt>
                <c:pt idx="63">
                  <c:v>0.91098658126733967</c:v>
                </c:pt>
                <c:pt idx="64">
                  <c:v>0.89644293199981639</c:v>
                </c:pt>
                <c:pt idx="65">
                  <c:v>0.88263256518737387</c:v>
                </c:pt>
                <c:pt idx="66">
                  <c:v>0.85916161274627934</c:v>
                </c:pt>
                <c:pt idx="67">
                  <c:v>0.8929762695333141</c:v>
                </c:pt>
                <c:pt idx="68">
                  <c:v>1.0914739895511825</c:v>
                </c:pt>
                <c:pt idx="69">
                  <c:v>1.2012086589388584</c:v>
                </c:pt>
                <c:pt idx="70">
                  <c:v>0.87225782683377817</c:v>
                </c:pt>
                <c:pt idx="71">
                  <c:v>1.1225972794612069</c:v>
                </c:pt>
                <c:pt idx="72">
                  <c:v>1.8486161391099998</c:v>
                </c:pt>
                <c:pt idx="73">
                  <c:v>1.6980342400321251</c:v>
                </c:pt>
                <c:pt idx="74">
                  <c:v>1.5815237251381271</c:v>
                </c:pt>
                <c:pt idx="75">
                  <c:v>2.0583959211201059</c:v>
                </c:pt>
                <c:pt idx="76">
                  <c:v>2.2119788572086438</c:v>
                </c:pt>
                <c:pt idx="77">
                  <c:v>2.6182782697635849</c:v>
                </c:pt>
                <c:pt idx="78">
                  <c:v>2.6650088672343162</c:v>
                </c:pt>
                <c:pt idx="79">
                  <c:v>3.0170866526721678</c:v>
                </c:pt>
                <c:pt idx="80">
                  <c:v>3.3616650049240411</c:v>
                </c:pt>
                <c:pt idx="81">
                  <c:v>2.7893772388980236</c:v>
                </c:pt>
                <c:pt idx="82">
                  <c:v>4.0093237476237746</c:v>
                </c:pt>
                <c:pt idx="83">
                  <c:v>4.2557585503110475</c:v>
                </c:pt>
                <c:pt idx="84">
                  <c:v>3.5647012774331053</c:v>
                </c:pt>
                <c:pt idx="85">
                  <c:v>3.5084466388317432</c:v>
                </c:pt>
                <c:pt idx="86">
                  <c:v>3.7892180499970758</c:v>
                </c:pt>
                <c:pt idx="87">
                  <c:v>5.216093300437362</c:v>
                </c:pt>
                <c:pt idx="88">
                  <c:v>4.6145258620534877</c:v>
                </c:pt>
                <c:pt idx="89">
                  <c:v>4.5058961414882797</c:v>
                </c:pt>
                <c:pt idx="90">
                  <c:v>6.1387979577344867</c:v>
                </c:pt>
                <c:pt idx="91">
                  <c:v>6.1917988342348949</c:v>
                </c:pt>
                <c:pt idx="92">
                  <c:v>6.7852646815264297</c:v>
                </c:pt>
                <c:pt idx="93">
                  <c:v>6.982718867871311</c:v>
                </c:pt>
                <c:pt idx="94">
                  <c:v>7.1606779242082066</c:v>
                </c:pt>
                <c:pt idx="95">
                  <c:v>6.422348444367616</c:v>
                </c:pt>
                <c:pt idx="96">
                  <c:v>6.4982263437998702</c:v>
                </c:pt>
                <c:pt idx="97">
                  <c:v>7.225583949547751</c:v>
                </c:pt>
                <c:pt idx="98">
                  <c:v>7.0132289629207492</c:v>
                </c:pt>
                <c:pt idx="99">
                  <c:v>7.0884422818948494</c:v>
                </c:pt>
                <c:pt idx="100">
                  <c:v>7.9679215694566086</c:v>
                </c:pt>
                <c:pt idx="101">
                  <c:v>9.1185121987330469</c:v>
                </c:pt>
                <c:pt idx="102">
                  <c:v>9.898464286621028</c:v>
                </c:pt>
                <c:pt idx="103">
                  <c:v>10.737298046228073</c:v>
                </c:pt>
                <c:pt idx="104">
                  <c:v>11.076519583276465</c:v>
                </c:pt>
                <c:pt idx="105">
                  <c:v>10.253347630213934</c:v>
                </c:pt>
                <c:pt idx="106">
                  <c:v>9.91049673673594</c:v>
                </c:pt>
                <c:pt idx="107">
                  <c:v>12.589833302043546</c:v>
                </c:pt>
                <c:pt idx="108">
                  <c:v>11.878476015072414</c:v>
                </c:pt>
                <c:pt idx="109">
                  <c:v>11.737129438190735</c:v>
                </c:pt>
                <c:pt idx="110">
                  <c:v>11.638320290270944</c:v>
                </c:pt>
                <c:pt idx="111">
                  <c:v>11.139612850687858</c:v>
                </c:pt>
                <c:pt idx="112">
                  <c:v>10.105469095136465</c:v>
                </c:pt>
                <c:pt idx="113">
                  <c:v>10.218600161022025</c:v>
                </c:pt>
                <c:pt idx="114">
                  <c:v>10.996454218532133</c:v>
                </c:pt>
                <c:pt idx="115">
                  <c:v>10.223148354847586</c:v>
                </c:pt>
                <c:pt idx="116">
                  <c:v>13.118735932701025</c:v>
                </c:pt>
                <c:pt idx="117">
                  <c:v>12.812765110511075</c:v>
                </c:pt>
                <c:pt idx="118">
                  <c:v>12.280416846216665</c:v>
                </c:pt>
                <c:pt idx="119">
                  <c:v>11.542583550306809</c:v>
                </c:pt>
                <c:pt idx="120">
                  <c:v>11.448630872965357</c:v>
                </c:pt>
                <c:pt idx="121">
                  <c:v>11.508749596070256</c:v>
                </c:pt>
                <c:pt idx="122">
                  <c:v>9.302516772955336</c:v>
                </c:pt>
                <c:pt idx="123">
                  <c:v>8.9914539515803593</c:v>
                </c:pt>
                <c:pt idx="124">
                  <c:v>7.9568771807488972</c:v>
                </c:pt>
                <c:pt idx="125">
                  <c:v>6.578715364212508</c:v>
                </c:pt>
                <c:pt idx="126">
                  <c:v>6.9850755427135578</c:v>
                </c:pt>
                <c:pt idx="127">
                  <c:v>7.7053265312190025</c:v>
                </c:pt>
                <c:pt idx="128">
                  <c:v>10.261993740575587</c:v>
                </c:pt>
                <c:pt idx="129">
                  <c:v>9.0647056567612534</c:v>
                </c:pt>
                <c:pt idx="130">
                  <c:v>9.2959564816788554</c:v>
                </c:pt>
                <c:pt idx="131">
                  <c:v>8.5276139545217209</c:v>
                </c:pt>
                <c:pt idx="132">
                  <c:v>8.5442013375000307</c:v>
                </c:pt>
                <c:pt idx="133">
                  <c:v>8.737771261091968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EA4-8461-2DDEB11A5E8B}"/>
            </c:ext>
          </c:extLst>
        </c:ser>
        <c:ser>
          <c:idx val="5"/>
          <c:order val="5"/>
          <c:tx>
            <c:strRef>
              <c:f>NN3再投資累積報酬!$C$28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NN3再投資累積報酬!$D$28:$EG$28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4.1984852428694763E-2</c:v>
                </c:pt>
                <c:pt idx="2">
                  <c:v>0.33844256534885186</c:v>
                </c:pt>
                <c:pt idx="3">
                  <c:v>3.440255900487954E-2</c:v>
                </c:pt>
                <c:pt idx="4">
                  <c:v>0.26792930457663311</c:v>
                </c:pt>
                <c:pt idx="5">
                  <c:v>0.31339191989439352</c:v>
                </c:pt>
                <c:pt idx="6">
                  <c:v>0.33562382205171426</c:v>
                </c:pt>
                <c:pt idx="7">
                  <c:v>0.18140895819631564</c:v>
                </c:pt>
                <c:pt idx="8">
                  <c:v>0.24488960181090014</c:v>
                </c:pt>
                <c:pt idx="9">
                  <c:v>0.36392999206051724</c:v>
                </c:pt>
                <c:pt idx="10">
                  <c:v>6.6885580763256236E-2</c:v>
                </c:pt>
                <c:pt idx="11">
                  <c:v>1.9542396403873377</c:v>
                </c:pt>
                <c:pt idx="12">
                  <c:v>2.675894987677832</c:v>
                </c:pt>
                <c:pt idx="13">
                  <c:v>2.6822774032114469</c:v>
                </c:pt>
                <c:pt idx="14">
                  <c:v>2.6927613463040334</c:v>
                </c:pt>
                <c:pt idx="15">
                  <c:v>2.5900182977161554</c:v>
                </c:pt>
                <c:pt idx="16">
                  <c:v>2.5503325833000399</c:v>
                </c:pt>
                <c:pt idx="17">
                  <c:v>1.5284879178100534</c:v>
                </c:pt>
                <c:pt idx="18">
                  <c:v>1.9040155911543972</c:v>
                </c:pt>
                <c:pt idx="19">
                  <c:v>1.6174516559453984</c:v>
                </c:pt>
                <c:pt idx="20">
                  <c:v>1.1867119868777634</c:v>
                </c:pt>
                <c:pt idx="21">
                  <c:v>1.1886775708185389</c:v>
                </c:pt>
                <c:pt idx="22">
                  <c:v>0.92534137237108571</c:v>
                </c:pt>
                <c:pt idx="23">
                  <c:v>0.87837353840320342</c:v>
                </c:pt>
                <c:pt idx="24">
                  <c:v>1.0556160818554003</c:v>
                </c:pt>
                <c:pt idx="25">
                  <c:v>0.67686589431272282</c:v>
                </c:pt>
                <c:pt idx="26">
                  <c:v>0.26407356308818564</c:v>
                </c:pt>
                <c:pt idx="27">
                  <c:v>0.39196658411614482</c:v>
                </c:pt>
                <c:pt idx="28">
                  <c:v>0.1479982503882904</c:v>
                </c:pt>
                <c:pt idx="29">
                  <c:v>0.33822589950524784</c:v>
                </c:pt>
                <c:pt idx="30">
                  <c:v>0.47994465454033342</c:v>
                </c:pt>
                <c:pt idx="31">
                  <c:v>0.37840002879973578</c:v>
                </c:pt>
                <c:pt idx="32">
                  <c:v>0.36625862495998596</c:v>
                </c:pt>
                <c:pt idx="33">
                  <c:v>0.48298520628195107</c:v>
                </c:pt>
                <c:pt idx="34">
                  <c:v>0.60886685293281184</c:v>
                </c:pt>
                <c:pt idx="35">
                  <c:v>0.74911773168603002</c:v>
                </c:pt>
                <c:pt idx="36">
                  <c:v>0.88659575817469061</c:v>
                </c:pt>
                <c:pt idx="37">
                  <c:v>1.1940009571911352</c:v>
                </c:pt>
                <c:pt idx="38">
                  <c:v>1.3754266609070913</c:v>
                </c:pt>
                <c:pt idx="39">
                  <c:v>0.98470059411702993</c:v>
                </c:pt>
                <c:pt idx="40">
                  <c:v>0.55376810506979179</c:v>
                </c:pt>
                <c:pt idx="41">
                  <c:v>0.28833260728112986</c:v>
                </c:pt>
                <c:pt idx="42">
                  <c:v>0.59473977066564254</c:v>
                </c:pt>
                <c:pt idx="43">
                  <c:v>0.60419436016205963</c:v>
                </c:pt>
                <c:pt idx="44">
                  <c:v>1.3694819968280165</c:v>
                </c:pt>
                <c:pt idx="45">
                  <c:v>1.3232244612156299</c:v>
                </c:pt>
                <c:pt idx="46">
                  <c:v>1.60271515563017</c:v>
                </c:pt>
                <c:pt idx="47">
                  <c:v>1.5361850754828508</c:v>
                </c:pt>
                <c:pt idx="48">
                  <c:v>0.41145435117772799</c:v>
                </c:pt>
                <c:pt idx="49">
                  <c:v>0.57888632408235075</c:v>
                </c:pt>
                <c:pt idx="50">
                  <c:v>0.65860635568244197</c:v>
                </c:pt>
                <c:pt idx="51">
                  <c:v>1.8043327009866963</c:v>
                </c:pt>
                <c:pt idx="52">
                  <c:v>0.12335499138428774</c:v>
                </c:pt>
                <c:pt idx="53">
                  <c:v>0.31721251807179751</c:v>
                </c:pt>
                <c:pt idx="54">
                  <c:v>0.18004969953200356</c:v>
                </c:pt>
                <c:pt idx="55">
                  <c:v>6.1771305713094637E-2</c:v>
                </c:pt>
                <c:pt idx="56">
                  <c:v>-0.12576249638479697</c:v>
                </c:pt>
                <c:pt idx="57">
                  <c:v>-0.11739652341746953</c:v>
                </c:pt>
                <c:pt idx="58">
                  <c:v>3.2000818258491881E-2</c:v>
                </c:pt>
                <c:pt idx="59">
                  <c:v>2.8545353659663153E-2</c:v>
                </c:pt>
                <c:pt idx="60">
                  <c:v>6.4367168338117953E-2</c:v>
                </c:pt>
                <c:pt idx="61">
                  <c:v>3.1479700689875267E-2</c:v>
                </c:pt>
                <c:pt idx="62">
                  <c:v>-0.35730187099086452</c:v>
                </c:pt>
                <c:pt idx="63">
                  <c:v>-0.28730352236113454</c:v>
                </c:pt>
                <c:pt idx="64">
                  <c:v>-0.29131202779460974</c:v>
                </c:pt>
                <c:pt idx="65">
                  <c:v>-0.31384412712024601</c:v>
                </c:pt>
                <c:pt idx="66">
                  <c:v>-0.51410382627000994</c:v>
                </c:pt>
                <c:pt idx="67">
                  <c:v>-0.51881672620290376</c:v>
                </c:pt>
                <c:pt idx="68">
                  <c:v>-0.50020122066591299</c:v>
                </c:pt>
                <c:pt idx="69">
                  <c:v>-0.63850504715131873</c:v>
                </c:pt>
                <c:pt idx="70">
                  <c:v>-0.64166758296817084</c:v>
                </c:pt>
                <c:pt idx="71">
                  <c:v>-0.71451805108618205</c:v>
                </c:pt>
                <c:pt idx="72">
                  <c:v>-0.39791512396296835</c:v>
                </c:pt>
                <c:pt idx="73">
                  <c:v>-0.4605048777518409</c:v>
                </c:pt>
                <c:pt idx="74">
                  <c:v>-0.61714020559366711</c:v>
                </c:pt>
                <c:pt idx="75">
                  <c:v>-0.30550840281964076</c:v>
                </c:pt>
                <c:pt idx="76">
                  <c:v>-0.23604193936499052</c:v>
                </c:pt>
                <c:pt idx="77">
                  <c:v>0.2526606061982688</c:v>
                </c:pt>
                <c:pt idx="78">
                  <c:v>2.4087775845390569E-2</c:v>
                </c:pt>
                <c:pt idx="79">
                  <c:v>5.4762815532342968E-2</c:v>
                </c:pt>
                <c:pt idx="80">
                  <c:v>0.22939448817646868</c:v>
                </c:pt>
                <c:pt idx="81">
                  <c:v>2.6382912961594673E-2</c:v>
                </c:pt>
                <c:pt idx="82">
                  <c:v>0.26992082828634478</c:v>
                </c:pt>
                <c:pt idx="83">
                  <c:v>0.45487632946729439</c:v>
                </c:pt>
                <c:pt idx="84">
                  <c:v>0.36975419642819563</c:v>
                </c:pt>
                <c:pt idx="85">
                  <c:v>0.44806870033897694</c:v>
                </c:pt>
                <c:pt idx="86">
                  <c:v>0.49419716951697978</c:v>
                </c:pt>
                <c:pt idx="87">
                  <c:v>2.2104619744707454</c:v>
                </c:pt>
                <c:pt idx="88">
                  <c:v>0.16721717995624896</c:v>
                </c:pt>
                <c:pt idx="89">
                  <c:v>0.18462801032710807</c:v>
                </c:pt>
                <c:pt idx="90">
                  <c:v>0.72064546191323231</c:v>
                </c:pt>
                <c:pt idx="91">
                  <c:v>0.29162192959064082</c:v>
                </c:pt>
                <c:pt idx="92">
                  <c:v>6.2222871035189309E-2</c:v>
                </c:pt>
                <c:pt idx="93">
                  <c:v>-4.0619324309212668E-2</c:v>
                </c:pt>
                <c:pt idx="94">
                  <c:v>-6.6383418023137519E-2</c:v>
                </c:pt>
                <c:pt idx="95">
                  <c:v>-0.15640180284730842</c:v>
                </c:pt>
                <c:pt idx="96">
                  <c:v>-0.16171805544110929</c:v>
                </c:pt>
                <c:pt idx="97">
                  <c:v>0.14130434946579284</c:v>
                </c:pt>
                <c:pt idx="98">
                  <c:v>0.13949179585645166</c:v>
                </c:pt>
                <c:pt idx="99">
                  <c:v>0.19961737541459645</c:v>
                </c:pt>
                <c:pt idx="100">
                  <c:v>0.58487179903714392</c:v>
                </c:pt>
                <c:pt idx="101">
                  <c:v>1.0961353983149613</c:v>
                </c:pt>
                <c:pt idx="102">
                  <c:v>1.167361209447308</c:v>
                </c:pt>
                <c:pt idx="103">
                  <c:v>1.1315957055226904</c:v>
                </c:pt>
                <c:pt idx="104">
                  <c:v>1.5143303548801055</c:v>
                </c:pt>
                <c:pt idx="105">
                  <c:v>1.6382862697949241</c:v>
                </c:pt>
                <c:pt idx="106">
                  <c:v>0.8292925092221588</c:v>
                </c:pt>
                <c:pt idx="107">
                  <c:v>1.7907412239217715</c:v>
                </c:pt>
                <c:pt idx="108">
                  <c:v>1.4571212650393863</c:v>
                </c:pt>
                <c:pt idx="109">
                  <c:v>1.7012779858685412</c:v>
                </c:pt>
                <c:pt idx="110">
                  <c:v>2.0845230398334849</c:v>
                </c:pt>
                <c:pt idx="111">
                  <c:v>1.67585886820221</c:v>
                </c:pt>
                <c:pt idx="112">
                  <c:v>1.3556115939682276</c:v>
                </c:pt>
                <c:pt idx="113">
                  <c:v>1.2808239921250029</c:v>
                </c:pt>
                <c:pt idx="114">
                  <c:v>1.2817669879593834</c:v>
                </c:pt>
                <c:pt idx="115">
                  <c:v>0.94170782469956649</c:v>
                </c:pt>
                <c:pt idx="116">
                  <c:v>1.1661924623974729</c:v>
                </c:pt>
                <c:pt idx="117">
                  <c:v>0.85354451278016019</c:v>
                </c:pt>
                <c:pt idx="118">
                  <c:v>0.75996611144677462</c:v>
                </c:pt>
                <c:pt idx="119">
                  <c:v>0.71879745711729393</c:v>
                </c:pt>
                <c:pt idx="120">
                  <c:v>0.6030148848392185</c:v>
                </c:pt>
                <c:pt idx="121">
                  <c:v>0.48321621998398445</c:v>
                </c:pt>
                <c:pt idx="122">
                  <c:v>0.51552273887764466</c:v>
                </c:pt>
                <c:pt idx="123">
                  <c:v>0.66411494649600411</c:v>
                </c:pt>
                <c:pt idx="124">
                  <c:v>0.83249425150377787</c:v>
                </c:pt>
                <c:pt idx="125">
                  <c:v>0.26150163601593235</c:v>
                </c:pt>
                <c:pt idx="126">
                  <c:v>0.69521130628116312</c:v>
                </c:pt>
                <c:pt idx="127">
                  <c:v>-3.9673947340541749E-2</c:v>
                </c:pt>
                <c:pt idx="128">
                  <c:v>-9.241523070038371E-2</c:v>
                </c:pt>
                <c:pt idx="129">
                  <c:v>-0.19154960087523742</c:v>
                </c:pt>
                <c:pt idx="130">
                  <c:v>-7.5420977344223261E-2</c:v>
                </c:pt>
                <c:pt idx="131">
                  <c:v>-0.13998909546831972</c:v>
                </c:pt>
                <c:pt idx="132">
                  <c:v>-0.23242363271615107</c:v>
                </c:pt>
                <c:pt idx="133">
                  <c:v>-0.1807836453478131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EA4-8461-2DDEB11A5E8B}"/>
            </c:ext>
          </c:extLst>
        </c:ser>
        <c:ser>
          <c:idx val="6"/>
          <c:order val="6"/>
          <c:tx>
            <c:strRef>
              <c:f>NN3再投資累積報酬!$C$29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EA4-8461-2DDEB11A5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24144"/>
        <c:axId val="2104413104"/>
      </c:lineChart>
      <c:catAx>
        <c:axId val="210442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3104"/>
        <c:crosses val="autoZero"/>
        <c:auto val="1"/>
        <c:lblAlgn val="ctr"/>
        <c:lblOffset val="100"/>
        <c:noMultiLvlLbl val="0"/>
      </c:catAx>
      <c:valAx>
        <c:axId val="21044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2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368455</xdr:colOff>
      <xdr:row>30</xdr:row>
      <xdr:rowOff>23519</xdr:rowOff>
    </xdr:from>
    <xdr:to>
      <xdr:col>129</xdr:col>
      <xdr:colOff>337097</xdr:colOff>
      <xdr:row>45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48845</xdr:colOff>
      <xdr:row>33</xdr:row>
      <xdr:rowOff>142630</xdr:rowOff>
    </xdr:from>
    <xdr:to>
      <xdr:col>128</xdr:col>
      <xdr:colOff>78153</xdr:colOff>
      <xdr:row>50</xdr:row>
      <xdr:rowOff>48845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7E62866-E48D-9E23-1C2D-5CE75933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24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526DBF4C-48E9-4DE3-B6F5-D8E55F4566E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526DBF4C-48E9-4DE3-B6F5-D8E55F4566E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ian/Documents/Finance/NN2.xlsx" TargetMode="External"/><Relationship Id="rId1" Type="http://schemas.openxmlformats.org/officeDocument/2006/relationships/externalLinkPath" Target="NN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真實IC"/>
      <sheetName val="預測IC"/>
      <sheetName val="NN2勝率"/>
      <sheetName val="NN2累積報酬 "/>
      <sheetName val="NN2再投資累積報酬"/>
      <sheetName val="NN2夏普比率"/>
      <sheetName val="OLS樣本外R2"/>
    </sheetNames>
    <sheetDataSet>
      <sheetData sheetId="0"/>
      <sheetData sheetId="1">
        <row r="12">
          <cell r="EF12">
            <v>3.9233348038795662E-2</v>
          </cell>
        </row>
        <row r="13">
          <cell r="EF13">
            <v>6.7291156741452265E-2</v>
          </cell>
        </row>
        <row r="14">
          <cell r="EF14">
            <v>6.6632346729412442E-2</v>
          </cell>
        </row>
        <row r="15">
          <cell r="EF15">
            <v>6.2208305239075959E-2</v>
          </cell>
        </row>
        <row r="16">
          <cell r="EF16">
            <v>3.9893906712643798E-2</v>
          </cell>
        </row>
        <row r="17">
          <cell r="EF17">
            <v>4.7709767009851849E-2</v>
          </cell>
        </row>
        <row r="18">
          <cell r="EF18">
            <v>4.8955017110416547E-2</v>
          </cell>
        </row>
        <row r="19">
          <cell r="EF19">
            <v>1.697795487476916E-2</v>
          </cell>
        </row>
        <row r="20">
          <cell r="EF20">
            <v>2.0281416615907238E-2</v>
          </cell>
        </row>
        <row r="21">
          <cell r="EF21">
            <v>-7.9916028560319194E-3</v>
          </cell>
        </row>
        <row r="22">
          <cell r="EF22">
            <v>-3.4790246372172352E-2</v>
          </cell>
        </row>
        <row r="23">
          <cell r="EF23">
            <v>-4.7782278591659677E-2</v>
          </cell>
        </row>
        <row r="24">
          <cell r="EF24">
            <v>6.7276677043968364E-2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6"/>
  <sheetViews>
    <sheetView topLeftCell="A4" zoomScale="74" zoomScaleNormal="74" workbookViewId="0">
      <selection activeCell="C12" sqref="C12:C23"/>
    </sheetView>
  </sheetViews>
  <sheetFormatPr baseColWidth="10" defaultColWidth="8.83203125" defaultRowHeight="15"/>
  <cols>
    <col min="1" max="1" width="8.83203125" style="27" customWidth="1"/>
    <col min="2" max="2" width="8.33203125" style="27" customWidth="1"/>
    <col min="3" max="10" width="8.83203125" style="27" bestFit="1" customWidth="1"/>
    <col min="11" max="11" width="8.1640625" style="27" customWidth="1"/>
    <col min="12" max="55" width="8.83203125" style="27" bestFit="1" customWidth="1"/>
    <col min="56" max="56" width="13.83203125" style="27" bestFit="1" customWidth="1"/>
    <col min="57" max="136" width="8.83203125" style="27" bestFit="1" customWidth="1"/>
  </cols>
  <sheetData>
    <row r="1" spans="1:137" ht="16">
      <c r="A1" s="1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</row>
    <row r="2" spans="1:137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3" t="s">
        <v>134</v>
      </c>
      <c r="EF2" s="16" t="s">
        <v>135</v>
      </c>
    </row>
    <row r="3" spans="1:137" ht="16">
      <c r="A3" s="4"/>
      <c r="B3" s="6" t="s">
        <v>136</v>
      </c>
      <c r="C3" s="23">
        <v>0.109105830631824</v>
      </c>
      <c r="D3" s="23">
        <v>1.4576582608432649E-2</v>
      </c>
      <c r="E3" s="23">
        <v>-3.6154356576976902E-2</v>
      </c>
      <c r="F3" s="23">
        <v>-4.742600977062153E-3</v>
      </c>
      <c r="G3" s="23">
        <v>-5.7477531385562736E-3</v>
      </c>
      <c r="H3" s="23">
        <v>4.9378023156909527E-2</v>
      </c>
      <c r="I3" s="23">
        <v>0.18325176920476779</v>
      </c>
      <c r="J3" s="23">
        <v>0.1164863088741452</v>
      </c>
      <c r="K3" s="23">
        <v>-3.0594945598924051E-2</v>
      </c>
      <c r="L3" s="23">
        <v>1.9828051430277011E-2</v>
      </c>
      <c r="M3" s="23">
        <v>-2.0999006362740089E-2</v>
      </c>
      <c r="N3" s="23">
        <v>0.1497794247734946</v>
      </c>
      <c r="O3" s="23">
        <v>1.5463406170905081E-2</v>
      </c>
      <c r="P3" s="23">
        <v>-9.1792321477913982E-2</v>
      </c>
      <c r="Q3" s="23">
        <v>-7.7409013100986537E-2</v>
      </c>
      <c r="R3" s="23">
        <v>5.4776596014220982E-2</v>
      </c>
      <c r="S3" s="23">
        <v>-0.12533438670858049</v>
      </c>
      <c r="T3" s="23">
        <v>-0.1190534205538864</v>
      </c>
      <c r="U3" s="23">
        <v>-3.777005083138045E-2</v>
      </c>
      <c r="V3" s="23">
        <v>8.1183823152198617E-2</v>
      </c>
      <c r="W3" s="23">
        <v>8.4008967865119855E-2</v>
      </c>
      <c r="X3" s="23">
        <v>0.14701135657134901</v>
      </c>
      <c r="Y3" s="23">
        <v>-0.12536053701812139</v>
      </c>
      <c r="Z3" s="23">
        <v>0.1919535535452612</v>
      </c>
      <c r="AA3" s="23">
        <v>-8.4370782422902996E-2</v>
      </c>
      <c r="AB3" s="23">
        <v>7.2897613803716274E-2</v>
      </c>
      <c r="AC3" s="23">
        <v>0.10260456025692451</v>
      </c>
      <c r="AD3" s="23">
        <v>1.5770167253116588E-2</v>
      </c>
      <c r="AE3" s="23">
        <v>-0.15200716210156701</v>
      </c>
      <c r="AF3" s="23">
        <v>5.9250251506559243E-2</v>
      </c>
      <c r="AG3" s="23">
        <v>0.13005883770177931</v>
      </c>
      <c r="AH3" s="23">
        <v>0.11525639530312259</v>
      </c>
      <c r="AI3" s="23">
        <v>3.2606621901195412E-2</v>
      </c>
      <c r="AJ3" s="23">
        <v>2.79991148643382E-2</v>
      </c>
      <c r="AK3" s="23">
        <v>0.14657041796408479</v>
      </c>
      <c r="AL3" s="23">
        <v>4.0841921466891577E-2</v>
      </c>
      <c r="AM3" s="23">
        <v>0.13137636706820099</v>
      </c>
      <c r="AN3" s="23">
        <v>0.22143295930140211</v>
      </c>
      <c r="AO3" s="23">
        <v>-2.0941038924054418E-2</v>
      </c>
      <c r="AP3" s="23">
        <v>-0.13715995040864579</v>
      </c>
      <c r="AQ3" s="23">
        <v>-2.4882854865750599E-2</v>
      </c>
      <c r="AR3" s="23">
        <v>1.551397070984222E-2</v>
      </c>
      <c r="AS3" s="23">
        <v>3.4373036510765703E-2</v>
      </c>
      <c r="AT3" s="23">
        <v>6.3095686135752824E-2</v>
      </c>
      <c r="AU3" s="23">
        <v>4.3237695395113553E-2</v>
      </c>
      <c r="AV3" s="23">
        <v>-7.4230367380587331E-2</v>
      </c>
      <c r="AW3" s="23">
        <v>2.7994827208502701E-2</v>
      </c>
      <c r="AX3" s="23">
        <v>0.1198644178103629</v>
      </c>
      <c r="AY3" s="23">
        <v>7.6559571245744709E-2</v>
      </c>
      <c r="AZ3" s="23">
        <v>-2.1730386111293399E-2</v>
      </c>
      <c r="BA3" s="23">
        <v>-1.2464632784982711E-3</v>
      </c>
      <c r="BB3" s="23">
        <v>0.10099582217884891</v>
      </c>
      <c r="BC3" s="23">
        <v>2.9826929857085831E-2</v>
      </c>
      <c r="BD3" s="23">
        <v>8.6757683796749117E-3</v>
      </c>
      <c r="BE3" s="23">
        <v>6.8557206018591665E-2</v>
      </c>
      <c r="BF3" s="23">
        <v>0.15691259652648329</v>
      </c>
      <c r="BG3" s="23">
        <v>0.1592037331379933</v>
      </c>
      <c r="BH3" s="23">
        <v>6.1121667651573217E-2</v>
      </c>
      <c r="BI3" s="23">
        <v>9.6912851275401127E-2</v>
      </c>
      <c r="BJ3" s="23">
        <v>-5.4746248471514068E-2</v>
      </c>
      <c r="BK3" s="23">
        <v>-8.7492963132843785E-2</v>
      </c>
      <c r="BL3" s="23">
        <v>9.4426745861656128E-2</v>
      </c>
      <c r="BM3" s="23">
        <v>-2.2191058729398399E-2</v>
      </c>
      <c r="BN3" s="23">
        <v>1.562861243910833E-2</v>
      </c>
      <c r="BO3" s="23">
        <v>8.1418240100881306E-2</v>
      </c>
      <c r="BP3" s="23">
        <v>-1.8508942424783719E-2</v>
      </c>
      <c r="BQ3" s="23">
        <v>6.8729568027927734E-2</v>
      </c>
      <c r="BR3" s="23">
        <v>3.1023605185006549E-3</v>
      </c>
      <c r="BS3" s="23">
        <v>7.4964417651561921E-2</v>
      </c>
      <c r="BT3" s="23">
        <v>4.5201587698112312E-2</v>
      </c>
      <c r="BU3" s="23">
        <v>2.5677329398223779E-2</v>
      </c>
      <c r="BV3" s="23">
        <v>9.180403106274436E-2</v>
      </c>
      <c r="BW3" s="23">
        <v>-2.6353999034970911E-2</v>
      </c>
      <c r="BX3" s="23">
        <v>1.9394832235212069E-2</v>
      </c>
      <c r="BY3" s="23">
        <v>-7.6838899317359197E-2</v>
      </c>
      <c r="BZ3" s="23">
        <v>0.1133093139289441</v>
      </c>
      <c r="CA3" s="23">
        <v>-0.10735493495839039</v>
      </c>
      <c r="CB3" s="23">
        <v>4.0844788501696747E-2</v>
      </c>
      <c r="CC3" s="23">
        <v>-1.9801708972640539E-2</v>
      </c>
      <c r="CD3" s="23">
        <v>0.1883770899619405</v>
      </c>
      <c r="CE3" s="23">
        <v>5.5574905720929421E-2</v>
      </c>
      <c r="CF3" s="23">
        <v>7.4872074365934668E-2</v>
      </c>
      <c r="CG3" s="23">
        <v>0.1000001919024945</v>
      </c>
      <c r="CH3" s="23">
        <v>0.1360217220005796</v>
      </c>
      <c r="CI3" s="23">
        <v>-9.3741014702459921E-2</v>
      </c>
      <c r="CJ3" s="23">
        <v>3.9305991202356373E-3</v>
      </c>
      <c r="CK3" s="23">
        <v>5.6507776574398372E-2</v>
      </c>
      <c r="CL3" s="23">
        <v>0.26354577822564818</v>
      </c>
      <c r="CM3" s="23">
        <v>-9.5554349157474378E-3</v>
      </c>
      <c r="CN3" s="23">
        <v>-3.1511899508967982E-2</v>
      </c>
      <c r="CO3" s="23">
        <v>-2.2619031528730349E-2</v>
      </c>
      <c r="CP3" s="23">
        <v>0.13265560934539161</v>
      </c>
      <c r="CQ3" s="23">
        <v>0.1330727797426777</v>
      </c>
      <c r="CR3" s="23">
        <v>-1.4956408370414089E-2</v>
      </c>
      <c r="CS3" s="23">
        <v>-3.3419937997587537E-2</v>
      </c>
      <c r="CT3" s="23">
        <v>1.228120855821169E-2</v>
      </c>
      <c r="CU3" s="23">
        <v>0.11681498356736621</v>
      </c>
      <c r="CV3" s="23">
        <v>-3.1589453565969692E-3</v>
      </c>
      <c r="CW3" s="23">
        <v>3.8217758352757383E-2</v>
      </c>
      <c r="CX3" s="23">
        <v>0.13917409482071269</v>
      </c>
      <c r="CY3" s="23">
        <v>-2.3712287606589749E-2</v>
      </c>
      <c r="CZ3" s="23">
        <v>0.21835291106172269</v>
      </c>
      <c r="DA3" s="23">
        <v>-5.796736233046404E-2</v>
      </c>
      <c r="DB3" s="23">
        <v>-1.410421852050941E-2</v>
      </c>
      <c r="DC3" s="23">
        <v>0.11395608079284369</v>
      </c>
      <c r="DD3" s="23">
        <v>7.4472261891957006E-2</v>
      </c>
      <c r="DE3" s="23">
        <v>-8.9969275376677231E-4</v>
      </c>
      <c r="DF3" s="23">
        <v>9.7707180382245536E-4</v>
      </c>
      <c r="DG3" s="23">
        <v>-7.2980095070914866E-2</v>
      </c>
      <c r="DH3" s="23">
        <v>-2.384528684741952E-2</v>
      </c>
      <c r="DI3" s="23">
        <v>-0.101530671996864</v>
      </c>
      <c r="DJ3" s="23">
        <v>2.7692536462605249E-2</v>
      </c>
      <c r="DK3" s="23">
        <v>-4.9335152901351147E-2</v>
      </c>
      <c r="DL3" s="23">
        <v>-5.6993575669654463E-3</v>
      </c>
      <c r="DM3" s="23">
        <v>-3.698176006290884E-2</v>
      </c>
      <c r="DN3" s="23">
        <v>0.1098129862949979</v>
      </c>
      <c r="DO3" s="23">
        <v>4.2036825231170707E-2</v>
      </c>
      <c r="DP3" s="23">
        <v>8.4566668006112469E-2</v>
      </c>
      <c r="DQ3" s="23">
        <v>-0.11027981086457481</v>
      </c>
      <c r="DR3" s="23">
        <v>9.4328709127723676E-2</v>
      </c>
      <c r="DS3" s="23">
        <v>-7.1906912609422696E-2</v>
      </c>
      <c r="DT3" s="23">
        <v>-9.6236429507091506E-2</v>
      </c>
      <c r="DU3" s="23">
        <v>2.3455494098847921E-3</v>
      </c>
      <c r="DV3" s="23">
        <v>0.13401742358239299</v>
      </c>
      <c r="DW3" s="23">
        <v>9.4732519114383587E-2</v>
      </c>
      <c r="DX3" s="23">
        <v>-0.1037731978548066</v>
      </c>
      <c r="DY3" s="23">
        <v>7.5762154171076845E-2</v>
      </c>
      <c r="DZ3" s="23">
        <v>-3.1829720434029513E-2</v>
      </c>
      <c r="EA3" s="23">
        <v>0.16130801932992569</v>
      </c>
      <c r="EB3" s="23">
        <v>1.020353315832318E-2</v>
      </c>
      <c r="EC3" s="23">
        <v>7.3988425168607055E-2</v>
      </c>
      <c r="ED3" s="23">
        <v>-0.15737687498945321</v>
      </c>
      <c r="EE3" s="23">
        <v>7.9137553498671423E-2</v>
      </c>
      <c r="EF3" s="35">
        <v>-2.1049124928606201E-2</v>
      </c>
    </row>
    <row r="4" spans="1:137" ht="16">
      <c r="A4" s="4"/>
      <c r="B4" s="6" t="s">
        <v>137</v>
      </c>
      <c r="C4" s="29">
        <v>-0.24758870953733739</v>
      </c>
      <c r="D4" s="29">
        <v>-0.27469330301591988</v>
      </c>
      <c r="E4" s="29">
        <v>-8.4648385226775952E-2</v>
      </c>
      <c r="F4" s="29">
        <v>2.264463125499239E-2</v>
      </c>
      <c r="G4" s="29">
        <v>-4.968000079578011E-2</v>
      </c>
      <c r="H4" s="29">
        <v>-0.100759633161552</v>
      </c>
      <c r="I4" s="29">
        <v>-1.2522721374844691E-2</v>
      </c>
      <c r="J4" s="29">
        <v>7.8736550465264579E-2</v>
      </c>
      <c r="K4" s="29">
        <v>-3.418510024326199E-2</v>
      </c>
      <c r="L4" s="29">
        <v>8.8406797789969321E-2</v>
      </c>
      <c r="M4" s="29">
        <v>-3.063454560011507E-3</v>
      </c>
      <c r="N4" s="29">
        <v>-0.21221799304980321</v>
      </c>
      <c r="O4" s="29">
        <v>-3.6805388582279122E-2</v>
      </c>
      <c r="P4" s="29">
        <v>7.1033118877316462E-2</v>
      </c>
      <c r="Q4" s="29">
        <v>-7.1261132998910126E-2</v>
      </c>
      <c r="R4" s="29">
        <v>2.1560446706208151E-2</v>
      </c>
      <c r="S4" s="29">
        <v>0.10111125807516751</v>
      </c>
      <c r="T4" s="29">
        <v>4.3224739792793003E-2</v>
      </c>
      <c r="U4" s="29">
        <v>1.488194958969411E-2</v>
      </c>
      <c r="V4" s="29">
        <v>6.3260243037239986E-3</v>
      </c>
      <c r="W4" s="29">
        <v>-0.1435529784595129</v>
      </c>
      <c r="X4" s="29">
        <v>-6.4282172013507929E-2</v>
      </c>
      <c r="Y4" s="29">
        <v>-1.9034202878042191E-2</v>
      </c>
      <c r="Z4" s="29">
        <v>-2.0644556245472189E-2</v>
      </c>
      <c r="AA4" s="29">
        <v>3.3059540377865217E-2</v>
      </c>
      <c r="AB4" s="29">
        <v>-1.9418226776777941E-2</v>
      </c>
      <c r="AC4" s="29">
        <v>-6.3126838764061721E-2</v>
      </c>
      <c r="AD4" s="29">
        <v>-6.5629712146108229E-2</v>
      </c>
      <c r="AE4" s="29">
        <v>0.1379956892668254</v>
      </c>
      <c r="AF4" s="29">
        <v>-0.1005679184552228</v>
      </c>
      <c r="AG4" s="29">
        <v>-3.7969091150733998E-2</v>
      </c>
      <c r="AH4" s="29">
        <v>-4.5839537807496208E-2</v>
      </c>
      <c r="AI4" s="29">
        <v>-5.1034095516539722E-2</v>
      </c>
      <c r="AJ4" s="29">
        <v>-3.2204408877165632E-3</v>
      </c>
      <c r="AK4" s="29">
        <v>4.8952958975013116E-4</v>
      </c>
      <c r="AL4" s="29">
        <v>-0.1064467536119352</v>
      </c>
      <c r="AM4" s="29">
        <v>-1.3723973583554899E-2</v>
      </c>
      <c r="AN4" s="29">
        <v>-0.1219647076543238</v>
      </c>
      <c r="AO4" s="29">
        <v>-4.858966597382592E-2</v>
      </c>
      <c r="AP4" s="29">
        <v>-1.903150433663008E-3</v>
      </c>
      <c r="AQ4" s="29">
        <v>2.9067484813314101E-2</v>
      </c>
      <c r="AR4" s="29">
        <v>5.2635776863899968E-2</v>
      </c>
      <c r="AS4" s="29">
        <v>-1.289325857571229E-2</v>
      </c>
      <c r="AT4" s="29">
        <v>-2.131134772842519E-3</v>
      </c>
      <c r="AU4" s="29">
        <v>-0.15538438197178719</v>
      </c>
      <c r="AV4" s="29">
        <v>1.268178414302561E-2</v>
      </c>
      <c r="AW4" s="29">
        <v>-1.1942321618877561E-2</v>
      </c>
      <c r="AX4" s="29">
        <v>-4.2537914968475456E-3</v>
      </c>
      <c r="AY4" s="29">
        <v>2.930087158954232E-2</v>
      </c>
      <c r="AZ4" s="29">
        <v>-0.13412750113921701</v>
      </c>
      <c r="BA4" s="29">
        <v>-0.13711152966130111</v>
      </c>
      <c r="BB4" s="29">
        <v>1.7546605068716691E-3</v>
      </c>
      <c r="BC4" s="29">
        <v>2.5117126105990401E-2</v>
      </c>
      <c r="BD4" s="29">
        <v>-0.11960190660895841</v>
      </c>
      <c r="BE4" s="29">
        <v>0.1357616496399312</v>
      </c>
      <c r="BF4" s="29">
        <v>4.7091161676368357E-2</v>
      </c>
      <c r="BG4" s="29">
        <v>-2.605004393557599E-2</v>
      </c>
      <c r="BH4" s="29">
        <v>4.3752773670266483E-2</v>
      </c>
      <c r="BI4" s="29">
        <v>-8.1391827895093402E-2</v>
      </c>
      <c r="BJ4" s="29">
        <v>-0.10060082155953699</v>
      </c>
      <c r="BK4" s="29">
        <v>9.0490079041763594E-2</v>
      </c>
      <c r="BL4" s="29">
        <v>-3.0898458704964389E-2</v>
      </c>
      <c r="BM4" s="29">
        <v>5.8814186622603987E-2</v>
      </c>
      <c r="BN4" s="29">
        <v>8.1345639246770615E-2</v>
      </c>
      <c r="BO4" s="29">
        <v>-7.7164168976593351E-3</v>
      </c>
      <c r="BP4" s="29">
        <v>0.1067348704344353</v>
      </c>
      <c r="BQ4" s="29">
        <v>-2.7156341096342261E-2</v>
      </c>
      <c r="BR4" s="29">
        <v>-5.4431018659150447E-2</v>
      </c>
      <c r="BS4" s="29">
        <v>-6.822927751511014E-2</v>
      </c>
      <c r="BT4" s="29">
        <v>9.8612222991557266E-2</v>
      </c>
      <c r="BU4" s="29">
        <v>0.1283985422991091</v>
      </c>
      <c r="BV4" s="29">
        <v>-7.8402519476778718E-2</v>
      </c>
      <c r="BW4" s="29">
        <v>-0.1191337216524913</v>
      </c>
      <c r="BX4" s="29">
        <v>-4.6890096077604589E-2</v>
      </c>
      <c r="BY4" s="29">
        <v>0.10169834364209621</v>
      </c>
      <c r="BZ4" s="29">
        <v>-2.5680084240218899E-2</v>
      </c>
      <c r="CA4" s="29">
        <v>-8.3301790010408508E-2</v>
      </c>
      <c r="CB4" s="29">
        <v>-0.15782764847875469</v>
      </c>
      <c r="CC4" s="29">
        <v>-7.1052571704280934E-2</v>
      </c>
      <c r="CD4" s="29">
        <v>-7.3875492145199798E-2</v>
      </c>
      <c r="CE4" s="29">
        <v>-0.23678647002516851</v>
      </c>
      <c r="CF4" s="29">
        <v>3.2627706277002622E-2</v>
      </c>
      <c r="CG4" s="29">
        <v>1.3423084626575861E-2</v>
      </c>
      <c r="CH4" s="29">
        <v>-2.7966658799032269E-3</v>
      </c>
      <c r="CI4" s="29">
        <v>4.7925699911805238E-2</v>
      </c>
      <c r="CJ4" s="29">
        <v>-3.2520192681292038E-3</v>
      </c>
      <c r="CK4" s="29">
        <v>-7.570819035307215E-2</v>
      </c>
      <c r="CL4" s="29">
        <v>-4.439725585073561E-2</v>
      </c>
      <c r="CM4" s="29">
        <v>0.17898858319392719</v>
      </c>
      <c r="CN4" s="29">
        <v>5.799426642317386E-2</v>
      </c>
      <c r="CO4" s="29">
        <v>-0.13939018969183081</v>
      </c>
      <c r="CP4" s="29">
        <v>6.4714670503515537E-2</v>
      </c>
      <c r="CQ4" s="29">
        <v>-0.18118788880647541</v>
      </c>
      <c r="CR4" s="29">
        <v>-8.8633532328162568E-2</v>
      </c>
      <c r="CS4" s="29">
        <v>-2.532177470861038E-2</v>
      </c>
      <c r="CT4" s="29">
        <v>-0.11307907407472829</v>
      </c>
      <c r="CU4" s="29">
        <v>8.095957294189474E-3</v>
      </c>
      <c r="CV4" s="29">
        <v>-4.5200208394220349E-2</v>
      </c>
      <c r="CW4" s="29">
        <v>-5.8941225467328592E-2</v>
      </c>
      <c r="CX4" s="29">
        <v>-0.1077283016776811</v>
      </c>
      <c r="CY4" s="29">
        <v>-9.6503499496267492E-2</v>
      </c>
      <c r="CZ4" s="29">
        <v>-0.2103543453191653</v>
      </c>
      <c r="DA4" s="29">
        <v>-0.10996113735654101</v>
      </c>
      <c r="DB4" s="29">
        <v>-0.1908204716293295</v>
      </c>
      <c r="DC4" s="29">
        <v>-2.0727272402408872E-2</v>
      </c>
      <c r="DD4" s="29">
        <v>8.7029095351123936E-2</v>
      </c>
      <c r="DE4" s="29">
        <v>8.2024592921593045E-2</v>
      </c>
      <c r="DF4" s="29">
        <v>-0.166876664789437</v>
      </c>
      <c r="DG4" s="29">
        <v>0.22243808581717431</v>
      </c>
      <c r="DH4" s="29">
        <v>-0.144297746243673</v>
      </c>
      <c r="DI4" s="29">
        <v>-0.1196199522370443</v>
      </c>
      <c r="DJ4" s="29">
        <v>-0.10159274396951661</v>
      </c>
      <c r="DK4" s="29">
        <v>9.2855058740681395E-2</v>
      </c>
      <c r="DL4" s="29">
        <v>-4.2630490096108087E-2</v>
      </c>
      <c r="DM4" s="29">
        <v>8.2732072899953643E-2</v>
      </c>
      <c r="DN4" s="29">
        <v>-3.1049452465540091E-2</v>
      </c>
      <c r="DO4" s="29">
        <v>-9.8141990492640205E-2</v>
      </c>
      <c r="DP4" s="29">
        <v>-0.13058888143944061</v>
      </c>
      <c r="DQ4" s="29">
        <v>4.8655718251279387E-2</v>
      </c>
      <c r="DR4" s="29">
        <v>-3.9251909935401189E-2</v>
      </c>
      <c r="DS4" s="29">
        <v>-0.1610301993932845</v>
      </c>
      <c r="DT4" s="29">
        <v>-7.8883966483063367E-2</v>
      </c>
      <c r="DU4" s="29">
        <v>0.16407715854109439</v>
      </c>
      <c r="DV4" s="29">
        <v>7.5052515397744431E-3</v>
      </c>
      <c r="DW4" s="29">
        <v>-0.1016452501185193</v>
      </c>
      <c r="DX4" s="29">
        <v>-5.6040292492535823E-2</v>
      </c>
      <c r="DY4" s="29">
        <v>-0.1066566396478186</v>
      </c>
      <c r="DZ4" s="29">
        <v>-6.9186575508287662E-2</v>
      </c>
      <c r="EA4" s="29">
        <v>-0.12618865773840809</v>
      </c>
      <c r="EB4" s="29">
        <v>-6.4737118328050736E-2</v>
      </c>
      <c r="EC4" s="29">
        <v>5.142607344157852E-2</v>
      </c>
      <c r="ED4" s="30">
        <v>3.4496728436731378E-2</v>
      </c>
      <c r="EE4" s="25">
        <v>0.15767759835539891</v>
      </c>
      <c r="EF4" s="34">
        <v>0.24308193553486401</v>
      </c>
      <c r="EG4" s="19"/>
    </row>
    <row r="5" spans="1:137" ht="16">
      <c r="A5" s="4"/>
      <c r="B5" s="6" t="s">
        <v>138</v>
      </c>
      <c r="C5" s="25">
        <v>-5.4244781267602057E-2</v>
      </c>
      <c r="D5" s="25">
        <v>4.5377022463556939E-2</v>
      </c>
      <c r="E5" s="25">
        <v>-1.7752272607948309E-2</v>
      </c>
      <c r="F5" s="25">
        <v>-8.7687354470119203E-2</v>
      </c>
      <c r="G5" s="25">
        <v>0.1027592597916023</v>
      </c>
      <c r="H5" s="25">
        <v>2.5113717342445511E-3</v>
      </c>
      <c r="I5" s="25">
        <v>-1.8303552483615069E-2</v>
      </c>
      <c r="J5" s="25">
        <v>2.2110525104917209E-2</v>
      </c>
      <c r="K5" s="25">
        <v>7.7258045731841044E-2</v>
      </c>
      <c r="L5" s="25">
        <v>9.3440783982297517E-3</v>
      </c>
      <c r="M5" s="25">
        <v>5.3602181204841143E-2</v>
      </c>
      <c r="N5" s="25">
        <v>-6.7877357290963961E-2</v>
      </c>
      <c r="O5" s="25">
        <v>6.4929886491987929E-2</v>
      </c>
      <c r="P5" s="25">
        <v>4.8806817542238106E-3</v>
      </c>
      <c r="Q5" s="25">
        <v>1.919781824762783E-2</v>
      </c>
      <c r="R5" s="25">
        <v>-5.4653492448842392E-3</v>
      </c>
      <c r="S5" s="25">
        <v>3.6551467134004201E-2</v>
      </c>
      <c r="T5" s="25">
        <v>0.12918506866843241</v>
      </c>
      <c r="U5" s="25">
        <v>1.369240766293847E-2</v>
      </c>
      <c r="V5" s="25">
        <v>1.529525194063162E-2</v>
      </c>
      <c r="W5" s="25">
        <v>-0.10468571910271469</v>
      </c>
      <c r="X5" s="25">
        <v>-0.29384805056845642</v>
      </c>
      <c r="Y5" s="25">
        <v>5.9212485033458218E-2</v>
      </c>
      <c r="Z5" s="25">
        <v>-0.18494831245363619</v>
      </c>
      <c r="AA5" s="25">
        <v>9.8247438772127521E-2</v>
      </c>
      <c r="AB5" s="25">
        <v>-6.5734107189282197E-4</v>
      </c>
      <c r="AC5" s="25">
        <v>-0.1036861156532312</v>
      </c>
      <c r="AD5" s="25">
        <v>3.5450938075395509E-3</v>
      </c>
      <c r="AE5" s="25">
        <v>0.17560148677061019</v>
      </c>
      <c r="AF5" s="25">
        <v>-0.1550331010885124</v>
      </c>
      <c r="AG5" s="25">
        <v>-2.6328625232284051E-2</v>
      </c>
      <c r="AH5" s="25">
        <v>-4.9988101579694936E-3</v>
      </c>
      <c r="AI5" s="25">
        <v>2.8067714594873169E-2</v>
      </c>
      <c r="AJ5" s="25">
        <v>-2.2384193940381401E-2</v>
      </c>
      <c r="AK5" s="25">
        <v>-4.7020825392250949E-2</v>
      </c>
      <c r="AL5" s="25">
        <v>-0.10156151199043489</v>
      </c>
      <c r="AM5" s="25">
        <v>2.3525148704495701E-2</v>
      </c>
      <c r="AN5" s="25">
        <v>5.2525230105422573E-2</v>
      </c>
      <c r="AO5" s="25">
        <v>5.8502893637957562E-2</v>
      </c>
      <c r="AP5" s="25">
        <v>3.3447356041428761E-2</v>
      </c>
      <c r="AQ5" s="25">
        <v>1.430036545094069E-2</v>
      </c>
      <c r="AR5" s="25">
        <v>3.5903594729592501E-2</v>
      </c>
      <c r="AS5" s="25">
        <v>3.9782285287992311E-2</v>
      </c>
      <c r="AT5" s="25">
        <v>0.1484561956282951</v>
      </c>
      <c r="AU5" s="25">
        <v>-4.078729487218978E-2</v>
      </c>
      <c r="AV5" s="25">
        <v>0.13895895413073689</v>
      </c>
      <c r="AW5" s="25">
        <v>5.9863283397122782E-2</v>
      </c>
      <c r="AX5" s="25">
        <v>-0.1497898129881709</v>
      </c>
      <c r="AY5" s="25">
        <v>6.1595851435820623E-2</v>
      </c>
      <c r="AZ5" s="25">
        <v>-6.1949751488506538E-2</v>
      </c>
      <c r="BA5" s="25">
        <v>-2.389264381020083E-3</v>
      </c>
      <c r="BB5" s="25">
        <v>-0.14887029613688371</v>
      </c>
      <c r="BC5" s="25">
        <v>6.0350517971681748E-2</v>
      </c>
      <c r="BD5" s="25">
        <v>-1.468575255625916E-2</v>
      </c>
      <c r="BE5" s="25">
        <v>-0.14651529968819679</v>
      </c>
      <c r="BF5" s="25">
        <v>-0.2087626486148127</v>
      </c>
      <c r="BG5" s="25">
        <v>-0.20144325578474859</v>
      </c>
      <c r="BH5" s="25">
        <v>-0.11804991677814031</v>
      </c>
      <c r="BI5" s="25">
        <v>-7.7026576071686378E-2</v>
      </c>
      <c r="BJ5" s="25">
        <v>-3.6220317042829728E-2</v>
      </c>
      <c r="BK5" s="25">
        <v>-1.8907268725092598E-2</v>
      </c>
      <c r="BL5" s="25">
        <v>-0.17125563757433929</v>
      </c>
      <c r="BM5" s="25">
        <v>0.13291749710961351</v>
      </c>
      <c r="BN5" s="25">
        <v>-3.5907701607395578E-2</v>
      </c>
      <c r="BO5" s="25">
        <v>2.1344518209370389E-2</v>
      </c>
      <c r="BP5" s="25">
        <v>4.9634822871427897E-2</v>
      </c>
      <c r="BQ5" s="25">
        <v>-1.7211216417584319E-2</v>
      </c>
      <c r="BR5" s="25">
        <v>0.18982724311105359</v>
      </c>
      <c r="BS5" s="25">
        <v>-9.7605037382284945E-2</v>
      </c>
      <c r="BT5" s="25">
        <v>3.7831444138355132E-2</v>
      </c>
      <c r="BU5" s="25">
        <v>5.6008305208474198E-2</v>
      </c>
      <c r="BV5" s="25">
        <v>-0.1167370363031352</v>
      </c>
      <c r="BW5" s="25">
        <v>-0.1413229882478122</v>
      </c>
      <c r="BX5" s="25">
        <v>-3.3770258788579869E-3</v>
      </c>
      <c r="BY5" s="25">
        <v>0.13033606071126891</v>
      </c>
      <c r="BZ5" s="25">
        <v>3.1697731081681189E-2</v>
      </c>
      <c r="CA5" s="25">
        <v>4.0555037474470507E-2</v>
      </c>
      <c r="CB5" s="25">
        <v>-4.2037331365292897E-2</v>
      </c>
      <c r="CC5" s="25">
        <v>5.0013723389441531E-2</v>
      </c>
      <c r="CD5" s="25">
        <v>-6.8456279312897411E-2</v>
      </c>
      <c r="CE5" s="25">
        <v>-8.0832090081974353E-2</v>
      </c>
      <c r="CF5" s="25">
        <v>-1.948310790200239E-3</v>
      </c>
      <c r="CG5" s="25">
        <v>-0.1182090018050031</v>
      </c>
      <c r="CH5" s="25">
        <v>-3.67198859644461E-2</v>
      </c>
      <c r="CI5" s="25">
        <v>-8.3332793120616616E-2</v>
      </c>
      <c r="CJ5" s="25">
        <v>0.23067286701975129</v>
      </c>
      <c r="CK5" s="25">
        <v>0.1327785225954993</v>
      </c>
      <c r="CL5" s="25">
        <v>0.1412873189704931</v>
      </c>
      <c r="CM5" s="25">
        <v>-0.11268938730850959</v>
      </c>
      <c r="CN5" s="25">
        <v>0.22348855763592371</v>
      </c>
      <c r="CO5" s="25">
        <v>-0.10441916957268479</v>
      </c>
      <c r="CP5" s="25">
        <v>-1.442822447791231E-2</v>
      </c>
      <c r="CQ5" s="25">
        <v>-0.20723337326778599</v>
      </c>
      <c r="CR5" s="25">
        <v>-0.1348638695123113</v>
      </c>
      <c r="CS5" s="25">
        <v>7.3007738807373504E-2</v>
      </c>
      <c r="CT5" s="25">
        <v>-3.0218378407130288E-2</v>
      </c>
      <c r="CU5" s="25">
        <v>-0.28688917437274702</v>
      </c>
      <c r="CV5" s="25">
        <v>0.2307305381875536</v>
      </c>
      <c r="CW5" s="25">
        <v>9.1075698514216888E-2</v>
      </c>
      <c r="CX5" s="25">
        <v>-0.1224857321642277</v>
      </c>
      <c r="CY5" s="25">
        <v>7.8381925305362449E-2</v>
      </c>
      <c r="CZ5" s="25">
        <v>-4.5950103566863888E-2</v>
      </c>
      <c r="DA5" s="25">
        <v>8.2670164530151122E-2</v>
      </c>
      <c r="DB5" s="25">
        <v>0.14934927010032351</v>
      </c>
      <c r="DC5" s="25">
        <v>-4.7798705164587528E-2</v>
      </c>
      <c r="DD5" s="25">
        <v>-0.1645134604307108</v>
      </c>
      <c r="DE5" s="25">
        <v>-0.1105683533423189</v>
      </c>
      <c r="DF5" s="25">
        <v>5.7416867202733347E-2</v>
      </c>
      <c r="DG5" s="25">
        <v>-0.21489021548963169</v>
      </c>
      <c r="DH5" s="25">
        <v>6.2997155047871164E-2</v>
      </c>
      <c r="DI5" s="25">
        <v>6.7721109014009601E-2</v>
      </c>
      <c r="DJ5" s="25">
        <v>0.1188020770386063</v>
      </c>
      <c r="DK5" s="25">
        <v>7.2827306455158416E-3</v>
      </c>
      <c r="DL5" s="25">
        <v>7.1320599005857979E-2</v>
      </c>
      <c r="DM5" s="25">
        <v>2.1021900655620821E-2</v>
      </c>
      <c r="DN5" s="25">
        <v>-3.0403223939335849E-2</v>
      </c>
      <c r="DO5" s="25">
        <v>-9.694965661135331E-2</v>
      </c>
      <c r="DP5" s="25">
        <v>-0.23067649178859881</v>
      </c>
      <c r="DQ5" s="25">
        <v>0.238184312236043</v>
      </c>
      <c r="DR5" s="25">
        <v>3.5748752036958448E-3</v>
      </c>
      <c r="DS5" s="25">
        <v>0.13395561672683809</v>
      </c>
      <c r="DT5" s="25">
        <v>0.11510609642796051</v>
      </c>
      <c r="DU5" s="25">
        <v>0.1040797891887878</v>
      </c>
      <c r="DV5" s="25">
        <v>-5.4611063064875308E-2</v>
      </c>
      <c r="DW5" s="25">
        <v>-3.3290193961398547E-2</v>
      </c>
      <c r="DX5" s="25">
        <v>5.5094916778075383E-2</v>
      </c>
      <c r="DY5" s="25">
        <v>6.8793773385234666E-2</v>
      </c>
      <c r="DZ5" s="25">
        <v>1.4480773118257949E-2</v>
      </c>
      <c r="EA5" s="25">
        <v>-0.29313654086030699</v>
      </c>
      <c r="EB5" s="25">
        <v>-0.14097501940218221</v>
      </c>
      <c r="EC5" s="25">
        <v>-1.2209361583162239E-2</v>
      </c>
      <c r="ED5" s="31">
        <v>5.816768758959897E-2</v>
      </c>
      <c r="EE5" s="25">
        <v>-0.14440301349005499</v>
      </c>
      <c r="EF5" s="36">
        <v>6.7710153809902298E-3</v>
      </c>
    </row>
    <row r="6" spans="1:137" ht="16">
      <c r="A6" s="74" t="s">
        <v>139</v>
      </c>
      <c r="B6" s="75"/>
      <c r="C6" s="25">
        <f t="array" ref="C6">MATCH(MAX(ABS(C3:C5)), ABS(C3:C5), 0)</f>
        <v>2</v>
      </c>
      <c r="D6" s="25">
        <f t="array" ref="D6">MATCH(MAX(ABS(D3:D5)), ABS(D3:D5), 0)</f>
        <v>2</v>
      </c>
      <c r="E6" s="25">
        <f t="array" ref="E6">MATCH(MAX(ABS(E3:E5)), ABS(E3:E5), 0)</f>
        <v>2</v>
      </c>
      <c r="F6" s="25">
        <f t="array" ref="F6">MATCH(MAX(ABS(F3:F5)), ABS(F3:F5), 0)</f>
        <v>3</v>
      </c>
      <c r="G6" s="25">
        <f t="array" ref="G6">MATCH(MAX(ABS(G3:G5)), ABS(G3:G5), 0)</f>
        <v>3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3</v>
      </c>
      <c r="L6" s="25">
        <f t="array" ref="L6">MATCH(MAX(ABS(L3:L5)), ABS(L3:L5), 0)</f>
        <v>2</v>
      </c>
      <c r="M6" s="25">
        <f t="array" ref="M6">MATCH(MAX(ABS(M3:M5)), ABS(M3:M5), 0)</f>
        <v>3</v>
      </c>
      <c r="N6" s="25">
        <f t="array" ref="N6">MATCH(MAX(ABS(N3:N5)), ABS(N3:N5), 0)</f>
        <v>2</v>
      </c>
      <c r="O6" s="25">
        <f t="array" ref="O6">MATCH(MAX(ABS(O3:O5)), ABS(O3:O5), 0)</f>
        <v>3</v>
      </c>
      <c r="P6" s="25">
        <f t="array" ref="P6">MATCH(MAX(ABS(P3:P5)), ABS(P3:P5), 0)</f>
        <v>1</v>
      </c>
      <c r="Q6" s="25">
        <f t="array" ref="Q6">MATCH(MAX(ABS(Q3:Q5)), ABS(Q3:Q5), 0)</f>
        <v>1</v>
      </c>
      <c r="R6" s="25">
        <f t="array" ref="R6">MATCH(MAX(ABS(R3:R5)), ABS(R3:R5), 0)</f>
        <v>1</v>
      </c>
      <c r="S6" s="25">
        <f t="array" ref="S6">MATCH(MAX(ABS(S3:S5)), ABS(S3:S5), 0)</f>
        <v>1</v>
      </c>
      <c r="T6" s="25">
        <f t="array" ref="T6">MATCH(MAX(ABS(T3:T5)), ABS(T3:T5), 0)</f>
        <v>3</v>
      </c>
      <c r="U6" s="25">
        <f t="array" ref="U6">MATCH(MAX(ABS(U3:U5)), ABS(U3:U5), 0)</f>
        <v>1</v>
      </c>
      <c r="V6" s="25">
        <f t="array" ref="V6">MATCH(MAX(ABS(V3:V5)), ABS(V3:V5), 0)</f>
        <v>1</v>
      </c>
      <c r="W6" s="25">
        <f t="array" ref="W6">MATCH(MAX(ABS(W3:W5)), ABS(W3:W5), 0)</f>
        <v>2</v>
      </c>
      <c r="X6" s="25">
        <f t="array" ref="X6">MATCH(MAX(ABS(X3:X5)), ABS(X3:X5), 0)</f>
        <v>3</v>
      </c>
      <c r="Y6" s="25">
        <f t="array" ref="Y6">MATCH(MAX(ABS(Y3:Y5)), ABS(Y3:Y5), 0)</f>
        <v>1</v>
      </c>
      <c r="Z6" s="25">
        <f t="array" ref="Z6">MATCH(MAX(ABS(Z3:Z5)), ABS(Z3:Z5), 0)</f>
        <v>1</v>
      </c>
      <c r="AA6" s="25">
        <f t="array" ref="AA6">MATCH(MAX(ABS(AA3:AA5)), ABS(AA3:AA5), 0)</f>
        <v>3</v>
      </c>
      <c r="AB6" s="25">
        <f t="array" ref="AB6">MATCH(MAX(ABS(AB3:AB5)), ABS(AB3:AB5), 0)</f>
        <v>1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3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3</v>
      </c>
      <c r="AT6" s="25">
        <f t="array" ref="AT6">MATCH(MAX(ABS(AT3:AT5)), ABS(AT3:AT5), 0)</f>
        <v>3</v>
      </c>
      <c r="AU6" s="25">
        <f t="array" ref="AU6">MATCH(MAX(ABS(AU3:AU5)), ABS(AU3:AU5), 0)</f>
        <v>2</v>
      </c>
      <c r="AV6" s="25">
        <f t="array" ref="AV6">MATCH(MAX(ABS(AV3:AV5)), ABS(AV3:AV5), 0)</f>
        <v>3</v>
      </c>
      <c r="AW6" s="25">
        <f t="array" ref="AW6">MATCH(MAX(ABS(AW3:AW5)), ABS(AW3:AW5), 0)</f>
        <v>3</v>
      </c>
      <c r="AX6" s="25">
        <f t="array" ref="AX6">MATCH(MAX(ABS(AX3:AX5)), ABS(AX3:AX5), 0)</f>
        <v>3</v>
      </c>
      <c r="AY6" s="25">
        <f t="array" ref="AY6">MATCH(MAX(ABS(AY3:AY5)), ABS(AY3:AY5), 0)</f>
        <v>1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3</v>
      </c>
      <c r="BC6" s="25">
        <f t="array" ref="BC6">MATCH(MAX(ABS(BC3:BC5)), ABS(BC3:BC5), 0)</f>
        <v>3</v>
      </c>
      <c r="BD6" s="25">
        <f t="array" ref="BD6">MATCH(MAX(ABS(BD3:BD5)), ABS(BD3:BD5), 0)</f>
        <v>2</v>
      </c>
      <c r="BE6" s="25">
        <f t="array" ref="BE6">MATCH(MAX(ABS(BE3:BE5)), ABS(BE3:BE5), 0)</f>
        <v>3</v>
      </c>
      <c r="BF6" s="25">
        <f t="array" ref="BF6">MATCH(MAX(ABS(BF3:BF5)), ABS(BF3:BF5), 0)</f>
        <v>3</v>
      </c>
      <c r="BG6" s="25">
        <f t="array" ref="BG6">MATCH(MAX(ABS(BG3:BG5)), ABS(BG3:BG5), 0)</f>
        <v>3</v>
      </c>
      <c r="BH6" s="25">
        <f t="array" ref="BH6">MATCH(MAX(ABS(BH3:BH5)), ABS(BH3:BH5), 0)</f>
        <v>3</v>
      </c>
      <c r="BI6" s="25">
        <f t="array" ref="BI6">MATCH(MAX(ABS(BI3:BI5)), ABS(BI3:BI5), 0)</f>
        <v>1</v>
      </c>
      <c r="BJ6" s="25">
        <f t="array" ref="BJ6">MATCH(MAX(ABS(BJ3:BJ5)), ABS(BJ3:BJ5), 0)</f>
        <v>2</v>
      </c>
      <c r="BK6" s="25">
        <f t="array" ref="BK6">MATCH(MAX(ABS(BK3:BK5)), ABS(BK3:BK5), 0)</f>
        <v>2</v>
      </c>
      <c r="BL6" s="25">
        <f t="array" ref="BL6">MATCH(MAX(ABS(BL3:BL5)), ABS(BL3:BL5), 0)</f>
        <v>3</v>
      </c>
      <c r="BM6" s="25">
        <f t="array" ref="BM6">MATCH(MAX(ABS(BM3:BM5)), ABS(BM3:BM5), 0)</f>
        <v>3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2</v>
      </c>
      <c r="BQ6" s="25">
        <f t="array" ref="BQ6">MATCH(MAX(ABS(BQ3:BQ5)), ABS(BQ3:BQ5), 0)</f>
        <v>1</v>
      </c>
      <c r="BR6" s="25">
        <f t="array" ref="BR6">MATCH(MAX(ABS(BR3:BR5)), ABS(BR3:BR5), 0)</f>
        <v>3</v>
      </c>
      <c r="BS6" s="25">
        <f t="array" ref="BS6">MATCH(MAX(ABS(BS3:BS5)), ABS(BS3:BS5), 0)</f>
        <v>3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3</v>
      </c>
      <c r="BW6" s="25">
        <f t="array" ref="BW6">MATCH(MAX(ABS(BW3:BW5)), ABS(BW3:BW5), 0)</f>
        <v>3</v>
      </c>
      <c r="BX6" s="25">
        <f t="array" ref="BX6">MATCH(MAX(ABS(BX3:BX5)), ABS(BX3:BX5), 0)</f>
        <v>2</v>
      </c>
      <c r="BY6" s="25">
        <f t="array" ref="BY6">MATCH(MAX(ABS(BY3:BY5)), ABS(BY3:BY5), 0)</f>
        <v>3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1</v>
      </c>
      <c r="CG6" s="25">
        <f t="array" ref="CG6">MATCH(MAX(ABS(CG3:CG5)), ABS(CG3:CG5), 0)</f>
        <v>3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3</v>
      </c>
      <c r="CK6" s="25">
        <f t="array" ref="CK6">MATCH(MAX(ABS(CK3:CK5)), ABS(CK3:CK5), 0)</f>
        <v>3</v>
      </c>
      <c r="CL6" s="25">
        <f t="array" ref="CL6">MATCH(MAX(ABS(CL3:CL5)), ABS(CL3:CL5), 0)</f>
        <v>1</v>
      </c>
      <c r="CM6" s="25">
        <f t="array" ref="CM6">MATCH(MAX(ABS(CM3:CM5)), ABS(CM3:CM5), 0)</f>
        <v>2</v>
      </c>
      <c r="CN6" s="25">
        <f t="array" ref="CN6">MATCH(MAX(ABS(CN3:CN5)), ABS(CN3:CN5), 0)</f>
        <v>3</v>
      </c>
      <c r="CO6" s="25">
        <f t="array" ref="CO6">MATCH(MAX(ABS(CO3:CO5)), ABS(CO3:CO5), 0)</f>
        <v>2</v>
      </c>
      <c r="CP6" s="25">
        <f t="array" ref="CP6">MATCH(MAX(ABS(CP3:CP5)), ABS(CP3:CP5), 0)</f>
        <v>1</v>
      </c>
      <c r="CQ6" s="25">
        <f t="array" ref="CQ6">MATCH(MAX(ABS(CQ3:CQ5)), ABS(CQ3:CQ5), 0)</f>
        <v>3</v>
      </c>
      <c r="CR6" s="25">
        <f t="array" ref="CR6">MATCH(MAX(ABS(CR3:CR5)), ABS(CR3:CR5), 0)</f>
        <v>3</v>
      </c>
      <c r="CS6" s="25">
        <f t="array" ref="CS6">MATCH(MAX(ABS(CS3:CS5)), ABS(CS3:CS5), 0)</f>
        <v>3</v>
      </c>
      <c r="CT6" s="25">
        <f t="array" ref="CT6">MATCH(MAX(ABS(CT3:CT5)), ABS(CT3:CT5), 0)</f>
        <v>2</v>
      </c>
      <c r="CU6" s="25">
        <f t="array" ref="CU6">MATCH(MAX(ABS(CU3:CU5)), ABS(CU3:CU5), 0)</f>
        <v>3</v>
      </c>
      <c r="CV6" s="25">
        <f t="array" ref="CV6">MATCH(MAX(ABS(CV3:CV5)), ABS(CV3:CV5), 0)</f>
        <v>3</v>
      </c>
      <c r="CW6" s="25">
        <f t="array" ref="CW6">MATCH(MAX(ABS(CW3:CW5)), ABS(CW3:CW5), 0)</f>
        <v>3</v>
      </c>
      <c r="CX6" s="25">
        <f t="array" ref="CX6">MATCH(MAX(ABS(CX3:CX5)), ABS(CX3:CX5), 0)</f>
        <v>1</v>
      </c>
      <c r="CY6" s="25">
        <f t="array" ref="CY6">MATCH(MAX(ABS(CY3:CY5)), ABS(CY3:CY5), 0)</f>
        <v>2</v>
      </c>
      <c r="CZ6" s="25">
        <f t="array" ref="CZ6">MATCH(MAX(ABS(CZ3:CZ5)), ABS(CZ3:CZ5), 0)</f>
        <v>1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3</v>
      </c>
      <c r="DE6" s="25">
        <f t="array" ref="DE6">MATCH(MAX(ABS(DE3:DE5)), ABS(DE3:DE5), 0)</f>
        <v>3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2</v>
      </c>
      <c r="DI6" s="25">
        <f t="array" ref="DI6">MATCH(MAX(ABS(DI3:DI5)), ABS(DI3:DI5), 0)</f>
        <v>2</v>
      </c>
      <c r="DJ6" s="25">
        <f t="array" ref="DJ6">MATCH(MAX(ABS(DJ3:DJ5)), ABS(DJ3:DJ5), 0)</f>
        <v>3</v>
      </c>
      <c r="DK6" s="25">
        <f t="array" ref="DK6">MATCH(MAX(ABS(DK3:DK5)), ABS(DK3:DK5), 0)</f>
        <v>2</v>
      </c>
      <c r="DL6" s="25">
        <f t="array" ref="DL6">MATCH(MAX(ABS(DL3:DL5)), ABS(DL3:DL5), 0)</f>
        <v>3</v>
      </c>
      <c r="DM6" s="25">
        <f t="array" ref="DM6">MATCH(MAX(ABS(DM3:DM5)), ABS(DM3:DM5), 0)</f>
        <v>2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3</v>
      </c>
      <c r="DQ6" s="25">
        <f t="array" ref="DQ6">MATCH(MAX(ABS(DQ3:DQ5)), ABS(DQ3:DQ5), 0)</f>
        <v>3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3</v>
      </c>
      <c r="DU6" s="25">
        <f t="array" ref="DU6">MATCH(MAX(ABS(DU3:DU5)), ABS(DU3:DU5), 0)</f>
        <v>2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2</v>
      </c>
      <c r="DZ6" s="25">
        <f t="array" ref="DZ6">MATCH(MAX(ABS(DZ3:DZ5)), ABS(DZ3:DZ5), 0)</f>
        <v>2</v>
      </c>
      <c r="EA6" s="25">
        <f t="array" ref="EA6">MATCH(MAX(ABS(EA3:EA5)), ABS(EA3:EA5), 0)</f>
        <v>3</v>
      </c>
      <c r="EB6" s="25">
        <f t="array" ref="EB6">MATCH(MAX(ABS(EB3:EB5)), ABS(EB3:EB5), 0)</f>
        <v>3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36">
        <v>2</v>
      </c>
    </row>
    <row r="7" spans="1:137" ht="16">
      <c r="A7" s="4"/>
      <c r="B7" s="21"/>
      <c r="C7" s="25" t="str">
        <f t="shared" ref="C7:AH7" si="0">IF(C6=1,"bm",IF(C6=2,"size",IF(C6=3,"mom")))</f>
        <v>size</v>
      </c>
      <c r="D7" s="25" t="str">
        <f t="shared" si="0"/>
        <v>size</v>
      </c>
      <c r="E7" s="25" t="str">
        <f t="shared" si="0"/>
        <v>size</v>
      </c>
      <c r="F7" s="25" t="str">
        <f t="shared" si="0"/>
        <v>mom</v>
      </c>
      <c r="G7" s="25" t="str">
        <f t="shared" si="0"/>
        <v>mom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mom</v>
      </c>
      <c r="L7" s="25" t="str">
        <f t="shared" si="0"/>
        <v>size</v>
      </c>
      <c r="M7" s="25" t="str">
        <f t="shared" si="0"/>
        <v>mom</v>
      </c>
      <c r="N7" s="25" t="str">
        <f t="shared" si="0"/>
        <v>size</v>
      </c>
      <c r="O7" s="25" t="str">
        <f t="shared" si="0"/>
        <v>mom</v>
      </c>
      <c r="P7" s="25" t="str">
        <f t="shared" si="0"/>
        <v>bm</v>
      </c>
      <c r="Q7" s="25" t="str">
        <f t="shared" si="0"/>
        <v>bm</v>
      </c>
      <c r="R7" s="25" t="str">
        <f t="shared" si="0"/>
        <v>bm</v>
      </c>
      <c r="S7" s="25" t="str">
        <f t="shared" si="0"/>
        <v>bm</v>
      </c>
      <c r="T7" s="25" t="str">
        <f t="shared" si="0"/>
        <v>mom</v>
      </c>
      <c r="U7" s="25" t="str">
        <f t="shared" si="0"/>
        <v>bm</v>
      </c>
      <c r="V7" s="25" t="str">
        <f t="shared" si="0"/>
        <v>bm</v>
      </c>
      <c r="W7" s="25" t="str">
        <f t="shared" si="0"/>
        <v>size</v>
      </c>
      <c r="X7" s="25" t="str">
        <f t="shared" si="0"/>
        <v>mom</v>
      </c>
      <c r="Y7" s="25" t="str">
        <f t="shared" si="0"/>
        <v>bm</v>
      </c>
      <c r="Z7" s="25" t="str">
        <f t="shared" si="0"/>
        <v>bm</v>
      </c>
      <c r="AA7" s="25" t="str">
        <f t="shared" si="0"/>
        <v>mom</v>
      </c>
      <c r="AB7" s="25" t="str">
        <f t="shared" si="0"/>
        <v>bm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mom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mom</v>
      </c>
      <c r="AT7" s="25" t="str">
        <f t="shared" si="1"/>
        <v>mom</v>
      </c>
      <c r="AU7" s="25" t="str">
        <f t="shared" si="1"/>
        <v>size</v>
      </c>
      <c r="AV7" s="25" t="str">
        <f t="shared" si="1"/>
        <v>mom</v>
      </c>
      <c r="AW7" s="25" t="str">
        <f t="shared" si="1"/>
        <v>mom</v>
      </c>
      <c r="AX7" s="25" t="str">
        <f t="shared" si="1"/>
        <v>mom</v>
      </c>
      <c r="AY7" s="25" t="str">
        <f t="shared" si="1"/>
        <v>bm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mom</v>
      </c>
      <c r="BC7" s="25" t="str">
        <f t="shared" si="1"/>
        <v>mom</v>
      </c>
      <c r="BD7" s="25" t="str">
        <f t="shared" si="1"/>
        <v>size</v>
      </c>
      <c r="BE7" s="25" t="str">
        <f t="shared" si="1"/>
        <v>mom</v>
      </c>
      <c r="BF7" s="25" t="str">
        <f t="shared" si="1"/>
        <v>mom</v>
      </c>
      <c r="BG7" s="25" t="str">
        <f t="shared" si="1"/>
        <v>mom</v>
      </c>
      <c r="BH7" s="25" t="str">
        <f t="shared" si="1"/>
        <v>mom</v>
      </c>
      <c r="BI7" s="25" t="str">
        <f t="shared" si="1"/>
        <v>bm</v>
      </c>
      <c r="BJ7" s="25" t="str">
        <f t="shared" si="1"/>
        <v>size</v>
      </c>
      <c r="BK7" s="25" t="str">
        <f t="shared" si="1"/>
        <v>size</v>
      </c>
      <c r="BL7" s="25" t="str">
        <f t="shared" si="1"/>
        <v>mom</v>
      </c>
      <c r="BM7" s="25" t="str">
        <f t="shared" si="1"/>
        <v>mom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size</v>
      </c>
      <c r="BQ7" s="25" t="str">
        <f t="shared" si="2"/>
        <v>bm</v>
      </c>
      <c r="BR7" s="25" t="str">
        <f t="shared" si="2"/>
        <v>mom</v>
      </c>
      <c r="BS7" s="25" t="str">
        <f t="shared" si="2"/>
        <v>mom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mom</v>
      </c>
      <c r="BW7" s="25" t="str">
        <f t="shared" si="2"/>
        <v>mom</v>
      </c>
      <c r="BX7" s="25" t="str">
        <f t="shared" si="2"/>
        <v>size</v>
      </c>
      <c r="BY7" s="25" t="str">
        <f t="shared" si="2"/>
        <v>mom</v>
      </c>
      <c r="BZ7" s="25" t="str">
        <f t="shared" si="2"/>
        <v>bm</v>
      </c>
      <c r="CA7" s="25" t="str">
        <f t="shared" si="2"/>
        <v>bm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bm</v>
      </c>
      <c r="CE7" s="25" t="str">
        <f t="shared" si="2"/>
        <v>size</v>
      </c>
      <c r="CF7" s="25" t="str">
        <f t="shared" si="2"/>
        <v>bm</v>
      </c>
      <c r="CG7" s="25" t="str">
        <f t="shared" si="2"/>
        <v>mom</v>
      </c>
      <c r="CH7" s="25" t="str">
        <f t="shared" si="2"/>
        <v>bm</v>
      </c>
      <c r="CI7" s="25" t="str">
        <f t="shared" si="2"/>
        <v>bm</v>
      </c>
      <c r="CJ7" s="25" t="str">
        <f t="shared" si="2"/>
        <v>mom</v>
      </c>
      <c r="CK7" s="25" t="str">
        <f t="shared" si="2"/>
        <v>mom</v>
      </c>
      <c r="CL7" s="25" t="str">
        <f t="shared" si="2"/>
        <v>bm</v>
      </c>
      <c r="CM7" s="25" t="str">
        <f t="shared" si="2"/>
        <v>size</v>
      </c>
      <c r="CN7" s="25" t="str">
        <f t="shared" si="2"/>
        <v>mom</v>
      </c>
      <c r="CO7" s="25" t="str">
        <f t="shared" si="2"/>
        <v>size</v>
      </c>
      <c r="CP7" s="25" t="str">
        <f t="shared" si="2"/>
        <v>bm</v>
      </c>
      <c r="CQ7" s="25" t="str">
        <f t="shared" si="2"/>
        <v>mom</v>
      </c>
      <c r="CR7" s="25" t="str">
        <f t="shared" si="2"/>
        <v>mom</v>
      </c>
      <c r="CS7" s="25" t="str">
        <f t="shared" si="2"/>
        <v>mom</v>
      </c>
      <c r="CT7" s="25" t="str">
        <f t="shared" si="2"/>
        <v>size</v>
      </c>
      <c r="CU7" s="25" t="str">
        <f t="shared" ref="CU7:DZ7" si="3">IF(CU6=1,"bm",IF(CU6=2,"size",IF(CU6=3,"mom")))</f>
        <v>mom</v>
      </c>
      <c r="CV7" s="25" t="str">
        <f t="shared" si="3"/>
        <v>mom</v>
      </c>
      <c r="CW7" s="25" t="str">
        <f t="shared" si="3"/>
        <v>mom</v>
      </c>
      <c r="CX7" s="25" t="str">
        <f t="shared" si="3"/>
        <v>bm</v>
      </c>
      <c r="CY7" s="25" t="str">
        <f t="shared" si="3"/>
        <v>size</v>
      </c>
      <c r="CZ7" s="25" t="str">
        <f t="shared" si="3"/>
        <v>bm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bm</v>
      </c>
      <c r="DD7" s="25" t="str">
        <f t="shared" si="3"/>
        <v>mom</v>
      </c>
      <c r="DE7" s="25" t="str">
        <f t="shared" si="3"/>
        <v>mom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size</v>
      </c>
      <c r="DI7" s="25" t="str">
        <f t="shared" si="3"/>
        <v>size</v>
      </c>
      <c r="DJ7" s="25" t="str">
        <f t="shared" si="3"/>
        <v>mom</v>
      </c>
      <c r="DK7" s="25" t="str">
        <f t="shared" si="3"/>
        <v>size</v>
      </c>
      <c r="DL7" s="25" t="str">
        <f t="shared" si="3"/>
        <v>mom</v>
      </c>
      <c r="DM7" s="25" t="str">
        <f t="shared" si="3"/>
        <v>size</v>
      </c>
      <c r="DN7" s="25" t="str">
        <f t="shared" si="3"/>
        <v>bm</v>
      </c>
      <c r="DO7" s="25" t="str">
        <f t="shared" si="3"/>
        <v>size</v>
      </c>
      <c r="DP7" s="25" t="str">
        <f t="shared" si="3"/>
        <v>mom</v>
      </c>
      <c r="DQ7" s="25" t="str">
        <f t="shared" si="3"/>
        <v>mom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mom</v>
      </c>
      <c r="DU7" s="25" t="str">
        <f t="shared" si="3"/>
        <v>size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size</v>
      </c>
      <c r="DZ7" s="25" t="str">
        <f t="shared" si="3"/>
        <v>size</v>
      </c>
      <c r="EA7" s="25" t="str">
        <f t="shared" ref="EA7:EF7" si="4">IF(EA6=1,"bm",IF(EA6=2,"size",IF(EA6=3,"mom")))</f>
        <v>mom</v>
      </c>
      <c r="EB7" s="25" t="str">
        <f t="shared" si="4"/>
        <v>mom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36" t="str">
        <f t="shared" si="4"/>
        <v>size</v>
      </c>
    </row>
    <row r="8" spans="1:137" ht="16">
      <c r="A8" s="4"/>
      <c r="B8" s="21"/>
      <c r="C8" s="32">
        <f t="shared" ref="C8:AH8" si="5">IF(C6=1,C3,IF(C6=2,C4,IF(C6=3,C5)))</f>
        <v>-0.24758870953733739</v>
      </c>
      <c r="D8" s="32">
        <f t="shared" si="5"/>
        <v>-0.27469330301591988</v>
      </c>
      <c r="E8" s="32">
        <f t="shared" si="5"/>
        <v>-8.4648385226775952E-2</v>
      </c>
      <c r="F8" s="32">
        <f t="shared" si="5"/>
        <v>-8.7687354470119203E-2</v>
      </c>
      <c r="G8" s="32">
        <f t="shared" si="5"/>
        <v>0.1027592597916023</v>
      </c>
      <c r="H8" s="32">
        <f t="shared" si="5"/>
        <v>-0.100759633161552</v>
      </c>
      <c r="I8" s="32">
        <f t="shared" si="5"/>
        <v>0.18325176920476779</v>
      </c>
      <c r="J8" s="32">
        <f t="shared" si="5"/>
        <v>0.1164863088741452</v>
      </c>
      <c r="K8" s="32">
        <f t="shared" si="5"/>
        <v>7.7258045731841044E-2</v>
      </c>
      <c r="L8" s="32">
        <f t="shared" si="5"/>
        <v>8.8406797789969321E-2</v>
      </c>
      <c r="M8" s="32">
        <f t="shared" si="5"/>
        <v>5.3602181204841143E-2</v>
      </c>
      <c r="N8" s="32">
        <f t="shared" si="5"/>
        <v>-0.21221799304980321</v>
      </c>
      <c r="O8" s="32">
        <f t="shared" si="5"/>
        <v>6.4929886491987929E-2</v>
      </c>
      <c r="P8" s="32">
        <f t="shared" si="5"/>
        <v>-9.1792321477913982E-2</v>
      </c>
      <c r="Q8" s="32">
        <f t="shared" si="5"/>
        <v>-7.7409013100986537E-2</v>
      </c>
      <c r="R8" s="32">
        <f t="shared" si="5"/>
        <v>5.4776596014220982E-2</v>
      </c>
      <c r="S8" s="32">
        <f t="shared" si="5"/>
        <v>-0.12533438670858049</v>
      </c>
      <c r="T8" s="32">
        <f t="shared" si="5"/>
        <v>0.12918506866843241</v>
      </c>
      <c r="U8" s="32">
        <f t="shared" si="5"/>
        <v>-3.777005083138045E-2</v>
      </c>
      <c r="V8" s="32">
        <f t="shared" si="5"/>
        <v>8.1183823152198617E-2</v>
      </c>
      <c r="W8" s="32">
        <f t="shared" si="5"/>
        <v>-0.1435529784595129</v>
      </c>
      <c r="X8" s="32">
        <f t="shared" si="5"/>
        <v>-0.29384805056845642</v>
      </c>
      <c r="Y8" s="32">
        <f t="shared" si="5"/>
        <v>-0.12536053701812139</v>
      </c>
      <c r="Z8" s="32">
        <f t="shared" si="5"/>
        <v>0.1919535535452612</v>
      </c>
      <c r="AA8" s="32">
        <f t="shared" si="5"/>
        <v>9.8247438772127521E-2</v>
      </c>
      <c r="AB8" s="32">
        <f t="shared" si="5"/>
        <v>7.2897613803716274E-2</v>
      </c>
      <c r="AC8" s="32">
        <f t="shared" si="5"/>
        <v>-0.1036861156532312</v>
      </c>
      <c r="AD8" s="32">
        <f t="shared" si="5"/>
        <v>-6.5629712146108229E-2</v>
      </c>
      <c r="AE8" s="32">
        <f t="shared" si="5"/>
        <v>0.17560148677061019</v>
      </c>
      <c r="AF8" s="32">
        <f t="shared" si="5"/>
        <v>-0.1550331010885124</v>
      </c>
      <c r="AG8" s="32">
        <f t="shared" si="5"/>
        <v>0.13005883770177931</v>
      </c>
      <c r="AH8" s="32">
        <f t="shared" si="5"/>
        <v>0.11525639530312259</v>
      </c>
      <c r="AI8" s="32">
        <f t="shared" ref="AI8:BN8" si="6">IF(AI6=1,AI3,IF(AI6=2,AI4,IF(AI6=3,AI5)))</f>
        <v>-5.1034095516539722E-2</v>
      </c>
      <c r="AJ8" s="32">
        <f t="shared" si="6"/>
        <v>2.79991148643382E-2</v>
      </c>
      <c r="AK8" s="32">
        <f t="shared" si="6"/>
        <v>0.14657041796408479</v>
      </c>
      <c r="AL8" s="32">
        <f t="shared" si="6"/>
        <v>-0.1064467536119352</v>
      </c>
      <c r="AM8" s="32">
        <f t="shared" si="6"/>
        <v>0.13137636706820099</v>
      </c>
      <c r="AN8" s="32">
        <f t="shared" si="6"/>
        <v>0.22143295930140211</v>
      </c>
      <c r="AO8" s="32">
        <f t="shared" si="6"/>
        <v>5.8502893637957562E-2</v>
      </c>
      <c r="AP8" s="32">
        <f t="shared" si="6"/>
        <v>-0.13715995040864579</v>
      </c>
      <c r="AQ8" s="32">
        <f t="shared" si="6"/>
        <v>2.9067484813314101E-2</v>
      </c>
      <c r="AR8" s="32">
        <f t="shared" si="6"/>
        <v>5.2635776863899968E-2</v>
      </c>
      <c r="AS8" s="32">
        <f t="shared" si="6"/>
        <v>3.9782285287992311E-2</v>
      </c>
      <c r="AT8" s="32">
        <f t="shared" si="6"/>
        <v>0.1484561956282951</v>
      </c>
      <c r="AU8" s="32">
        <f t="shared" si="6"/>
        <v>-0.15538438197178719</v>
      </c>
      <c r="AV8" s="32">
        <f t="shared" si="6"/>
        <v>0.13895895413073689</v>
      </c>
      <c r="AW8" s="32">
        <f t="shared" si="6"/>
        <v>5.9863283397122782E-2</v>
      </c>
      <c r="AX8" s="32">
        <f t="shared" si="6"/>
        <v>-0.1497898129881709</v>
      </c>
      <c r="AY8" s="32">
        <f t="shared" si="6"/>
        <v>7.6559571245744709E-2</v>
      </c>
      <c r="AZ8" s="32">
        <f t="shared" si="6"/>
        <v>-0.13412750113921701</v>
      </c>
      <c r="BA8" s="32">
        <f t="shared" si="6"/>
        <v>-0.13711152966130111</v>
      </c>
      <c r="BB8" s="32">
        <f t="shared" si="6"/>
        <v>-0.14887029613688371</v>
      </c>
      <c r="BC8" s="32">
        <f t="shared" si="6"/>
        <v>6.0350517971681748E-2</v>
      </c>
      <c r="BD8" s="32">
        <f t="shared" si="6"/>
        <v>-0.11960190660895841</v>
      </c>
      <c r="BE8" s="32">
        <f t="shared" si="6"/>
        <v>-0.14651529968819679</v>
      </c>
      <c r="BF8" s="32">
        <f t="shared" si="6"/>
        <v>-0.2087626486148127</v>
      </c>
      <c r="BG8" s="32">
        <f t="shared" si="6"/>
        <v>-0.20144325578474859</v>
      </c>
      <c r="BH8" s="32">
        <f t="shared" si="6"/>
        <v>-0.11804991677814031</v>
      </c>
      <c r="BI8" s="32">
        <f t="shared" si="6"/>
        <v>9.6912851275401127E-2</v>
      </c>
      <c r="BJ8" s="32">
        <f t="shared" si="6"/>
        <v>-0.10060082155953699</v>
      </c>
      <c r="BK8" s="32">
        <f t="shared" si="6"/>
        <v>9.0490079041763594E-2</v>
      </c>
      <c r="BL8" s="32">
        <f t="shared" si="6"/>
        <v>-0.17125563757433929</v>
      </c>
      <c r="BM8" s="32">
        <f t="shared" si="6"/>
        <v>0.13291749710961351</v>
      </c>
      <c r="BN8" s="32">
        <f t="shared" si="6"/>
        <v>8.1345639246770615E-2</v>
      </c>
      <c r="BO8" s="32">
        <f t="shared" ref="BO8:CT8" si="7">IF(BO6=1,BO3,IF(BO6=2,BO4,IF(BO6=3,BO5)))</f>
        <v>8.1418240100881306E-2</v>
      </c>
      <c r="BP8" s="32">
        <f t="shared" si="7"/>
        <v>0.1067348704344353</v>
      </c>
      <c r="BQ8" s="32">
        <f t="shared" si="7"/>
        <v>6.8729568027927734E-2</v>
      </c>
      <c r="BR8" s="32">
        <f t="shared" si="7"/>
        <v>0.18982724311105359</v>
      </c>
      <c r="BS8" s="32">
        <f t="shared" si="7"/>
        <v>-9.7605037382284945E-2</v>
      </c>
      <c r="BT8" s="32">
        <f t="shared" si="7"/>
        <v>9.8612222991557266E-2</v>
      </c>
      <c r="BU8" s="32">
        <f t="shared" si="7"/>
        <v>0.1283985422991091</v>
      </c>
      <c r="BV8" s="32">
        <f t="shared" si="7"/>
        <v>-0.1167370363031352</v>
      </c>
      <c r="BW8" s="32">
        <f t="shared" si="7"/>
        <v>-0.1413229882478122</v>
      </c>
      <c r="BX8" s="32">
        <f t="shared" si="7"/>
        <v>-4.6890096077604589E-2</v>
      </c>
      <c r="BY8" s="32">
        <f t="shared" si="7"/>
        <v>0.13033606071126891</v>
      </c>
      <c r="BZ8" s="32">
        <f t="shared" si="7"/>
        <v>0.1133093139289441</v>
      </c>
      <c r="CA8" s="32">
        <f t="shared" si="7"/>
        <v>-0.10735493495839039</v>
      </c>
      <c r="CB8" s="32">
        <f t="shared" si="7"/>
        <v>-0.15782764847875469</v>
      </c>
      <c r="CC8" s="32">
        <f t="shared" si="7"/>
        <v>-7.1052571704280934E-2</v>
      </c>
      <c r="CD8" s="32">
        <f t="shared" si="7"/>
        <v>0.1883770899619405</v>
      </c>
      <c r="CE8" s="32">
        <f t="shared" si="7"/>
        <v>-0.23678647002516851</v>
      </c>
      <c r="CF8" s="32">
        <f t="shared" si="7"/>
        <v>7.4872074365934668E-2</v>
      </c>
      <c r="CG8" s="32">
        <f t="shared" si="7"/>
        <v>-0.1182090018050031</v>
      </c>
      <c r="CH8" s="32">
        <f t="shared" si="7"/>
        <v>0.1360217220005796</v>
      </c>
      <c r="CI8" s="32">
        <f t="shared" si="7"/>
        <v>-9.3741014702459921E-2</v>
      </c>
      <c r="CJ8" s="32">
        <f t="shared" si="7"/>
        <v>0.23067286701975129</v>
      </c>
      <c r="CK8" s="32">
        <f t="shared" si="7"/>
        <v>0.1327785225954993</v>
      </c>
      <c r="CL8" s="32">
        <f t="shared" si="7"/>
        <v>0.26354577822564818</v>
      </c>
      <c r="CM8" s="32">
        <f t="shared" si="7"/>
        <v>0.17898858319392719</v>
      </c>
      <c r="CN8" s="32">
        <f t="shared" si="7"/>
        <v>0.22348855763592371</v>
      </c>
      <c r="CO8" s="32">
        <f t="shared" si="7"/>
        <v>-0.13939018969183081</v>
      </c>
      <c r="CP8" s="32">
        <f t="shared" si="7"/>
        <v>0.13265560934539161</v>
      </c>
      <c r="CQ8" s="32">
        <f t="shared" si="7"/>
        <v>-0.20723337326778599</v>
      </c>
      <c r="CR8" s="32">
        <f t="shared" si="7"/>
        <v>-0.1348638695123113</v>
      </c>
      <c r="CS8" s="32">
        <f t="shared" si="7"/>
        <v>7.3007738807373504E-2</v>
      </c>
      <c r="CT8" s="32">
        <f t="shared" si="7"/>
        <v>-0.11307907407472829</v>
      </c>
      <c r="CU8" s="32">
        <f t="shared" ref="CU8:EE8" si="8">IF(CU6=1,CU3,IF(CU6=2,CU4,IF(CU6=3,CU5)))</f>
        <v>-0.28688917437274702</v>
      </c>
      <c r="CV8" s="32">
        <f t="shared" si="8"/>
        <v>0.2307305381875536</v>
      </c>
      <c r="CW8" s="32">
        <f t="shared" si="8"/>
        <v>9.1075698514216888E-2</v>
      </c>
      <c r="CX8" s="32">
        <f t="shared" si="8"/>
        <v>0.13917409482071269</v>
      </c>
      <c r="CY8" s="32">
        <f t="shared" si="8"/>
        <v>-9.6503499496267492E-2</v>
      </c>
      <c r="CZ8" s="32">
        <f t="shared" si="8"/>
        <v>0.21835291106172269</v>
      </c>
      <c r="DA8" s="32">
        <f t="shared" si="8"/>
        <v>-0.10996113735654101</v>
      </c>
      <c r="DB8" s="32">
        <f t="shared" si="8"/>
        <v>-0.1908204716293295</v>
      </c>
      <c r="DC8" s="32">
        <f t="shared" si="8"/>
        <v>0.11395608079284369</v>
      </c>
      <c r="DD8" s="32">
        <f t="shared" si="8"/>
        <v>-0.1645134604307108</v>
      </c>
      <c r="DE8" s="32">
        <f t="shared" si="8"/>
        <v>-0.1105683533423189</v>
      </c>
      <c r="DF8" s="32">
        <f t="shared" si="8"/>
        <v>-0.166876664789437</v>
      </c>
      <c r="DG8" s="32">
        <f t="shared" si="8"/>
        <v>0.22243808581717431</v>
      </c>
      <c r="DH8" s="32">
        <f t="shared" si="8"/>
        <v>-0.144297746243673</v>
      </c>
      <c r="DI8" s="32">
        <f t="shared" si="8"/>
        <v>-0.1196199522370443</v>
      </c>
      <c r="DJ8" s="32">
        <f t="shared" si="8"/>
        <v>0.1188020770386063</v>
      </c>
      <c r="DK8" s="32">
        <f t="shared" si="8"/>
        <v>9.2855058740681395E-2</v>
      </c>
      <c r="DL8" s="32">
        <f t="shared" si="8"/>
        <v>7.1320599005857979E-2</v>
      </c>
      <c r="DM8" s="32">
        <f t="shared" si="8"/>
        <v>8.2732072899953643E-2</v>
      </c>
      <c r="DN8" s="32">
        <f t="shared" si="8"/>
        <v>0.1098129862949979</v>
      </c>
      <c r="DO8" s="32">
        <f t="shared" si="8"/>
        <v>-9.8141990492640205E-2</v>
      </c>
      <c r="DP8" s="32">
        <f t="shared" si="8"/>
        <v>-0.23067649178859881</v>
      </c>
      <c r="DQ8" s="32">
        <f t="shared" si="8"/>
        <v>0.238184312236043</v>
      </c>
      <c r="DR8" s="32">
        <f t="shared" si="8"/>
        <v>9.4328709127723676E-2</v>
      </c>
      <c r="DS8" s="32">
        <f t="shared" si="8"/>
        <v>-0.1610301993932845</v>
      </c>
      <c r="DT8" s="32">
        <f t="shared" si="8"/>
        <v>0.11510609642796051</v>
      </c>
      <c r="DU8" s="32">
        <f t="shared" si="8"/>
        <v>0.16407715854109439</v>
      </c>
      <c r="DV8" s="32">
        <f t="shared" si="8"/>
        <v>0.13401742358239299</v>
      </c>
      <c r="DW8" s="32">
        <f t="shared" si="8"/>
        <v>-0.1016452501185193</v>
      </c>
      <c r="DX8" s="32">
        <f t="shared" si="8"/>
        <v>-0.1037731978548066</v>
      </c>
      <c r="DY8" s="32">
        <f t="shared" si="8"/>
        <v>-0.1066566396478186</v>
      </c>
      <c r="DZ8" s="32">
        <f t="shared" si="8"/>
        <v>-6.9186575508287662E-2</v>
      </c>
      <c r="EA8" s="32">
        <f t="shared" si="8"/>
        <v>-0.29313654086030699</v>
      </c>
      <c r="EB8" s="32">
        <f t="shared" si="8"/>
        <v>-0.14097501940218221</v>
      </c>
      <c r="EC8" s="32">
        <f t="shared" si="8"/>
        <v>7.3988425168607055E-2</v>
      </c>
      <c r="ED8" s="32">
        <f t="shared" si="8"/>
        <v>-0.15737687498945321</v>
      </c>
      <c r="EE8" s="32">
        <f t="shared" si="8"/>
        <v>0.15767759835539891</v>
      </c>
      <c r="EF8" s="36">
        <v>0.24307999999999999</v>
      </c>
    </row>
    <row r="10" spans="1:137" ht="16">
      <c r="A10" s="74" t="s">
        <v>140</v>
      </c>
      <c r="B10" s="75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137" ht="18">
      <c r="A11" s="7" t="s">
        <v>142</v>
      </c>
      <c r="B11" s="8" t="s">
        <v>143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144</v>
      </c>
      <c r="EG11" s="3"/>
    </row>
    <row r="12" spans="1:137" ht="16">
      <c r="A12" s="6">
        <v>10</v>
      </c>
      <c r="B12" s="6">
        <v>96</v>
      </c>
      <c r="C12" s="9">
        <v>8.4653346747999569E-2</v>
      </c>
      <c r="D12" s="9">
        <v>0.11468862904522339</v>
      </c>
      <c r="E12" s="9">
        <v>4.8026823387202502E-2</v>
      </c>
      <c r="F12" s="9">
        <v>5.5959384784458693E-2</v>
      </c>
      <c r="G12" s="9">
        <v>3.1947448518630461E-2</v>
      </c>
      <c r="H12" s="9">
        <v>3.853051224988794E-2</v>
      </c>
      <c r="I12" s="9">
        <v>3.8097115239531458E-2</v>
      </c>
      <c r="J12" s="9">
        <v>4.378457874487153E-2</v>
      </c>
      <c r="K12" s="9">
        <v>2.9187998133699201E-2</v>
      </c>
      <c r="L12" s="2">
        <v>4.1890941049973693E-2</v>
      </c>
      <c r="M12" s="2">
        <v>2.688917383320695E-2</v>
      </c>
      <c r="N12" s="2">
        <v>6.9326986778352861E-2</v>
      </c>
      <c r="O12" s="1">
        <v>2.7914759067240381E-2</v>
      </c>
      <c r="P12" s="1">
        <v>1.9809764896968261E-2</v>
      </c>
      <c r="Q12" s="1">
        <v>3.3792784120907721E-2</v>
      </c>
      <c r="R12" s="1">
        <v>1.289817377469633E-2</v>
      </c>
      <c r="S12" s="1">
        <v>7.5752806890824642E-2</v>
      </c>
      <c r="T12" s="1">
        <v>4.7867716345524773E-2</v>
      </c>
      <c r="U12" s="1">
        <v>2.020081433388279E-2</v>
      </c>
      <c r="V12" s="1">
        <v>4.4098373348212122E-2</v>
      </c>
      <c r="W12" s="1">
        <v>6.4039414985380974E-2</v>
      </c>
      <c r="X12" s="1">
        <v>0.10964075134733541</v>
      </c>
      <c r="Y12" s="1">
        <v>1.678837725181612E-2</v>
      </c>
      <c r="Z12" s="1">
        <v>6.4919357702865416E-2</v>
      </c>
      <c r="AA12" s="1">
        <v>2.6918479420811641E-2</v>
      </c>
      <c r="AB12" s="1">
        <v>3.4604260170603737E-2</v>
      </c>
      <c r="AC12" s="1">
        <v>4.6772945626311221E-2</v>
      </c>
      <c r="AD12" s="1">
        <v>1.1230798778149011E-2</v>
      </c>
      <c r="AE12" s="1">
        <v>4.6437716666984027E-2</v>
      </c>
      <c r="AF12" s="1">
        <v>5.2012102776767682E-2</v>
      </c>
      <c r="AG12" s="1">
        <v>3.061844000752266E-2</v>
      </c>
      <c r="AH12" s="1">
        <v>1.3096859936119349E-2</v>
      </c>
      <c r="AI12" s="1">
        <v>2.3246459178864559E-2</v>
      </c>
      <c r="AJ12" s="1">
        <v>7.4902167130851084E-3</v>
      </c>
      <c r="AK12" s="1">
        <v>4.7354661535713521E-2</v>
      </c>
      <c r="AL12" s="1">
        <v>3.410562124357637E-2</v>
      </c>
      <c r="AM12" s="1">
        <v>3.2204353759093952E-2</v>
      </c>
      <c r="AN12" s="1">
        <v>7.0370866473731905E-2</v>
      </c>
      <c r="AO12" s="1">
        <v>1.499547084312733E-2</v>
      </c>
      <c r="AP12" s="1">
        <v>3.372899577118884E-2</v>
      </c>
      <c r="AQ12" s="1">
        <v>6.6823427857980299E-3</v>
      </c>
      <c r="AR12" s="1">
        <v>7.5044280887600623E-3</v>
      </c>
      <c r="AS12" s="1">
        <v>1.9976272910371209E-2</v>
      </c>
      <c r="AT12" s="1">
        <v>7.2195382352435111E-2</v>
      </c>
      <c r="AU12" s="1">
        <v>6.3410262054371488E-2</v>
      </c>
      <c r="AV12" s="1">
        <v>5.3715630656719728E-2</v>
      </c>
      <c r="AW12" s="1">
        <v>1.7169704763403081E-2</v>
      </c>
      <c r="AX12" s="1">
        <v>4.4696011972897833E-2</v>
      </c>
      <c r="AY12" s="1">
        <v>2.448335394421235E-2</v>
      </c>
      <c r="AZ12" s="1">
        <v>6.6563803179291878E-2</v>
      </c>
      <c r="BA12" s="1">
        <v>7.1276156280934949E-2</v>
      </c>
      <c r="BB12" s="1">
        <v>2.9036654569641811E-2</v>
      </c>
      <c r="BC12" s="1">
        <v>2.6690966292337529E-2</v>
      </c>
      <c r="BD12" s="1">
        <v>4.9233621620970898E-2</v>
      </c>
      <c r="BE12" s="1">
        <v>3.5368545142518727E-2</v>
      </c>
      <c r="BF12" s="1">
        <v>6.7616949247695374E-2</v>
      </c>
      <c r="BG12" s="1">
        <v>4.6757753881283733E-2</v>
      </c>
      <c r="BH12" s="1">
        <v>3.5079589029917153E-2</v>
      </c>
      <c r="BI12" s="1">
        <v>5.1439927386970292E-2</v>
      </c>
      <c r="BJ12" s="1">
        <v>4.342249910767234E-2</v>
      </c>
      <c r="BK12" s="1">
        <v>2.0075652003278099E-2</v>
      </c>
      <c r="BL12" s="1">
        <v>3.212909830049409E-2</v>
      </c>
      <c r="BM12" s="1">
        <v>5.0305684523324463E-2</v>
      </c>
      <c r="BN12" s="1">
        <v>1.9502538210119671E-2</v>
      </c>
      <c r="BO12" s="1">
        <v>2.4246310256236889E-2</v>
      </c>
      <c r="BP12" s="1">
        <v>2.642195733416729E-2</v>
      </c>
      <c r="BQ12" s="1">
        <v>1.520658027131792E-2</v>
      </c>
      <c r="BR12" s="1">
        <v>6.8693615147113224E-2</v>
      </c>
      <c r="BS12" s="1">
        <v>3.2642854888392712E-2</v>
      </c>
      <c r="BT12" s="1">
        <v>2.1288097232098721E-2</v>
      </c>
      <c r="BU12" s="1">
        <v>4.8083369576175691E-2</v>
      </c>
      <c r="BV12" s="1">
        <v>4.2282389085930017E-2</v>
      </c>
      <c r="BW12" s="1">
        <v>4.4477003891650213E-2</v>
      </c>
      <c r="BX12" s="1">
        <v>1.5984151640729909E-2</v>
      </c>
      <c r="BY12" s="1">
        <v>5.8929916357564061E-2</v>
      </c>
      <c r="BZ12" s="1">
        <v>4.5004028183990907E-2</v>
      </c>
      <c r="CA12" s="1">
        <v>3.0447773502439771E-2</v>
      </c>
      <c r="CB12" s="1">
        <v>7.2475876072179202E-2</v>
      </c>
      <c r="CC12" s="1">
        <v>6.5566612627689896E-2</v>
      </c>
      <c r="CD12" s="1">
        <v>0.1109336335844525</v>
      </c>
      <c r="CE12" s="1">
        <v>0.15400701288974189</v>
      </c>
      <c r="CF12" s="1">
        <v>2.69933526266934E-2</v>
      </c>
      <c r="CG12" s="1">
        <v>4.9277959963080611E-2</v>
      </c>
      <c r="CH12" s="1">
        <v>6.4402640401794539E-2</v>
      </c>
      <c r="CI12" s="1">
        <v>3.5807412624148313E-2</v>
      </c>
      <c r="CJ12" s="1">
        <v>5.4120066914195013E-2</v>
      </c>
      <c r="CK12" s="1">
        <v>5.6101440647790192E-2</v>
      </c>
      <c r="CL12" s="1">
        <v>0.11801560766961031</v>
      </c>
      <c r="CM12" s="1">
        <v>7.170838801721216E-2</v>
      </c>
      <c r="CN12" s="1">
        <v>7.8465204010806408E-2</v>
      </c>
      <c r="CO12" s="1">
        <v>7.129224287359176E-2</v>
      </c>
      <c r="CP12" s="1">
        <v>4.5040195605567372E-2</v>
      </c>
      <c r="CQ12" s="1">
        <v>6.2684347003574781E-2</v>
      </c>
      <c r="CR12" s="1">
        <v>5.7159986521513537E-2</v>
      </c>
      <c r="CS12" s="1">
        <v>9.7857359485265666E-4</v>
      </c>
      <c r="CT12" s="1">
        <v>3.2114010608049207E-2</v>
      </c>
      <c r="CU12" s="1">
        <v>7.4779529281356755E-2</v>
      </c>
      <c r="CV12" s="1">
        <v>6.5033306495688809E-2</v>
      </c>
      <c r="CW12" s="1">
        <v>1.303666937857764E-2</v>
      </c>
      <c r="CX12" s="1">
        <v>6.0989882536991821E-2</v>
      </c>
      <c r="CY12" s="1">
        <v>4.6072977665454977E-2</v>
      </c>
      <c r="CZ12" s="1">
        <v>7.9607283258604278E-2</v>
      </c>
      <c r="DA12" s="1">
        <v>3.6978661359195177E-2</v>
      </c>
      <c r="DB12" s="1">
        <v>8.8981816498044958E-2</v>
      </c>
      <c r="DC12" s="1">
        <v>3.3044377283177662E-2</v>
      </c>
      <c r="DD12" s="1">
        <v>6.9960545734343293E-2</v>
      </c>
      <c r="DE12" s="1">
        <v>2.473764441509509E-2</v>
      </c>
      <c r="DF12" s="1">
        <v>5.5485734082072989E-2</v>
      </c>
      <c r="DG12" s="1">
        <v>4.6409817779524638E-2</v>
      </c>
      <c r="DH12" s="1">
        <v>6.1195154788316948E-2</v>
      </c>
      <c r="DI12" s="1">
        <v>5.9749067779748748E-2</v>
      </c>
      <c r="DJ12" s="1">
        <v>4.1378042935671537E-2</v>
      </c>
      <c r="DK12" s="1">
        <v>3.192819933259558E-2</v>
      </c>
      <c r="DL12" s="1">
        <v>1.8669833333803051E-2</v>
      </c>
      <c r="DM12" s="1">
        <v>1.9237693580560929E-2</v>
      </c>
      <c r="DN12" s="1">
        <v>3.9228342632839641E-2</v>
      </c>
      <c r="DO12" s="1">
        <v>3.055694210149084E-2</v>
      </c>
      <c r="DP12" s="1">
        <v>5.940869455666041E-2</v>
      </c>
      <c r="DQ12" s="1">
        <v>7.454064748047276E-2</v>
      </c>
      <c r="DR12" s="1">
        <v>1.8778943279386909E-2</v>
      </c>
      <c r="DS12" s="1">
        <v>6.9650552069699723E-2</v>
      </c>
      <c r="DT12" s="1">
        <v>2.481384156258673E-2</v>
      </c>
      <c r="DU12" s="1">
        <v>5.7230283144308662E-2</v>
      </c>
      <c r="DV12" s="1">
        <v>5.2173183809525722E-2</v>
      </c>
      <c r="DW12" s="1">
        <v>4.4967834212525502E-2</v>
      </c>
      <c r="DX12" s="1">
        <v>4.961920680322747E-2</v>
      </c>
      <c r="DY12" s="1">
        <v>5.314531088761007E-2</v>
      </c>
      <c r="DZ12" s="1">
        <v>6.1855960989034824E-3</v>
      </c>
      <c r="EA12" s="1">
        <v>0.113127041749137</v>
      </c>
      <c r="EB12" s="1">
        <v>3.052577681784166E-2</v>
      </c>
      <c r="EC12" s="1">
        <v>2.665150957966532E-2</v>
      </c>
      <c r="ED12" s="1">
        <v>5.6628035807395602E-2</v>
      </c>
      <c r="EE12" s="1">
        <v>2.6506892161147651E-2</v>
      </c>
      <c r="EF12" s="33">
        <v>-3.9233348038795662E-2</v>
      </c>
      <c r="EG12" s="3"/>
    </row>
    <row r="13" spans="1:137" ht="16">
      <c r="A13" s="6">
        <v>20</v>
      </c>
      <c r="B13" s="6">
        <v>48</v>
      </c>
      <c r="C13" s="9">
        <v>0.104112750252762</v>
      </c>
      <c r="D13" s="9">
        <v>0.1237450287927722</v>
      </c>
      <c r="E13" s="9">
        <v>6.986155635280647E-2</v>
      </c>
      <c r="F13" s="9">
        <v>5.9986526692922967E-2</v>
      </c>
      <c r="G13" s="9">
        <v>1.204740430010594E-2</v>
      </c>
      <c r="H13" s="9">
        <v>2.9989631725721271E-2</v>
      </c>
      <c r="I13" s="9">
        <v>3.731568416166707E-2</v>
      </c>
      <c r="J13" s="9">
        <v>3.6406901371248579E-2</v>
      </c>
      <c r="K13" s="9">
        <v>6.0326139227570137E-2</v>
      </c>
      <c r="L13" s="2">
        <v>6.025161293653639E-3</v>
      </c>
      <c r="M13" s="2">
        <v>3.279758226004716E-3</v>
      </c>
      <c r="N13" s="2">
        <v>9.9806916956670599E-2</v>
      </c>
      <c r="O13" s="1">
        <v>1.7422698810949929E-2</v>
      </c>
      <c r="P13" s="1">
        <v>2.110407262300577E-2</v>
      </c>
      <c r="Q13" s="1">
        <v>4.0198198062989007E-2</v>
      </c>
      <c r="R13" s="1">
        <v>1.6841702109824989E-2</v>
      </c>
      <c r="S13" s="1">
        <v>0.1229152980035506</v>
      </c>
      <c r="T13" s="1">
        <v>7.4234081511722602E-2</v>
      </c>
      <c r="U13" s="1">
        <v>5.5957470530744333E-2</v>
      </c>
      <c r="V13" s="1">
        <v>5.398776977773833E-2</v>
      </c>
      <c r="W13" s="1">
        <v>7.5476561860150213E-2</v>
      </c>
      <c r="X13" s="1">
        <v>0.1211277708527381</v>
      </c>
      <c r="Y13" s="1">
        <v>2.3265060624265751E-2</v>
      </c>
      <c r="Z13" s="1">
        <v>7.3529552558927375E-2</v>
      </c>
      <c r="AA13" s="1">
        <v>4.7712648450258202E-2</v>
      </c>
      <c r="AB13" s="1">
        <v>4.6782349815727153E-2</v>
      </c>
      <c r="AC13" s="1">
        <v>6.6771700381929838E-2</v>
      </c>
      <c r="AD13" s="1">
        <v>2.1543689785275391E-2</v>
      </c>
      <c r="AE13" s="1">
        <v>7.7071416726800693E-2</v>
      </c>
      <c r="AF13" s="1">
        <v>7.3281160828311195E-2</v>
      </c>
      <c r="AG13" s="1">
        <v>3.1681783055002889E-2</v>
      </c>
      <c r="AH13" s="1">
        <v>1.134035233784291E-2</v>
      </c>
      <c r="AI13" s="1">
        <v>1.9909910220413461E-2</v>
      </c>
      <c r="AJ13" s="1">
        <v>-1.8507843536879679E-2</v>
      </c>
      <c r="AK13" s="1">
        <v>6.5987912810655983E-2</v>
      </c>
      <c r="AL13" s="1">
        <v>2.2550357586536819E-2</v>
      </c>
      <c r="AM13" s="1">
        <v>4.5764674553409497E-2</v>
      </c>
      <c r="AN13" s="1">
        <v>0.10533023813603409</v>
      </c>
      <c r="AO13" s="1">
        <v>-1.708846688635377E-3</v>
      </c>
      <c r="AP13" s="1">
        <v>5.9538220172873177E-2</v>
      </c>
      <c r="AQ13" s="1">
        <v>1.108299446312281E-2</v>
      </c>
      <c r="AR13" s="1">
        <v>-9.2507324832761806E-3</v>
      </c>
      <c r="AS13" s="1">
        <v>2.340496354159733E-2</v>
      </c>
      <c r="AT13" s="1">
        <v>8.6422914727599456E-2</v>
      </c>
      <c r="AU13" s="1">
        <v>7.6784333628374363E-2</v>
      </c>
      <c r="AV13" s="1">
        <v>7.9665975648470111E-2</v>
      </c>
      <c r="AW13" s="1">
        <v>2.6821237970380961E-2</v>
      </c>
      <c r="AX13" s="1">
        <v>3.2799832135855793E-2</v>
      </c>
      <c r="AY13" s="1">
        <v>1.5767643403076691E-2</v>
      </c>
      <c r="AZ13" s="1">
        <v>5.5449775955565078E-2</v>
      </c>
      <c r="BA13" s="1">
        <v>7.9829120343788335E-2</v>
      </c>
      <c r="BB13" s="1">
        <v>2.2547400974778972E-2</v>
      </c>
      <c r="BC13" s="1">
        <v>1.9110867274842121E-2</v>
      </c>
      <c r="BD13" s="1">
        <v>4.1676313746669733E-2</v>
      </c>
      <c r="BE13" s="1">
        <v>4.3773789385783149E-2</v>
      </c>
      <c r="BF13" s="1">
        <v>0.1216571432659557</v>
      </c>
      <c r="BG13" s="1">
        <v>8.8397545856320758E-2</v>
      </c>
      <c r="BH13" s="1">
        <v>4.1023656192192059E-2</v>
      </c>
      <c r="BI13" s="1">
        <v>5.2788119566948358E-2</v>
      </c>
      <c r="BJ13" s="1">
        <v>5.1451918959922252E-2</v>
      </c>
      <c r="BK13" s="1">
        <v>2.5125773363192039E-2</v>
      </c>
      <c r="BL13" s="1">
        <v>3.4460040448450822E-2</v>
      </c>
      <c r="BM13" s="1">
        <v>5.3371768695190711E-2</v>
      </c>
      <c r="BN13" s="1">
        <v>-4.1015372255685661E-3</v>
      </c>
      <c r="BO13" s="1">
        <v>3.1735312331920007E-2</v>
      </c>
      <c r="BP13" s="1">
        <v>7.9511464177746127E-3</v>
      </c>
      <c r="BQ13" s="1">
        <v>4.0819096771410421E-2</v>
      </c>
      <c r="BR13" s="1">
        <v>7.9831456823332952E-2</v>
      </c>
      <c r="BS13" s="1">
        <v>4.0180514361416918E-2</v>
      </c>
      <c r="BT13" s="1">
        <v>3.3667769757919172E-2</v>
      </c>
      <c r="BU13" s="1">
        <v>7.4658168009773873E-2</v>
      </c>
      <c r="BV13" s="1">
        <v>7.993083410105746E-2</v>
      </c>
      <c r="BW13" s="1">
        <v>7.5714005636679543E-2</v>
      </c>
      <c r="BX13" s="1">
        <v>1.477434776242115E-3</v>
      </c>
      <c r="BY13" s="1">
        <v>3.9201956575141438E-2</v>
      </c>
      <c r="BZ13" s="1">
        <v>7.6927870724428568E-2</v>
      </c>
      <c r="CA13" s="1">
        <v>3.3531565600396843E-2</v>
      </c>
      <c r="CB13" s="1">
        <v>0.1204269717320352</v>
      </c>
      <c r="CC13" s="1">
        <v>0.12011817373823321</v>
      </c>
      <c r="CD13" s="1">
        <v>0.1054918782280385</v>
      </c>
      <c r="CE13" s="1">
        <v>0.18382783645560871</v>
      </c>
      <c r="CF13" s="1">
        <v>4.6939452833226827E-2</v>
      </c>
      <c r="CG13" s="1">
        <v>5.8014967807239352E-2</v>
      </c>
      <c r="CH13" s="1">
        <v>5.8334611827207179E-2</v>
      </c>
      <c r="CI13" s="1">
        <v>5.1853509134263308E-2</v>
      </c>
      <c r="CJ13" s="1">
        <v>5.4810180678840081E-2</v>
      </c>
      <c r="CK13" s="1">
        <v>6.568712626679736E-2</v>
      </c>
      <c r="CL13" s="1">
        <v>8.4304391314503832E-2</v>
      </c>
      <c r="CM13" s="1">
        <v>0.1014522187140186</v>
      </c>
      <c r="CN13" s="1">
        <v>0.1009941666481943</v>
      </c>
      <c r="CO13" s="1">
        <v>8.5566239308076567E-2</v>
      </c>
      <c r="CP13" s="1">
        <v>7.0797472483089319E-2</v>
      </c>
      <c r="CQ13" s="1">
        <v>7.1178864968403879E-2</v>
      </c>
      <c r="CR13" s="1">
        <v>0.11164488638047471</v>
      </c>
      <c r="CS13" s="1">
        <v>9.5676536651352964E-3</v>
      </c>
      <c r="CT13" s="1">
        <v>4.3462267969052323E-2</v>
      </c>
      <c r="CU13" s="1">
        <v>0.1070909617136374</v>
      </c>
      <c r="CV13" s="1">
        <v>7.7656051256972655E-2</v>
      </c>
      <c r="CW13" s="1">
        <v>3.6309119756433333E-2</v>
      </c>
      <c r="CX13" s="1">
        <v>6.0643761635319787E-2</v>
      </c>
      <c r="CY13" s="1">
        <v>6.4973824772045288E-2</v>
      </c>
      <c r="CZ13" s="1">
        <v>5.7224220353485081E-2</v>
      </c>
      <c r="DA13" s="1">
        <v>4.9446033684878987E-2</v>
      </c>
      <c r="DB13" s="1">
        <v>0.1062353213029535</v>
      </c>
      <c r="DC13" s="1">
        <v>2.974018533372624E-2</v>
      </c>
      <c r="DD13" s="1">
        <v>6.8977058924383439E-2</v>
      </c>
      <c r="DE13" s="1">
        <v>2.2441996429236041E-2</v>
      </c>
      <c r="DF13" s="1">
        <v>8.3122187068030401E-2</v>
      </c>
      <c r="DG13" s="1">
        <v>4.7729083606459492E-2</v>
      </c>
      <c r="DH13" s="1">
        <v>8.8720600946307043E-2</v>
      </c>
      <c r="DI13" s="1">
        <v>8.9748563547494192E-2</v>
      </c>
      <c r="DJ13" s="1">
        <v>7.0211236155579976E-3</v>
      </c>
      <c r="DK13" s="1">
        <v>1.9386633863858971E-2</v>
      </c>
      <c r="DL13" s="1">
        <v>2.2050690678088229E-2</v>
      </c>
      <c r="DM13" s="1">
        <v>-5.3162261047300097E-4</v>
      </c>
      <c r="DN13" s="1">
        <v>1.4839797780264639E-2</v>
      </c>
      <c r="DO13" s="1">
        <v>3.786346508479279E-2</v>
      </c>
      <c r="DP13" s="1">
        <v>5.8032308890701621E-2</v>
      </c>
      <c r="DQ13" s="1">
        <v>8.5310356651892572E-2</v>
      </c>
      <c r="DR13" s="1">
        <v>1.377120927231195E-2</v>
      </c>
      <c r="DS13" s="1">
        <v>6.8596852640390865E-2</v>
      </c>
      <c r="DT13" s="1">
        <v>2.984580916100325E-2</v>
      </c>
      <c r="DU13" s="1">
        <v>3.3006159442618463E-2</v>
      </c>
      <c r="DV13" s="1">
        <v>7.9620144024188585E-2</v>
      </c>
      <c r="DW13" s="1">
        <v>4.2028685712200531E-2</v>
      </c>
      <c r="DX13" s="1">
        <v>6.4641919490531136E-2</v>
      </c>
      <c r="DY13" s="1">
        <v>5.6981339047558928E-2</v>
      </c>
      <c r="DZ13" s="1">
        <v>1.8302124146301679E-2</v>
      </c>
      <c r="EA13" s="1">
        <v>0.1244689581490709</v>
      </c>
      <c r="EB13" s="1">
        <v>5.7205292748389071E-2</v>
      </c>
      <c r="EC13" s="1">
        <v>4.1659753435228923E-2</v>
      </c>
      <c r="ED13" s="1">
        <v>6.5682093659234941E-2</v>
      </c>
      <c r="EE13" s="1">
        <v>4.1234383995911603E-2</v>
      </c>
      <c r="EF13" s="1">
        <v>-6.7291156741452279E-2</v>
      </c>
      <c r="EG13" s="3"/>
    </row>
    <row r="14" spans="1:137" ht="16">
      <c r="A14" s="6">
        <v>50</v>
      </c>
      <c r="B14" s="6">
        <v>19</v>
      </c>
      <c r="C14" s="9">
        <v>0.1199414897527061</v>
      </c>
      <c r="D14" s="9">
        <v>0.22230844854062601</v>
      </c>
      <c r="E14" s="9">
        <v>9.8768248142222084E-2</v>
      </c>
      <c r="F14" s="9">
        <v>6.0341904906032563E-2</v>
      </c>
      <c r="G14" s="9">
        <v>5.365663044278067E-2</v>
      </c>
      <c r="H14" s="9">
        <v>5.9587806435440108E-2</v>
      </c>
      <c r="I14" s="9">
        <v>4.3787359823142288E-2</v>
      </c>
      <c r="J14" s="9">
        <v>1.861218086468264E-2</v>
      </c>
      <c r="K14" s="9">
        <v>5.082746626084797E-2</v>
      </c>
      <c r="L14" s="2">
        <v>8.4804475655485111E-3</v>
      </c>
      <c r="M14" s="2">
        <v>-1.902171446498398E-2</v>
      </c>
      <c r="N14" s="2">
        <v>0.20483257514122591</v>
      </c>
      <c r="O14" s="1">
        <v>1.494407938548527E-3</v>
      </c>
      <c r="P14" s="1">
        <v>5.8345921898241213E-2</v>
      </c>
      <c r="Q14" s="1">
        <v>0.12456767616484429</v>
      </c>
      <c r="R14" s="1">
        <v>-1.5941187297101821E-2</v>
      </c>
      <c r="S14" s="1">
        <v>0.1658932271847087</v>
      </c>
      <c r="T14" s="1">
        <v>3.5019554834400057E-2</v>
      </c>
      <c r="U14" s="1">
        <v>0.1101925283607786</v>
      </c>
      <c r="V14" s="1">
        <v>2.4435026897493429E-2</v>
      </c>
      <c r="W14" s="1">
        <v>0.1161657905318967</v>
      </c>
      <c r="X14" s="1">
        <v>0.1866856956103469</v>
      </c>
      <c r="Y14" s="1">
        <v>1.756018089919299E-3</v>
      </c>
      <c r="Z14" s="1">
        <v>3.8511926280307661E-2</v>
      </c>
      <c r="AA14" s="1">
        <v>9.9905879497324768E-2</v>
      </c>
      <c r="AB14" s="1">
        <v>6.7753922577577369E-2</v>
      </c>
      <c r="AC14" s="1">
        <v>-3.0865623387892789E-3</v>
      </c>
      <c r="AD14" s="1">
        <v>3.9327892190029891E-2</v>
      </c>
      <c r="AE14" s="1">
        <v>0.11683691983956609</v>
      </c>
      <c r="AF14" s="1">
        <v>9.6080095456633638E-2</v>
      </c>
      <c r="AG14" s="1">
        <v>1.8490820215532919E-2</v>
      </c>
      <c r="AH14" s="1">
        <v>-3.3462742209097521E-3</v>
      </c>
      <c r="AI14" s="1">
        <v>1.096457068257391E-2</v>
      </c>
      <c r="AJ14" s="1">
        <v>1.505903608315101E-2</v>
      </c>
      <c r="AK14" s="1">
        <v>6.6326746155924196E-2</v>
      </c>
      <c r="AL14" s="1">
        <v>1.8559542258206829E-2</v>
      </c>
      <c r="AM14" s="1">
        <v>6.8283273401007955E-2</v>
      </c>
      <c r="AN14" s="1">
        <v>9.2260489203576102E-2</v>
      </c>
      <c r="AO14" s="1">
        <v>-3.8044352542061337E-2</v>
      </c>
      <c r="AP14" s="1">
        <v>6.9976525152084218E-2</v>
      </c>
      <c r="AQ14" s="1">
        <v>8.1284167078287603E-3</v>
      </c>
      <c r="AR14" s="1">
        <v>-1.817082301888524E-2</v>
      </c>
      <c r="AS14" s="1">
        <v>-6.6693383896894304E-3</v>
      </c>
      <c r="AT14" s="1">
        <v>7.9403479710638034E-2</v>
      </c>
      <c r="AU14" s="1">
        <v>0.1378524760527356</v>
      </c>
      <c r="AV14" s="1">
        <v>6.6258749216258558E-2</v>
      </c>
      <c r="AW14" s="1">
        <v>5.3928681229427317E-2</v>
      </c>
      <c r="AX14" s="1">
        <v>1.937021337549057E-2</v>
      </c>
      <c r="AY14" s="1">
        <v>1.5068118771761551E-2</v>
      </c>
      <c r="AZ14" s="1">
        <v>2.5628927509464609E-2</v>
      </c>
      <c r="BA14" s="1">
        <v>9.6337325355973974E-2</v>
      </c>
      <c r="BB14" s="1">
        <v>0.1103112489011205</v>
      </c>
      <c r="BC14" s="1">
        <v>-2.8505683499306132E-2</v>
      </c>
      <c r="BD14" s="1">
        <v>4.3496923161485318E-2</v>
      </c>
      <c r="BE14" s="1">
        <v>7.0081770149328954E-2</v>
      </c>
      <c r="BF14" s="1">
        <v>0.15382926157400831</v>
      </c>
      <c r="BG14" s="1">
        <v>0.12530530643958979</v>
      </c>
      <c r="BH14" s="1">
        <v>7.3413464178725074E-2</v>
      </c>
      <c r="BI14" s="1">
        <v>5.2014235626168727E-2</v>
      </c>
      <c r="BJ14" s="1">
        <v>2.401693368563616E-2</v>
      </c>
      <c r="BK14" s="1">
        <v>-3.3237381978330927E-2</v>
      </c>
      <c r="BL14" s="1">
        <v>5.9996895527440267E-2</v>
      </c>
      <c r="BM14" s="1">
        <v>4.6278325003000387E-2</v>
      </c>
      <c r="BN14" s="1">
        <v>-4.5371706308739268E-2</v>
      </c>
      <c r="BO14" s="1">
        <v>3.3609045677264478E-2</v>
      </c>
      <c r="BP14" s="1">
        <v>-5.0332283327745371E-2</v>
      </c>
      <c r="BQ14" s="1">
        <v>1.204942278513583E-2</v>
      </c>
      <c r="BR14" s="1">
        <v>0.10005242307538641</v>
      </c>
      <c r="BS14" s="1">
        <v>3.033272398677064E-2</v>
      </c>
      <c r="BT14" s="1">
        <v>-1.528792790337284E-2</v>
      </c>
      <c r="BU14" s="1">
        <v>0.1111594543137447</v>
      </c>
      <c r="BV14" s="1">
        <v>0.10798163319999469</v>
      </c>
      <c r="BW14" s="1">
        <v>0.13089750855718529</v>
      </c>
      <c r="BX14" s="1">
        <v>-3.0713422466640411E-4</v>
      </c>
      <c r="BY14" s="1">
        <v>-4.2604489653349287E-2</v>
      </c>
      <c r="BZ14" s="1">
        <v>0.1117805205315809</v>
      </c>
      <c r="CA14" s="1">
        <v>2.4465266114937059E-2</v>
      </c>
      <c r="CB14" s="1">
        <v>0.16446550132190671</v>
      </c>
      <c r="CC14" s="1">
        <v>0.1205961585891825</v>
      </c>
      <c r="CD14" s="1">
        <v>9.8016709932197743E-2</v>
      </c>
      <c r="CE14" s="1">
        <v>0.1705553024885505</v>
      </c>
      <c r="CF14" s="1">
        <v>9.5391142389366815E-2</v>
      </c>
      <c r="CG14" s="1">
        <v>5.7320663667820557E-2</v>
      </c>
      <c r="CH14" s="1">
        <v>6.4661392278217086E-2</v>
      </c>
      <c r="CI14" s="1">
        <v>0.1058847773633588</v>
      </c>
      <c r="CJ14" s="1">
        <v>1.7796116349141369E-2</v>
      </c>
      <c r="CK14" s="1">
        <v>5.3792086513992948E-2</v>
      </c>
      <c r="CL14" s="1">
        <v>6.2269954878836457E-2</v>
      </c>
      <c r="CM14" s="1">
        <v>0.1100689729727095</v>
      </c>
      <c r="CN14" s="1">
        <v>0.17459567468505729</v>
      </c>
      <c r="CO14" s="1">
        <v>0.17324915395395429</v>
      </c>
      <c r="CP14" s="1">
        <v>9.9809331481752847E-2</v>
      </c>
      <c r="CQ14" s="1">
        <v>3.2227899887387723E-2</v>
      </c>
      <c r="CR14" s="1">
        <v>0.207719712590648</v>
      </c>
      <c r="CS14" s="1">
        <v>-4.4126335332496502E-3</v>
      </c>
      <c r="CT14" s="1">
        <v>6.1872352391601541E-2</v>
      </c>
      <c r="CU14" s="1">
        <v>0.1015449999567145</v>
      </c>
      <c r="CV14" s="1">
        <v>0.15139684115763319</v>
      </c>
      <c r="CW14" s="1">
        <v>4.476388444326003E-2</v>
      </c>
      <c r="CX14" s="1">
        <v>3.2764329086583478E-2</v>
      </c>
      <c r="CY14" s="1">
        <v>5.0137743473948962E-2</v>
      </c>
      <c r="CZ14" s="1">
        <v>6.4063563350383351E-2</v>
      </c>
      <c r="DA14" s="1">
        <v>6.5393327424540099E-2</v>
      </c>
      <c r="DB14" s="1">
        <v>0.1046074411002299</v>
      </c>
      <c r="DC14" s="1">
        <v>2.7534092600391691E-2</v>
      </c>
      <c r="DD14" s="1">
        <v>7.9205351848184558E-2</v>
      </c>
      <c r="DE14" s="1">
        <v>6.2526924006459039E-2</v>
      </c>
      <c r="DF14" s="1">
        <v>0.20156283946711201</v>
      </c>
      <c r="DG14" s="1">
        <v>4.5583395726898353E-2</v>
      </c>
      <c r="DH14" s="1">
        <v>5.8741194166373682E-2</v>
      </c>
      <c r="DI14" s="1">
        <v>8.6646448298485237E-2</v>
      </c>
      <c r="DJ14" s="1">
        <v>8.794029387320771E-3</v>
      </c>
      <c r="DK14" s="1">
        <v>8.1621549503858692E-2</v>
      </c>
      <c r="DL14" s="1">
        <v>4.0754871831899041E-2</v>
      </c>
      <c r="DM14" s="1">
        <v>1.1211497377604761E-3</v>
      </c>
      <c r="DN14" s="1">
        <v>3.9851707566544763E-2</v>
      </c>
      <c r="DO14" s="1">
        <v>0.1025921893632338</v>
      </c>
      <c r="DP14" s="1">
        <v>6.2914808070300282E-2</v>
      </c>
      <c r="DQ14" s="1">
        <v>7.1172564581132983E-2</v>
      </c>
      <c r="DR14" s="1">
        <v>5.2622519458999553E-2</v>
      </c>
      <c r="DS14" s="1">
        <v>5.6051819928563652E-2</v>
      </c>
      <c r="DT14" s="1">
        <v>7.7542903390828534E-3</v>
      </c>
      <c r="DU14" s="1">
        <v>6.8795273192164358E-2</v>
      </c>
      <c r="DV14" s="1">
        <v>0.10826235453010739</v>
      </c>
      <c r="DW14" s="1">
        <v>1.8093095085160919E-3</v>
      </c>
      <c r="DX14" s="1">
        <v>0.10216121988583909</v>
      </c>
      <c r="DY14" s="1">
        <v>7.42587000787506E-2</v>
      </c>
      <c r="DZ14" s="1">
        <v>3.5030999863780207E-2</v>
      </c>
      <c r="EA14" s="1">
        <v>6.2912684572741615E-2</v>
      </c>
      <c r="EB14" s="1">
        <v>7.8179830700263145E-2</v>
      </c>
      <c r="EC14" s="1">
        <v>6.0793821481329863E-3</v>
      </c>
      <c r="ED14" s="1">
        <v>0.102629709186187</v>
      </c>
      <c r="EE14" s="1">
        <v>-3.3992535180725199E-3</v>
      </c>
      <c r="EF14" s="1">
        <v>-6.6632346729412442E-2</v>
      </c>
      <c r="EG14" s="3"/>
    </row>
    <row r="15" spans="1:137" ht="16">
      <c r="A15" s="6">
        <v>100</v>
      </c>
      <c r="B15" s="6">
        <v>10</v>
      </c>
      <c r="C15" s="9">
        <v>0.22764465877785839</v>
      </c>
      <c r="D15" s="9">
        <v>0.37270921560992559</v>
      </c>
      <c r="E15" s="9">
        <v>6.6038487211205671E-2</v>
      </c>
      <c r="F15" s="9">
        <v>-3.4921436556697362E-2</v>
      </c>
      <c r="G15" s="9">
        <v>3.4403920967036511E-2</v>
      </c>
      <c r="H15" s="9">
        <v>0.1188437037073593</v>
      </c>
      <c r="I15" s="9">
        <v>5.843144427986554E-2</v>
      </c>
      <c r="J15" s="9">
        <v>4.9961465247389647E-2</v>
      </c>
      <c r="K15" s="9">
        <v>9.4514797591930863E-2</v>
      </c>
      <c r="L15" s="2">
        <v>-1.296708496104036E-2</v>
      </c>
      <c r="M15" s="2">
        <v>-2.1330164362876949E-3</v>
      </c>
      <c r="N15" s="2">
        <v>0.33030933686480712</v>
      </c>
      <c r="O15" s="1">
        <v>-1.227079575915271E-2</v>
      </c>
      <c r="P15" s="1">
        <v>6.4116183021661763E-2</v>
      </c>
      <c r="Q15" s="1">
        <v>0.15553684210781249</v>
      </c>
      <c r="R15" s="1">
        <v>-5.2129690105117463E-2</v>
      </c>
      <c r="S15" s="1">
        <v>0.27023204597070688</v>
      </c>
      <c r="T15" s="1">
        <v>4.589107711718423E-2</v>
      </c>
      <c r="U15" s="1">
        <v>0.1369680616672688</v>
      </c>
      <c r="V15" s="1">
        <v>-1.713185334811276E-2</v>
      </c>
      <c r="W15" s="1">
        <v>0.10693455515793319</v>
      </c>
      <c r="X15" s="1">
        <v>0.2111863273303817</v>
      </c>
      <c r="Y15" s="1">
        <v>-1.1689718055335649E-2</v>
      </c>
      <c r="Z15" s="1">
        <v>4.6719972053358677E-2</v>
      </c>
      <c r="AA15" s="1">
        <v>0.16085038421306441</v>
      </c>
      <c r="AB15" s="1">
        <v>6.6775213871771322E-2</v>
      </c>
      <c r="AC15" s="1">
        <v>4.3176688480551229E-3</v>
      </c>
      <c r="AD15" s="1">
        <v>3.969048112770826E-2</v>
      </c>
      <c r="AE15" s="1">
        <v>0.21179264304727199</v>
      </c>
      <c r="AF15" s="1">
        <v>0.13772628717765439</v>
      </c>
      <c r="AG15" s="1">
        <v>1.012347826165556E-2</v>
      </c>
      <c r="AH15" s="1">
        <v>-3.3604373357676472E-2</v>
      </c>
      <c r="AI15" s="1">
        <v>7.4276960210081885E-2</v>
      </c>
      <c r="AJ15" s="1">
        <v>9.4648599674757271E-3</v>
      </c>
      <c r="AK15" s="1">
        <v>5.7495575489853068E-2</v>
      </c>
      <c r="AL15" s="1">
        <v>-6.8817591114361193E-3</v>
      </c>
      <c r="AM15" s="1">
        <v>5.5122622134627111E-2</v>
      </c>
      <c r="AN15" s="1">
        <v>9.2861913417686348E-2</v>
      </c>
      <c r="AO15" s="1">
        <v>-5.1384520239967417E-2</v>
      </c>
      <c r="AP15" s="1">
        <v>8.645776651050277E-2</v>
      </c>
      <c r="AQ15" s="1">
        <v>1.9750987228359849E-2</v>
      </c>
      <c r="AR15" s="1">
        <v>-2.4550819698278738E-2</v>
      </c>
      <c r="AS15" s="1">
        <v>-4.8733221354101797E-2</v>
      </c>
      <c r="AT15" s="1">
        <v>7.098981260370496E-2</v>
      </c>
      <c r="AU15" s="1">
        <v>0.16710843106943041</v>
      </c>
      <c r="AV15" s="1">
        <v>3.7297928699110437E-2</v>
      </c>
      <c r="AW15" s="1">
        <v>9.1727472793350737E-2</v>
      </c>
      <c r="AX15" s="1">
        <v>8.1360565954768135E-2</v>
      </c>
      <c r="AY15" s="1">
        <v>2.8109416462786169E-2</v>
      </c>
      <c r="AZ15" s="1">
        <v>3.6847351752602578E-2</v>
      </c>
      <c r="BA15" s="1">
        <v>0.15768794840833861</v>
      </c>
      <c r="BB15" s="1">
        <v>0.1977131495043408</v>
      </c>
      <c r="BC15" s="1">
        <v>-3.0936691622350049E-2</v>
      </c>
      <c r="BD15" s="1">
        <v>7.3629159627057253E-3</v>
      </c>
      <c r="BE15" s="1">
        <v>4.1397970696908121E-2</v>
      </c>
      <c r="BF15" s="1">
        <v>0.21087208748998729</v>
      </c>
      <c r="BG15" s="1">
        <v>0.16605121546459681</v>
      </c>
      <c r="BH15" s="1">
        <v>9.8649046406420665E-2</v>
      </c>
      <c r="BI15" s="1">
        <v>6.8586659114969667E-2</v>
      </c>
      <c r="BJ15" s="1">
        <v>7.515389811367558E-2</v>
      </c>
      <c r="BK15" s="1">
        <v>-7.2869418882588882E-2</v>
      </c>
      <c r="BL15" s="1">
        <v>5.9755420974320878E-2</v>
      </c>
      <c r="BM15" s="1">
        <v>4.8219004487744091E-2</v>
      </c>
      <c r="BN15" s="1">
        <v>-6.6054035225581897E-2</v>
      </c>
      <c r="BO15" s="1">
        <v>2.773447595493098E-2</v>
      </c>
      <c r="BP15" s="1">
        <v>-5.1616854472064648E-2</v>
      </c>
      <c r="BQ15" s="1">
        <v>1.280293129032776E-2</v>
      </c>
      <c r="BR15" s="1">
        <v>0.1237621364364551</v>
      </c>
      <c r="BS15" s="1">
        <v>1.1865910908611719E-2</v>
      </c>
      <c r="BT15" s="1">
        <v>3.6633666195559952E-2</v>
      </c>
      <c r="BU15" s="1">
        <v>8.5545733721440226E-2</v>
      </c>
      <c r="BV15" s="1">
        <v>0.1046400442936901</v>
      </c>
      <c r="BW15" s="1">
        <v>0.29887898957592779</v>
      </c>
      <c r="BX15" s="1">
        <v>2.394943143734142E-2</v>
      </c>
      <c r="BY15" s="1">
        <v>-0.12602357357708691</v>
      </c>
      <c r="BZ15" s="1">
        <v>0.1029064689773473</v>
      </c>
      <c r="CA15" s="1">
        <v>1.859202079644226E-2</v>
      </c>
      <c r="CB15" s="1">
        <v>0.13109140278406139</v>
      </c>
      <c r="CC15" s="1">
        <v>0.17365170572211991</v>
      </c>
      <c r="CD15" s="1">
        <v>0.1201520839630844</v>
      </c>
      <c r="CE15" s="1">
        <v>7.3368120048450503E-2</v>
      </c>
      <c r="CF15" s="1">
        <v>9.846999441105124E-2</v>
      </c>
      <c r="CG15" s="1">
        <v>8.5886021530163795E-2</v>
      </c>
      <c r="CH15" s="1">
        <v>6.2885958283701346E-2</v>
      </c>
      <c r="CI15" s="1">
        <v>2.780307184099045E-2</v>
      </c>
      <c r="CJ15" s="1">
        <v>4.067171694706119E-2</v>
      </c>
      <c r="CK15" s="1">
        <v>9.5640748172705348E-2</v>
      </c>
      <c r="CL15" s="1">
        <v>3.1421974993248343E-2</v>
      </c>
      <c r="CM15" s="1">
        <v>0.1081197557129227</v>
      </c>
      <c r="CN15" s="1">
        <v>0.14314981697124041</v>
      </c>
      <c r="CO15" s="1">
        <v>0.17335998923904949</v>
      </c>
      <c r="CP15" s="1">
        <v>0.12753583543294969</v>
      </c>
      <c r="CQ15" s="1">
        <v>-2.49633604564388E-2</v>
      </c>
      <c r="CR15" s="1">
        <v>0.1814889322357352</v>
      </c>
      <c r="CS15" s="1">
        <v>6.483051099045619E-3</v>
      </c>
      <c r="CT15" s="1">
        <v>3.2216556445052003E-2</v>
      </c>
      <c r="CU15" s="1">
        <v>0.12404993141386809</v>
      </c>
      <c r="CV15" s="1">
        <v>0.18261154771691629</v>
      </c>
      <c r="CW15" s="1">
        <v>2.6072090903126711E-2</v>
      </c>
      <c r="CX15" s="1">
        <v>2.4039607053330959E-2</v>
      </c>
      <c r="CY15" s="1">
        <v>5.5732710824827933E-2</v>
      </c>
      <c r="CZ15" s="1">
        <v>7.7145073940461578E-2</v>
      </c>
      <c r="DA15" s="1">
        <v>8.8862212197355878E-2</v>
      </c>
      <c r="DB15" s="1">
        <v>9.7048241525465193E-2</v>
      </c>
      <c r="DC15" s="1">
        <v>2.4821106930732879E-2</v>
      </c>
      <c r="DD15" s="1">
        <v>1.4506726131446251E-2</v>
      </c>
      <c r="DE15" s="1">
        <v>5.7163634731252522E-2</v>
      </c>
      <c r="DF15" s="1">
        <v>0.30272044964278222</v>
      </c>
      <c r="DG15" s="1">
        <v>4.7917484974342339E-2</v>
      </c>
      <c r="DH15" s="1">
        <v>0.1296219356678569</v>
      </c>
      <c r="DI15" s="1">
        <v>4.2811767213113319E-2</v>
      </c>
      <c r="DJ15" s="1">
        <v>6.0023776691057303E-2</v>
      </c>
      <c r="DK15" s="1">
        <v>0.1003289268680829</v>
      </c>
      <c r="DL15" s="1">
        <v>-3.0399320282784031E-4</v>
      </c>
      <c r="DM15" s="1">
        <v>-1.773264737208499E-3</v>
      </c>
      <c r="DN15" s="1">
        <v>4.3996497423619649E-2</v>
      </c>
      <c r="DO15" s="1">
        <v>0.15954541135927219</v>
      </c>
      <c r="DP15" s="1">
        <v>0.1343049473653663</v>
      </c>
      <c r="DQ15" s="1">
        <v>3.7038688952197418E-2</v>
      </c>
      <c r="DR15" s="1">
        <v>3.9785608055100882E-2</v>
      </c>
      <c r="DS15" s="1">
        <v>3.7530143777968331E-2</v>
      </c>
      <c r="DT15" s="1">
        <v>5.2718789989069627E-2</v>
      </c>
      <c r="DU15" s="1">
        <v>0.1171276535106479</v>
      </c>
      <c r="DV15" s="1">
        <v>0.13976835694087139</v>
      </c>
      <c r="DW15" s="1">
        <v>-6.0826326337380818E-2</v>
      </c>
      <c r="DX15" s="1">
        <v>0.1186162506499864</v>
      </c>
      <c r="DY15" s="1">
        <v>0.14360957438078251</v>
      </c>
      <c r="DZ15" s="1">
        <v>4.0455653304009277E-2</v>
      </c>
      <c r="EA15" s="1">
        <v>4.3451220280325283E-2</v>
      </c>
      <c r="EB15" s="1">
        <v>8.8087449527254919E-2</v>
      </c>
      <c r="EC15" s="1">
        <v>5.0736498768636222E-2</v>
      </c>
      <c r="ED15" s="1">
        <v>0.1133570559353114</v>
      </c>
      <c r="EE15" s="1">
        <v>3.1907205015268242E-3</v>
      </c>
      <c r="EF15" s="1">
        <v>-6.2208305239075959E-2</v>
      </c>
      <c r="EG15" s="3"/>
    </row>
    <row r="16" spans="1:137" ht="16">
      <c r="A16" s="6">
        <v>107</v>
      </c>
      <c r="B16" s="6">
        <v>9</v>
      </c>
      <c r="C16" s="9">
        <v>0.20787477708292909</v>
      </c>
      <c r="D16" s="9">
        <v>0.40819497873258059</v>
      </c>
      <c r="E16" s="9">
        <v>6.5006577111328206E-2</v>
      </c>
      <c r="F16" s="9">
        <v>-7.871547190433098E-2</v>
      </c>
      <c r="G16" s="9">
        <v>8.1465506589492587E-3</v>
      </c>
      <c r="H16" s="9">
        <v>7.2848056287647484E-2</v>
      </c>
      <c r="I16" s="9">
        <v>5.7530618665621418E-2</v>
      </c>
      <c r="J16" s="9">
        <v>4.6709926042666168E-2</v>
      </c>
      <c r="K16" s="9">
        <v>8.642089158239058E-2</v>
      </c>
      <c r="L16" s="2">
        <v>-3.1027150965473069E-2</v>
      </c>
      <c r="M16" s="2">
        <v>-1.398743586191707E-2</v>
      </c>
      <c r="N16" s="2">
        <v>0.36698760912258638</v>
      </c>
      <c r="O16" s="1">
        <v>-2.8587076878979191E-2</v>
      </c>
      <c r="P16" s="1">
        <v>6.1045231791422301E-2</v>
      </c>
      <c r="Q16" s="1">
        <v>0.15790307042433799</v>
      </c>
      <c r="R16" s="1">
        <v>-4.8990978282926513E-2</v>
      </c>
      <c r="S16" s="1">
        <v>0.28545460426372588</v>
      </c>
      <c r="T16" s="1">
        <v>3.8406673293611977E-2</v>
      </c>
      <c r="U16" s="1">
        <v>0.1300624714297445</v>
      </c>
      <c r="V16" s="1">
        <v>-6.0221453329656893E-3</v>
      </c>
      <c r="W16" s="1">
        <v>7.8373488027637828E-2</v>
      </c>
      <c r="X16" s="1">
        <v>0.24053196162716611</v>
      </c>
      <c r="Y16" s="1">
        <v>-2.0180588419635579E-2</v>
      </c>
      <c r="Z16" s="1">
        <v>4.3057930884211712E-2</v>
      </c>
      <c r="AA16" s="1">
        <v>0.16615889129731709</v>
      </c>
      <c r="AB16" s="1">
        <v>7.4985041637980407E-2</v>
      </c>
      <c r="AC16" s="1">
        <v>-1.27654480354167E-2</v>
      </c>
      <c r="AD16" s="1">
        <v>3.4811171857251473E-2</v>
      </c>
      <c r="AE16" s="1">
        <v>0.20962824117691051</v>
      </c>
      <c r="AF16" s="1">
        <v>0.14791561026442651</v>
      </c>
      <c r="AG16" s="1">
        <v>1.32907530365354E-2</v>
      </c>
      <c r="AH16" s="1">
        <v>-3.1765400449440553E-2</v>
      </c>
      <c r="AI16" s="1">
        <v>9.0522649217154846E-2</v>
      </c>
      <c r="AJ16" s="1">
        <v>-7.0259660718760622E-3</v>
      </c>
      <c r="AK16" s="1">
        <v>6.4421400832372078E-2</v>
      </c>
      <c r="AL16" s="1">
        <v>-1.4472511517458609E-2</v>
      </c>
      <c r="AM16" s="1">
        <v>6.6076730601797973E-2</v>
      </c>
      <c r="AN16" s="1">
        <v>0.1064562000896756</v>
      </c>
      <c r="AO16" s="1">
        <v>-4.1090153361741238E-2</v>
      </c>
      <c r="AP16" s="1">
        <v>7.779836814558852E-2</v>
      </c>
      <c r="AQ16" s="1">
        <v>2.4036053854552351E-2</v>
      </c>
      <c r="AR16" s="1">
        <v>-3.2492759720063692E-2</v>
      </c>
      <c r="AS16" s="1">
        <v>-5.2642718238233757E-2</v>
      </c>
      <c r="AT16" s="1">
        <v>0.1225640433502848</v>
      </c>
      <c r="AU16" s="1">
        <v>0.17023588881714</v>
      </c>
      <c r="AV16" s="1">
        <v>5.2080835436737499E-2</v>
      </c>
      <c r="AW16" s="1">
        <v>0.10898493864152869</v>
      </c>
      <c r="AX16" s="1">
        <v>0.1006213291014028</v>
      </c>
      <c r="AY16" s="1">
        <v>3.3812589844345937E-2</v>
      </c>
      <c r="AZ16" s="1">
        <v>4.6826876003376768E-2</v>
      </c>
      <c r="BA16" s="1">
        <v>0.15999070017462089</v>
      </c>
      <c r="BB16" s="1">
        <v>0.22547356307573951</v>
      </c>
      <c r="BC16" s="1">
        <v>-3.8999391922231702E-2</v>
      </c>
      <c r="BD16" s="1">
        <v>6.2821844248834016E-3</v>
      </c>
      <c r="BE16" s="1">
        <v>6.119764392645928E-2</v>
      </c>
      <c r="BF16" s="1">
        <v>0.24778685910046011</v>
      </c>
      <c r="BG16" s="1">
        <v>0.16122956958435061</v>
      </c>
      <c r="BH16" s="1">
        <v>9.6162034507733751E-2</v>
      </c>
      <c r="BI16" s="1">
        <v>5.2335760294464642E-2</v>
      </c>
      <c r="BJ16" s="1">
        <v>8.1428118775974001E-2</v>
      </c>
      <c r="BK16" s="1">
        <v>-0.1047732029205687</v>
      </c>
      <c r="BL16" s="1">
        <v>6.1173599484470181E-2</v>
      </c>
      <c r="BM16" s="1">
        <v>3.9497985491106162E-2</v>
      </c>
      <c r="BN16" s="1">
        <v>-6.7197970404689056E-2</v>
      </c>
      <c r="BO16" s="1">
        <v>2.1890359953657689E-2</v>
      </c>
      <c r="BP16" s="1">
        <v>-5.7750060680455823E-2</v>
      </c>
      <c r="BQ16" s="1">
        <v>1.331245374481595E-2</v>
      </c>
      <c r="BR16" s="1">
        <v>0.13058296822502161</v>
      </c>
      <c r="BS16" s="1">
        <v>3.2006987192883168E-2</v>
      </c>
      <c r="BT16" s="1">
        <v>3.8066078212245447E-2</v>
      </c>
      <c r="BU16" s="1">
        <v>0.1015365742283048</v>
      </c>
      <c r="BV16" s="1">
        <v>3.6585637923746667E-2</v>
      </c>
      <c r="BW16" s="1">
        <v>0.31797083453836722</v>
      </c>
      <c r="BX16" s="1">
        <v>2.4078271829347239E-2</v>
      </c>
      <c r="BY16" s="1">
        <v>-0.13255840925737919</v>
      </c>
      <c r="BZ16" s="1">
        <v>0.11152584850164921</v>
      </c>
      <c r="CA16" s="1">
        <v>1.7116103683771391E-2</v>
      </c>
      <c r="CB16" s="1">
        <v>0.13930873593333401</v>
      </c>
      <c r="CC16" s="1">
        <v>4.4388153170205807E-2</v>
      </c>
      <c r="CD16" s="1">
        <v>0.15507127162636181</v>
      </c>
      <c r="CE16" s="1">
        <v>9.3614230467915741E-2</v>
      </c>
      <c r="CF16" s="1">
        <v>0.10520126400975099</v>
      </c>
      <c r="CG16" s="1">
        <v>6.172787814666654E-2</v>
      </c>
      <c r="CH16" s="1">
        <v>4.1697414703027069E-2</v>
      </c>
      <c r="CI16" s="1">
        <v>3.8709881828517541E-2</v>
      </c>
      <c r="CJ16" s="1">
        <v>2.9703385493763331E-2</v>
      </c>
      <c r="CK16" s="1">
        <v>8.8422689781607652E-2</v>
      </c>
      <c r="CL16" s="1">
        <v>1.999536947877634E-2</v>
      </c>
      <c r="CM16" s="1">
        <v>0.11305583839137461</v>
      </c>
      <c r="CN16" s="1">
        <v>0.16035991631652741</v>
      </c>
      <c r="CO16" s="1">
        <v>0.20954751845975189</v>
      </c>
      <c r="CP16" s="1">
        <v>0.1376138160284123</v>
      </c>
      <c r="CQ16" s="1">
        <v>-2.0333779820360932E-2</v>
      </c>
      <c r="CR16" s="1">
        <v>0.1892865334673984</v>
      </c>
      <c r="CS16" s="1">
        <v>4.0852187594743343E-2</v>
      </c>
      <c r="CT16" s="1">
        <v>4.8903525831428797E-2</v>
      </c>
      <c r="CU16" s="1">
        <v>0.1354717008642061</v>
      </c>
      <c r="CV16" s="1">
        <v>0.17225152263848639</v>
      </c>
      <c r="CW16" s="1">
        <v>4.7341659174279828E-2</v>
      </c>
      <c r="CX16" s="1">
        <v>1.224028475424996E-2</v>
      </c>
      <c r="CY16" s="1">
        <v>5.8554306171252707E-2</v>
      </c>
      <c r="CZ16" s="1">
        <v>0.1026332591781325</v>
      </c>
      <c r="DA16" s="1">
        <v>0.1181813303624494</v>
      </c>
      <c r="DB16" s="1">
        <v>9.8017282885796683E-2</v>
      </c>
      <c r="DC16" s="1">
        <v>3.5357719183528202E-2</v>
      </c>
      <c r="DD16" s="1">
        <v>3.1743710487280009E-2</v>
      </c>
      <c r="DE16" s="1">
        <v>3.4552400358790043E-2</v>
      </c>
      <c r="DF16" s="1">
        <v>0.32557955091715252</v>
      </c>
      <c r="DG16" s="1">
        <v>4.5676915028892429E-2</v>
      </c>
      <c r="DH16" s="1">
        <v>0.13714776041250831</v>
      </c>
      <c r="DI16" s="1">
        <v>5.8505682516465929E-2</v>
      </c>
      <c r="DJ16" s="1">
        <v>7.0955052436885532E-2</v>
      </c>
      <c r="DK16" s="1">
        <v>9.6254624799197441E-2</v>
      </c>
      <c r="DL16" s="1">
        <v>-2.187287424977424E-2</v>
      </c>
      <c r="DM16" s="1">
        <v>-3.8134995560551693E-2</v>
      </c>
      <c r="DN16" s="1">
        <v>4.2437853359407113E-2</v>
      </c>
      <c r="DO16" s="1">
        <v>0.16959094638807429</v>
      </c>
      <c r="DP16" s="1">
        <v>0.16033399447581251</v>
      </c>
      <c r="DQ16" s="1">
        <v>4.7070156004531842E-2</v>
      </c>
      <c r="DR16" s="1">
        <v>5.5191251649515223E-2</v>
      </c>
      <c r="DS16" s="1">
        <v>2.144067271249302E-2</v>
      </c>
      <c r="DT16" s="1">
        <v>5.9112975078185963E-2</v>
      </c>
      <c r="DU16" s="1">
        <v>0.1227720465229642</v>
      </c>
      <c r="DV16" s="1">
        <v>0.13695373201779351</v>
      </c>
      <c r="DW16" s="1">
        <v>-7.1302574123356416E-2</v>
      </c>
      <c r="DX16" s="1">
        <v>0.12528470632397731</v>
      </c>
      <c r="DY16" s="1">
        <v>0.15757213273537249</v>
      </c>
      <c r="DZ16" s="1">
        <v>5.8810748191046001E-2</v>
      </c>
      <c r="EA16" s="1">
        <v>4.205152402439738E-4</v>
      </c>
      <c r="EB16" s="1">
        <v>0.1006791006772017</v>
      </c>
      <c r="EC16" s="1">
        <v>5.1117652254380558E-2</v>
      </c>
      <c r="ED16" s="1">
        <v>0.1154167474989211</v>
      </c>
      <c r="EE16" s="1">
        <v>4.3966753067597028E-3</v>
      </c>
      <c r="EF16" s="1">
        <v>-3.9893906712643798E-2</v>
      </c>
      <c r="EG16" s="3"/>
    </row>
    <row r="17" spans="1:137" ht="16">
      <c r="A17" s="6">
        <v>120</v>
      </c>
      <c r="B17" s="6">
        <v>8</v>
      </c>
      <c r="C17" s="9">
        <v>0.2060921883792059</v>
      </c>
      <c r="D17" s="9">
        <v>0.43958848862462141</v>
      </c>
      <c r="E17" s="9">
        <v>7.9589849390753004E-2</v>
      </c>
      <c r="F17" s="9">
        <v>-8.0752164152319103E-2</v>
      </c>
      <c r="G17" s="9">
        <v>0.10538707466373071</v>
      </c>
      <c r="H17" s="9">
        <v>0.104994053627741</v>
      </c>
      <c r="I17" s="9">
        <v>0.1137250278021875</v>
      </c>
      <c r="J17" s="9">
        <v>4.185839511822919E-2</v>
      </c>
      <c r="K17" s="9">
        <v>0.1015600797223099</v>
      </c>
      <c r="L17" s="2">
        <v>-3.3775929538638158E-2</v>
      </c>
      <c r="M17" s="2">
        <v>1.46591420902884E-2</v>
      </c>
      <c r="N17" s="2">
        <v>0.40510800893946219</v>
      </c>
      <c r="O17" s="1">
        <v>-1.1306676064132231E-2</v>
      </c>
      <c r="P17" s="1">
        <v>6.841077431920789E-2</v>
      </c>
      <c r="Q17" s="1">
        <v>0.16180129461512691</v>
      </c>
      <c r="R17" s="1">
        <v>-5.2057608904527208E-2</v>
      </c>
      <c r="S17" s="1">
        <v>0.31065343265529832</v>
      </c>
      <c r="T17" s="1">
        <v>2.3342585510940751E-2</v>
      </c>
      <c r="U17" s="1">
        <v>0.1417558970831658</v>
      </c>
      <c r="V17" s="1">
        <v>4.0111898296984957E-3</v>
      </c>
      <c r="W17" s="1">
        <v>7.9141988802017282E-2</v>
      </c>
      <c r="X17" s="1">
        <v>0.2379894313203148</v>
      </c>
      <c r="Y17" s="1">
        <v>-2.2928011062654879E-2</v>
      </c>
      <c r="Z17" s="1">
        <v>5.3763711413817257E-2</v>
      </c>
      <c r="AA17" s="1">
        <v>0.19128343691540931</v>
      </c>
      <c r="AB17" s="1">
        <v>8.4852062878172332E-2</v>
      </c>
      <c r="AC17" s="1">
        <v>-2.008625473802152E-2</v>
      </c>
      <c r="AD17" s="1">
        <v>6.8619823236846775E-2</v>
      </c>
      <c r="AE17" s="1">
        <v>0.22212270442845089</v>
      </c>
      <c r="AF17" s="1">
        <v>0.1202863246558465</v>
      </c>
      <c r="AG17" s="1">
        <v>3.1873572577670178E-2</v>
      </c>
      <c r="AH17" s="1">
        <v>-4.943754228054096E-2</v>
      </c>
      <c r="AI17" s="1">
        <v>0.11486444539828659</v>
      </c>
      <c r="AJ17" s="1">
        <v>-4.2602630518956908E-2</v>
      </c>
      <c r="AK17" s="1">
        <v>3.1812485999819881E-2</v>
      </c>
      <c r="AL17" s="1">
        <v>-9.9837333349987525E-3</v>
      </c>
      <c r="AM17" s="1">
        <v>7.5369367587656985E-2</v>
      </c>
      <c r="AN17" s="1">
        <v>0.1132871203459177</v>
      </c>
      <c r="AO17" s="1">
        <v>-7.6694527622622966E-2</v>
      </c>
      <c r="AP17" s="1">
        <v>7.7242814419585484E-2</v>
      </c>
      <c r="AQ17" s="1">
        <v>9.2339934757894385E-3</v>
      </c>
      <c r="AR17" s="1">
        <v>-3.4997281035057448E-2</v>
      </c>
      <c r="AS17" s="1">
        <v>-5.8802956944234347E-2</v>
      </c>
      <c r="AT17" s="1">
        <v>0.1270717931072517</v>
      </c>
      <c r="AU17" s="1">
        <v>0.17756202574817151</v>
      </c>
      <c r="AV17" s="1">
        <v>5.8529449334631382E-2</v>
      </c>
      <c r="AW17" s="1">
        <v>7.6189610229816573E-2</v>
      </c>
      <c r="AX17" s="1">
        <v>9.7619105117607935E-2</v>
      </c>
      <c r="AY17" s="1">
        <v>2.742369669060089E-2</v>
      </c>
      <c r="AZ17" s="1">
        <v>4.7980433809172947E-2</v>
      </c>
      <c r="BA17" s="1">
        <v>0.1628064098097628</v>
      </c>
      <c r="BB17" s="1">
        <v>0.23044204494786999</v>
      </c>
      <c r="BC17" s="1">
        <v>-2.729282438048997E-2</v>
      </c>
      <c r="BD17" s="1">
        <v>1.9411871892876801E-2</v>
      </c>
      <c r="BE17" s="1">
        <v>4.4110253344838479E-2</v>
      </c>
      <c r="BF17" s="1">
        <v>0.14777683028015839</v>
      </c>
      <c r="BG17" s="1">
        <v>0.18575157813088089</v>
      </c>
      <c r="BH17" s="1">
        <v>0.1331911133253291</v>
      </c>
      <c r="BI17" s="1">
        <v>9.9365392037550321E-2</v>
      </c>
      <c r="BJ17" s="1">
        <v>8.9191477556659238E-2</v>
      </c>
      <c r="BK17" s="1">
        <v>-0.11481579199951759</v>
      </c>
      <c r="BL17" s="1">
        <v>3.4152447324294427E-2</v>
      </c>
      <c r="BM17" s="1">
        <v>2.905901115235426E-2</v>
      </c>
      <c r="BN17" s="1">
        <v>-7.3656767936365913E-2</v>
      </c>
      <c r="BO17" s="1">
        <v>1.9886080708886981E-2</v>
      </c>
      <c r="BP17" s="1">
        <v>-6.0638146909917159E-2</v>
      </c>
      <c r="BQ17" s="1">
        <v>1.1376510446451601E-2</v>
      </c>
      <c r="BR17" s="1">
        <v>0.1150223530257518</v>
      </c>
      <c r="BS17" s="1">
        <v>2.090601821369549E-2</v>
      </c>
      <c r="BT17" s="1">
        <v>3.3647573246358371E-2</v>
      </c>
      <c r="BU17" s="1">
        <v>0.1045242995328607</v>
      </c>
      <c r="BV17" s="1">
        <v>3.8240956502194168E-2</v>
      </c>
      <c r="BW17" s="1">
        <v>0.2083368255173885</v>
      </c>
      <c r="BX17" s="1">
        <v>7.2009502804253958E-3</v>
      </c>
      <c r="BY17" s="1">
        <v>-0.14247737512646691</v>
      </c>
      <c r="BZ17" s="1">
        <v>0.12057815588108529</v>
      </c>
      <c r="CA17" s="1">
        <v>2.7934832358489561E-2</v>
      </c>
      <c r="CB17" s="1">
        <v>0.14963315769288951</v>
      </c>
      <c r="CC17" s="1">
        <v>4.1760252474235628E-2</v>
      </c>
      <c r="CD17" s="1">
        <v>0.17295974121914859</v>
      </c>
      <c r="CE17" s="1">
        <v>9.5708073661495086E-2</v>
      </c>
      <c r="CF17" s="1">
        <v>9.8746197426198501E-2</v>
      </c>
      <c r="CG17" s="1">
        <v>7.4714988628731105E-2</v>
      </c>
      <c r="CH17" s="1">
        <v>5.863644660705003E-2</v>
      </c>
      <c r="CI17" s="1">
        <v>1.453118498958852E-2</v>
      </c>
      <c r="CJ17" s="1">
        <v>2.095082748134847E-2</v>
      </c>
      <c r="CK17" s="1">
        <v>8.3955848259630761E-2</v>
      </c>
      <c r="CL17" s="1">
        <v>-9.4263447690312585E-3</v>
      </c>
      <c r="CM17" s="1">
        <v>9.5493870816553625E-2</v>
      </c>
      <c r="CN17" s="1">
        <v>0.17653127858138681</v>
      </c>
      <c r="CO17" s="1">
        <v>0.19808041988978861</v>
      </c>
      <c r="CP17" s="1">
        <v>0.14815926919734371</v>
      </c>
      <c r="CQ17" s="1">
        <v>5.1907103341726497E-2</v>
      </c>
      <c r="CR17" s="1">
        <v>0.19640263176228939</v>
      </c>
      <c r="CS17" s="1">
        <v>3.1345818395718227E-2</v>
      </c>
      <c r="CT17" s="1">
        <v>5.8653796602614078E-2</v>
      </c>
      <c r="CU17" s="1">
        <v>0.15535189279975939</v>
      </c>
      <c r="CV17" s="1">
        <v>0.15147138486135439</v>
      </c>
      <c r="CW17" s="1">
        <v>6.3393218804487964E-2</v>
      </c>
      <c r="CX17" s="1">
        <v>1.0772394523947831E-2</v>
      </c>
      <c r="CY17" s="1">
        <v>5.9497951859822727E-2</v>
      </c>
      <c r="CZ17" s="1">
        <v>0.1242488378476205</v>
      </c>
      <c r="DA17" s="1">
        <v>9.4496399219490601E-2</v>
      </c>
      <c r="DB17" s="1">
        <v>0.1042716259030833</v>
      </c>
      <c r="DC17" s="1">
        <v>4.3363468977499292E-2</v>
      </c>
      <c r="DD17" s="1">
        <v>2.9155420882880711E-2</v>
      </c>
      <c r="DE17" s="1">
        <v>2.412486334672205E-2</v>
      </c>
      <c r="DF17" s="1">
        <v>0.35222555427147212</v>
      </c>
      <c r="DG17" s="1">
        <v>4.7210988428523767E-2</v>
      </c>
      <c r="DH17" s="1">
        <v>0.163431801211989</v>
      </c>
      <c r="DI17" s="1">
        <v>7.0182390070728212E-2</v>
      </c>
      <c r="DJ17" s="1">
        <v>0.12892505978600949</v>
      </c>
      <c r="DK17" s="1">
        <v>0.1027812687483064</v>
      </c>
      <c r="DL17" s="1">
        <v>-3.9297316911286913E-3</v>
      </c>
      <c r="DM17" s="1">
        <v>-4.2563608711752222E-2</v>
      </c>
      <c r="DN17" s="1">
        <v>3.5489032714339022E-2</v>
      </c>
      <c r="DO17" s="1">
        <v>0.17976292609872879</v>
      </c>
      <c r="DP17" s="1">
        <v>0.14203415825063481</v>
      </c>
      <c r="DQ17" s="1">
        <v>7.2654005106024905E-2</v>
      </c>
      <c r="DR17" s="1">
        <v>5.5884814876328272E-2</v>
      </c>
      <c r="DS17" s="1">
        <v>3.7354088755102308E-2</v>
      </c>
      <c r="DT17" s="1">
        <v>5.9811935234976257E-2</v>
      </c>
      <c r="DU17" s="1">
        <v>0.12949295631998961</v>
      </c>
      <c r="DV17" s="1">
        <v>0.1177653981109542</v>
      </c>
      <c r="DW17" s="1">
        <v>-7.6598913035996447E-2</v>
      </c>
      <c r="DX17" s="1">
        <v>0.12953898259647401</v>
      </c>
      <c r="DY17" s="1">
        <v>0.10728289560185179</v>
      </c>
      <c r="DZ17" s="1">
        <v>4.9212629169808252E-2</v>
      </c>
      <c r="EA17" s="1">
        <v>-4.6325242167246112E-3</v>
      </c>
      <c r="EB17" s="1">
        <v>0.1072853267537575</v>
      </c>
      <c r="EC17" s="1">
        <v>1.6425217216060651E-2</v>
      </c>
      <c r="ED17" s="1">
        <v>0.12832444392891271</v>
      </c>
      <c r="EE17" s="1">
        <v>-1.93521146079418E-4</v>
      </c>
      <c r="EF17" s="1">
        <v>-4.7709767009851863E-2</v>
      </c>
      <c r="EG17" s="3"/>
    </row>
    <row r="18" spans="1:137" ht="16">
      <c r="A18" s="6">
        <v>137</v>
      </c>
      <c r="B18" s="6">
        <v>7</v>
      </c>
      <c r="C18" s="9">
        <v>0.18975112249235829</v>
      </c>
      <c r="D18" s="9">
        <v>0.40188368142206798</v>
      </c>
      <c r="E18" s="9">
        <v>5.3439350267724013E-2</v>
      </c>
      <c r="F18" s="9">
        <v>-0.11938296010218979</v>
      </c>
      <c r="G18" s="9">
        <v>0.10831637328507999</v>
      </c>
      <c r="H18" s="9">
        <v>0.12853956177457129</v>
      </c>
      <c r="I18" s="9">
        <v>0.13550018022324109</v>
      </c>
      <c r="J18" s="9">
        <v>4.3411515751641608E-2</v>
      </c>
      <c r="K18" s="9">
        <v>0.13564788877763229</v>
      </c>
      <c r="L18" s="2">
        <v>-4.6672720340673143E-2</v>
      </c>
      <c r="M18" s="2">
        <v>2.9051464376457319E-2</v>
      </c>
      <c r="N18" s="2">
        <v>0.46182001807061318</v>
      </c>
      <c r="O18" s="1">
        <v>3.1737941097498189E-2</v>
      </c>
      <c r="P18" s="1">
        <v>8.0174184122512426E-2</v>
      </c>
      <c r="Q18" s="1">
        <v>0.18897541868948989</v>
      </c>
      <c r="R18" s="1">
        <v>-6.9734027137790394E-2</v>
      </c>
      <c r="S18" s="1">
        <v>0.3837326289318943</v>
      </c>
      <c r="T18" s="1">
        <v>5.2309697550730873E-2</v>
      </c>
      <c r="U18" s="1">
        <v>0.132495024429819</v>
      </c>
      <c r="V18" s="1">
        <v>1.2895135069850801E-2</v>
      </c>
      <c r="W18" s="1">
        <v>7.7296280059738612E-2</v>
      </c>
      <c r="X18" s="1">
        <v>0.21512105739995169</v>
      </c>
      <c r="Y18" s="1">
        <v>-1.923233435743554E-2</v>
      </c>
      <c r="Z18" s="1">
        <v>8.9234363440522865E-2</v>
      </c>
      <c r="AA18" s="1">
        <v>0.17257065753452869</v>
      </c>
      <c r="AB18" s="1">
        <v>8.8397637444001725E-2</v>
      </c>
      <c r="AC18" s="1">
        <v>1.3654204768322529E-3</v>
      </c>
      <c r="AD18" s="1">
        <v>9.6285845185419314E-2</v>
      </c>
      <c r="AE18" s="1">
        <v>0.25839134891520849</v>
      </c>
      <c r="AF18" s="1">
        <v>0.1505436398240734</v>
      </c>
      <c r="AG18" s="1">
        <v>1.5743669970475001E-2</v>
      </c>
      <c r="AH18" s="1">
        <v>-4.0197460968514703E-2</v>
      </c>
      <c r="AI18" s="1">
        <v>0.1180857345580002</v>
      </c>
      <c r="AJ18" s="1">
        <v>-4.7393756166449127E-2</v>
      </c>
      <c r="AK18" s="1">
        <v>-2.1874809686740931E-3</v>
      </c>
      <c r="AL18" s="1">
        <v>-8.5555505437218517E-4</v>
      </c>
      <c r="AM18" s="1">
        <v>6.6643405424771207E-2</v>
      </c>
      <c r="AN18" s="1">
        <v>7.9294639955201793E-2</v>
      </c>
      <c r="AO18" s="1">
        <v>2.4584280444806969E-2</v>
      </c>
      <c r="AP18" s="1">
        <v>7.8278591933806971E-2</v>
      </c>
      <c r="AQ18" s="1">
        <v>-1.6785141569115709E-2</v>
      </c>
      <c r="AR18" s="1">
        <v>-6.1694523600781571E-2</v>
      </c>
      <c r="AS18" s="1">
        <v>-8.3253127889185943E-2</v>
      </c>
      <c r="AT18" s="1">
        <v>0.16638580942405889</v>
      </c>
      <c r="AU18" s="1">
        <v>0.1966597311386786</v>
      </c>
      <c r="AV18" s="1">
        <v>6.0235664706469842E-2</v>
      </c>
      <c r="AW18" s="1">
        <v>9.7766861821235188E-2</v>
      </c>
      <c r="AX18" s="1">
        <v>0.12606433742612741</v>
      </c>
      <c r="AY18" s="1">
        <v>3.4783278641148073E-2</v>
      </c>
      <c r="AZ18" s="1">
        <v>6.6341275737421684E-2</v>
      </c>
      <c r="BA18" s="1">
        <v>0.16410613980892599</v>
      </c>
      <c r="BB18" s="1">
        <v>0.31745742566411261</v>
      </c>
      <c r="BC18" s="1">
        <v>2.7942050701969749E-2</v>
      </c>
      <c r="BD18" s="1">
        <v>2.0275139657027021E-2</v>
      </c>
      <c r="BE18" s="1">
        <v>9.117285285592254E-2</v>
      </c>
      <c r="BF18" s="1">
        <v>0.1649864946960074</v>
      </c>
      <c r="BG18" s="1">
        <v>0.1467139748282886</v>
      </c>
      <c r="BH18" s="1">
        <v>0.1378982651501425</v>
      </c>
      <c r="BI18" s="1">
        <v>0.1090000069186657</v>
      </c>
      <c r="BJ18" s="1">
        <v>9.9531519273147392E-2</v>
      </c>
      <c r="BK18" s="1">
        <v>-7.3455626824005624E-2</v>
      </c>
      <c r="BL18" s="1">
        <v>5.5787880861779937E-2</v>
      </c>
      <c r="BM18" s="1">
        <v>2.8081356373095352E-2</v>
      </c>
      <c r="BN18" s="1">
        <v>-7.8208699482375382E-2</v>
      </c>
      <c r="BO18" s="1">
        <v>2.0227496106374639E-2</v>
      </c>
      <c r="BP18" s="1">
        <v>-6.2463432036451667E-2</v>
      </c>
      <c r="BQ18" s="1">
        <v>1.916784109848992E-3</v>
      </c>
      <c r="BR18" s="1">
        <v>0.1209618178824758</v>
      </c>
      <c r="BS18" s="1">
        <v>3.2873256576031823E-2</v>
      </c>
      <c r="BT18" s="1">
        <v>1.329915077767777E-2</v>
      </c>
      <c r="BU18" s="1">
        <v>0.1114615455291026</v>
      </c>
      <c r="BV18" s="1">
        <v>3.96244261241478E-2</v>
      </c>
      <c r="BW18" s="1">
        <v>0.21837549913098869</v>
      </c>
      <c r="BX18" s="1">
        <v>-1.5811923945792471E-2</v>
      </c>
      <c r="BY18" s="1">
        <v>-8.7465268272101659E-2</v>
      </c>
      <c r="BZ18" s="1">
        <v>0.15331998780259809</v>
      </c>
      <c r="CA18" s="1">
        <v>1.6076543892860819E-2</v>
      </c>
      <c r="CB18" s="1">
        <v>0.1068460604700732</v>
      </c>
      <c r="CC18" s="1">
        <v>0.1046606238416451</v>
      </c>
      <c r="CD18" s="1">
        <v>0.19371681864683071</v>
      </c>
      <c r="CE18" s="1">
        <v>7.7260394878222755E-2</v>
      </c>
      <c r="CF18" s="1">
        <v>6.9437750845139964E-2</v>
      </c>
      <c r="CG18" s="1">
        <v>9.1609255563919342E-2</v>
      </c>
      <c r="CH18" s="1">
        <v>0.16265704668723319</v>
      </c>
      <c r="CI18" s="1">
        <v>4.4565986447696902E-2</v>
      </c>
      <c r="CJ18" s="1">
        <v>-3.772366500397611E-3</v>
      </c>
      <c r="CK18" s="1">
        <v>9.6058031665523097E-2</v>
      </c>
      <c r="CL18" s="1">
        <v>-3.0989545058193149E-2</v>
      </c>
      <c r="CM18" s="1">
        <v>0.1027696116279509</v>
      </c>
      <c r="CN18" s="1">
        <v>0.1209431335415747</v>
      </c>
      <c r="CO18" s="1">
        <v>0.22828208587546131</v>
      </c>
      <c r="CP18" s="1">
        <v>0.16283910894801071</v>
      </c>
      <c r="CQ18" s="1">
        <v>3.8242675594942703E-2</v>
      </c>
      <c r="CR18" s="1">
        <v>0.19372240765220919</v>
      </c>
      <c r="CS18" s="1">
        <v>5.7690648651415453E-2</v>
      </c>
      <c r="CT18" s="1">
        <v>7.6870226772222966E-2</v>
      </c>
      <c r="CU18" s="1">
        <v>0.14456482117613489</v>
      </c>
      <c r="CV18" s="1">
        <v>0.1270222681330069</v>
      </c>
      <c r="CW18" s="1">
        <v>6.6558574498316259E-2</v>
      </c>
      <c r="CX18" s="1">
        <v>6.1560185833778078E-2</v>
      </c>
      <c r="CY18" s="1">
        <v>7.1432458912374111E-2</v>
      </c>
      <c r="CZ18" s="1">
        <v>0.13284286330177139</v>
      </c>
      <c r="DA18" s="1">
        <v>7.8358630907432503E-2</v>
      </c>
      <c r="DB18" s="1">
        <v>0.1181147182852117</v>
      </c>
      <c r="DC18" s="1">
        <v>3.6408781495506221E-2</v>
      </c>
      <c r="DD18" s="1">
        <v>4.1014187319333921E-2</v>
      </c>
      <c r="DE18" s="1">
        <v>3.8420587486450893E-2</v>
      </c>
      <c r="DF18" s="1">
        <v>0.36669200961401482</v>
      </c>
      <c r="DG18" s="1">
        <v>5.4770484126873797E-2</v>
      </c>
      <c r="DH18" s="1">
        <v>0.19240138195914119</v>
      </c>
      <c r="DI18" s="1">
        <v>9.7963127478955317E-2</v>
      </c>
      <c r="DJ18" s="1">
        <v>0.14619607609941229</v>
      </c>
      <c r="DK18" s="1">
        <v>0.1065272620024338</v>
      </c>
      <c r="DL18" s="1">
        <v>-3.830274067592157E-3</v>
      </c>
      <c r="DM18" s="1">
        <v>-5.8457164290175813E-2</v>
      </c>
      <c r="DN18" s="1">
        <v>-1.6722064078021251E-2</v>
      </c>
      <c r="DO18" s="1">
        <v>0.22032021179129849</v>
      </c>
      <c r="DP18" s="1">
        <v>0.13348647227708049</v>
      </c>
      <c r="DQ18" s="1">
        <v>6.5749458183898837E-2</v>
      </c>
      <c r="DR18" s="1">
        <v>7.6840654771961045E-2</v>
      </c>
      <c r="DS18" s="1">
        <v>1.1277982255682851E-2</v>
      </c>
      <c r="DT18" s="1">
        <v>2.2601034841107401E-2</v>
      </c>
      <c r="DU18" s="1">
        <v>0.15871482271667761</v>
      </c>
      <c r="DV18" s="1">
        <v>0.1056406088000619</v>
      </c>
      <c r="DW18" s="1">
        <v>-6.8636949952117263E-2</v>
      </c>
      <c r="DX18" s="1">
        <v>0.1536029774624818</v>
      </c>
      <c r="DY18" s="1">
        <v>0.1368331149382522</v>
      </c>
      <c r="DZ18" s="1">
        <v>5.4630374156582083E-2</v>
      </c>
      <c r="EA18" s="1">
        <v>-4.7382972382447363E-3</v>
      </c>
      <c r="EB18" s="1">
        <v>0.1099643544501954</v>
      </c>
      <c r="EC18" s="1">
        <v>5.8228474754975761E-3</v>
      </c>
      <c r="ED18" s="1">
        <v>0.1200774322763405</v>
      </c>
      <c r="EE18" s="1">
        <v>1.111287672357628E-3</v>
      </c>
      <c r="EF18" s="1">
        <v>-4.8955017110416547E-2</v>
      </c>
      <c r="EG18" s="3"/>
    </row>
    <row r="19" spans="1:137" ht="16">
      <c r="A19" s="6">
        <v>160</v>
      </c>
      <c r="B19" s="6">
        <v>6</v>
      </c>
      <c r="C19" s="9">
        <v>0.19660026531165431</v>
      </c>
      <c r="D19" s="9">
        <v>0.40752071008946927</v>
      </c>
      <c r="E19" s="9">
        <v>4.4403931966815142E-2</v>
      </c>
      <c r="F19" s="9">
        <v>-0.1776886618055605</v>
      </c>
      <c r="G19" s="9">
        <v>9.6065971857177412E-2</v>
      </c>
      <c r="H19" s="9">
        <v>0.17761031882265199</v>
      </c>
      <c r="I19" s="9">
        <v>0.1346543328914665</v>
      </c>
      <c r="J19" s="9">
        <v>3.5429584520191022E-2</v>
      </c>
      <c r="K19" s="9">
        <v>0.23878941472391671</v>
      </c>
      <c r="L19" s="2">
        <v>-3.036283305602917E-2</v>
      </c>
      <c r="M19" s="2">
        <v>-4.3690236156307287E-2</v>
      </c>
      <c r="N19" s="2">
        <v>0.53237403768824121</v>
      </c>
      <c r="O19" s="1">
        <v>3.1561874488915911E-2</v>
      </c>
      <c r="P19" s="1">
        <v>9.2534186186697107E-2</v>
      </c>
      <c r="Q19" s="1">
        <v>0.19013406081477549</v>
      </c>
      <c r="R19" s="1">
        <v>-9.0299090630856282E-2</v>
      </c>
      <c r="S19" s="1">
        <v>0.1665705674290347</v>
      </c>
      <c r="T19" s="1">
        <v>5.1464717245309592E-2</v>
      </c>
      <c r="U19" s="1">
        <v>0.11376446779645349</v>
      </c>
      <c r="V19" s="1">
        <v>3.6618687785451319E-2</v>
      </c>
      <c r="W19" s="1">
        <v>7.2415569319498968E-2</v>
      </c>
      <c r="X19" s="1">
        <v>0.14939987335272731</v>
      </c>
      <c r="Y19" s="1">
        <v>-2.9467235546200489E-2</v>
      </c>
      <c r="Z19" s="1">
        <v>9.1619110576023566E-2</v>
      </c>
      <c r="AA19" s="1">
        <v>0.131832899481091</v>
      </c>
      <c r="AB19" s="1">
        <v>9.9241927245629705E-2</v>
      </c>
      <c r="AC19" s="1">
        <v>1.4141542708609799E-2</v>
      </c>
      <c r="AD19" s="1">
        <v>9.5993377798068158E-2</v>
      </c>
      <c r="AE19" s="1">
        <v>0.30849285792536868</v>
      </c>
      <c r="AF19" s="1">
        <v>0.1688305807080431</v>
      </c>
      <c r="AG19" s="1">
        <v>2.7942319450978619E-2</v>
      </c>
      <c r="AH19" s="1">
        <v>-4.2845934068549293E-2</v>
      </c>
      <c r="AI19" s="1">
        <v>9.1548662924674465E-2</v>
      </c>
      <c r="AJ19" s="1">
        <v>-5.1545290327262273E-2</v>
      </c>
      <c r="AK19" s="1">
        <v>7.5520425059527104E-3</v>
      </c>
      <c r="AL19" s="1">
        <v>-1.136262181352635E-3</v>
      </c>
      <c r="AM19" s="1">
        <v>3.1311424844951023E-2</v>
      </c>
      <c r="AN19" s="1">
        <v>8.3568294365682083E-2</v>
      </c>
      <c r="AO19" s="1">
        <v>5.5890126129114689E-2</v>
      </c>
      <c r="AP19" s="1">
        <v>8.757412027285208E-2</v>
      </c>
      <c r="AQ19" s="1">
        <v>-5.4925492373613202E-2</v>
      </c>
      <c r="AR19" s="1">
        <v>-7.4616897634658869E-2</v>
      </c>
      <c r="AS19" s="1">
        <v>-0.1091988760530663</v>
      </c>
      <c r="AT19" s="1">
        <v>0.18459366381005801</v>
      </c>
      <c r="AU19" s="1">
        <v>0.23884423839901431</v>
      </c>
      <c r="AV19" s="1">
        <v>-3.0326096026080519E-3</v>
      </c>
      <c r="AW19" s="1">
        <v>0.13669339712891271</v>
      </c>
      <c r="AX19" s="1">
        <v>0.2241237953008561</v>
      </c>
      <c r="AY19" s="1">
        <v>2.9528970393379841E-2</v>
      </c>
      <c r="AZ19" s="1">
        <v>8.4032472273639608E-2</v>
      </c>
      <c r="BA19" s="1">
        <v>0.18699677755478061</v>
      </c>
      <c r="BB19" s="1">
        <v>0.36416093179321912</v>
      </c>
      <c r="BC19" s="1">
        <v>0.18457178940642721</v>
      </c>
      <c r="BD19" s="1">
        <v>-7.3706967887407146E-5</v>
      </c>
      <c r="BE19" s="1">
        <v>8.948072176037114E-2</v>
      </c>
      <c r="BF19" s="1">
        <v>0.14180943496374171</v>
      </c>
      <c r="BG19" s="1">
        <v>0.15330875116978829</v>
      </c>
      <c r="BH19" s="1">
        <v>0.14049690595357331</v>
      </c>
      <c r="BI19" s="1">
        <v>0.12779862881921869</v>
      </c>
      <c r="BJ19" s="1">
        <v>5.1819308428669691E-2</v>
      </c>
      <c r="BK19" s="1">
        <v>-9.7038422945385686E-2</v>
      </c>
      <c r="BL19" s="1">
        <v>6.3164533747019302E-2</v>
      </c>
      <c r="BM19" s="1">
        <v>3.1786264869145278E-2</v>
      </c>
      <c r="BN19" s="1">
        <v>-8.141326020016787E-2</v>
      </c>
      <c r="BO19" s="1">
        <v>2.5728961265115379E-2</v>
      </c>
      <c r="BP19" s="1">
        <v>-1.2410341277600779E-2</v>
      </c>
      <c r="BQ19" s="1">
        <v>9.9340444543230683E-3</v>
      </c>
      <c r="BR19" s="1">
        <v>0.1368392355431455</v>
      </c>
      <c r="BS19" s="1">
        <v>-3.4999319396389061E-3</v>
      </c>
      <c r="BT19" s="1">
        <v>-1.3193669203137359E-2</v>
      </c>
      <c r="BU19" s="1">
        <v>0.1241864928119264</v>
      </c>
      <c r="BV19" s="1">
        <v>3.0350791965897218E-2</v>
      </c>
      <c r="BW19" s="1">
        <v>0.30745300680973342</v>
      </c>
      <c r="BX19" s="1">
        <v>-3.6398889558793571E-2</v>
      </c>
      <c r="BY19" s="1">
        <v>-7.9866927068945853E-2</v>
      </c>
      <c r="BZ19" s="1">
        <v>6.3815393767213791E-2</v>
      </c>
      <c r="CA19" s="1">
        <v>2.154569013117932E-2</v>
      </c>
      <c r="CB19" s="1">
        <v>0.12783820910089719</v>
      </c>
      <c r="CC19" s="1">
        <v>2.2506232898517449E-2</v>
      </c>
      <c r="CD19" s="1">
        <v>0.20708580064935611</v>
      </c>
      <c r="CE19" s="1">
        <v>8.8474858937667905E-2</v>
      </c>
      <c r="CF19" s="1">
        <v>8.4971508753078559E-2</v>
      </c>
      <c r="CG19" s="1">
        <v>5.7117624866957151E-2</v>
      </c>
      <c r="CH19" s="1">
        <v>0.1528898670499263</v>
      </c>
      <c r="CI19" s="1">
        <v>3.7066946160195187E-2</v>
      </c>
      <c r="CJ19" s="1">
        <v>-1.1811922761994231E-2</v>
      </c>
      <c r="CK19" s="1">
        <v>0.1187972629573345</v>
      </c>
      <c r="CL19" s="1">
        <v>-4.3240279974789908E-2</v>
      </c>
      <c r="CM19" s="1">
        <v>0.1102358787373677</v>
      </c>
      <c r="CN19" s="1">
        <v>0.14319321046953429</v>
      </c>
      <c r="CO19" s="1">
        <v>0.25123563122031478</v>
      </c>
      <c r="CP19" s="1">
        <v>0.15903259898233271</v>
      </c>
      <c r="CQ19" s="1">
        <v>3.2394607516418629E-2</v>
      </c>
      <c r="CR19" s="1">
        <v>0.17630672424619201</v>
      </c>
      <c r="CS19" s="1">
        <v>5.4250449548333517E-2</v>
      </c>
      <c r="CT19" s="1">
        <v>2.6421201288258939E-2</v>
      </c>
      <c r="CU19" s="1">
        <v>0.146607543260939</v>
      </c>
      <c r="CV19" s="1">
        <v>9.4553007971378916E-2</v>
      </c>
      <c r="CW19" s="1">
        <v>6.0515878573037342E-2</v>
      </c>
      <c r="CX19" s="1">
        <v>9.354971825942178E-2</v>
      </c>
      <c r="CY19" s="1">
        <v>7.3151337307962833E-2</v>
      </c>
      <c r="CZ19" s="1">
        <v>0.1004647349755101</v>
      </c>
      <c r="DA19" s="1">
        <v>7.5182477103680007E-2</v>
      </c>
      <c r="DB19" s="1">
        <v>0.14796184676961621</v>
      </c>
      <c r="DC19" s="1">
        <v>-3.5179399902094073E-2</v>
      </c>
      <c r="DD19" s="1">
        <v>6.2011252548289514E-3</v>
      </c>
      <c r="DE19" s="1">
        <v>3.3018414655792E-2</v>
      </c>
      <c r="DF19" s="1">
        <v>0.20550174559429629</v>
      </c>
      <c r="DG19" s="1">
        <v>6.6374264994436313E-2</v>
      </c>
      <c r="DH19" s="1">
        <v>0.22458978071948801</v>
      </c>
      <c r="DI19" s="1">
        <v>0.1084614388347602</v>
      </c>
      <c r="DJ19" s="1">
        <v>0.16525046895907189</v>
      </c>
      <c r="DK19" s="1">
        <v>0.1214423095104508</v>
      </c>
      <c r="DL19" s="1">
        <v>-1.198278590897381E-2</v>
      </c>
      <c r="DM19" s="1">
        <v>-5.7300431238330417E-2</v>
      </c>
      <c r="DN19" s="1">
        <v>-4.1776448032685917E-3</v>
      </c>
      <c r="DO19" s="1">
        <v>0.2492619517097443</v>
      </c>
      <c r="DP19" s="1">
        <v>0.17026813067996199</v>
      </c>
      <c r="DQ19" s="1">
        <v>8.0374171838075048E-2</v>
      </c>
      <c r="DR19" s="1">
        <v>7.5962353325048193E-2</v>
      </c>
      <c r="DS19" s="1">
        <v>-5.6773135189909819E-3</v>
      </c>
      <c r="DT19" s="1">
        <v>5.0332465201051654E-3</v>
      </c>
      <c r="DU19" s="1">
        <v>0.15058192195631251</v>
      </c>
      <c r="DV19" s="1">
        <v>0.119531844414402</v>
      </c>
      <c r="DW19" s="1">
        <v>-0.1012959689486648</v>
      </c>
      <c r="DX19" s="1">
        <v>0.1383651342381777</v>
      </c>
      <c r="DY19" s="1">
        <v>0.1392486786855984</v>
      </c>
      <c r="DZ19" s="1">
        <v>7.8537947622533175E-2</v>
      </c>
      <c r="EA19" s="1">
        <v>3.2919727195015271E-2</v>
      </c>
      <c r="EB19" s="1">
        <v>0.1087535096382525</v>
      </c>
      <c r="EC19" s="1">
        <v>-8.6215224985549642E-3</v>
      </c>
      <c r="ED19" s="1">
        <v>0.15093531699015689</v>
      </c>
      <c r="EE19" s="1">
        <v>-7.3065266771277096E-3</v>
      </c>
      <c r="EF19" s="1">
        <v>-1.697795487476916E-2</v>
      </c>
      <c r="EG19" s="3"/>
    </row>
    <row r="20" spans="1:137" ht="16">
      <c r="A20" s="6">
        <v>192</v>
      </c>
      <c r="B20" s="6">
        <v>5</v>
      </c>
      <c r="C20" s="9">
        <v>0.2015510478639157</v>
      </c>
      <c r="D20" s="9">
        <v>0.38202502004734989</v>
      </c>
      <c r="E20" s="9">
        <v>5.7336350326780597E-2</v>
      </c>
      <c r="F20" s="9">
        <v>-0.2055312643331742</v>
      </c>
      <c r="G20" s="9">
        <v>0.1171831412889391</v>
      </c>
      <c r="H20" s="9">
        <v>0.14393228225567539</v>
      </c>
      <c r="I20" s="9">
        <v>0.15814956260110169</v>
      </c>
      <c r="J20" s="9">
        <v>6.6721149881054528E-2</v>
      </c>
      <c r="K20" s="9">
        <v>0.21472450376108179</v>
      </c>
      <c r="L20" s="2">
        <v>-3.069548300109538E-2</v>
      </c>
      <c r="M20" s="2">
        <v>-7.7718228291273506E-2</v>
      </c>
      <c r="N20" s="2">
        <v>0.5000114780094741</v>
      </c>
      <c r="O20" s="1">
        <v>4.9864886069274132E-2</v>
      </c>
      <c r="P20" s="1">
        <v>9.1169927668525261E-2</v>
      </c>
      <c r="Q20" s="1">
        <v>0.20756771281948869</v>
      </c>
      <c r="R20" s="1">
        <v>-0.1092530556374688</v>
      </c>
      <c r="S20" s="1">
        <v>0.16233622519024529</v>
      </c>
      <c r="T20" s="1">
        <v>8.5465455737815402E-2</v>
      </c>
      <c r="U20" s="1">
        <v>0.1223290351152112</v>
      </c>
      <c r="V20" s="1">
        <v>1.2644103117188939E-2</v>
      </c>
      <c r="W20" s="1">
        <v>9.1084869432544818E-2</v>
      </c>
      <c r="X20" s="1">
        <v>0.21038641292278501</v>
      </c>
      <c r="Y20" s="1">
        <v>-4.2067489538597257E-2</v>
      </c>
      <c r="Z20" s="1">
        <v>0.1056169604836593</v>
      </c>
      <c r="AA20" s="1">
        <v>0.13048336848064571</v>
      </c>
      <c r="AB20" s="1">
        <v>8.4759840726173208E-2</v>
      </c>
      <c r="AC20" s="1">
        <v>4.7248262727967477E-2</v>
      </c>
      <c r="AD20" s="1">
        <v>0.12984341871366439</v>
      </c>
      <c r="AE20" s="1">
        <v>0.16122120715511101</v>
      </c>
      <c r="AF20" s="1">
        <v>0.22349781963637269</v>
      </c>
      <c r="AG20" s="1">
        <v>2.7659218539892259E-2</v>
      </c>
      <c r="AH20" s="1">
        <v>-9.0178200714782636E-2</v>
      </c>
      <c r="AI20" s="1">
        <v>0.11633675505532361</v>
      </c>
      <c r="AJ20" s="1">
        <v>-6.1990034547547639E-2</v>
      </c>
      <c r="AK20" s="1">
        <v>-1.359511549600285E-2</v>
      </c>
      <c r="AL20" s="1">
        <v>-5.6166263617408981E-3</v>
      </c>
      <c r="AM20" s="1">
        <v>3.3095980748802607E-2</v>
      </c>
      <c r="AN20" s="1">
        <v>7.5470193518998266E-2</v>
      </c>
      <c r="AO20" s="1">
        <v>4.9108294639399641E-2</v>
      </c>
      <c r="AP20" s="1">
        <v>0.13173046125538779</v>
      </c>
      <c r="AQ20" s="1">
        <v>7.2900746140221309E-2</v>
      </c>
      <c r="AR20" s="1">
        <v>-1.328927308983413E-2</v>
      </c>
      <c r="AS20" s="1">
        <v>-4.2291716448975919E-2</v>
      </c>
      <c r="AT20" s="1">
        <v>0.23912374744507051</v>
      </c>
      <c r="AU20" s="1">
        <v>0.28169787258320111</v>
      </c>
      <c r="AV20" s="1">
        <v>-3.2246612786763357E-2</v>
      </c>
      <c r="AW20" s="1">
        <v>0.2249978407783445</v>
      </c>
      <c r="AX20" s="1">
        <v>0.20433921996054669</v>
      </c>
      <c r="AY20" s="1">
        <v>3.8674698442909439E-2</v>
      </c>
      <c r="AZ20" s="1">
        <v>9.9804303272323425E-2</v>
      </c>
      <c r="BA20" s="1">
        <v>0.15133772550591279</v>
      </c>
      <c r="BB20" s="1">
        <v>0.3784467853093445</v>
      </c>
      <c r="BC20" s="1">
        <v>0.24014067499041369</v>
      </c>
      <c r="BD20" s="1">
        <v>8.3601733665197644E-3</v>
      </c>
      <c r="BE20" s="1">
        <v>9.8278374734355731E-2</v>
      </c>
      <c r="BF20" s="1">
        <v>0.13797126306897531</v>
      </c>
      <c r="BG20" s="1">
        <v>9.4062055608340231E-2</v>
      </c>
      <c r="BH20" s="1">
        <v>0.1500573005634544</v>
      </c>
      <c r="BI20" s="1">
        <v>0.13174526708517489</v>
      </c>
      <c r="BJ20" s="1">
        <v>5.5155920618856692E-2</v>
      </c>
      <c r="BK20" s="1">
        <v>-0.11765037240502189</v>
      </c>
      <c r="BL20" s="1">
        <v>6.9859441937220601E-2</v>
      </c>
      <c r="BM20" s="1">
        <v>4.7468551464188873E-2</v>
      </c>
      <c r="BN20" s="1">
        <v>1.8638027253166291E-2</v>
      </c>
      <c r="BO20" s="1">
        <v>-3.8461717515979203E-2</v>
      </c>
      <c r="BP20" s="1">
        <v>7.2822475063245764E-3</v>
      </c>
      <c r="BQ20" s="1">
        <v>1.5451706960843021E-2</v>
      </c>
      <c r="BR20" s="1">
        <v>0.18112708147166159</v>
      </c>
      <c r="BS20" s="1">
        <v>-3.2536197724856143E-2</v>
      </c>
      <c r="BT20" s="1">
        <v>-5.2467623281905747E-2</v>
      </c>
      <c r="BU20" s="1">
        <v>0.14944100404532221</v>
      </c>
      <c r="BV20" s="1">
        <v>-8.154344176059905E-2</v>
      </c>
      <c r="BW20" s="1">
        <v>0.35182955004840472</v>
      </c>
      <c r="BX20" s="1">
        <v>-5.2861421730525368E-2</v>
      </c>
      <c r="BY20" s="1">
        <v>-4.6393591496685094E-3</v>
      </c>
      <c r="BZ20" s="1">
        <v>9.02714042602836E-2</v>
      </c>
      <c r="CA20" s="1">
        <v>1.9938221409499298E-3</v>
      </c>
      <c r="CB20" s="1">
        <v>0.1264950457700191</v>
      </c>
      <c r="CC20" s="1">
        <v>1.291514747808061E-2</v>
      </c>
      <c r="CD20" s="1">
        <v>0.1810274974905971</v>
      </c>
      <c r="CE20" s="1">
        <v>8.5778172602440458E-2</v>
      </c>
      <c r="CF20" s="1">
        <v>8.0957937198676569E-2</v>
      </c>
      <c r="CG20" s="1">
        <v>7.597024074310807E-2</v>
      </c>
      <c r="CH20" s="1">
        <v>7.1864025597138351E-2</v>
      </c>
      <c r="CI20" s="1">
        <v>3.0394673769081951E-2</v>
      </c>
      <c r="CJ20" s="1">
        <v>-4.1509984783928693E-2</v>
      </c>
      <c r="CK20" s="1">
        <v>8.0589623940621552E-2</v>
      </c>
      <c r="CL20" s="1">
        <v>-9.2184934189128986E-2</v>
      </c>
      <c r="CM20" s="1">
        <v>9.6775805849237839E-2</v>
      </c>
      <c r="CN20" s="1">
        <v>0.20489183364110261</v>
      </c>
      <c r="CO20" s="1">
        <v>0.29657330510502922</v>
      </c>
      <c r="CP20" s="1">
        <v>0.1920312051090273</v>
      </c>
      <c r="CQ20" s="1">
        <v>2.3118045300283038E-2</v>
      </c>
      <c r="CR20" s="1">
        <v>0.1954861104849421</v>
      </c>
      <c r="CS20" s="1">
        <v>9.7137098734322067E-2</v>
      </c>
      <c r="CT20" s="1">
        <v>2.841440739658805E-2</v>
      </c>
      <c r="CU20" s="1">
        <v>0.14672800907162681</v>
      </c>
      <c r="CV20" s="1">
        <v>0.11921412821268471</v>
      </c>
      <c r="CW20" s="1">
        <v>6.7903708174845409E-2</v>
      </c>
      <c r="CX20" s="1">
        <v>9.0298550867764463E-2</v>
      </c>
      <c r="CY20" s="1">
        <v>0.108732838402072</v>
      </c>
      <c r="CZ20" s="1">
        <v>0.15516164514919831</v>
      </c>
      <c r="DA20" s="1">
        <v>7.7081696653549386E-2</v>
      </c>
      <c r="DB20" s="1">
        <v>7.696806977078402E-2</v>
      </c>
      <c r="DC20" s="1">
        <v>-4.7084133307763107E-2</v>
      </c>
      <c r="DD20" s="1">
        <v>3.597184756950339E-3</v>
      </c>
      <c r="DE20" s="1">
        <v>1.0418721606852799E-2</v>
      </c>
      <c r="DF20" s="1">
        <v>0.24557420527758439</v>
      </c>
      <c r="DG20" s="1">
        <v>5.2344813299819028E-2</v>
      </c>
      <c r="DH20" s="1">
        <v>0.27829885316894232</v>
      </c>
      <c r="DI20" s="1">
        <v>0.1375957593126734</v>
      </c>
      <c r="DJ20" s="1">
        <v>0.1365580924326974</v>
      </c>
      <c r="DK20" s="1">
        <v>8.5187540020503633E-2</v>
      </c>
      <c r="DL20" s="1">
        <v>-1.9465373333619789E-2</v>
      </c>
      <c r="DM20" s="1">
        <v>-6.9336106675116957E-2</v>
      </c>
      <c r="DN20" s="1">
        <v>5.8019206654199171E-2</v>
      </c>
      <c r="DO20" s="1">
        <v>0.25800136345901148</v>
      </c>
      <c r="DP20" s="1">
        <v>0.20015543475438921</v>
      </c>
      <c r="DQ20" s="1">
        <v>5.7460181624700082E-2</v>
      </c>
      <c r="DR20" s="1">
        <v>7.8512660028290493E-2</v>
      </c>
      <c r="DS20" s="1">
        <v>-7.4906957537590798E-3</v>
      </c>
      <c r="DT20" s="1">
        <v>-2.968533879884255E-2</v>
      </c>
      <c r="DU20" s="1">
        <v>0.17637516893039651</v>
      </c>
      <c r="DV20" s="1">
        <v>0.12934547183885869</v>
      </c>
      <c r="DW20" s="1">
        <v>-0.1035461681398053</v>
      </c>
      <c r="DX20" s="1">
        <v>0.15386632960631469</v>
      </c>
      <c r="DY20" s="1">
        <v>0.1215914577754016</v>
      </c>
      <c r="DZ20" s="1">
        <v>9.0199646158974578E-2</v>
      </c>
      <c r="EA20" s="1">
        <v>-5.9255992733342772E-3</v>
      </c>
      <c r="EB20" s="1">
        <v>8.2407142444419712E-2</v>
      </c>
      <c r="EC20" s="1">
        <v>3.4049581413941779E-2</v>
      </c>
      <c r="ED20" s="1">
        <v>0.17691886106701021</v>
      </c>
      <c r="EE20" s="1">
        <v>-1.7409797518545299E-3</v>
      </c>
      <c r="EF20" s="1">
        <v>-2.0281416615907238E-2</v>
      </c>
      <c r="EG20" s="3"/>
    </row>
    <row r="21" spans="1:137" ht="16">
      <c r="A21" s="6">
        <v>241</v>
      </c>
      <c r="B21" s="6">
        <v>4</v>
      </c>
      <c r="C21" s="9">
        <v>0.21462957980695321</v>
      </c>
      <c r="D21" s="9">
        <v>0.12638791676682359</v>
      </c>
      <c r="E21" s="9">
        <v>-1.3690170285790599E-2</v>
      </c>
      <c r="F21" s="9">
        <v>-0.18403858160612999</v>
      </c>
      <c r="G21" s="9">
        <v>0.14384215111256449</v>
      </c>
      <c r="H21" s="9">
        <v>0.1621640877938379</v>
      </c>
      <c r="I21" s="9">
        <v>0.14725560812747299</v>
      </c>
      <c r="J21" s="9">
        <v>6.0435325691642318E-2</v>
      </c>
      <c r="K21" s="9">
        <v>0.2068800260033955</v>
      </c>
      <c r="L21" s="2">
        <v>5.0291533060606367E-3</v>
      </c>
      <c r="M21" s="2">
        <v>-9.9684593408211258E-2</v>
      </c>
      <c r="N21" s="2">
        <v>0.58489126462072527</v>
      </c>
      <c r="O21" s="1">
        <v>3.4351989460690638E-2</v>
      </c>
      <c r="P21" s="1">
        <v>0.14477260088968491</v>
      </c>
      <c r="Q21" s="1">
        <v>0.25731007409425227</v>
      </c>
      <c r="R21" s="1">
        <v>-0.1058357103667746</v>
      </c>
      <c r="S21" s="1">
        <v>0.12859028544995699</v>
      </c>
      <c r="T21" s="1">
        <v>9.846167275679743E-2</v>
      </c>
      <c r="U21" s="1">
        <v>8.6278417611758002E-2</v>
      </c>
      <c r="V21" s="1">
        <v>5.3557619366031213E-2</v>
      </c>
      <c r="W21" s="1">
        <v>0.124498618828508</v>
      </c>
      <c r="X21" s="1">
        <v>0.21363094220511639</v>
      </c>
      <c r="Y21" s="1">
        <v>-2.0833082892434851E-2</v>
      </c>
      <c r="Z21" s="1">
        <v>0.1178720289262155</v>
      </c>
      <c r="AA21" s="1">
        <v>0.1106359070024788</v>
      </c>
      <c r="AB21" s="1">
        <v>0.12814324497488999</v>
      </c>
      <c r="AC21" s="1">
        <v>1.882773670680014E-2</v>
      </c>
      <c r="AD21" s="1">
        <v>0.1288246656475579</v>
      </c>
      <c r="AE21" s="1">
        <v>0.12810497879624591</v>
      </c>
      <c r="AF21" s="1">
        <v>0.29514425808336342</v>
      </c>
      <c r="AG21" s="1">
        <v>4.4302777789794079E-2</v>
      </c>
      <c r="AH21" s="1">
        <v>-0.10758136256479831</v>
      </c>
      <c r="AI21" s="1">
        <v>0.10212367551148389</v>
      </c>
      <c r="AJ21" s="1">
        <v>-7.0405341946468691E-2</v>
      </c>
      <c r="AK21" s="1">
        <v>-3.064343373743127E-2</v>
      </c>
      <c r="AL21" s="1">
        <v>1.9780813559851541E-2</v>
      </c>
      <c r="AM21" s="1">
        <v>6.4856977806355839E-2</v>
      </c>
      <c r="AN21" s="1">
        <v>0.11195605606309431</v>
      </c>
      <c r="AO21" s="1">
        <v>8.5567774913887312E-2</v>
      </c>
      <c r="AP21" s="1">
        <v>6.239055369893616E-2</v>
      </c>
      <c r="AQ21" s="1">
        <v>6.7199966097465244E-2</v>
      </c>
      <c r="AR21" s="1">
        <v>4.798814140331014E-2</v>
      </c>
      <c r="AS21" s="1">
        <v>-4.5406682060008141E-2</v>
      </c>
      <c r="AT21" s="1">
        <v>0.26483825754799722</v>
      </c>
      <c r="AU21" s="1">
        <v>0.34648126396342699</v>
      </c>
      <c r="AV21" s="1">
        <v>-6.871391269647964E-2</v>
      </c>
      <c r="AW21" s="1">
        <v>0.26325491637381482</v>
      </c>
      <c r="AX21" s="1">
        <v>0.21771830251703739</v>
      </c>
      <c r="AY21" s="1">
        <v>4.7021290978038012E-2</v>
      </c>
      <c r="AZ21" s="1">
        <v>0.1085023584146062</v>
      </c>
      <c r="BA21" s="1">
        <v>0.1395926821613267</v>
      </c>
      <c r="BB21" s="1">
        <v>0.40443142813314931</v>
      </c>
      <c r="BC21" s="1">
        <v>0.1644605319288267</v>
      </c>
      <c r="BD21" s="1">
        <v>3.8219147267913818E-2</v>
      </c>
      <c r="BE21" s="1">
        <v>0.13674535590796441</v>
      </c>
      <c r="BF21" s="1">
        <v>0.19911721643060321</v>
      </c>
      <c r="BG21" s="1">
        <v>9.2285571507253639E-2</v>
      </c>
      <c r="BH21" s="1">
        <v>0.1068421096374302</v>
      </c>
      <c r="BI21" s="1">
        <v>0.1659695961783918</v>
      </c>
      <c r="BJ21" s="1">
        <v>2.239406236410954E-2</v>
      </c>
      <c r="BK21" s="1">
        <v>-7.2723114748713999E-2</v>
      </c>
      <c r="BL21" s="1">
        <v>8.7340790467698257E-2</v>
      </c>
      <c r="BM21" s="1">
        <v>4.0795286028720637E-2</v>
      </c>
      <c r="BN21" s="1">
        <v>2.5790766448446922E-2</v>
      </c>
      <c r="BO21" s="1">
        <v>-1.066839155318992E-2</v>
      </c>
      <c r="BP21" s="1">
        <v>-4.1808023315929119E-3</v>
      </c>
      <c r="BQ21" s="1">
        <v>5.4542230834504879E-2</v>
      </c>
      <c r="BR21" s="1">
        <v>0.14206145591009539</v>
      </c>
      <c r="BS21" s="1">
        <v>-6.5741820960347419E-2</v>
      </c>
      <c r="BT21" s="1">
        <v>-6.0820742542524793E-2</v>
      </c>
      <c r="BU21" s="1">
        <v>0.1707385105504178</v>
      </c>
      <c r="BV21" s="1">
        <v>-4.4339980041273437E-2</v>
      </c>
      <c r="BW21" s="1">
        <v>0.18446067072040909</v>
      </c>
      <c r="BX21" s="1">
        <v>-7.7165002520596909E-2</v>
      </c>
      <c r="BY21" s="1">
        <v>-5.5666292242237493E-2</v>
      </c>
      <c r="BZ21" s="1">
        <v>9.8156710439898404E-2</v>
      </c>
      <c r="CA21" s="1">
        <v>2.4556068552787459E-2</v>
      </c>
      <c r="CB21" s="1">
        <v>0.2078698479015878</v>
      </c>
      <c r="CC21" s="1">
        <v>-8.0189542709663136E-3</v>
      </c>
      <c r="CD21" s="1">
        <v>0.28805606436247322</v>
      </c>
      <c r="CE21" s="1">
        <v>6.1514882354154247E-2</v>
      </c>
      <c r="CF21" s="1">
        <v>0.13126567680107229</v>
      </c>
      <c r="CG21" s="1">
        <v>8.508533547413108E-2</v>
      </c>
      <c r="CH21" s="1">
        <v>8.0100321076211733E-2</v>
      </c>
      <c r="CI21" s="1">
        <v>8.0499616390982326E-2</v>
      </c>
      <c r="CJ21" s="1">
        <v>-5.5140848561157058E-2</v>
      </c>
      <c r="CK21" s="1">
        <v>6.7159630296855705E-2</v>
      </c>
      <c r="CL21" s="1">
        <v>-0.2104523758541085</v>
      </c>
      <c r="CM21" s="1">
        <v>0.1162318191805591</v>
      </c>
      <c r="CN21" s="1">
        <v>8.0851508829433677E-2</v>
      </c>
      <c r="CO21" s="1">
        <v>0.3354837581948798</v>
      </c>
      <c r="CP21" s="1">
        <v>0.22270006087791269</v>
      </c>
      <c r="CQ21" s="1">
        <v>2.2912194169496192E-2</v>
      </c>
      <c r="CR21" s="1">
        <v>0.23905996636126789</v>
      </c>
      <c r="CS21" s="1">
        <v>6.1269036219330789E-2</v>
      </c>
      <c r="CT21" s="1">
        <v>4.7993104073004042E-2</v>
      </c>
      <c r="CU21" s="1">
        <v>0.1589166223174501</v>
      </c>
      <c r="CV21" s="1">
        <v>0.1543318447745724</v>
      </c>
      <c r="CW21" s="1">
        <v>3.8345516871682743E-2</v>
      </c>
      <c r="CX21" s="1">
        <v>0.1021221756574071</v>
      </c>
      <c r="CY21" s="1">
        <v>0.102505161081563</v>
      </c>
      <c r="CZ21" s="1">
        <v>0.2374513708258302</v>
      </c>
      <c r="DA21" s="1">
        <v>4.1709064063925938E-2</v>
      </c>
      <c r="DB21" s="1">
        <v>7.1461213773998111E-2</v>
      </c>
      <c r="DC21" s="1">
        <v>-3.8546270664913319E-2</v>
      </c>
      <c r="DD21" s="1">
        <v>2.8187943910707451E-3</v>
      </c>
      <c r="DE21" s="1">
        <v>2.897773706032665E-2</v>
      </c>
      <c r="DF21" s="1">
        <v>0.30115021168204381</v>
      </c>
      <c r="DG21" s="1">
        <v>5.9409518844913557E-2</v>
      </c>
      <c r="DH21" s="1">
        <v>8.1436188280027383E-2</v>
      </c>
      <c r="DI21" s="1">
        <v>0.1798398251674036</v>
      </c>
      <c r="DJ21" s="1">
        <v>0.1566057184636416</v>
      </c>
      <c r="DK21" s="1">
        <v>9.0895590906945836E-2</v>
      </c>
      <c r="DL21" s="1">
        <v>-1.273699150101321E-2</v>
      </c>
      <c r="DM21" s="1">
        <v>-2.4988802442145672E-2</v>
      </c>
      <c r="DN21" s="1">
        <v>6.1960781446788349E-2</v>
      </c>
      <c r="DO21" s="1">
        <v>0.33162680487864599</v>
      </c>
      <c r="DP21" s="1">
        <v>0.22901988968023471</v>
      </c>
      <c r="DQ21" s="1">
        <v>7.0422698808183373E-2</v>
      </c>
      <c r="DR21" s="1">
        <v>5.0170859037080733E-2</v>
      </c>
      <c r="DS21" s="1">
        <v>-1.6720946793213241E-3</v>
      </c>
      <c r="DT21" s="1">
        <v>-5.2151903466792276E-3</v>
      </c>
      <c r="DU21" s="1">
        <v>0.1486147166384135</v>
      </c>
      <c r="DV21" s="1">
        <v>0.140275976869878</v>
      </c>
      <c r="DW21" s="1">
        <v>-0.1035344925963028</v>
      </c>
      <c r="DX21" s="1">
        <v>0.18596621403118341</v>
      </c>
      <c r="DY21" s="1">
        <v>0.16673097108859181</v>
      </c>
      <c r="DZ21" s="1">
        <v>9.893057365990536E-2</v>
      </c>
      <c r="EA21" s="1">
        <v>-3.5066457185236648E-2</v>
      </c>
      <c r="EB21" s="1">
        <v>2.6302193998533951E-2</v>
      </c>
      <c r="EC21" s="1">
        <v>3.0649685027988702E-3</v>
      </c>
      <c r="ED21" s="1">
        <v>5.4498856348180663E-2</v>
      </c>
      <c r="EE21" s="1">
        <v>2.1310592307867391E-2</v>
      </c>
      <c r="EF21" s="1">
        <v>7.9916028560319194E-3</v>
      </c>
      <c r="EG21" s="3"/>
    </row>
    <row r="22" spans="1:137" ht="16">
      <c r="A22" s="6">
        <v>321</v>
      </c>
      <c r="B22" s="6">
        <v>3</v>
      </c>
      <c r="C22" s="9">
        <v>0.20528030103697539</v>
      </c>
      <c r="D22" s="9">
        <v>0.1424278520773985</v>
      </c>
      <c r="E22" s="9">
        <v>-1.7355098916458981E-2</v>
      </c>
      <c r="F22" s="9">
        <v>-6.7831060921277567E-2</v>
      </c>
      <c r="G22" s="9">
        <v>0.1038843632903341</v>
      </c>
      <c r="H22" s="9">
        <v>0.1241780629606463</v>
      </c>
      <c r="I22" s="9">
        <v>0.12349316933806979</v>
      </c>
      <c r="J22" s="9">
        <v>5.2598589265342909E-2</v>
      </c>
      <c r="K22" s="9">
        <v>0.2453659126827557</v>
      </c>
      <c r="L22" s="2">
        <v>-1.427320868498227E-2</v>
      </c>
      <c r="M22" s="2">
        <v>-7.4100058770572547E-2</v>
      </c>
      <c r="N22" s="2">
        <v>0.75614344311733894</v>
      </c>
      <c r="O22" s="1">
        <v>-6.7158783113674958E-3</v>
      </c>
      <c r="P22" s="1">
        <v>7.2782884128816977E-2</v>
      </c>
      <c r="Q22" s="1">
        <v>0.27677689383305182</v>
      </c>
      <c r="R22" s="1">
        <v>-3.6628434271588052E-2</v>
      </c>
      <c r="S22" s="1">
        <v>0.16964655555794059</v>
      </c>
      <c r="T22" s="1">
        <v>0.1288124219831229</v>
      </c>
      <c r="U22" s="1">
        <v>0.11059002340250421</v>
      </c>
      <c r="V22" s="1">
        <v>3.8286776519855507E-2</v>
      </c>
      <c r="W22" s="1">
        <v>0.1580477531639507</v>
      </c>
      <c r="X22" s="1">
        <v>0.22178675903387041</v>
      </c>
      <c r="Y22" s="1">
        <v>-1.5732208413521059E-2</v>
      </c>
      <c r="Z22" s="1">
        <v>7.5548269145846045E-2</v>
      </c>
      <c r="AA22" s="1">
        <v>8.2524425578113014E-2</v>
      </c>
      <c r="AB22" s="1">
        <v>0.13443621271332551</v>
      </c>
      <c r="AC22" s="1">
        <v>8.5776460715432462E-2</v>
      </c>
      <c r="AD22" s="1">
        <v>1.357278877236134E-2</v>
      </c>
      <c r="AE22" s="1">
        <v>0.13082384281633419</v>
      </c>
      <c r="AF22" s="1">
        <v>0.42991676804861201</v>
      </c>
      <c r="AG22" s="1">
        <v>5.2841540175733892E-2</v>
      </c>
      <c r="AH22" s="1">
        <v>-0.10586595942047269</v>
      </c>
      <c r="AI22" s="1">
        <v>0.11100371122694901</v>
      </c>
      <c r="AJ22" s="1">
        <v>-3.1699849326408271E-2</v>
      </c>
      <c r="AK22" s="1">
        <v>0.1012885607403957</v>
      </c>
      <c r="AL22" s="1">
        <v>-9.4397384737102564E-3</v>
      </c>
      <c r="AM22" s="1">
        <v>8.4088903467703563E-2</v>
      </c>
      <c r="AN22" s="1">
        <v>0.1111328096635593</v>
      </c>
      <c r="AO22" s="1">
        <v>0.1581528752937269</v>
      </c>
      <c r="AP22" s="1">
        <v>6.2536353887992696E-2</v>
      </c>
      <c r="AQ22" s="1">
        <v>0.11013171229127849</v>
      </c>
      <c r="AR22" s="1">
        <v>6.7924487703603389E-2</v>
      </c>
      <c r="AS22" s="1">
        <v>7.3843702685833568E-2</v>
      </c>
      <c r="AT22" s="1">
        <v>1.7728370994436651E-2</v>
      </c>
      <c r="AU22" s="1">
        <v>0.42935378467834612</v>
      </c>
      <c r="AV22" s="1">
        <v>-8.9753981871632596E-2</v>
      </c>
      <c r="AW22" s="1">
        <v>0.37079927869117352</v>
      </c>
      <c r="AX22" s="1">
        <v>-9.875186005693877E-3</v>
      </c>
      <c r="AY22" s="1">
        <v>7.1733385334230598E-2</v>
      </c>
      <c r="AZ22" s="1">
        <v>0.1551884040435336</v>
      </c>
      <c r="BA22" s="1">
        <v>4.9774957584186978E-2</v>
      </c>
      <c r="BB22" s="1">
        <v>0.51826404945003746</v>
      </c>
      <c r="BC22" s="1">
        <v>0.19562603535051759</v>
      </c>
      <c r="BD22" s="1">
        <v>7.9259544919436403E-2</v>
      </c>
      <c r="BE22" s="1">
        <v>0.12806788396565999</v>
      </c>
      <c r="BF22" s="1">
        <v>0.1991024485484385</v>
      </c>
      <c r="BG22" s="1">
        <v>-4.1231469152780448E-2</v>
      </c>
      <c r="BH22" s="1">
        <v>0.12770700939641619</v>
      </c>
      <c r="BI22" s="1">
        <v>0.111088719409907</v>
      </c>
      <c r="BJ22" s="1">
        <v>4.0890331679524251E-2</v>
      </c>
      <c r="BK22" s="1">
        <v>-4.831524105166432E-2</v>
      </c>
      <c r="BL22" s="1">
        <v>0.13947139040086359</v>
      </c>
      <c r="BM22" s="1">
        <v>2.4304832455331882E-3</v>
      </c>
      <c r="BN22" s="1">
        <v>8.2937899200322518E-2</v>
      </c>
      <c r="BO22" s="1">
        <v>-9.7012895523605869E-2</v>
      </c>
      <c r="BP22" s="1">
        <v>-5.4100012453170681E-4</v>
      </c>
      <c r="BQ22" s="1">
        <v>2.7830097398312589E-2</v>
      </c>
      <c r="BR22" s="1">
        <v>0.10656678196769021</v>
      </c>
      <c r="BS22" s="1">
        <v>-9.7047589704545023E-2</v>
      </c>
      <c r="BT22" s="1">
        <v>8.8726194332783462E-2</v>
      </c>
      <c r="BU22" s="1">
        <v>0.1043505830823649</v>
      </c>
      <c r="BV22" s="1">
        <v>-4.8603534589078061E-2</v>
      </c>
      <c r="BW22" s="1">
        <v>0.1321717915357814</v>
      </c>
      <c r="BX22" s="1">
        <v>-0.1130288989043652</v>
      </c>
      <c r="BY22" s="1">
        <v>-5.5597049970371022E-2</v>
      </c>
      <c r="BZ22" s="1">
        <v>4.725773586289217E-2</v>
      </c>
      <c r="CA22" s="1">
        <v>2.749007848032349E-2</v>
      </c>
      <c r="CB22" s="1">
        <v>0.25473925571486122</v>
      </c>
      <c r="CC22" s="1">
        <v>-0.12510399532003291</v>
      </c>
      <c r="CD22" s="1">
        <v>0.33387803671272293</v>
      </c>
      <c r="CE22" s="1">
        <v>6.6840145636817616E-2</v>
      </c>
      <c r="CF22" s="1">
        <v>0.18879978576027739</v>
      </c>
      <c r="CG22" s="1">
        <v>0.207085332633513</v>
      </c>
      <c r="CH22" s="1">
        <v>0.1159187712794482</v>
      </c>
      <c r="CI22" s="1">
        <v>0.1177797462783592</v>
      </c>
      <c r="CJ22" s="1">
        <v>-0.12632535927858729</v>
      </c>
      <c r="CK22" s="1">
        <v>0.1109235402867822</v>
      </c>
      <c r="CL22" s="1">
        <v>-0.2406517986250408</v>
      </c>
      <c r="CM22" s="1">
        <v>0.21983248519746329</v>
      </c>
      <c r="CN22" s="1">
        <v>0.15280391681020719</v>
      </c>
      <c r="CO22" s="1">
        <v>0.27205949814687491</v>
      </c>
      <c r="CP22" s="1">
        <v>0.25940855696940252</v>
      </c>
      <c r="CQ22" s="1">
        <v>1.7159615519123799E-2</v>
      </c>
      <c r="CR22" s="1">
        <v>0.24677276999188669</v>
      </c>
      <c r="CS22" s="1">
        <v>8.4781935884364376E-2</v>
      </c>
      <c r="CT22" s="1">
        <v>3.8262614575275293E-2</v>
      </c>
      <c r="CU22" s="1">
        <v>0.16735391118636819</v>
      </c>
      <c r="CV22" s="1">
        <v>0.16622267868955429</v>
      </c>
      <c r="CW22" s="1">
        <v>2.2884042331984721E-2</v>
      </c>
      <c r="CX22" s="1">
        <v>3.749593267848913E-3</v>
      </c>
      <c r="CY22" s="1">
        <v>0.1045108260680616</v>
      </c>
      <c r="CZ22" s="1">
        <v>0.26292048459923911</v>
      </c>
      <c r="DA22" s="1">
        <v>3.2453994810138623E-2</v>
      </c>
      <c r="DB22" s="1">
        <v>5.4041621710522049E-2</v>
      </c>
      <c r="DC22" s="1">
        <v>-3.9494329949896927E-2</v>
      </c>
      <c r="DD22" s="1">
        <v>3.1710169125825367E-2</v>
      </c>
      <c r="DE22" s="1">
        <v>-1.7756503501932811E-2</v>
      </c>
      <c r="DF22" s="1">
        <v>0.38966763369412349</v>
      </c>
      <c r="DG22" s="1">
        <v>7.1889499417003094E-2</v>
      </c>
      <c r="DH22" s="1">
        <v>8.1454381615908525E-2</v>
      </c>
      <c r="DI22" s="1">
        <v>6.0122111270589459E-2</v>
      </c>
      <c r="DJ22" s="1">
        <v>0.15369976283032971</v>
      </c>
      <c r="DK22" s="1">
        <v>9.1428405059511261E-2</v>
      </c>
      <c r="DL22" s="1">
        <v>-3.213330743138731E-3</v>
      </c>
      <c r="DM22" s="1">
        <v>-3.1884709289730702E-2</v>
      </c>
      <c r="DN22" s="1">
        <v>4.6763328204007498E-2</v>
      </c>
      <c r="DO22" s="1">
        <v>7.5715816054906154E-2</v>
      </c>
      <c r="DP22" s="1">
        <v>0.16956243214073041</v>
      </c>
      <c r="DQ22" s="1">
        <v>0.16540416654463991</v>
      </c>
      <c r="DR22" s="1">
        <v>-6.0925526153180337E-3</v>
      </c>
      <c r="DS22" s="1">
        <v>-3.6346262249535841E-2</v>
      </c>
      <c r="DT22" s="1">
        <v>2.712875397817005E-2</v>
      </c>
      <c r="DU22" s="1">
        <v>0.16154691088272999</v>
      </c>
      <c r="DV22" s="1">
        <v>0.12570511767817799</v>
      </c>
      <c r="DW22" s="1">
        <v>-8.1415413379923474E-2</v>
      </c>
      <c r="DX22" s="1">
        <v>0.22244260844829469</v>
      </c>
      <c r="DY22" s="1">
        <v>0.11995602471866181</v>
      </c>
      <c r="DZ22" s="1">
        <v>0.11083450478771149</v>
      </c>
      <c r="EA22" s="1">
        <v>-3.4191242409873077E-2</v>
      </c>
      <c r="EB22" s="1">
        <v>0.12976595030606911</v>
      </c>
      <c r="EC22" s="1">
        <v>2.1495101575638179E-2</v>
      </c>
      <c r="ED22" s="1">
        <v>7.7413567057607463E-2</v>
      </c>
      <c r="EE22" s="1">
        <v>4.7636659384698889E-2</v>
      </c>
      <c r="EF22" s="1">
        <v>3.4790246372172352E-2</v>
      </c>
      <c r="EG22" s="3"/>
    </row>
    <row r="23" spans="1:137" ht="16">
      <c r="A23" s="6">
        <v>482</v>
      </c>
      <c r="B23" s="6">
        <v>2</v>
      </c>
      <c r="C23" s="9">
        <v>0.28298926569632887</v>
      </c>
      <c r="D23" s="9">
        <v>0.25409262745146127</v>
      </c>
      <c r="E23" s="9">
        <v>0.13300519405617101</v>
      </c>
      <c r="F23" s="9">
        <v>-0.1823960753208787</v>
      </c>
      <c r="G23" s="9">
        <v>-2.6971568524368019E-2</v>
      </c>
      <c r="H23" s="9">
        <v>-1.8188470841484668E-2</v>
      </c>
      <c r="I23" s="9">
        <v>0.148152028600294</v>
      </c>
      <c r="J23" s="9">
        <v>-9.8162291146452377E-2</v>
      </c>
      <c r="K23" s="9">
        <v>0.14260757512465491</v>
      </c>
      <c r="L23" s="2">
        <v>-5.0770833705182927E-2</v>
      </c>
      <c r="M23" s="2">
        <v>-0.2584499163586424</v>
      </c>
      <c r="N23" s="2">
        <v>0.97590144327128003</v>
      </c>
      <c r="O23" s="1">
        <v>-1.9407711266769139E-2</v>
      </c>
      <c r="P23" s="1">
        <v>9.040171118212538E-2</v>
      </c>
      <c r="Q23" s="1">
        <v>-5.95680169005205E-2</v>
      </c>
      <c r="R23" s="1">
        <v>-2.4313794611937441E-2</v>
      </c>
      <c r="S23" s="1">
        <v>0.1137245328272621</v>
      </c>
      <c r="T23" s="1">
        <v>0.15460269332742849</v>
      </c>
      <c r="U23" s="1">
        <v>9.3757422440794366E-2</v>
      </c>
      <c r="V23" s="1">
        <v>-2.302945710979112E-2</v>
      </c>
      <c r="W23" s="1">
        <v>0.25954732367705918</v>
      </c>
      <c r="X23" s="1">
        <v>0.1817811857978229</v>
      </c>
      <c r="Y23" s="1">
        <v>-1.4659801530490259E-2</v>
      </c>
      <c r="Z23" s="1">
        <v>3.3032515443875303E-2</v>
      </c>
      <c r="AA23" s="1">
        <v>-5.6748445960110291E-2</v>
      </c>
      <c r="AB23" s="1">
        <v>6.4039779876783498E-2</v>
      </c>
      <c r="AC23" s="1">
        <v>0.1687547996369127</v>
      </c>
      <c r="AD23" s="1">
        <v>7.1628868085674022E-2</v>
      </c>
      <c r="AE23" s="1">
        <v>0.13721198875766</v>
      </c>
      <c r="AF23" s="1">
        <v>0.32465932564021122</v>
      </c>
      <c r="AG23" s="1">
        <v>9.1873657646360199E-2</v>
      </c>
      <c r="AH23" s="1">
        <v>-8.417158452318324E-2</v>
      </c>
      <c r="AI23" s="1">
        <v>0.2091515986202637</v>
      </c>
      <c r="AJ23" s="1">
        <v>4.8195600190128897E-2</v>
      </c>
      <c r="AK23" s="1">
        <v>0.11411109934719101</v>
      </c>
      <c r="AL23" s="1">
        <v>-1.4066593107004361E-2</v>
      </c>
      <c r="AM23" s="1">
        <v>7.769489004865255E-3</v>
      </c>
      <c r="AN23" s="1">
        <v>0.24231469935730071</v>
      </c>
      <c r="AO23" s="1">
        <v>9.078247952961746E-2</v>
      </c>
      <c r="AP23" s="1">
        <v>-3.1210993523056942E-3</v>
      </c>
      <c r="AQ23" s="1">
        <v>9.9380639012752223E-2</v>
      </c>
      <c r="AR23" s="1">
        <v>0.1461361643393671</v>
      </c>
      <c r="AS23" s="1">
        <v>8.1663620780570226E-2</v>
      </c>
      <c r="AT23" s="1">
        <v>0.1095059029649002</v>
      </c>
      <c r="AU23" s="1">
        <v>0.60833204424947662</v>
      </c>
      <c r="AV23" s="1">
        <v>-4.9150066629292007E-2</v>
      </c>
      <c r="AW23" s="1">
        <v>0.58225997417421493</v>
      </c>
      <c r="AX23" s="1">
        <v>-1.4812779008540821E-2</v>
      </c>
      <c r="AY23" s="1">
        <v>0.17023398084058211</v>
      </c>
      <c r="AZ23" s="1">
        <v>7.8071576521207053E-2</v>
      </c>
      <c r="BA23" s="1">
        <v>5.3998338629857423E-2</v>
      </c>
      <c r="BB23" s="1">
        <v>0.68602332967973401</v>
      </c>
      <c r="BC23" s="1">
        <v>0.25286918189993951</v>
      </c>
      <c r="BD23" s="1">
        <v>0.12597278447449581</v>
      </c>
      <c r="BE23" s="1">
        <v>0.1242921430258994</v>
      </c>
      <c r="BF23" s="1">
        <v>0.21000911286045121</v>
      </c>
      <c r="BG23" s="1">
        <v>3.8322827419145812E-2</v>
      </c>
      <c r="BH23" s="1">
        <v>6.3365195703238231E-2</v>
      </c>
      <c r="BI23" s="1">
        <v>0.1911120793231991</v>
      </c>
      <c r="BJ23" s="1">
        <v>5.7493860805491029E-2</v>
      </c>
      <c r="BK23" s="1">
        <v>-4.7849323301188178E-2</v>
      </c>
      <c r="BL23" s="1">
        <v>0.11436629014166901</v>
      </c>
      <c r="BM23" s="1">
        <v>-6.9495462024450616E-2</v>
      </c>
      <c r="BN23" s="1">
        <v>3.8453237240273198E-2</v>
      </c>
      <c r="BO23" s="1">
        <v>-0.16631016589269049</v>
      </c>
      <c r="BP23" s="1">
        <v>-2.2475721392681891E-2</v>
      </c>
      <c r="BQ23" s="1">
        <v>4.9611841287991017E-2</v>
      </c>
      <c r="BR23" s="1">
        <v>0.1028225901803507</v>
      </c>
      <c r="BS23" s="1">
        <v>-0.2205670944023907</v>
      </c>
      <c r="BT23" s="1">
        <v>0.2181866761329041</v>
      </c>
      <c r="BU23" s="1">
        <v>0.1056852737934032</v>
      </c>
      <c r="BV23" s="1">
        <v>-5.326905055788838E-2</v>
      </c>
      <c r="BW23" s="1">
        <v>1.536251504309036E-2</v>
      </c>
      <c r="BX23" s="1">
        <v>-6.8735089330797944E-2</v>
      </c>
      <c r="BY23" s="1">
        <v>0.1182492339269558</v>
      </c>
      <c r="BZ23" s="1">
        <v>7.6697624318448621E-3</v>
      </c>
      <c r="CA23" s="1">
        <v>7.5653199746629096E-2</v>
      </c>
      <c r="CB23" s="1">
        <v>0.31616676175875003</v>
      </c>
      <c r="CC23" s="1">
        <v>-8.4544614715775346E-2</v>
      </c>
      <c r="CD23" s="1">
        <v>0.19167645501478511</v>
      </c>
      <c r="CE23" s="1">
        <v>5.9602301837717461E-2</v>
      </c>
      <c r="CF23" s="1">
        <v>0.15713490979116501</v>
      </c>
      <c r="CG23" s="1">
        <v>0.21663724162720299</v>
      </c>
      <c r="CH23" s="1">
        <v>0.18019644892142839</v>
      </c>
      <c r="CI23" s="1">
        <v>0.30989941712809688</v>
      </c>
      <c r="CJ23" s="1">
        <v>-0.15651589641790081</v>
      </c>
      <c r="CK23" s="1">
        <v>7.1856390536544607E-2</v>
      </c>
      <c r="CL23" s="1">
        <v>-0.40866101266741839</v>
      </c>
      <c r="CM23" s="1">
        <v>0.23470497261609899</v>
      </c>
      <c r="CN23" s="1">
        <v>0.27710426195606819</v>
      </c>
      <c r="CO23" s="1">
        <v>0.26615853772710141</v>
      </c>
      <c r="CP23" s="1">
        <v>0.31136074316275669</v>
      </c>
      <c r="CQ23" s="1">
        <v>-2.4702270079380868E-2</v>
      </c>
      <c r="CR23" s="1">
        <v>0.15099817047394759</v>
      </c>
      <c r="CS23" s="1">
        <v>6.5159884293212025E-2</v>
      </c>
      <c r="CT23" s="1">
        <v>6.539021537994999E-2</v>
      </c>
      <c r="CU23" s="1">
        <v>0.20210388498715681</v>
      </c>
      <c r="CV23" s="1">
        <v>0.15333096827157461</v>
      </c>
      <c r="CW23" s="1">
        <v>-2.418628778900123E-2</v>
      </c>
      <c r="CX23" s="1">
        <v>-8.8716994096526336E-2</v>
      </c>
      <c r="CY23" s="1">
        <v>0.15375033367153881</v>
      </c>
      <c r="CZ23" s="1">
        <v>0.18199879385735121</v>
      </c>
      <c r="DA23" s="1">
        <v>6.4644882448389021E-2</v>
      </c>
      <c r="DB23" s="1">
        <v>1.8747066443219641E-2</v>
      </c>
      <c r="DC23" s="1">
        <v>0.1191904860704142</v>
      </c>
      <c r="DD23" s="1">
        <v>9.2798674677153081E-2</v>
      </c>
      <c r="DE23" s="1">
        <v>-6.0085947510171572E-2</v>
      </c>
      <c r="DF23" s="1">
        <v>0.40879492056092032</v>
      </c>
      <c r="DG23" s="1">
        <v>6.7620427406409236E-2</v>
      </c>
      <c r="DH23" s="1">
        <v>0.1392268935121084</v>
      </c>
      <c r="DI23" s="1">
        <v>9.6040550870895677E-2</v>
      </c>
      <c r="DJ23" s="1">
        <v>0.1200325818239187</v>
      </c>
      <c r="DK23" s="1">
        <v>9.1244988740826746E-2</v>
      </c>
      <c r="DL23" s="1">
        <v>2.6242652104624471E-2</v>
      </c>
      <c r="DM23" s="1">
        <v>-4.6477315989241888E-2</v>
      </c>
      <c r="DN23" s="1">
        <v>6.4971960439702253E-3</v>
      </c>
      <c r="DO23" s="1">
        <v>0.124068441987729</v>
      </c>
      <c r="DP23" s="1">
        <v>0.17683961848490651</v>
      </c>
      <c r="DQ23" s="1">
        <v>0.24594610755878629</v>
      </c>
      <c r="DR23" s="1">
        <v>-8.9886002731306744E-2</v>
      </c>
      <c r="DS23" s="1">
        <v>-0.1165759916669394</v>
      </c>
      <c r="DT23" s="1">
        <v>-2.2296457069757209E-2</v>
      </c>
      <c r="DU23" s="1">
        <v>5.5639478708282321E-2</v>
      </c>
      <c r="DV23" s="1">
        <v>0.27627160832943959</v>
      </c>
      <c r="DW23" s="1">
        <v>2.3051820755061941E-2</v>
      </c>
      <c r="DX23" s="1">
        <v>0.31349320637896622</v>
      </c>
      <c r="DY23" s="1">
        <v>-5.3926224537590731E-2</v>
      </c>
      <c r="DZ23" s="1">
        <v>-0.21717398775244159</v>
      </c>
      <c r="EA23" s="1">
        <v>-9.3362079468968795E-2</v>
      </c>
      <c r="EB23" s="1">
        <v>0.24428465812392219</v>
      </c>
      <c r="EC23" s="1">
        <v>-3.6584316325813361E-2</v>
      </c>
      <c r="ED23" s="1">
        <v>9.1425904619781034E-2</v>
      </c>
      <c r="EE23" s="1">
        <v>6.9212075984992683E-2</v>
      </c>
      <c r="EF23" s="1">
        <v>4.7782278591659677E-2</v>
      </c>
      <c r="EG23" s="3"/>
    </row>
    <row r="24" spans="1:137" ht="16">
      <c r="A24" s="6">
        <v>964</v>
      </c>
      <c r="B24" s="6">
        <v>1</v>
      </c>
      <c r="C24" s="9">
        <v>9.9113364206882743E-2</v>
      </c>
      <c r="D24" s="9">
        <v>0.1006099128992286</v>
      </c>
      <c r="E24" s="9">
        <v>0.28451249769050191</v>
      </c>
      <c r="F24" s="9">
        <v>-0.20154571887164621</v>
      </c>
      <c r="G24" s="9">
        <v>-2.2622388562617651E-2</v>
      </c>
      <c r="H24" s="9">
        <v>3.5855796654956661E-2</v>
      </c>
      <c r="I24" s="9">
        <v>-2.111933203143501E-3</v>
      </c>
      <c r="J24" s="9">
        <v>-9.9972192910136135E-2</v>
      </c>
      <c r="K24" s="9">
        <v>5.0444335993488708E-2</v>
      </c>
      <c r="L24" s="2">
        <v>-9.3799693256750388E-2</v>
      </c>
      <c r="M24" s="2">
        <v>-0.14681933889950849</v>
      </c>
      <c r="N24" s="2">
        <v>1.769031369112569</v>
      </c>
      <c r="O24" s="1">
        <v>3.6648790739543732E-2</v>
      </c>
      <c r="P24" s="1">
        <v>0.1042484144089995</v>
      </c>
      <c r="Q24" s="1">
        <v>-6.096496164670627E-2</v>
      </c>
      <c r="R24" s="1">
        <v>-0.24569737077925971</v>
      </c>
      <c r="S24" s="1">
        <v>0.35251446106016437</v>
      </c>
      <c r="T24" s="1">
        <v>-0.27048671467401741</v>
      </c>
      <c r="U24" s="1">
        <v>0.14851867422391801</v>
      </c>
      <c r="V24" s="1">
        <v>-6.7139302837628506E-2</v>
      </c>
      <c r="W24" s="1">
        <v>-0.16456451758688009</v>
      </c>
      <c r="X24" s="1">
        <v>-3.6157896361251968E-2</v>
      </c>
      <c r="Y24" s="1">
        <v>-9.4770149264170878E-3</v>
      </c>
      <c r="Z24" s="1">
        <v>0.10584232727880701</v>
      </c>
      <c r="AA24" s="1">
        <v>0.21854457969115479</v>
      </c>
      <c r="AB24" s="1">
        <v>0.1953396226752438</v>
      </c>
      <c r="AC24" s="1">
        <v>0.4017473338469546</v>
      </c>
      <c r="AD24" s="1">
        <v>0.1011752992567229</v>
      </c>
      <c r="AE24" s="1">
        <v>0.19314178971175811</v>
      </c>
      <c r="AF24" s="1">
        <v>0.49538941280416188</v>
      </c>
      <c r="AG24" s="1">
        <v>0.13873571762663761</v>
      </c>
      <c r="AH24" s="1">
        <v>-5.6697360067789589E-2</v>
      </c>
      <c r="AI24" s="1">
        <v>0.31041423522934231</v>
      </c>
      <c r="AJ24" s="1">
        <v>-8.089124399937539E-2</v>
      </c>
      <c r="AK24" s="1">
        <v>8.4883953068192297E-2</v>
      </c>
      <c r="AL24" s="1">
        <v>8.7173701476634946E-2</v>
      </c>
      <c r="AM24" s="1">
        <v>-1.89192814205267E-2</v>
      </c>
      <c r="AN24" s="1">
        <v>0.22118946514543131</v>
      </c>
      <c r="AO24" s="1">
        <v>0.1029057025777895</v>
      </c>
      <c r="AP24" s="1">
        <v>2.28517154890964E-2</v>
      </c>
      <c r="AQ24" s="1">
        <v>0.21712720312806419</v>
      </c>
      <c r="AR24" s="1">
        <v>0.1708334061708256</v>
      </c>
      <c r="AS24" s="1">
        <v>3.2867737066227462E-3</v>
      </c>
      <c r="AT24" s="1">
        <v>0.15076897992568081</v>
      </c>
      <c r="AU24" s="1">
        <v>0.47705418724240228</v>
      </c>
      <c r="AV24" s="1">
        <v>0.24768466023032751</v>
      </c>
      <c r="AW24" s="1">
        <v>-0.14871095653144009</v>
      </c>
      <c r="AX24" s="1">
        <v>0.1114913369162155</v>
      </c>
      <c r="AY24" s="1">
        <v>0.16812729388488939</v>
      </c>
      <c r="AZ24" s="1">
        <v>0.11862372507117649</v>
      </c>
      <c r="BA24" s="1">
        <v>5.0491305412012258E-2</v>
      </c>
      <c r="BB24" s="1">
        <v>0.87270314910649027</v>
      </c>
      <c r="BC24" s="1">
        <v>-4.366869614383373E-3</v>
      </c>
      <c r="BD24" s="1">
        <v>1.8631034086863729E-2</v>
      </c>
      <c r="BE24" s="1">
        <v>-5.7380537985080138E-2</v>
      </c>
      <c r="BF24" s="1">
        <v>-6.4370420949463519E-2</v>
      </c>
      <c r="BG24" s="1">
        <v>-9.0984227707435611E-2</v>
      </c>
      <c r="BH24" s="1">
        <v>0.14767356525171971</v>
      </c>
      <c r="BI24" s="1">
        <v>0.2236291060700471</v>
      </c>
      <c r="BJ24" s="1">
        <v>0.19964003317045101</v>
      </c>
      <c r="BK24" s="1">
        <v>-3.4827647172774007E-2</v>
      </c>
      <c r="BL24" s="1">
        <v>0.1061069201511666</v>
      </c>
      <c r="BM24" s="1">
        <v>8.4782939838988242E-2</v>
      </c>
      <c r="BN24" s="1">
        <v>0.10891326031654749</v>
      </c>
      <c r="BO24" s="1">
        <v>-0.16110969109564191</v>
      </c>
      <c r="BP24" s="1">
        <v>3.1794104329889807E-2</v>
      </c>
      <c r="BQ24" s="1">
        <v>-6.4169633330115036E-2</v>
      </c>
      <c r="BR24" s="1">
        <v>9.8920889185241626E-2</v>
      </c>
      <c r="BS24" s="1">
        <v>-0.1216210365296066</v>
      </c>
      <c r="BT24" s="1">
        <v>0.27671901614020838</v>
      </c>
      <c r="BU24" s="1">
        <v>8.7484923148454363E-3</v>
      </c>
      <c r="BV24" s="1">
        <v>-4.625870574066291E-2</v>
      </c>
      <c r="BW24" s="1">
        <v>0.15102744542241939</v>
      </c>
      <c r="BX24" s="1">
        <v>-0.1039550340490914</v>
      </c>
      <c r="BY24" s="1">
        <v>0.11840823105030179</v>
      </c>
      <c r="BZ24" s="1">
        <v>0.25889289884999689</v>
      </c>
      <c r="CA24" s="1">
        <v>0.1152216807734147</v>
      </c>
      <c r="CB24" s="1">
        <v>0.639698133634515</v>
      </c>
      <c r="CC24" s="1">
        <v>-0.18246987988756161</v>
      </c>
      <c r="CD24" s="1">
        <v>3.2392267354276312E-2</v>
      </c>
      <c r="CE24" s="1">
        <v>0.16556487399111461</v>
      </c>
      <c r="CF24" s="1">
        <v>0.2217213622453883</v>
      </c>
      <c r="CG24" s="1">
        <v>0.51996896607392207</v>
      </c>
      <c r="CH24" s="1">
        <v>0.35427729684250298</v>
      </c>
      <c r="CI24" s="1">
        <v>-0.3284518207092646</v>
      </c>
      <c r="CJ24" s="1">
        <v>-0.3001868935902553</v>
      </c>
      <c r="CK24" s="1">
        <v>0.32305926532838408</v>
      </c>
      <c r="CL24" s="1">
        <v>0.1417553333725407</v>
      </c>
      <c r="CM24" s="1">
        <v>0.63643326435951064</v>
      </c>
      <c r="CN24" s="1">
        <v>0.60967719726707426</v>
      </c>
      <c r="CO24" s="1">
        <v>0.45247744179045318</v>
      </c>
      <c r="CP24" s="1">
        <v>0.28781577122863622</v>
      </c>
      <c r="CQ24" s="1">
        <v>-0.1601896466275006</v>
      </c>
      <c r="CR24" s="1">
        <v>0.1377874560487031</v>
      </c>
      <c r="CS24" s="1">
        <v>0.1079742359390275</v>
      </c>
      <c r="CT24" s="1">
        <v>-0.1195443883358397</v>
      </c>
      <c r="CU24" s="1">
        <v>5.2729044813654813E-2</v>
      </c>
      <c r="CV24" s="1">
        <v>0.182864094907223</v>
      </c>
      <c r="CW24" s="1">
        <v>-0.234993215272846</v>
      </c>
      <c r="CX24" s="1">
        <v>5.5207193708687041E-2</v>
      </c>
      <c r="CY24" s="1">
        <v>0.32114775220674069</v>
      </c>
      <c r="CZ24" s="1">
        <v>0.11220662844456721</v>
      </c>
      <c r="DA24" s="1">
        <v>3.3979585092453302E-2</v>
      </c>
      <c r="DB24" s="1">
        <v>-1.6501865848996312E-2</v>
      </c>
      <c r="DC24" s="1">
        <v>0.19445359829121789</v>
      </c>
      <c r="DD24" s="1">
        <v>-0.19584472218244131</v>
      </c>
      <c r="DE24" s="1">
        <v>0.13158559129553279</v>
      </c>
      <c r="DF24" s="1">
        <v>0.52558500614449799</v>
      </c>
      <c r="DG24" s="1">
        <v>0.11954528640013271</v>
      </c>
      <c r="DH24" s="1">
        <v>0.26580267599251223</v>
      </c>
      <c r="DI24" s="1">
        <v>3.7184908274380812E-2</v>
      </c>
      <c r="DJ24" s="1">
        <v>0.2293698745310894</v>
      </c>
      <c r="DK24" s="1">
        <v>0.1196801812081898</v>
      </c>
      <c r="DL24" s="1">
        <v>6.1360513215416877E-2</v>
      </c>
      <c r="DM24" s="1">
        <v>-4.1344524506759309E-4</v>
      </c>
      <c r="DN24" s="1">
        <v>0.23333457077469619</v>
      </c>
      <c r="DO24" s="1">
        <v>0.1156119550234804</v>
      </c>
      <c r="DP24" s="1">
        <v>0.22357182348369681</v>
      </c>
      <c r="DQ24" s="1">
        <v>0.35907130209664839</v>
      </c>
      <c r="DR24" s="1">
        <v>-2.0515630212029241E-2</v>
      </c>
      <c r="DS24" s="1">
        <v>-6.7362545713944635E-2</v>
      </c>
      <c r="DT24" s="1">
        <v>-2.9435726388863388E-2</v>
      </c>
      <c r="DU24" s="1">
        <v>-2.1781395361230051E-2</v>
      </c>
      <c r="DV24" s="1">
        <v>0.1582246986438143</v>
      </c>
      <c r="DW24" s="1">
        <v>0.10118249665524411</v>
      </c>
      <c r="DX24" s="1">
        <v>0.31159312779250392</v>
      </c>
      <c r="DY24" s="1">
        <v>-3.239876608542996E-3</v>
      </c>
      <c r="DZ24" s="1">
        <v>-0.43350657873669168</v>
      </c>
      <c r="EA24" s="1">
        <v>-2.3171501846674901E-2</v>
      </c>
      <c r="EB24" s="1">
        <v>0.58969791699909047</v>
      </c>
      <c r="EC24" s="1">
        <v>-1.4309918770678909E-2</v>
      </c>
      <c r="ED24" s="1">
        <v>5.6172845298362112E-2</v>
      </c>
      <c r="EE24" s="1">
        <v>0.10748065723441801</v>
      </c>
      <c r="EF24" s="1">
        <v>-6.7276677043968364E-2</v>
      </c>
      <c r="EG24" s="3"/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0"/>
  <sheetViews>
    <sheetView topLeftCell="A12" zoomScale="81" workbookViewId="0">
      <selection activeCell="V31" sqref="V31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6" max="136" width="10.1640625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6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6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6" ht="16">
      <c r="A6" s="74" t="s">
        <v>139</v>
      </c>
      <c r="B6" s="75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4" t="s">
        <v>140</v>
      </c>
      <c r="B10" s="75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</row>
    <row r="12" spans="1:136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4.802682338720253E-2</v>
      </c>
      <c r="F12" s="11">
        <v>-1.88177157454043E-2</v>
      </c>
      <c r="G12" s="11">
        <v>8.59720291315174E-3</v>
      </c>
      <c r="H12" s="11">
        <v>3.8530512249887933E-2</v>
      </c>
      <c r="I12" s="11">
        <v>1.28097886931655E-2</v>
      </c>
      <c r="J12" s="11">
        <v>-2.9408122838989852E-2</v>
      </c>
      <c r="K12" s="11">
        <v>1.8774380137331209E-2</v>
      </c>
      <c r="L12" s="12">
        <v>-1.279800547193503E-3</v>
      </c>
      <c r="M12" s="12">
        <v>-3.9647700792304509E-4</v>
      </c>
      <c r="N12" s="12">
        <v>6.9326986778352875E-2</v>
      </c>
      <c r="O12" s="14">
        <v>-1.7240739055052579E-2</v>
      </c>
      <c r="P12" s="1">
        <v>-3.6607013048987891E-4</v>
      </c>
      <c r="Q12" s="1">
        <v>-3.5269885452478403E-2</v>
      </c>
      <c r="R12" s="1">
        <v>6.6628837952368673E-3</v>
      </c>
      <c r="S12" s="1">
        <v>-1.6472394741932041E-2</v>
      </c>
      <c r="T12" s="1">
        <v>-7.7398000690130087E-3</v>
      </c>
      <c r="U12" s="1">
        <v>2.0200814333882839E-2</v>
      </c>
      <c r="V12" s="1">
        <v>6.2044700693444643E-3</v>
      </c>
      <c r="W12" s="1">
        <v>6.4039414985380988E-2</v>
      </c>
      <c r="X12" s="1">
        <v>-2.574962461327239E-2</v>
      </c>
      <c r="Y12" s="1">
        <v>1.544036841356077E-2</v>
      </c>
      <c r="Z12" s="1">
        <v>5.1659076098035227E-3</v>
      </c>
      <c r="AA12" s="1">
        <v>-1.191684002823574E-2</v>
      </c>
      <c r="AB12" s="1">
        <v>-3.7114184153333798E-3</v>
      </c>
      <c r="AC12" s="1">
        <v>5.1673797604565516E-3</v>
      </c>
      <c r="AD12" s="1">
        <v>1.123079877814899E-2</v>
      </c>
      <c r="AE12" s="1">
        <v>-5.8316963071098869E-2</v>
      </c>
      <c r="AF12" s="1">
        <v>-4.6181508919833553E-2</v>
      </c>
      <c r="AG12" s="1">
        <v>1.207912796320139E-2</v>
      </c>
      <c r="AH12" s="1">
        <v>2.009335825127018E-2</v>
      </c>
      <c r="AI12" s="1">
        <v>1.9004465170339341E-2</v>
      </c>
      <c r="AJ12" s="1">
        <v>2.1062262693673572E-2</v>
      </c>
      <c r="AK12" s="1">
        <v>4.7354661535713542E-2</v>
      </c>
      <c r="AL12" s="1">
        <v>3.4105621243576391E-2</v>
      </c>
      <c r="AM12" s="1">
        <v>2.020631588703637E-2</v>
      </c>
      <c r="AN12" s="1">
        <v>-5.7133289959638539E-2</v>
      </c>
      <c r="AO12" s="1">
        <v>1.1704043118961709E-2</v>
      </c>
      <c r="AP12" s="1">
        <v>-4.633936527829138E-3</v>
      </c>
      <c r="AQ12" s="1">
        <v>-6.6823427857980273E-3</v>
      </c>
      <c r="AR12" s="1">
        <v>-7.5044280887600658E-3</v>
      </c>
      <c r="AS12" s="1">
        <v>-5.8432128393904577E-3</v>
      </c>
      <c r="AT12" s="1">
        <v>-2.2296660501338991E-2</v>
      </c>
      <c r="AU12" s="1">
        <v>6.3410262054371502E-2</v>
      </c>
      <c r="AV12" s="1">
        <v>-2.1789895224426498E-2</v>
      </c>
      <c r="AW12" s="1">
        <v>-2.3571472704194719E-3</v>
      </c>
      <c r="AX12" s="1">
        <v>-8.6580852422569118E-3</v>
      </c>
      <c r="AY12" s="1">
        <v>-7.7141492743432946E-3</v>
      </c>
      <c r="AZ12" s="1">
        <v>6.6563803179291892E-2</v>
      </c>
      <c r="BA12" s="1">
        <v>7.1276156280934935E-2</v>
      </c>
      <c r="BB12" s="1">
        <v>5.7853949142751861E-3</v>
      </c>
      <c r="BC12" s="1">
        <v>1.2985576387445449E-2</v>
      </c>
      <c r="BD12" s="1">
        <v>8.2215801414615049E-3</v>
      </c>
      <c r="BE12" s="1">
        <v>-4.5598544985067067E-2</v>
      </c>
      <c r="BF12" s="1">
        <v>-2.3601059948603061E-2</v>
      </c>
      <c r="BG12" s="1">
        <v>1.000405865395167E-2</v>
      </c>
      <c r="BH12" s="1">
        <v>-2.4922145288873449E-2</v>
      </c>
      <c r="BI12" s="1">
        <v>2.083776133591287E-2</v>
      </c>
      <c r="BJ12" s="1">
        <v>7.9599331991781624E-4</v>
      </c>
      <c r="BK12" s="1">
        <v>-2.0075652003278099E-2</v>
      </c>
      <c r="BL12" s="1">
        <v>1.1060368711039379E-2</v>
      </c>
      <c r="BM12" s="1">
        <v>-3.017190853698952E-2</v>
      </c>
      <c r="BN12" s="1">
        <v>1.9502538210119671E-2</v>
      </c>
      <c r="BO12" s="1">
        <v>1.691376899933085E-2</v>
      </c>
      <c r="BP12" s="1">
        <v>-2.642195733416729E-2</v>
      </c>
      <c r="BQ12" s="1">
        <v>8.4226585458783872E-3</v>
      </c>
      <c r="BR12" s="1">
        <v>1.9853577841365821E-2</v>
      </c>
      <c r="BS12" s="1">
        <v>2.5560981294363939E-2</v>
      </c>
      <c r="BT12" s="1">
        <v>-2.1288097232098721E-2</v>
      </c>
      <c r="BU12" s="1">
        <v>-4.8083369576175698E-2</v>
      </c>
      <c r="BV12" s="1">
        <v>3.2053226170394557E-2</v>
      </c>
      <c r="BW12" s="1">
        <v>5.548755950963561E-2</v>
      </c>
      <c r="BX12" s="1">
        <v>1.5984151640729919E-2</v>
      </c>
      <c r="BY12" s="1">
        <v>-4.5815986232830307E-2</v>
      </c>
      <c r="BZ12" s="1">
        <v>3.7771441918875159E-3</v>
      </c>
      <c r="CA12" s="1">
        <v>1.4580557553402819E-2</v>
      </c>
      <c r="CB12" s="1">
        <v>7.2475876072179299E-2</v>
      </c>
      <c r="CC12" s="1">
        <v>6.5566612627689883E-2</v>
      </c>
      <c r="CD12" s="1">
        <v>4.4258488563941309E-2</v>
      </c>
      <c r="CE12" s="1">
        <v>0.15400701288974189</v>
      </c>
      <c r="CF12" s="1">
        <v>4.0778952837748463E-3</v>
      </c>
      <c r="CG12" s="1">
        <v>3.0864849735211247E-4</v>
      </c>
      <c r="CH12" s="1">
        <v>-9.4530160381327763E-3</v>
      </c>
      <c r="CI12" s="1">
        <v>-2.434149805161382E-2</v>
      </c>
      <c r="CJ12" s="1">
        <v>3.56848017190925E-3</v>
      </c>
      <c r="CK12" s="1">
        <v>3.4514754837297781E-2</v>
      </c>
      <c r="CL12" s="1">
        <v>3.3134010431475597E-2</v>
      </c>
      <c r="CM12" s="1">
        <v>-7.1708388017212202E-2</v>
      </c>
      <c r="CN12" s="1">
        <v>-2.330754103191908E-2</v>
      </c>
      <c r="CO12" s="1">
        <v>7.129224287359176E-2</v>
      </c>
      <c r="CP12" s="1">
        <v>-1.279615819240372E-2</v>
      </c>
      <c r="CQ12" s="1">
        <v>6.9976746724105296E-2</v>
      </c>
      <c r="CR12" s="1">
        <v>4.814662528730166E-2</v>
      </c>
      <c r="CS12" s="1">
        <v>-1.450965043846953E-2</v>
      </c>
      <c r="CT12" s="1">
        <v>9.6164620390248173E-4</v>
      </c>
      <c r="CU12" s="1">
        <v>1.396762681537468E-2</v>
      </c>
      <c r="CV12" s="1">
        <v>4.3232553547918467E-3</v>
      </c>
      <c r="CW12" s="1">
        <v>2.975768942836746E-2</v>
      </c>
      <c r="CX12" s="1">
        <v>4.6547458464468637E-2</v>
      </c>
      <c r="CY12" s="1">
        <v>4.6072977665454977E-2</v>
      </c>
      <c r="CZ12" s="1">
        <v>8.8561726128694895E-2</v>
      </c>
      <c r="DA12" s="1">
        <v>3.6978661359195177E-2</v>
      </c>
      <c r="DB12" s="1">
        <v>8.8981816498044985E-2</v>
      </c>
      <c r="DC12" s="1">
        <v>1.0027183164687131E-2</v>
      </c>
      <c r="DD12" s="1">
        <v>-3.9091997331507103E-2</v>
      </c>
      <c r="DE12" s="1">
        <v>-3.7235544827264842E-2</v>
      </c>
      <c r="DF12" s="1">
        <v>5.5485734082072982E-2</v>
      </c>
      <c r="DG12" s="1">
        <v>-4.6409817779524638E-2</v>
      </c>
      <c r="DH12" s="1">
        <v>-5.262143774803156E-3</v>
      </c>
      <c r="DI12" s="1">
        <v>-5.4443172992132458E-2</v>
      </c>
      <c r="DJ12" s="1">
        <v>8.0625982547704537E-3</v>
      </c>
      <c r="DK12" s="1">
        <v>-3.1928199332595573E-2</v>
      </c>
      <c r="DL12" s="1">
        <v>3.089111509929313E-3</v>
      </c>
      <c r="DM12" s="1">
        <v>-1.9237693580560919E-2</v>
      </c>
      <c r="DN12" s="1">
        <v>2.1916731594762449E-2</v>
      </c>
      <c r="DO12" s="1">
        <v>3.055694210149083E-2</v>
      </c>
      <c r="DP12" s="1">
        <v>4.5953548014918022E-2</v>
      </c>
      <c r="DQ12" s="1">
        <v>-3.3862120353048523E-2</v>
      </c>
      <c r="DR12" s="1">
        <v>1.7064979450118169E-2</v>
      </c>
      <c r="DS12" s="1">
        <v>6.9650552069699723E-2</v>
      </c>
      <c r="DT12" s="1">
        <v>2.5117616030836221E-2</v>
      </c>
      <c r="DU12" s="1">
        <v>-5.7230283144308662E-2</v>
      </c>
      <c r="DV12" s="1">
        <v>2.9540060801008398E-2</v>
      </c>
      <c r="DW12" s="1">
        <v>4.4967834212525502E-2</v>
      </c>
      <c r="DX12" s="1">
        <v>-4.9619206803227477E-2</v>
      </c>
      <c r="DY12" s="1">
        <v>1.72451479372299E-2</v>
      </c>
      <c r="DZ12" s="1">
        <v>6.1855960989034781E-3</v>
      </c>
      <c r="EA12" s="1">
        <v>5.1097632537531287E-2</v>
      </c>
      <c r="EB12" s="1">
        <v>5.7859705603806079E-3</v>
      </c>
      <c r="EC12" s="1">
        <v>-9.8063813353844453E-3</v>
      </c>
      <c r="ED12" s="1">
        <v>-6.9574815277242833E-3</v>
      </c>
      <c r="EE12" s="1">
        <v>-2.6506892161147658E-2</v>
      </c>
      <c r="EF12" s="1">
        <v>3.9233348038795662E-2</v>
      </c>
    </row>
    <row r="13" spans="1:136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6.9861556352806456E-2</v>
      </c>
      <c r="F13" s="9">
        <v>-3.4922155882654508E-2</v>
      </c>
      <c r="G13" s="9">
        <v>-1.490797975730339E-2</v>
      </c>
      <c r="H13" s="9">
        <v>2.9989631725721271E-2</v>
      </c>
      <c r="I13" s="9">
        <v>2.9130594923697659E-2</v>
      </c>
      <c r="J13" s="9">
        <v>-4.3899227077412117E-2</v>
      </c>
      <c r="K13" s="9">
        <v>-1.3673068264474649E-3</v>
      </c>
      <c r="L13" s="2">
        <v>-3.1294960158911242E-2</v>
      </c>
      <c r="M13" s="2">
        <v>2.5687102146235319E-2</v>
      </c>
      <c r="N13" s="2">
        <v>9.9806916956670585E-2</v>
      </c>
      <c r="O13" s="1">
        <v>-3.9789291626632438E-2</v>
      </c>
      <c r="P13" s="1">
        <v>1.679162773809062E-2</v>
      </c>
      <c r="Q13" s="1">
        <v>-7.3224368487557437E-2</v>
      </c>
      <c r="R13" s="1">
        <v>1.4159944486036529E-2</v>
      </c>
      <c r="S13" s="1">
        <v>-1.224367120891299E-2</v>
      </c>
      <c r="T13" s="1">
        <v>-2.1633598064866401E-2</v>
      </c>
      <c r="U13" s="1">
        <v>5.5957470530744263E-2</v>
      </c>
      <c r="V13" s="1">
        <v>-2.009432801387449E-2</v>
      </c>
      <c r="W13" s="1">
        <v>7.5476561860150226E-2</v>
      </c>
      <c r="X13" s="1">
        <v>-5.327689472594363E-2</v>
      </c>
      <c r="Y13" s="1">
        <v>1.392099255764867E-2</v>
      </c>
      <c r="Z13" s="1">
        <v>2.0583761169128259E-2</v>
      </c>
      <c r="AA13" s="1">
        <v>-1.6440619450324361E-2</v>
      </c>
      <c r="AB13" s="1">
        <v>-1.6036098685220952E-2</v>
      </c>
      <c r="AC13" s="1">
        <v>8.0314397959504041E-3</v>
      </c>
      <c r="AD13" s="1">
        <v>2.1543689785275402E-2</v>
      </c>
      <c r="AE13" s="1">
        <v>-6.5719382027610476E-2</v>
      </c>
      <c r="AF13" s="1">
        <v>-5.1935557823136913E-2</v>
      </c>
      <c r="AG13" s="1">
        <v>3.282310180952513E-3</v>
      </c>
      <c r="AH13" s="1">
        <v>3.1875514929916048E-2</v>
      </c>
      <c r="AI13" s="1">
        <v>1.206755007407281E-2</v>
      </c>
      <c r="AJ13" s="1">
        <v>1.988632403117771E-2</v>
      </c>
      <c r="AK13" s="1">
        <v>6.5987912810655996E-2</v>
      </c>
      <c r="AL13" s="1">
        <v>2.255035758653683E-2</v>
      </c>
      <c r="AM13" s="1">
        <v>-2.2822434783236032E-3</v>
      </c>
      <c r="AN13" s="1">
        <v>-7.1245220062354717E-2</v>
      </c>
      <c r="AO13" s="1">
        <v>3.0204089262180879E-3</v>
      </c>
      <c r="AP13" s="1">
        <v>-6.5879899076427646E-3</v>
      </c>
      <c r="AQ13" s="1">
        <v>-1.108299446312281E-2</v>
      </c>
      <c r="AR13" s="1">
        <v>9.2507324832761875E-3</v>
      </c>
      <c r="AS13" s="1">
        <v>-1.936605681188464E-3</v>
      </c>
      <c r="AT13" s="1">
        <v>1.6899629408186981E-3</v>
      </c>
      <c r="AU13" s="1">
        <v>7.6784333628374363E-2</v>
      </c>
      <c r="AV13" s="1">
        <v>-1.0958910230300529E-2</v>
      </c>
      <c r="AW13" s="1">
        <v>2.5616009167896969E-2</v>
      </c>
      <c r="AX13" s="1">
        <v>-1.188096828543265E-2</v>
      </c>
      <c r="AY13" s="1">
        <v>-2.367260872336744E-2</v>
      </c>
      <c r="AZ13" s="1">
        <v>5.5449775955565078E-2</v>
      </c>
      <c r="BA13" s="1">
        <v>7.9829120343788335E-2</v>
      </c>
      <c r="BB13" s="1">
        <v>2.6046345532896049E-2</v>
      </c>
      <c r="BC13" s="1">
        <v>1.302658025364759E-2</v>
      </c>
      <c r="BD13" s="1">
        <v>1.0962313176339699E-2</v>
      </c>
      <c r="BE13" s="1">
        <v>-4.6048256587478499E-2</v>
      </c>
      <c r="BF13" s="1">
        <v>-2.6302896790217509E-2</v>
      </c>
      <c r="BG13" s="1">
        <v>8.3310656158476996E-3</v>
      </c>
      <c r="BH13" s="1">
        <v>-3.3944254587363332E-2</v>
      </c>
      <c r="BI13" s="1">
        <v>2.5832369880149052E-2</v>
      </c>
      <c r="BJ13" s="1">
        <v>1.765410852616266E-2</v>
      </c>
      <c r="BK13" s="1">
        <v>-2.5125773363192039E-2</v>
      </c>
      <c r="BL13" s="1">
        <v>1.3619178359615279E-2</v>
      </c>
      <c r="BM13" s="1">
        <v>-2.7203867384610721E-2</v>
      </c>
      <c r="BN13" s="1">
        <v>-4.1015372255685661E-3</v>
      </c>
      <c r="BO13" s="1">
        <v>3.406714508268439E-3</v>
      </c>
      <c r="BP13" s="1">
        <v>-7.9511464177745989E-3</v>
      </c>
      <c r="BQ13" s="1">
        <v>3.9575889019010747E-2</v>
      </c>
      <c r="BR13" s="1">
        <v>5.2648081977137466E-3</v>
      </c>
      <c r="BS13" s="1">
        <v>2.4538279322410629E-2</v>
      </c>
      <c r="BT13" s="1">
        <v>-3.3667769757919193E-2</v>
      </c>
      <c r="BU13" s="1">
        <v>-7.4658168009773873E-2</v>
      </c>
      <c r="BV13" s="1">
        <v>3.1440738435612722E-2</v>
      </c>
      <c r="BW13" s="1">
        <v>8.6230154651292246E-2</v>
      </c>
      <c r="BX13" s="1">
        <v>1.477434776242115E-3</v>
      </c>
      <c r="BY13" s="1">
        <v>-3.0827759664373209E-2</v>
      </c>
      <c r="BZ13" s="1">
        <v>-1.3759146872870571E-2</v>
      </c>
      <c r="CA13" s="1">
        <v>2.401267379212468E-2</v>
      </c>
      <c r="CB13" s="1">
        <v>0.1204269717320352</v>
      </c>
      <c r="CC13" s="1">
        <v>0.12011817373823321</v>
      </c>
      <c r="CD13" s="1">
        <v>5.52560480214307E-2</v>
      </c>
      <c r="CE13" s="1">
        <v>0.18382783645560871</v>
      </c>
      <c r="CF13" s="1">
        <v>1.8228940836627482E-2</v>
      </c>
      <c r="CG13" s="1">
        <v>7.5602686763741878E-3</v>
      </c>
      <c r="CH13" s="1">
        <v>-2.5657782346366651E-2</v>
      </c>
      <c r="CI13" s="1">
        <v>-7.895534435908208E-3</v>
      </c>
      <c r="CJ13" s="1">
        <v>2.0881327115926159E-2</v>
      </c>
      <c r="CK13" s="1">
        <v>3.1859597035061943E-2</v>
      </c>
      <c r="CL13" s="1">
        <v>4.4000391247388533E-2</v>
      </c>
      <c r="CM13" s="1">
        <v>-0.1014522187140186</v>
      </c>
      <c r="CN13" s="1">
        <v>-3.013102484529066E-2</v>
      </c>
      <c r="CO13" s="1">
        <v>8.556623930807658E-2</v>
      </c>
      <c r="CP13" s="1">
        <v>-3.4377539176010358E-2</v>
      </c>
      <c r="CQ13" s="1">
        <v>6.7112905094145095E-2</v>
      </c>
      <c r="CR13" s="1">
        <v>6.4380648737412241E-2</v>
      </c>
      <c r="CS13" s="1">
        <v>3.947650662960555E-3</v>
      </c>
      <c r="CT13" s="1">
        <v>-8.0707993163786768E-3</v>
      </c>
      <c r="CU13" s="1">
        <v>1.103121440667176E-2</v>
      </c>
      <c r="CV13" s="1">
        <v>2.431898301869664E-2</v>
      </c>
      <c r="CW13" s="1">
        <v>1.0456962931318739E-2</v>
      </c>
      <c r="CX13" s="1">
        <v>4.9872955511131058E-3</v>
      </c>
      <c r="CY13" s="1">
        <v>6.4973824772045274E-2</v>
      </c>
      <c r="CZ13" s="1">
        <v>9.0290205436995882E-2</v>
      </c>
      <c r="DA13" s="1">
        <v>4.9446033684879001E-2</v>
      </c>
      <c r="DB13" s="1">
        <v>0.1062353213029536</v>
      </c>
      <c r="DC13" s="1">
        <v>2.354099866843842E-2</v>
      </c>
      <c r="DD13" s="1">
        <v>-5.1406653602818438E-2</v>
      </c>
      <c r="DE13" s="1">
        <v>-4.2564178931250717E-2</v>
      </c>
      <c r="DF13" s="1">
        <v>8.3122187068030415E-2</v>
      </c>
      <c r="DG13" s="1">
        <v>-4.7729083606459478E-2</v>
      </c>
      <c r="DH13" s="1">
        <v>1.2992245045791989E-2</v>
      </c>
      <c r="DI13" s="1">
        <v>-4.6561456814233543E-2</v>
      </c>
      <c r="DJ13" s="1">
        <v>2.8247996829593169E-4</v>
      </c>
      <c r="DK13" s="1">
        <v>-1.938663386385895E-2</v>
      </c>
      <c r="DL13" s="1">
        <v>2.7121939431540568E-2</v>
      </c>
      <c r="DM13" s="1">
        <v>5.3162261047299056E-4</v>
      </c>
      <c r="DN13" s="1">
        <v>1.693523490060431E-2</v>
      </c>
      <c r="DO13" s="1">
        <v>3.7863465084792783E-2</v>
      </c>
      <c r="DP13" s="1">
        <v>4.4997150662049193E-2</v>
      </c>
      <c r="DQ13" s="1">
        <v>-3.3966462251962683E-2</v>
      </c>
      <c r="DR13" s="1">
        <v>1.5168550145961031E-2</v>
      </c>
      <c r="DS13" s="1">
        <v>6.8596852640390879E-2</v>
      </c>
      <c r="DT13" s="1">
        <v>5.0831259890505333E-2</v>
      </c>
      <c r="DU13" s="1">
        <v>-3.3006159442618463E-2</v>
      </c>
      <c r="DV13" s="1">
        <v>4.3254778785589143E-2</v>
      </c>
      <c r="DW13" s="1">
        <v>4.2028685712200517E-2</v>
      </c>
      <c r="DX13" s="1">
        <v>-6.4641919490531136E-2</v>
      </c>
      <c r="DY13" s="1">
        <v>3.5306137940869793E-2</v>
      </c>
      <c r="DZ13" s="1">
        <v>1.8302124146301689E-2</v>
      </c>
      <c r="EA13" s="1">
        <v>6.2118677176029868E-2</v>
      </c>
      <c r="EB13" s="1">
        <v>2.012062189251651E-4</v>
      </c>
      <c r="EC13" s="1">
        <v>-1.877600359538225E-2</v>
      </c>
      <c r="ED13" s="1">
        <v>7.0847200131933449E-3</v>
      </c>
      <c r="EE13" s="1">
        <v>-4.1234383995911589E-2</v>
      </c>
      <c r="EF13" s="1">
        <v>6.7291156741452265E-2</v>
      </c>
    </row>
    <row r="14" spans="1:136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9.8768248142222112E-2</v>
      </c>
      <c r="F14" s="9">
        <v>-4.8454142799859851E-2</v>
      </c>
      <c r="G14" s="9">
        <v>-4.1019916497925447E-2</v>
      </c>
      <c r="H14" s="9">
        <v>5.9587806435440108E-2</v>
      </c>
      <c r="I14" s="9">
        <v>7.7114962431364953E-2</v>
      </c>
      <c r="J14" s="9">
        <v>-0.1050943867827082</v>
      </c>
      <c r="K14" s="9">
        <v>1.245116151579238E-2</v>
      </c>
      <c r="L14" s="2">
        <v>4.847197187706806E-3</v>
      </c>
      <c r="M14" s="2">
        <v>-7.5951542984044773E-2</v>
      </c>
      <c r="N14" s="2">
        <v>0.20483257514122591</v>
      </c>
      <c r="O14" s="1">
        <v>-3.9642308069534393E-2</v>
      </c>
      <c r="P14" s="1">
        <v>4.7779764282807252E-2</v>
      </c>
      <c r="Q14" s="1">
        <v>-5.8237946154634852E-2</v>
      </c>
      <c r="R14" s="1">
        <v>-1.41517963055246E-2</v>
      </c>
      <c r="S14" s="1">
        <v>3.8534099526017718E-2</v>
      </c>
      <c r="T14" s="1">
        <v>-1.7360731234559681E-2</v>
      </c>
      <c r="U14" s="1">
        <v>0.1101925283607786</v>
      </c>
      <c r="V14" s="1">
        <v>-3.837554626450454E-2</v>
      </c>
      <c r="W14" s="1">
        <v>0.1161657905318967</v>
      </c>
      <c r="X14" s="1">
        <v>-5.3581708514183243E-2</v>
      </c>
      <c r="Y14" s="1">
        <v>-1.676266335668946E-2</v>
      </c>
      <c r="Z14" s="1">
        <v>2.1252201103450899E-2</v>
      </c>
      <c r="AA14" s="1">
        <v>-2.6273997668139859E-3</v>
      </c>
      <c r="AB14" s="1">
        <v>-7.4982912772120214E-2</v>
      </c>
      <c r="AC14" s="1">
        <v>-2.929208376556364E-2</v>
      </c>
      <c r="AD14" s="1">
        <v>3.9327892190029898E-2</v>
      </c>
      <c r="AE14" s="1">
        <v>-4.0189068228804886E-3</v>
      </c>
      <c r="AF14" s="1">
        <v>-8.4317009176674104E-2</v>
      </c>
      <c r="AG14" s="1">
        <v>6.3902010138930376E-3</v>
      </c>
      <c r="AH14" s="1">
        <v>6.3410379733012071E-2</v>
      </c>
      <c r="AI14" s="1">
        <v>7.2072950927120863E-2</v>
      </c>
      <c r="AJ14" s="1">
        <v>0.1004634352553853</v>
      </c>
      <c r="AK14" s="1">
        <v>6.6326746155924196E-2</v>
      </c>
      <c r="AL14" s="1">
        <v>1.8559542258206829E-2</v>
      </c>
      <c r="AM14" s="1">
        <v>3.149506369445255E-3</v>
      </c>
      <c r="AN14" s="1">
        <v>-0.1103236819562325</v>
      </c>
      <c r="AO14" s="1">
        <v>-9.9986507414082122E-3</v>
      </c>
      <c r="AP14" s="1">
        <v>7.0548285367649016E-3</v>
      </c>
      <c r="AQ14" s="1">
        <v>-8.1284167078287516E-3</v>
      </c>
      <c r="AR14" s="1">
        <v>1.817082301888524E-2</v>
      </c>
      <c r="AS14" s="1">
        <v>9.257412813340013E-3</v>
      </c>
      <c r="AT14" s="1">
        <v>-1.8407426169242399E-2</v>
      </c>
      <c r="AU14" s="1">
        <v>0.1378524760527356</v>
      </c>
      <c r="AV14" s="1">
        <v>8.4264533049733317E-3</v>
      </c>
      <c r="AW14" s="1">
        <v>4.3729300320208372E-2</v>
      </c>
      <c r="AX14" s="1">
        <v>8.2158804712704862E-4</v>
      </c>
      <c r="AY14" s="1">
        <v>-5.8839376297199868E-2</v>
      </c>
      <c r="AZ14" s="1">
        <v>2.5628927509464609E-2</v>
      </c>
      <c r="BA14" s="1">
        <v>9.6337325355973988E-2</v>
      </c>
      <c r="BB14" s="1">
        <v>0.101898340258458</v>
      </c>
      <c r="BC14" s="1">
        <v>-9.0839235255182754E-3</v>
      </c>
      <c r="BD14" s="1">
        <v>5.4089652686273221E-2</v>
      </c>
      <c r="BE14" s="1">
        <v>-2.411701849660209E-2</v>
      </c>
      <c r="BF14" s="1">
        <v>-5.2428879018831306E-3</v>
      </c>
      <c r="BG14" s="1">
        <v>1.049660790114355E-2</v>
      </c>
      <c r="BH14" s="1">
        <v>-9.3750084239722239E-2</v>
      </c>
      <c r="BI14" s="1">
        <v>3.227013090056749E-2</v>
      </c>
      <c r="BJ14" s="1">
        <v>1.32542788140672E-2</v>
      </c>
      <c r="BK14" s="1">
        <v>3.323738197833094E-2</v>
      </c>
      <c r="BL14" s="1">
        <v>1.0571834509862E-2</v>
      </c>
      <c r="BM14" s="1">
        <v>-2.137504666205849E-2</v>
      </c>
      <c r="BN14" s="1">
        <v>-4.5371706308739268E-2</v>
      </c>
      <c r="BO14" s="1">
        <v>1.490357897324885E-2</v>
      </c>
      <c r="BP14" s="1">
        <v>5.0332283327745371E-2</v>
      </c>
      <c r="BQ14" s="1">
        <v>4.7561132295658039E-2</v>
      </c>
      <c r="BR14" s="1">
        <v>-3.5541214444243213E-2</v>
      </c>
      <c r="BS14" s="1">
        <v>6.8561655159081983E-2</v>
      </c>
      <c r="BT14" s="1">
        <v>1.5287927903372821E-2</v>
      </c>
      <c r="BU14" s="1">
        <v>-0.1111594543137446</v>
      </c>
      <c r="BV14" s="1">
        <v>4.1282488857898411E-2</v>
      </c>
      <c r="BW14" s="1">
        <v>0.11840804197930491</v>
      </c>
      <c r="BX14" s="1">
        <v>-3.071342246663937E-4</v>
      </c>
      <c r="BY14" s="1">
        <v>-8.0399768583761216E-2</v>
      </c>
      <c r="BZ14" s="1">
        <v>5.0985243413883087E-2</v>
      </c>
      <c r="CA14" s="1">
        <v>3.3455158238155647E-2</v>
      </c>
      <c r="CB14" s="1">
        <v>0.16446550132190679</v>
      </c>
      <c r="CC14" s="1">
        <v>0.1205961585891825</v>
      </c>
      <c r="CD14" s="1">
        <v>4.7921840912584578E-2</v>
      </c>
      <c r="CE14" s="1">
        <v>0.1705553024885505</v>
      </c>
      <c r="CF14" s="1">
        <v>-2.0310216922519591E-2</v>
      </c>
      <c r="CG14" s="1">
        <v>0.13892667651794</v>
      </c>
      <c r="CH14" s="1">
        <v>4.0537141053146319E-3</v>
      </c>
      <c r="CI14" s="1">
        <v>-3.829356134685134E-3</v>
      </c>
      <c r="CJ14" s="1">
        <v>2.006682479610775E-2</v>
      </c>
      <c r="CK14" s="1">
        <v>-4.6385956968068159E-4</v>
      </c>
      <c r="CL14" s="1">
        <v>0.1300328670856512</v>
      </c>
      <c r="CM14" s="1">
        <v>-0.11006897297270959</v>
      </c>
      <c r="CN14" s="1">
        <v>-1.9401547393491338E-2</v>
      </c>
      <c r="CO14" s="1">
        <v>0.17324915395395429</v>
      </c>
      <c r="CP14" s="1">
        <v>-0.1054797240573413</v>
      </c>
      <c r="CQ14" s="1">
        <v>7.9536741295441721E-2</v>
      </c>
      <c r="CR14" s="1">
        <v>6.2640655376448015E-2</v>
      </c>
      <c r="CS14" s="1">
        <v>-3.8161133435199359E-3</v>
      </c>
      <c r="CT14" s="1">
        <v>-1.910057655068487E-2</v>
      </c>
      <c r="CU14" s="1">
        <v>7.4250615704534909E-2</v>
      </c>
      <c r="CV14" s="1">
        <v>3.9399433901219798E-2</v>
      </c>
      <c r="CW14" s="1">
        <v>8.2340018803759574E-3</v>
      </c>
      <c r="CX14" s="1">
        <v>2.4244256487495751E-2</v>
      </c>
      <c r="CY14" s="1">
        <v>5.0137743473948983E-2</v>
      </c>
      <c r="CZ14" s="1">
        <v>0.13617204681910691</v>
      </c>
      <c r="DA14" s="1">
        <v>6.5393327424540099E-2</v>
      </c>
      <c r="DB14" s="1">
        <v>0.1046074411002299</v>
      </c>
      <c r="DC14" s="1">
        <v>1.4753761497027579E-2</v>
      </c>
      <c r="DD14" s="1">
        <v>-5.389996674879375E-2</v>
      </c>
      <c r="DE14" s="1">
        <v>-3.105766707737596E-2</v>
      </c>
      <c r="DF14" s="1">
        <v>0.20156283946711201</v>
      </c>
      <c r="DG14" s="1">
        <v>-4.5583395726898353E-2</v>
      </c>
      <c r="DH14" s="1">
        <v>4.7748372429115976E-3</v>
      </c>
      <c r="DI14" s="1">
        <v>-5.3191997244607769E-2</v>
      </c>
      <c r="DJ14" s="1">
        <v>1.023724267297355E-3</v>
      </c>
      <c r="DK14" s="1">
        <v>-8.1621549503858692E-2</v>
      </c>
      <c r="DL14" s="1">
        <v>-9.2741823572412251E-3</v>
      </c>
      <c r="DM14" s="1">
        <v>-1.12114973776048E-3</v>
      </c>
      <c r="DN14" s="1">
        <v>3.0298833250316529E-2</v>
      </c>
      <c r="DO14" s="1">
        <v>0.1025921893632338</v>
      </c>
      <c r="DP14" s="1">
        <v>3.6178582717266978E-3</v>
      </c>
      <c r="DQ14" s="1">
        <v>-5.6019285986190409E-2</v>
      </c>
      <c r="DR14" s="1">
        <v>7.7944218090853119E-3</v>
      </c>
      <c r="DS14" s="1">
        <v>5.6051819928563652E-2</v>
      </c>
      <c r="DT14" s="1">
        <v>0.1176725133317565</v>
      </c>
      <c r="DU14" s="1">
        <v>-6.8795273192164358E-2</v>
      </c>
      <c r="DV14" s="1">
        <v>1.943294388864095E-2</v>
      </c>
      <c r="DW14" s="1">
        <v>1.809309508516085E-3</v>
      </c>
      <c r="DX14" s="1">
        <v>-0.10216121988583921</v>
      </c>
      <c r="DY14" s="1">
        <v>3.7997079946848547E-2</v>
      </c>
      <c r="DZ14" s="1">
        <v>3.5030999863780207E-2</v>
      </c>
      <c r="EA14" s="1">
        <v>0.10752548319752379</v>
      </c>
      <c r="EB14" s="1">
        <v>-2.510952061826455E-2</v>
      </c>
      <c r="EC14" s="1">
        <v>-1.92914596657494E-2</v>
      </c>
      <c r="ED14" s="1">
        <v>-3.3597287801933773E-2</v>
      </c>
      <c r="EE14" s="1">
        <v>3.3992535180725199E-3</v>
      </c>
      <c r="EF14" s="1">
        <v>6.6632346729412442E-2</v>
      </c>
    </row>
    <row r="15" spans="1:136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6.6038487211205685E-2</v>
      </c>
      <c r="F15" s="9">
        <v>-0.1085622933731899</v>
      </c>
      <c r="G15" s="9">
        <v>-4.542205246389433E-2</v>
      </c>
      <c r="H15" s="9">
        <v>0.1188437037073593</v>
      </c>
      <c r="I15" s="9">
        <v>0.12672874111951199</v>
      </c>
      <c r="J15" s="9">
        <v>-6.4524690109755506E-2</v>
      </c>
      <c r="K15" s="9">
        <v>-4.2103663853407802E-3</v>
      </c>
      <c r="L15" s="2">
        <v>3.2558505157184642E-2</v>
      </c>
      <c r="M15" s="2">
        <v>-0.1884920497107565</v>
      </c>
      <c r="N15" s="2">
        <v>0.33030933686480701</v>
      </c>
      <c r="O15" s="1">
        <v>-4.6103493253125377E-2</v>
      </c>
      <c r="P15" s="1">
        <v>5.298328319235554E-2</v>
      </c>
      <c r="Q15" s="1">
        <v>-0.1003753495838908</v>
      </c>
      <c r="R15" s="1">
        <v>1.6755436290618191E-2</v>
      </c>
      <c r="S15" s="1">
        <v>-4.3033933773331312E-2</v>
      </c>
      <c r="T15" s="1">
        <v>-4.9338672660515052E-2</v>
      </c>
      <c r="U15" s="1">
        <v>0.1369680616672688</v>
      </c>
      <c r="V15" s="1">
        <v>-8.5680881878873433E-2</v>
      </c>
      <c r="W15" s="1">
        <v>0.10693455515793331</v>
      </c>
      <c r="X15" s="1">
        <v>-7.8436412445587397E-2</v>
      </c>
      <c r="Y15" s="1">
        <v>-2.41886185471549E-2</v>
      </c>
      <c r="Z15" s="1">
        <v>-2.3656418685670762E-2</v>
      </c>
      <c r="AA15" s="1">
        <v>4.6586123925793019E-2</v>
      </c>
      <c r="AB15" s="1">
        <v>-7.3995951784183639E-2</v>
      </c>
      <c r="AC15" s="1">
        <v>-4.0055129570116199E-2</v>
      </c>
      <c r="AD15" s="1">
        <v>3.9690481127708267E-2</v>
      </c>
      <c r="AE15" s="1">
        <v>4.7286476245703507E-2</v>
      </c>
      <c r="AF15" s="1">
        <v>-4.9772024875114299E-2</v>
      </c>
      <c r="AG15" s="1">
        <v>-9.7453106019047206E-3</v>
      </c>
      <c r="AH15" s="1">
        <v>-1.4500686925931689E-2</v>
      </c>
      <c r="AI15" s="1">
        <v>5.0854449586025072E-2</v>
      </c>
      <c r="AJ15" s="1">
        <v>4.1844346323331449E-3</v>
      </c>
      <c r="AK15" s="1">
        <v>5.7495575489853068E-2</v>
      </c>
      <c r="AL15" s="1">
        <v>-6.8817591114361167E-3</v>
      </c>
      <c r="AM15" s="1">
        <v>1.9447114515120381E-3</v>
      </c>
      <c r="AN15" s="1">
        <v>-6.0734931800687501E-2</v>
      </c>
      <c r="AO15" s="1">
        <v>3.5701842653561043E-2</v>
      </c>
      <c r="AP15" s="1">
        <v>1.2581944955645789E-2</v>
      </c>
      <c r="AQ15" s="1">
        <v>-1.9750987228359839E-2</v>
      </c>
      <c r="AR15" s="1">
        <v>2.4550819698278721E-2</v>
      </c>
      <c r="AS15" s="1">
        <v>-2.243094654393615E-2</v>
      </c>
      <c r="AT15" s="1">
        <v>6.8565182518478159E-3</v>
      </c>
      <c r="AU15" s="1">
        <v>0.16710843106943049</v>
      </c>
      <c r="AV15" s="1">
        <v>3.3225302218378612E-2</v>
      </c>
      <c r="AW15" s="1">
        <v>8.8559342900872445E-2</v>
      </c>
      <c r="AX15" s="1">
        <v>4.159691711258919E-3</v>
      </c>
      <c r="AY15" s="1">
        <v>-4.3143497850792932E-2</v>
      </c>
      <c r="AZ15" s="1">
        <v>3.6847351752602571E-2</v>
      </c>
      <c r="BA15" s="1">
        <v>0.15768794840833861</v>
      </c>
      <c r="BB15" s="1">
        <v>0.1087890998161227</v>
      </c>
      <c r="BC15" s="1">
        <v>6.2155143667830287E-2</v>
      </c>
      <c r="BD15" s="1">
        <v>9.6474811402217191E-3</v>
      </c>
      <c r="BE15" s="1">
        <v>-4.6217113983022272E-2</v>
      </c>
      <c r="BF15" s="1">
        <v>-5.6978024220911652E-2</v>
      </c>
      <c r="BG15" s="1">
        <v>1.3776150402420841E-2</v>
      </c>
      <c r="BH15" s="1">
        <v>-5.4709226157740029E-2</v>
      </c>
      <c r="BI15" s="1">
        <v>2.6351023432892799E-2</v>
      </c>
      <c r="BJ15" s="1">
        <v>1.561910267199181E-2</v>
      </c>
      <c r="BK15" s="1">
        <v>7.2869418882588896E-2</v>
      </c>
      <c r="BL15" s="1">
        <v>7.7901403746215292E-5</v>
      </c>
      <c r="BM15" s="1">
        <v>-6.2598394572544819E-2</v>
      </c>
      <c r="BN15" s="1">
        <v>-6.6054035225581897E-2</v>
      </c>
      <c r="BO15" s="1">
        <v>1.6589443526158851E-2</v>
      </c>
      <c r="BP15" s="1">
        <v>5.1616854472064641E-2</v>
      </c>
      <c r="BQ15" s="1">
        <v>2.4671362176155509E-2</v>
      </c>
      <c r="BR15" s="1">
        <v>-1.942202458436474E-2</v>
      </c>
      <c r="BS15" s="1">
        <v>7.5076314346836079E-2</v>
      </c>
      <c r="BT15" s="1">
        <v>-3.6633666195559952E-2</v>
      </c>
      <c r="BU15" s="1">
        <v>-8.5545733721440226E-2</v>
      </c>
      <c r="BV15" s="1">
        <v>9.8057385426206595E-2</v>
      </c>
      <c r="BW15" s="1">
        <v>0.20414583935248479</v>
      </c>
      <c r="BX15" s="1">
        <v>2.3949431437341431E-2</v>
      </c>
      <c r="BY15" s="1">
        <v>-9.333839246383685E-2</v>
      </c>
      <c r="BZ15" s="1">
        <v>6.7359763281512192E-2</v>
      </c>
      <c r="CA15" s="1">
        <v>2.9964009225077439E-2</v>
      </c>
      <c r="CB15" s="1">
        <v>0.13109140278406139</v>
      </c>
      <c r="CC15" s="1">
        <v>0.17365170572211991</v>
      </c>
      <c r="CD15" s="1">
        <v>8.9094519675820161E-2</v>
      </c>
      <c r="CE15" s="1">
        <v>7.3368120048450503E-2</v>
      </c>
      <c r="CF15" s="1">
        <v>-3.626816930322469E-3</v>
      </c>
      <c r="CG15" s="1">
        <v>0.2257312272651272</v>
      </c>
      <c r="CH15" s="1">
        <v>-3.997822454127796E-2</v>
      </c>
      <c r="CI15" s="1">
        <v>-6.9336844735236963E-2</v>
      </c>
      <c r="CJ15" s="1">
        <v>7.3826303974063867E-3</v>
      </c>
      <c r="CK15" s="1">
        <v>3.4280211483066668E-2</v>
      </c>
      <c r="CL15" s="1">
        <v>0.21275088750665541</v>
      </c>
      <c r="CM15" s="1">
        <v>-0.1081197557129227</v>
      </c>
      <c r="CN15" s="1">
        <v>2.171349101014915E-4</v>
      </c>
      <c r="CO15" s="1">
        <v>0.17335998923904941</v>
      </c>
      <c r="CP15" s="1">
        <v>-3.4393214794909137E-2</v>
      </c>
      <c r="CQ15" s="1">
        <v>0.13960361925898909</v>
      </c>
      <c r="CR15" s="1">
        <v>2.4374318697755349E-2</v>
      </c>
      <c r="CS15" s="1">
        <v>1.6910986704255612E-2</v>
      </c>
      <c r="CT15" s="1">
        <v>-7.3945749754547726E-3</v>
      </c>
      <c r="CU15" s="1">
        <v>0.153863675501306</v>
      </c>
      <c r="CV15" s="1">
        <v>6.0444495689389928E-2</v>
      </c>
      <c r="CW15" s="1">
        <v>-2.7257441545493911E-2</v>
      </c>
      <c r="CX15" s="1">
        <v>1.7868891816779579E-2</v>
      </c>
      <c r="CY15" s="1">
        <v>5.5732710824827947E-2</v>
      </c>
      <c r="CZ15" s="1">
        <v>0.1153640450929759</v>
      </c>
      <c r="DA15" s="1">
        <v>8.8862212197355878E-2</v>
      </c>
      <c r="DB15" s="1">
        <v>9.7048241525465193E-2</v>
      </c>
      <c r="DC15" s="1">
        <v>7.6727024332969171E-2</v>
      </c>
      <c r="DD15" s="1">
        <v>-6.7526409067735202E-2</v>
      </c>
      <c r="DE15" s="1">
        <v>-6.5608102400593851E-2</v>
      </c>
      <c r="DF15" s="1">
        <v>0.30272044964278222</v>
      </c>
      <c r="DG15" s="1">
        <v>-4.7917484974342339E-2</v>
      </c>
      <c r="DH15" s="1">
        <v>-1.8709011043892099E-2</v>
      </c>
      <c r="DI15" s="1">
        <v>-1.171844900945769E-2</v>
      </c>
      <c r="DJ15" s="1">
        <v>-5.1522810823404298E-2</v>
      </c>
      <c r="DK15" s="1">
        <v>-0.1003289268680829</v>
      </c>
      <c r="DL15" s="1">
        <v>7.7378337781703003E-3</v>
      </c>
      <c r="DM15" s="1">
        <v>1.773264737208499E-3</v>
      </c>
      <c r="DN15" s="1">
        <v>-6.7022569228543022E-2</v>
      </c>
      <c r="DO15" s="1">
        <v>0.15954541135927219</v>
      </c>
      <c r="DP15" s="1">
        <v>-4.0330192791233468E-2</v>
      </c>
      <c r="DQ15" s="1">
        <v>-7.2938079904142805E-2</v>
      </c>
      <c r="DR15" s="1">
        <v>-2.2035264994874001E-2</v>
      </c>
      <c r="DS15" s="1">
        <v>3.7530143777968331E-2</v>
      </c>
      <c r="DT15" s="1">
        <v>3.4296398911167342E-2</v>
      </c>
      <c r="DU15" s="1">
        <v>-0.1171276535106479</v>
      </c>
      <c r="DV15" s="1">
        <v>5.1127000244827102E-2</v>
      </c>
      <c r="DW15" s="1">
        <v>-6.0826326337380818E-2</v>
      </c>
      <c r="DX15" s="1">
        <v>-0.1186162506499864</v>
      </c>
      <c r="DY15" s="1">
        <v>0.10653916660100959</v>
      </c>
      <c r="DZ15" s="1">
        <v>4.0455653304009277E-2</v>
      </c>
      <c r="EA15" s="1">
        <v>0.10917693290987859</v>
      </c>
      <c r="EB15" s="1">
        <v>-5.6126480267324717E-2</v>
      </c>
      <c r="EC15" s="1">
        <v>-1.7785518394724049E-2</v>
      </c>
      <c r="ED15" s="1">
        <v>-7.238331929292896E-2</v>
      </c>
      <c r="EE15" s="1">
        <v>-3.1907205015268242E-3</v>
      </c>
      <c r="EF15" s="1">
        <v>6.2208305239075959E-2</v>
      </c>
    </row>
    <row r="16" spans="1:136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6.500657711132822E-2</v>
      </c>
      <c r="F16" s="9">
        <v>-9.9382492855487087E-2</v>
      </c>
      <c r="G16" s="9">
        <v>-7.3696265126923857E-2</v>
      </c>
      <c r="H16" s="9">
        <v>7.2848056287647484E-2</v>
      </c>
      <c r="I16" s="9">
        <v>0.11179230197990719</v>
      </c>
      <c r="J16" s="9">
        <v>-6.869403325322769E-2</v>
      </c>
      <c r="K16" s="9">
        <v>1.79251045182631E-2</v>
      </c>
      <c r="L16" s="2">
        <v>9.8865345878687977E-3</v>
      </c>
      <c r="M16" s="2">
        <v>-0.1948764049423935</v>
      </c>
      <c r="N16" s="2">
        <v>0.36698760912258638</v>
      </c>
      <c r="O16" s="1">
        <v>-1.562109222531044E-2</v>
      </c>
      <c r="P16" s="1">
        <v>6.1979735280907847E-2</v>
      </c>
      <c r="Q16" s="1">
        <v>-9.6618173174909727E-2</v>
      </c>
      <c r="R16" s="1">
        <v>1.9182762255635071E-2</v>
      </c>
      <c r="S16" s="1">
        <v>-4.241518321095411E-2</v>
      </c>
      <c r="T16" s="1">
        <v>-2.322678494413952E-2</v>
      </c>
      <c r="U16" s="1">
        <v>0.1300624714297445</v>
      </c>
      <c r="V16" s="1">
        <v>-0.1043161756014417</v>
      </c>
      <c r="W16" s="1">
        <v>7.8373488027637842E-2</v>
      </c>
      <c r="X16" s="1">
        <v>-7.3678277657467109E-2</v>
      </c>
      <c r="Y16" s="1">
        <v>-4.2874470917364169E-3</v>
      </c>
      <c r="Z16" s="1">
        <v>-2.0075794878424799E-2</v>
      </c>
      <c r="AA16" s="1">
        <v>5.022552686591434E-2</v>
      </c>
      <c r="AB16" s="1">
        <v>-7.1016126417337094E-2</v>
      </c>
      <c r="AC16" s="1">
        <v>-4.1040522709083073E-2</v>
      </c>
      <c r="AD16" s="1">
        <v>3.481117185725148E-2</v>
      </c>
      <c r="AE16" s="1">
        <v>5.1534991881901908E-2</v>
      </c>
      <c r="AF16" s="1">
        <v>-1.5008623012342881E-2</v>
      </c>
      <c r="AG16" s="1">
        <v>-8.3019076028860647E-3</v>
      </c>
      <c r="AH16" s="1">
        <v>-4.4107019023009487E-2</v>
      </c>
      <c r="AI16" s="1">
        <v>4.907804317656804E-2</v>
      </c>
      <c r="AJ16" s="1">
        <v>-1.7629241723035149E-2</v>
      </c>
      <c r="AK16" s="1">
        <v>6.4421400832372078E-2</v>
      </c>
      <c r="AL16" s="1">
        <v>-1.4472511517458609E-2</v>
      </c>
      <c r="AM16" s="1">
        <v>2.3733533599768802E-2</v>
      </c>
      <c r="AN16" s="1">
        <v>-5.2712143495019431E-2</v>
      </c>
      <c r="AO16" s="1">
        <v>4.0042671478003652E-2</v>
      </c>
      <c r="AP16" s="1">
        <v>5.239889563344962E-3</v>
      </c>
      <c r="AQ16" s="1">
        <v>-2.4036053854552351E-2</v>
      </c>
      <c r="AR16" s="1">
        <v>3.2492759720063692E-2</v>
      </c>
      <c r="AS16" s="1">
        <v>-2.8079705152361089E-2</v>
      </c>
      <c r="AT16" s="1">
        <v>3.9394693801166024E-3</v>
      </c>
      <c r="AU16" s="1">
        <v>0.17023588881714</v>
      </c>
      <c r="AV16" s="1">
        <v>2.360887634805886E-2</v>
      </c>
      <c r="AW16" s="1">
        <v>9.3057992548748608E-2</v>
      </c>
      <c r="AX16" s="1">
        <v>-6.8578552128263116E-3</v>
      </c>
      <c r="AY16" s="1">
        <v>-3.4673712182930458E-2</v>
      </c>
      <c r="AZ16" s="1">
        <v>4.6826876003376768E-2</v>
      </c>
      <c r="BA16" s="1">
        <v>0.15999070017462089</v>
      </c>
      <c r="BB16" s="1">
        <v>0.1324747375965718</v>
      </c>
      <c r="BC16" s="1">
        <v>6.6102245099688817E-2</v>
      </c>
      <c r="BD16" s="1">
        <v>-1.6936217924359391E-2</v>
      </c>
      <c r="BE16" s="1">
        <v>-4.4139136640068882E-2</v>
      </c>
      <c r="BF16" s="1">
        <v>-5.4584963205786277E-2</v>
      </c>
      <c r="BG16" s="1">
        <v>1.9331206971702371E-2</v>
      </c>
      <c r="BH16" s="1">
        <v>-6.204002555156761E-2</v>
      </c>
      <c r="BI16" s="1">
        <v>2.5620093923557338E-2</v>
      </c>
      <c r="BJ16" s="1">
        <v>2.0503816283207601E-2</v>
      </c>
      <c r="BK16" s="1">
        <v>0.1047732029205687</v>
      </c>
      <c r="BL16" s="1">
        <v>-8.4142573937307022E-3</v>
      </c>
      <c r="BM16" s="1">
        <v>-6.9805825252800505E-2</v>
      </c>
      <c r="BN16" s="1">
        <v>-6.7197970404689056E-2</v>
      </c>
      <c r="BO16" s="1">
        <v>1.5960318994735909E-2</v>
      </c>
      <c r="BP16" s="1">
        <v>5.7750060680455823E-2</v>
      </c>
      <c r="BQ16" s="1">
        <v>2.7863422720998929E-2</v>
      </c>
      <c r="BR16" s="1">
        <v>1.225934906365117E-2</v>
      </c>
      <c r="BS16" s="1">
        <v>7.8982186965389278E-2</v>
      </c>
      <c r="BT16" s="1">
        <v>-3.8066078212245447E-2</v>
      </c>
      <c r="BU16" s="1">
        <v>-0.1015365742283048</v>
      </c>
      <c r="BV16" s="1">
        <v>9.4510468466925304E-2</v>
      </c>
      <c r="BW16" s="1">
        <v>0.2239449140016582</v>
      </c>
      <c r="BX16" s="1">
        <v>2.4078271829347249E-2</v>
      </c>
      <c r="BY16" s="1">
        <v>-0.1189947080532785</v>
      </c>
      <c r="BZ16" s="1">
        <v>9.2629007141227654E-2</v>
      </c>
      <c r="CA16" s="1">
        <v>2.7432169651693931E-2</v>
      </c>
      <c r="CB16" s="1">
        <v>0.13930873593333401</v>
      </c>
      <c r="CC16" s="1">
        <v>4.4388153170205821E-2</v>
      </c>
      <c r="CD16" s="1">
        <v>8.7751090265593801E-2</v>
      </c>
      <c r="CE16" s="1">
        <v>9.3614230467915741E-2</v>
      </c>
      <c r="CF16" s="1">
        <v>-1.4696062966429431E-2</v>
      </c>
      <c r="CG16" s="1">
        <v>0.14619604002614181</v>
      </c>
      <c r="CH16" s="1">
        <v>-1.8520265261891659E-2</v>
      </c>
      <c r="CI16" s="1">
        <v>-5.8344749844507937E-2</v>
      </c>
      <c r="CJ16" s="1">
        <v>2.7800423322971151E-2</v>
      </c>
      <c r="CK16" s="1">
        <v>7.0731880516684026E-2</v>
      </c>
      <c r="CL16" s="1">
        <v>0.24393815656542189</v>
      </c>
      <c r="CM16" s="1">
        <v>-0.11305583839137461</v>
      </c>
      <c r="CN16" s="1">
        <v>9.609047784022209E-3</v>
      </c>
      <c r="CO16" s="1">
        <v>0.20954751845975189</v>
      </c>
      <c r="CP16" s="1">
        <v>-3.0684438881901852E-2</v>
      </c>
      <c r="CQ16" s="1">
        <v>0.16844978460392601</v>
      </c>
      <c r="CR16" s="1">
        <v>2.5228656512159529E-2</v>
      </c>
      <c r="CS16" s="1">
        <v>2.1807008909622099E-2</v>
      </c>
      <c r="CT16" s="1">
        <v>-5.0674065008409694E-3</v>
      </c>
      <c r="CU16" s="1">
        <v>0.15404572660642751</v>
      </c>
      <c r="CV16" s="1">
        <v>5.9453992785835942E-2</v>
      </c>
      <c r="CW16" s="1">
        <v>-3.1673114171682698E-2</v>
      </c>
      <c r="CX16" s="1">
        <v>6.6867776782281244E-3</v>
      </c>
      <c r="CY16" s="1">
        <v>5.8554306171252721E-2</v>
      </c>
      <c r="CZ16" s="1">
        <v>0.16621831718246161</v>
      </c>
      <c r="DA16" s="1">
        <v>0.1181813303624494</v>
      </c>
      <c r="DB16" s="1">
        <v>9.8017282885796683E-2</v>
      </c>
      <c r="DC16" s="1">
        <v>6.3740658508044973E-2</v>
      </c>
      <c r="DD16" s="1">
        <v>-7.4371115002597243E-2</v>
      </c>
      <c r="DE16" s="1">
        <v>-5.632591307750956E-2</v>
      </c>
      <c r="DF16" s="1">
        <v>0.32557955091715263</v>
      </c>
      <c r="DG16" s="1">
        <v>-4.5676915028892429E-2</v>
      </c>
      <c r="DH16" s="1">
        <v>-1.9129343417971109E-2</v>
      </c>
      <c r="DI16" s="1">
        <v>-1.323342571252226E-2</v>
      </c>
      <c r="DJ16" s="1">
        <v>-3.66431427315837E-2</v>
      </c>
      <c r="DK16" s="1">
        <v>-9.6254624799197414E-2</v>
      </c>
      <c r="DL16" s="1">
        <v>1.365972087922711E-3</v>
      </c>
      <c r="DM16" s="1">
        <v>3.8134995560551693E-2</v>
      </c>
      <c r="DN16" s="1">
        <v>-5.6707576938316691E-2</v>
      </c>
      <c r="DO16" s="1">
        <v>0.16959094638807429</v>
      </c>
      <c r="DP16" s="1">
        <v>-2.4716583377735541E-2</v>
      </c>
      <c r="DQ16" s="1">
        <v>-6.7560519945635999E-2</v>
      </c>
      <c r="DR16" s="1">
        <v>-1.11781676491013E-2</v>
      </c>
      <c r="DS16" s="1">
        <v>2.144067271249302E-2</v>
      </c>
      <c r="DT16" s="1">
        <v>3.2059492153239763E-2</v>
      </c>
      <c r="DU16" s="1">
        <v>-0.1227720465229642</v>
      </c>
      <c r="DV16" s="1">
        <v>4.5148984409387249E-2</v>
      </c>
      <c r="DW16" s="1">
        <v>-7.1302574123356402E-2</v>
      </c>
      <c r="DX16" s="1">
        <v>-0.1252847063239774</v>
      </c>
      <c r="DY16" s="1">
        <v>0.11635433491034319</v>
      </c>
      <c r="DZ16" s="1">
        <v>5.8810748191046001E-2</v>
      </c>
      <c r="EA16" s="1">
        <v>0.13979901874338971</v>
      </c>
      <c r="EB16" s="1">
        <v>-7.0875443779551073E-2</v>
      </c>
      <c r="EC16" s="1">
        <v>-2.493799654212037E-2</v>
      </c>
      <c r="ED16" s="1">
        <v>-8.0284912658833474E-2</v>
      </c>
      <c r="EE16" s="1">
        <v>-4.3966753067597054E-3</v>
      </c>
      <c r="EF16" s="1">
        <v>3.9893906712643798E-2</v>
      </c>
    </row>
    <row r="17" spans="1:137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7.9589849390753017E-2</v>
      </c>
      <c r="F17" s="9">
        <v>-0.1128375151172957</v>
      </c>
      <c r="G17" s="9">
        <v>-7.8063040828595276E-2</v>
      </c>
      <c r="H17" s="9">
        <v>0.104994053627741</v>
      </c>
      <c r="I17" s="9">
        <v>6.7489655086341166E-2</v>
      </c>
      <c r="J17" s="9">
        <v>-0.11529907324194991</v>
      </c>
      <c r="K17" s="9">
        <v>3.9444991917733881E-2</v>
      </c>
      <c r="L17" s="2">
        <v>5.4577589303980156E-3</v>
      </c>
      <c r="M17" s="2">
        <v>-0.22694063729232281</v>
      </c>
      <c r="N17" s="2">
        <v>0.40510800893946219</v>
      </c>
      <c r="O17" s="1">
        <v>-2.4632055211945642E-2</v>
      </c>
      <c r="P17" s="1">
        <v>7.6915603502900942E-2</v>
      </c>
      <c r="Q17" s="1">
        <v>-0.1064302532864768</v>
      </c>
      <c r="R17" s="1">
        <v>1.9752512806694429E-3</v>
      </c>
      <c r="S17" s="1">
        <v>-5.51320257379724E-2</v>
      </c>
      <c r="T17" s="1">
        <v>-2.3507588651560989E-2</v>
      </c>
      <c r="U17" s="1">
        <v>0.1417558970831658</v>
      </c>
      <c r="V17" s="1">
        <v>-0.11635630202540009</v>
      </c>
      <c r="W17" s="1">
        <v>7.9141988802017282E-2</v>
      </c>
      <c r="X17" s="1">
        <v>-0.1001859670039883</v>
      </c>
      <c r="Y17" s="1">
        <v>1.500501326537191E-3</v>
      </c>
      <c r="Z17" s="1">
        <v>-2.160848979426638E-2</v>
      </c>
      <c r="AA17" s="1">
        <v>6.2254197086471723E-2</v>
      </c>
      <c r="AB17" s="1">
        <v>-5.8334160690778111E-2</v>
      </c>
      <c r="AC17" s="1">
        <v>-4.0799010987682183E-2</v>
      </c>
      <c r="AD17" s="1">
        <v>6.8619823236846789E-2</v>
      </c>
      <c r="AE17" s="1">
        <v>5.9443499695692369E-2</v>
      </c>
      <c r="AF17" s="1">
        <v>-8.4112432483115646E-3</v>
      </c>
      <c r="AG17" s="1">
        <v>-1.3516708058117981E-3</v>
      </c>
      <c r="AH17" s="1">
        <v>-3.1921450212330872E-2</v>
      </c>
      <c r="AI17" s="1">
        <v>3.058770864151358E-2</v>
      </c>
      <c r="AJ17" s="1">
        <v>-1.02724484118257E-2</v>
      </c>
      <c r="AK17" s="1">
        <v>3.1812485999819867E-2</v>
      </c>
      <c r="AL17" s="1">
        <v>-9.9837333349987543E-3</v>
      </c>
      <c r="AM17" s="1">
        <v>2.786976573177774E-2</v>
      </c>
      <c r="AN17" s="1">
        <v>-4.9360372419014018E-2</v>
      </c>
      <c r="AO17" s="1">
        <v>3.0704028943616561E-2</v>
      </c>
      <c r="AP17" s="1">
        <v>3.7580715888505642E-3</v>
      </c>
      <c r="AQ17" s="1">
        <v>-9.2339934757894315E-3</v>
      </c>
      <c r="AR17" s="1">
        <v>3.4997281035057427E-2</v>
      </c>
      <c r="AS17" s="1">
        <v>-2.9516930075019911E-2</v>
      </c>
      <c r="AT17" s="1">
        <v>1.432681966035524E-3</v>
      </c>
      <c r="AU17" s="1">
        <v>0.17756202574817151</v>
      </c>
      <c r="AV17" s="1">
        <v>2.7563054075277468E-2</v>
      </c>
      <c r="AW17" s="1">
        <v>0.1120018351064727</v>
      </c>
      <c r="AX17" s="1">
        <v>1.059038835448599E-2</v>
      </c>
      <c r="AY17" s="1">
        <v>-3.7171003758517923E-2</v>
      </c>
      <c r="AZ17" s="1">
        <v>4.798043380917294E-2</v>
      </c>
      <c r="BA17" s="1">
        <v>0.1628064098097628</v>
      </c>
      <c r="BB17" s="1">
        <v>0.15327128427838471</v>
      </c>
      <c r="BC17" s="1">
        <v>8.2716571543810222E-2</v>
      </c>
      <c r="BD17" s="1">
        <v>1.347482982462418E-2</v>
      </c>
      <c r="BE17" s="1">
        <v>-1.6297388770544239E-2</v>
      </c>
      <c r="BF17" s="1">
        <v>-1.8337154663690059E-2</v>
      </c>
      <c r="BG17" s="1">
        <v>-1.3153310785772251E-2</v>
      </c>
      <c r="BH17" s="1">
        <v>-4.8737994244788217E-2</v>
      </c>
      <c r="BI17" s="1">
        <v>5.7449623738435422E-2</v>
      </c>
      <c r="BJ17" s="1">
        <v>9.8580642732364818E-3</v>
      </c>
      <c r="BK17" s="1">
        <v>0.11481579199951759</v>
      </c>
      <c r="BL17" s="1">
        <v>7.5736051069474897E-3</v>
      </c>
      <c r="BM17" s="1">
        <v>-7.7967325781843663E-2</v>
      </c>
      <c r="BN17" s="1">
        <v>-7.3656767936365913E-2</v>
      </c>
      <c r="BO17" s="1">
        <v>3.135029868338178E-2</v>
      </c>
      <c r="BP17" s="1">
        <v>6.0638146909917152E-2</v>
      </c>
      <c r="BQ17" s="1">
        <v>4.864259686628479E-2</v>
      </c>
      <c r="BR17" s="1">
        <v>3.5003814974763063E-2</v>
      </c>
      <c r="BS17" s="1">
        <v>6.2448283791966583E-2</v>
      </c>
      <c r="BT17" s="1">
        <v>-3.3647573246358371E-2</v>
      </c>
      <c r="BU17" s="1">
        <v>-0.1045242995328607</v>
      </c>
      <c r="BV17" s="1">
        <v>0.1066439176333919</v>
      </c>
      <c r="BW17" s="1">
        <v>0.22723409350896309</v>
      </c>
      <c r="BX17" s="1">
        <v>7.2009502804254097E-3</v>
      </c>
      <c r="BY17" s="1">
        <v>-9.5860871919991084E-2</v>
      </c>
      <c r="BZ17" s="1">
        <v>0.1069513941657881</v>
      </c>
      <c r="CA17" s="1">
        <v>2.7196784377914691E-2</v>
      </c>
      <c r="CB17" s="1">
        <v>0.1496331576928896</v>
      </c>
      <c r="CC17" s="1">
        <v>4.1760252474235628E-2</v>
      </c>
      <c r="CD17" s="1">
        <v>6.4105945265327313E-2</v>
      </c>
      <c r="CE17" s="1">
        <v>9.5708073661495086E-2</v>
      </c>
      <c r="CF17" s="1">
        <v>-9.5123348938203942E-2</v>
      </c>
      <c r="CG17" s="1">
        <v>0.17703460732335141</v>
      </c>
      <c r="CH17" s="1">
        <v>-2.2753338893504119E-2</v>
      </c>
      <c r="CI17" s="1">
        <v>-8.2452914320057163E-2</v>
      </c>
      <c r="CJ17" s="1">
        <v>3.8321941492216682E-2</v>
      </c>
      <c r="CK17" s="1">
        <v>7.5742961806762446E-2</v>
      </c>
      <c r="CL17" s="1">
        <v>0.28717909798135349</v>
      </c>
      <c r="CM17" s="1">
        <v>-9.5493870816553639E-2</v>
      </c>
      <c r="CN17" s="1">
        <v>1.363062371400074E-2</v>
      </c>
      <c r="CO17" s="1">
        <v>0.19808041988978861</v>
      </c>
      <c r="CP17" s="1">
        <v>-2.1609528917710528E-2</v>
      </c>
      <c r="CQ17" s="1">
        <v>0.17312915833239451</v>
      </c>
      <c r="CR17" s="1">
        <v>2.3005829537998311E-2</v>
      </c>
      <c r="CS17" s="1">
        <v>1.1545515717005199E-2</v>
      </c>
      <c r="CT17" s="1">
        <v>-4.9260056389193077E-2</v>
      </c>
      <c r="CU17" s="1">
        <v>5.1107962816124362E-2</v>
      </c>
      <c r="CV17" s="1">
        <v>6.7891017071279439E-2</v>
      </c>
      <c r="CW17" s="1">
        <v>-2.3155844814847809E-2</v>
      </c>
      <c r="CX17" s="1">
        <v>2.4992449205521659E-2</v>
      </c>
      <c r="CY17" s="1">
        <v>5.9497951859822741E-2</v>
      </c>
      <c r="CZ17" s="1">
        <v>0.18413320062612309</v>
      </c>
      <c r="DA17" s="1">
        <v>9.4496399219490587E-2</v>
      </c>
      <c r="DB17" s="1">
        <v>0.1042716259030833</v>
      </c>
      <c r="DC17" s="1">
        <v>5.3888321948882503E-2</v>
      </c>
      <c r="DD17" s="1">
        <v>-4.8130589338511678E-2</v>
      </c>
      <c r="DE17" s="1">
        <v>-5.1666263067068223E-2</v>
      </c>
      <c r="DF17" s="1">
        <v>0.35222555427147212</v>
      </c>
      <c r="DG17" s="1">
        <v>-4.7210988428523781E-2</v>
      </c>
      <c r="DH17" s="1">
        <v>-3.8726650938012717E-2</v>
      </c>
      <c r="DI17" s="1">
        <v>-5.2932443237824409E-3</v>
      </c>
      <c r="DJ17" s="1">
        <v>-4.5336157540819967E-2</v>
      </c>
      <c r="DK17" s="1">
        <v>-0.1027812687483064</v>
      </c>
      <c r="DL17" s="1">
        <v>-5.7903457454932094E-3</v>
      </c>
      <c r="DM17" s="1">
        <v>4.2563608711752209E-2</v>
      </c>
      <c r="DN17" s="1">
        <v>-6.0629182792548447E-2</v>
      </c>
      <c r="DO17" s="1">
        <v>0.17976292609872879</v>
      </c>
      <c r="DP17" s="1">
        <v>-2.509743000805471E-2</v>
      </c>
      <c r="DQ17" s="1">
        <v>-6.5244348133762259E-2</v>
      </c>
      <c r="DR17" s="1">
        <v>-2.572643946627351E-2</v>
      </c>
      <c r="DS17" s="1">
        <v>3.7354088755102308E-2</v>
      </c>
      <c r="DT17" s="1">
        <v>1.674318991919271E-2</v>
      </c>
      <c r="DU17" s="1">
        <v>-0.12949295631998961</v>
      </c>
      <c r="DV17" s="1">
        <v>6.2269791498047573E-2</v>
      </c>
      <c r="DW17" s="1">
        <v>-7.659891303599646E-2</v>
      </c>
      <c r="DX17" s="1">
        <v>-0.12953898259647401</v>
      </c>
      <c r="DY17" s="1">
        <v>0.1031206782681542</v>
      </c>
      <c r="DZ17" s="1">
        <v>4.9212629169808252E-2</v>
      </c>
      <c r="EA17" s="1">
        <v>0.1645715232321148</v>
      </c>
      <c r="EB17" s="1">
        <v>-7.3780969717652869E-2</v>
      </c>
      <c r="EC17" s="1">
        <v>-2.0361159093761828E-2</v>
      </c>
      <c r="ED17" s="1">
        <v>-8.285562240348486E-2</v>
      </c>
      <c r="EE17" s="1">
        <v>1.9352114607941879E-4</v>
      </c>
      <c r="EF17" s="1">
        <v>4.7709767009851849E-2</v>
      </c>
    </row>
    <row r="18" spans="1:137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5.3439350267724013E-2</v>
      </c>
      <c r="F18" s="9">
        <v>-0.13441437443338569</v>
      </c>
      <c r="G18" s="9">
        <v>-8.0794247020859855E-2</v>
      </c>
      <c r="H18" s="9">
        <v>0.12853956177457129</v>
      </c>
      <c r="I18" s="9">
        <v>5.4952662908801589E-2</v>
      </c>
      <c r="J18" s="9">
        <v>-0.12516179308854181</v>
      </c>
      <c r="K18" s="9">
        <v>3.1586450310913693E-2</v>
      </c>
      <c r="L18" s="2">
        <v>1.298248684698161E-2</v>
      </c>
      <c r="M18" s="2">
        <v>-0.25351319401266048</v>
      </c>
      <c r="N18" s="2">
        <v>0.46182001807061318</v>
      </c>
      <c r="O18" s="1">
        <v>-2.432387484281975E-2</v>
      </c>
      <c r="P18" s="1">
        <v>5.4569613110984121E-2</v>
      </c>
      <c r="Q18" s="1">
        <v>-0.12173637166463511</v>
      </c>
      <c r="R18" s="1">
        <v>1.9326198926856369E-2</v>
      </c>
      <c r="S18" s="1">
        <v>-6.9013340393708683E-2</v>
      </c>
      <c r="T18" s="1">
        <v>-5.0281401732647129E-3</v>
      </c>
      <c r="U18" s="1">
        <v>0.132495024429819</v>
      </c>
      <c r="V18" s="1">
        <v>-0.13125392693944099</v>
      </c>
      <c r="W18" s="1">
        <v>7.7296280059738612E-2</v>
      </c>
      <c r="X18" s="1">
        <v>-0.1271228086254903</v>
      </c>
      <c r="Y18" s="1">
        <v>2.421380772058089E-2</v>
      </c>
      <c r="Z18" s="1">
        <v>-1.690571618738388E-2</v>
      </c>
      <c r="AA18" s="1">
        <v>5.4804497980215187E-2</v>
      </c>
      <c r="AB18" s="1">
        <v>-6.1713850673723439E-2</v>
      </c>
      <c r="AC18" s="1">
        <v>-7.4719823379266678E-2</v>
      </c>
      <c r="AD18" s="1">
        <v>9.6285845185419314E-2</v>
      </c>
      <c r="AE18" s="1">
        <v>7.7201591618879711E-2</v>
      </c>
      <c r="AF18" s="1">
        <v>1.751491948521124E-3</v>
      </c>
      <c r="AG18" s="1">
        <v>-8.6183643801437219E-3</v>
      </c>
      <c r="AH18" s="1">
        <v>-3.591323041590648E-2</v>
      </c>
      <c r="AI18" s="1">
        <v>4.6855541353756032E-2</v>
      </c>
      <c r="AJ18" s="1">
        <v>-7.3274438891894889E-3</v>
      </c>
      <c r="AK18" s="1">
        <v>-2.1874809686740931E-3</v>
      </c>
      <c r="AL18" s="1">
        <v>-8.5555505437218517E-4</v>
      </c>
      <c r="AM18" s="1">
        <v>9.8597345169118208E-3</v>
      </c>
      <c r="AN18" s="1">
        <v>-5.3661578264684401E-2</v>
      </c>
      <c r="AO18" s="1">
        <v>4.6668950589532437E-2</v>
      </c>
      <c r="AP18" s="1">
        <v>2.0144314479082388E-3</v>
      </c>
      <c r="AQ18" s="1">
        <v>1.6785141569115709E-2</v>
      </c>
      <c r="AR18" s="1">
        <v>6.1694523600781571E-2</v>
      </c>
      <c r="AS18" s="1">
        <v>-4.5375000130498902E-2</v>
      </c>
      <c r="AT18" s="1">
        <v>2.9654325566963909E-2</v>
      </c>
      <c r="AU18" s="1">
        <v>0.1966597311386786</v>
      </c>
      <c r="AV18" s="1">
        <v>3.5057687575876399E-2</v>
      </c>
      <c r="AW18" s="1">
        <v>0.14204195134249811</v>
      </c>
      <c r="AX18" s="1">
        <v>3.3602067775490192E-2</v>
      </c>
      <c r="AY18" s="1">
        <v>-4.2777607907858922E-2</v>
      </c>
      <c r="AZ18" s="1">
        <v>6.6341275737421684E-2</v>
      </c>
      <c r="BA18" s="1">
        <v>0.16410613980892599</v>
      </c>
      <c r="BB18" s="1">
        <v>0.16725801848079261</v>
      </c>
      <c r="BC18" s="1">
        <v>8.3201572593320589E-2</v>
      </c>
      <c r="BD18" s="1">
        <v>3.857350279129606E-3</v>
      </c>
      <c r="BE18" s="1">
        <v>-2.2230541258883942E-2</v>
      </c>
      <c r="BF18" s="1">
        <v>-3.8143151088164323E-2</v>
      </c>
      <c r="BG18" s="1">
        <v>-2.308236889505343E-3</v>
      </c>
      <c r="BH18" s="1">
        <v>-6.2935383825294358E-2</v>
      </c>
      <c r="BI18" s="1">
        <v>3.3487579603792193E-2</v>
      </c>
      <c r="BJ18" s="1">
        <v>-5.9560640504595433E-3</v>
      </c>
      <c r="BK18" s="1">
        <v>7.3455626824005624E-2</v>
      </c>
      <c r="BL18" s="1">
        <v>2.6352779482868838E-2</v>
      </c>
      <c r="BM18" s="1">
        <v>-6.9782332729482255E-2</v>
      </c>
      <c r="BN18" s="1">
        <v>-7.8208699482375382E-2</v>
      </c>
      <c r="BO18" s="1">
        <v>8.4067312683740805E-3</v>
      </c>
      <c r="BP18" s="1">
        <v>6.2463432036451667E-2</v>
      </c>
      <c r="BQ18" s="1">
        <v>5.8284370965313387E-2</v>
      </c>
      <c r="BR18" s="1">
        <v>2.628669627670879E-2</v>
      </c>
      <c r="BS18" s="1">
        <v>8.1735750164719484E-2</v>
      </c>
      <c r="BT18" s="1">
        <v>-1.329915077767777E-2</v>
      </c>
      <c r="BU18" s="1">
        <v>-0.1114615455291026</v>
      </c>
      <c r="BV18" s="1">
        <v>0.11550551871264431</v>
      </c>
      <c r="BW18" s="1">
        <v>0.26103993029855499</v>
      </c>
      <c r="BX18" s="1">
        <v>-1.5811923945792471E-2</v>
      </c>
      <c r="BY18" s="1">
        <v>-6.2686744450084916E-2</v>
      </c>
      <c r="BZ18" s="1">
        <v>0.1098145711266066</v>
      </c>
      <c r="CA18" s="1">
        <v>3.3286164900529089E-2</v>
      </c>
      <c r="CB18" s="1">
        <v>0.1068460604700732</v>
      </c>
      <c r="CC18" s="1">
        <v>0.1046606238416451</v>
      </c>
      <c r="CD18" s="1">
        <v>5.0445794555038302E-2</v>
      </c>
      <c r="CE18" s="1">
        <v>7.7260394878222755E-2</v>
      </c>
      <c r="CF18" s="1">
        <v>-0.101858615532994</v>
      </c>
      <c r="CG18" s="1">
        <v>0.22664140590161991</v>
      </c>
      <c r="CH18" s="1">
        <v>-2.5439162404601409E-2</v>
      </c>
      <c r="CI18" s="1">
        <v>-0.11772540993228391</v>
      </c>
      <c r="CJ18" s="1">
        <v>2.8685006674503851E-2</v>
      </c>
      <c r="CK18" s="1">
        <v>7.3220034109326315E-2</v>
      </c>
      <c r="CL18" s="1">
        <v>0.31710861291846171</v>
      </c>
      <c r="CM18" s="1">
        <v>-0.1027696116279509</v>
      </c>
      <c r="CN18" s="1">
        <v>-2.8617589764474479E-2</v>
      </c>
      <c r="CO18" s="1">
        <v>0.22828208587546131</v>
      </c>
      <c r="CP18" s="1">
        <v>-1.549767197030737E-2</v>
      </c>
      <c r="CQ18" s="1">
        <v>0.20974120742265881</v>
      </c>
      <c r="CR18" s="1">
        <v>3.3743302271192592E-2</v>
      </c>
      <c r="CS18" s="1">
        <v>2.8128560414088639E-2</v>
      </c>
      <c r="CT18" s="1">
        <v>-9.4951029065485665E-2</v>
      </c>
      <c r="CU18" s="1">
        <v>4.7411404821833423E-3</v>
      </c>
      <c r="CV18" s="1">
        <v>6.8594139646989599E-2</v>
      </c>
      <c r="CW18" s="1">
        <v>-2.8328256584809738E-2</v>
      </c>
      <c r="CX18" s="1">
        <v>-1.40787475802823E-2</v>
      </c>
      <c r="CY18" s="1">
        <v>7.1432458912374111E-2</v>
      </c>
      <c r="CZ18" s="1">
        <v>0.2044103385591152</v>
      </c>
      <c r="DA18" s="1">
        <v>7.8358630907432503E-2</v>
      </c>
      <c r="DB18" s="1">
        <v>0.1181147182852117</v>
      </c>
      <c r="DC18" s="1">
        <v>4.9208867424112533E-2</v>
      </c>
      <c r="DD18" s="1">
        <v>-7.1071299907563223E-2</v>
      </c>
      <c r="DE18" s="1">
        <v>-3.9307075046500328E-2</v>
      </c>
      <c r="DF18" s="1">
        <v>0.36669200961401482</v>
      </c>
      <c r="DG18" s="1">
        <v>-5.4770484126873797E-2</v>
      </c>
      <c r="DH18" s="1">
        <v>-2.8038013248649029E-2</v>
      </c>
      <c r="DI18" s="1">
        <v>-1.6114629238026808E-2</v>
      </c>
      <c r="DJ18" s="1">
        <v>-4.5204039785289522E-2</v>
      </c>
      <c r="DK18" s="1">
        <v>-0.1065272620024338</v>
      </c>
      <c r="DL18" s="1">
        <v>-2.3410528135820521E-2</v>
      </c>
      <c r="DM18" s="1">
        <v>5.8457164290175813E-2</v>
      </c>
      <c r="DN18" s="1">
        <v>-5.6875260341834342E-2</v>
      </c>
      <c r="DO18" s="1">
        <v>0.22032021179129849</v>
      </c>
      <c r="DP18" s="1">
        <v>-2.151033475949439E-2</v>
      </c>
      <c r="DQ18" s="1">
        <v>-6.1955528967367397E-2</v>
      </c>
      <c r="DR18" s="1">
        <v>-1.045124881951652E-2</v>
      </c>
      <c r="DS18" s="1">
        <v>1.1277982255682851E-2</v>
      </c>
      <c r="DT18" s="1">
        <v>-7.4073899594950176E-3</v>
      </c>
      <c r="DU18" s="1">
        <v>-0.15871482271667761</v>
      </c>
      <c r="DV18" s="1">
        <v>8.5403284315402297E-2</v>
      </c>
      <c r="DW18" s="1">
        <v>-6.8636949952117263E-2</v>
      </c>
      <c r="DX18" s="1">
        <v>-0.1536029774624818</v>
      </c>
      <c r="DY18" s="1">
        <v>9.7428036975949608E-2</v>
      </c>
      <c r="DZ18" s="1">
        <v>5.4630374156582083E-2</v>
      </c>
      <c r="EA18" s="1">
        <v>0.19894574816433719</v>
      </c>
      <c r="EB18" s="1">
        <v>-9.7042689542278932E-2</v>
      </c>
      <c r="EC18" s="1">
        <v>-1.9600515916961631E-2</v>
      </c>
      <c r="ED18" s="1">
        <v>-8.0269196127523076E-2</v>
      </c>
      <c r="EE18" s="1">
        <v>-1.111287672357628E-3</v>
      </c>
      <c r="EF18" s="1">
        <v>4.8955017110416547E-2</v>
      </c>
    </row>
    <row r="19" spans="1:137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4.4403931966815142E-2</v>
      </c>
      <c r="F19" s="9">
        <v>-3.864668188624408E-2</v>
      </c>
      <c r="G19" s="9">
        <v>-9.7512090561600123E-2</v>
      </c>
      <c r="H19" s="9">
        <v>0.17761031882265199</v>
      </c>
      <c r="I19" s="9">
        <v>4.746340533639954E-2</v>
      </c>
      <c r="J19" s="9">
        <v>-0.15623035308620389</v>
      </c>
      <c r="K19" s="9">
        <v>5.6540969561565207E-2</v>
      </c>
      <c r="L19" s="2">
        <v>4.4544214914161627E-2</v>
      </c>
      <c r="M19" s="2">
        <v>-0.26154184231498678</v>
      </c>
      <c r="N19" s="2">
        <v>0.53237403768824121</v>
      </c>
      <c r="O19" s="1">
        <v>1.9797434001384839E-2</v>
      </c>
      <c r="P19" s="1">
        <v>2.2785213112093351E-2</v>
      </c>
      <c r="Q19" s="1">
        <v>-0.17046229208001809</v>
      </c>
      <c r="R19" s="1">
        <v>4.1942629449215993E-2</v>
      </c>
      <c r="S19" s="1">
        <v>-7.8696261313160737E-2</v>
      </c>
      <c r="T19" s="1">
        <v>-0.1095258615359218</v>
      </c>
      <c r="U19" s="1">
        <v>0.11376446779645349</v>
      </c>
      <c r="V19" s="1">
        <v>-0.11868445851892109</v>
      </c>
      <c r="W19" s="1">
        <v>7.2415569319498968E-2</v>
      </c>
      <c r="X19" s="1">
        <v>-0.122923146245717</v>
      </c>
      <c r="Y19" s="1">
        <v>2.406430534505774E-2</v>
      </c>
      <c r="Z19" s="1">
        <v>-2.2223239298902381E-2</v>
      </c>
      <c r="AA19" s="1">
        <v>4.7300121799034582E-2</v>
      </c>
      <c r="AB19" s="1">
        <v>-6.0762351466553767E-2</v>
      </c>
      <c r="AC19" s="1">
        <v>-8.3512866892878637E-2</v>
      </c>
      <c r="AD19" s="1">
        <v>9.5993377798068158E-2</v>
      </c>
      <c r="AE19" s="1">
        <v>0.11523186996306679</v>
      </c>
      <c r="AF19" s="1">
        <v>-2.6256871835687168E-4</v>
      </c>
      <c r="AG19" s="1">
        <v>1.92975452240348E-2</v>
      </c>
      <c r="AH19" s="1">
        <v>-1.6089487774940799E-2</v>
      </c>
      <c r="AI19" s="1">
        <v>8.1770124789496509E-2</v>
      </c>
      <c r="AJ19" s="1">
        <v>1.2167191575980511E-2</v>
      </c>
      <c r="AK19" s="1">
        <v>7.5520425059527104E-3</v>
      </c>
      <c r="AL19" s="1">
        <v>-1.136262181352635E-3</v>
      </c>
      <c r="AM19" s="1">
        <v>1.0533243112243389E-2</v>
      </c>
      <c r="AN19" s="1">
        <v>-6.2111384254486833E-2</v>
      </c>
      <c r="AO19" s="1">
        <v>5.7746407534917388E-2</v>
      </c>
      <c r="AP19" s="1">
        <v>9.7121209416000734E-3</v>
      </c>
      <c r="AQ19" s="1">
        <v>5.4925492373613202E-2</v>
      </c>
      <c r="AR19" s="1">
        <v>7.4616897634658869E-2</v>
      </c>
      <c r="AS19" s="1">
        <v>-3.6882313341916832E-3</v>
      </c>
      <c r="AT19" s="1">
        <v>1.1184592955723931E-2</v>
      </c>
      <c r="AU19" s="1">
        <v>0.23884423839901431</v>
      </c>
      <c r="AV19" s="1">
        <v>4.2677295724337212E-2</v>
      </c>
      <c r="AW19" s="1">
        <v>0.1248618668940835</v>
      </c>
      <c r="AX19" s="1">
        <v>6.4062110230794195E-2</v>
      </c>
      <c r="AY19" s="1">
        <v>-6.0853235361370848E-2</v>
      </c>
      <c r="AZ19" s="1">
        <v>8.4032472273639608E-2</v>
      </c>
      <c r="BA19" s="1">
        <v>0.18699677755478061</v>
      </c>
      <c r="BB19" s="1">
        <v>0.2018019106632078</v>
      </c>
      <c r="BC19" s="1">
        <v>6.4055486346185755E-2</v>
      </c>
      <c r="BD19" s="1">
        <v>-1.4320046775842719E-2</v>
      </c>
      <c r="BE19" s="1">
        <v>-3.0390671068303308E-2</v>
      </c>
      <c r="BF19" s="1">
        <v>-4.9436517218842242E-2</v>
      </c>
      <c r="BG19" s="1">
        <v>9.6322010834132277E-4</v>
      </c>
      <c r="BH19" s="1">
        <v>-5.7134461326532562E-2</v>
      </c>
      <c r="BI19" s="1">
        <v>2.593679500645265E-2</v>
      </c>
      <c r="BJ19" s="1">
        <v>-2.1707301538579211E-2</v>
      </c>
      <c r="BK19" s="1">
        <v>9.7038422945385686E-2</v>
      </c>
      <c r="BL19" s="1">
        <v>2.599646479062228E-2</v>
      </c>
      <c r="BM19" s="1">
        <v>-8.8156796711781754E-2</v>
      </c>
      <c r="BN19" s="1">
        <v>-8.141326020016787E-2</v>
      </c>
      <c r="BO19" s="1">
        <v>-1.8562314440354079E-2</v>
      </c>
      <c r="BP19" s="1">
        <v>1.2410341277600779E-2</v>
      </c>
      <c r="BQ19" s="1">
        <v>-2.1009668466875939E-2</v>
      </c>
      <c r="BR19" s="1">
        <v>2.405985193551358E-2</v>
      </c>
      <c r="BS19" s="1">
        <v>0.1042646322564546</v>
      </c>
      <c r="BT19" s="1">
        <v>1.3193669203137359E-2</v>
      </c>
      <c r="BU19" s="1">
        <v>-0.1241864928119264</v>
      </c>
      <c r="BV19" s="1">
        <v>0.1000852655816153</v>
      </c>
      <c r="BW19" s="1">
        <v>0.29597629583303142</v>
      </c>
      <c r="BX19" s="1">
        <v>-3.6398889558793571E-2</v>
      </c>
      <c r="BY19" s="1">
        <v>-2.7675492411660479E-2</v>
      </c>
      <c r="BZ19" s="1">
        <v>0.14474202182844201</v>
      </c>
      <c r="CA19" s="1">
        <v>3.5609795289398637E-2</v>
      </c>
      <c r="CB19" s="1">
        <v>0.12783820910089719</v>
      </c>
      <c r="CC19" s="1">
        <v>2.2506232898517449E-2</v>
      </c>
      <c r="CD19" s="1">
        <v>8.7664948361316358E-2</v>
      </c>
      <c r="CE19" s="1">
        <v>8.8474858937667905E-2</v>
      </c>
      <c r="CF19" s="1">
        <v>-0.1116984874650168</v>
      </c>
      <c r="CG19" s="1">
        <v>0.2638931335655384</v>
      </c>
      <c r="CH19" s="1">
        <v>-7.5587856576759824E-3</v>
      </c>
      <c r="CI19" s="1">
        <v>-0.16520241227091251</v>
      </c>
      <c r="CJ19" s="1">
        <v>-1.0381871187999281E-3</v>
      </c>
      <c r="CK19" s="1">
        <v>7.4585988672142209E-2</v>
      </c>
      <c r="CL19" s="1">
        <v>0.31115170360423011</v>
      </c>
      <c r="CM19" s="1">
        <v>-0.1102358787373677</v>
      </c>
      <c r="CN19" s="1">
        <v>-1.5943690546336861E-2</v>
      </c>
      <c r="CO19" s="1">
        <v>0.25123563122031478</v>
      </c>
      <c r="CP19" s="1">
        <v>-2.9036521650026521E-2</v>
      </c>
      <c r="CQ19" s="1">
        <v>0.22201357134194111</v>
      </c>
      <c r="CR19" s="1">
        <v>2.4299202463726639E-2</v>
      </c>
      <c r="CS19" s="1">
        <v>4.3774986978304217E-2</v>
      </c>
      <c r="CT19" s="1">
        <v>-0.1226204266300308</v>
      </c>
      <c r="CU19" s="1">
        <v>7.1565657592093327E-3</v>
      </c>
      <c r="CV19" s="1">
        <v>7.6142494479096948E-2</v>
      </c>
      <c r="CW19" s="1">
        <v>-3.2192133387815562E-2</v>
      </c>
      <c r="CX19" s="1">
        <v>1.127594617394229E-3</v>
      </c>
      <c r="CY19" s="1">
        <v>7.3151337307962833E-2</v>
      </c>
      <c r="CZ19" s="1">
        <v>0.1580120007118182</v>
      </c>
      <c r="DA19" s="1">
        <v>7.5182477103680007E-2</v>
      </c>
      <c r="DB19" s="1">
        <v>0.14796184676961621</v>
      </c>
      <c r="DC19" s="1">
        <v>3.0276457178153349E-2</v>
      </c>
      <c r="DD19" s="1">
        <v>-6.3547464152502509E-2</v>
      </c>
      <c r="DE19" s="1">
        <v>-6.00571024957057E-3</v>
      </c>
      <c r="DF19" s="1">
        <v>0.20550174559429629</v>
      </c>
      <c r="DG19" s="1">
        <v>-6.6374264994436313E-2</v>
      </c>
      <c r="DH19" s="1">
        <v>-1.569831294047225E-4</v>
      </c>
      <c r="DI19" s="1">
        <v>3.666424442421171E-3</v>
      </c>
      <c r="DJ19" s="1">
        <v>-4.8514350722976607E-2</v>
      </c>
      <c r="DK19" s="1">
        <v>-0.1214423095104508</v>
      </c>
      <c r="DL19" s="1">
        <v>-2.331354503458705E-2</v>
      </c>
      <c r="DM19" s="1">
        <v>5.7300431238330417E-2</v>
      </c>
      <c r="DN19" s="1">
        <v>-6.4294394334918112E-2</v>
      </c>
      <c r="DO19" s="1">
        <v>0.2492619517097443</v>
      </c>
      <c r="DP19" s="1">
        <v>-4.0024609312920081E-3</v>
      </c>
      <c r="DQ19" s="1">
        <v>-5.0623171449732877E-2</v>
      </c>
      <c r="DR19" s="1">
        <v>-1.7544799275808199E-2</v>
      </c>
      <c r="DS19" s="1">
        <v>-5.6773135189909819E-3</v>
      </c>
      <c r="DT19" s="1">
        <v>-3.0761271922289252E-3</v>
      </c>
      <c r="DU19" s="1">
        <v>-0.15058192195631251</v>
      </c>
      <c r="DV19" s="1">
        <v>3.8124131080943979E-2</v>
      </c>
      <c r="DW19" s="1">
        <v>-0.1012959689486648</v>
      </c>
      <c r="DX19" s="1">
        <v>-0.1383651342381777</v>
      </c>
      <c r="DY19" s="1">
        <v>7.0109577687923127E-2</v>
      </c>
      <c r="DZ19" s="1">
        <v>7.8537947622533175E-2</v>
      </c>
      <c r="EA19" s="1">
        <v>0.23304583030528039</v>
      </c>
      <c r="EB19" s="1">
        <v>-0.1062458580254447</v>
      </c>
      <c r="EC19" s="1">
        <v>-3.1325109885979932E-2</v>
      </c>
      <c r="ED19" s="1">
        <v>-8.6159550798174361E-2</v>
      </c>
      <c r="EE19" s="1">
        <v>7.3065266771277096E-3</v>
      </c>
      <c r="EF19" s="1">
        <v>1.697795487476916E-2</v>
      </c>
    </row>
    <row r="20" spans="1:137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5.7336350326780597E-2</v>
      </c>
      <c r="F20" s="9">
        <v>-9.1218422172045968E-2</v>
      </c>
      <c r="G20" s="9">
        <v>-0.11160447316731489</v>
      </c>
      <c r="H20" s="9">
        <v>0.14393228225567539</v>
      </c>
      <c r="I20" s="9">
        <v>2.7935541644402932E-2</v>
      </c>
      <c r="J20" s="9">
        <v>-0.13320729307702719</v>
      </c>
      <c r="K20" s="9">
        <v>3.7404684852111583E-2</v>
      </c>
      <c r="L20" s="2">
        <v>9.5708635504535719E-2</v>
      </c>
      <c r="M20" s="2">
        <v>-0.26869382513797629</v>
      </c>
      <c r="N20" s="2">
        <v>0.5000114780094741</v>
      </c>
      <c r="O20" s="1">
        <v>0.1101145251033072</v>
      </c>
      <c r="P20" s="1">
        <v>4.0028494751770102E-2</v>
      </c>
      <c r="Q20" s="1">
        <v>-0.2248248109923951</v>
      </c>
      <c r="R20" s="1">
        <v>6.6469633088856533E-2</v>
      </c>
      <c r="S20" s="1">
        <v>-5.7341082572801211E-2</v>
      </c>
      <c r="T20" s="1">
        <v>-0.1008455330434727</v>
      </c>
      <c r="U20" s="1">
        <v>0.1223290351152112</v>
      </c>
      <c r="V20" s="1">
        <v>-0.13628806336757671</v>
      </c>
      <c r="W20" s="1">
        <v>9.1084869432544818E-2</v>
      </c>
      <c r="X20" s="1">
        <v>-0.15004231162753859</v>
      </c>
      <c r="Y20" s="1">
        <v>-4.8557578603156213E-3</v>
      </c>
      <c r="Z20" s="1">
        <v>2.9157350054346439E-2</v>
      </c>
      <c r="AA20" s="1">
        <v>6.6961978782240111E-2</v>
      </c>
      <c r="AB20" s="1">
        <v>-6.0423624288029942E-2</v>
      </c>
      <c r="AC20" s="1">
        <v>-9.6309042825298966E-2</v>
      </c>
      <c r="AD20" s="1">
        <v>0.12984341871366439</v>
      </c>
      <c r="AE20" s="1">
        <v>1.7311149627037389E-2</v>
      </c>
      <c r="AF20" s="1">
        <v>6.4692814832951473E-3</v>
      </c>
      <c r="AG20" s="1">
        <v>-6.2417403721479496E-3</v>
      </c>
      <c r="AH20" s="1">
        <v>-2.780670227591649E-2</v>
      </c>
      <c r="AI20" s="1">
        <v>7.8154544921168481E-2</v>
      </c>
      <c r="AJ20" s="1">
        <v>1.7241715716101249E-2</v>
      </c>
      <c r="AK20" s="1">
        <v>-1.359511549600285E-2</v>
      </c>
      <c r="AL20" s="1">
        <v>-5.6166263617408981E-3</v>
      </c>
      <c r="AM20" s="1">
        <v>3.2738589298384912E-2</v>
      </c>
      <c r="AN20" s="1">
        <v>3.2916683395994961E-2</v>
      </c>
      <c r="AO20" s="1">
        <v>6.8085456702589392E-2</v>
      </c>
      <c r="AP20" s="1">
        <v>1.26045159631665E-2</v>
      </c>
      <c r="AQ20" s="1">
        <v>-7.2900746140221309E-2</v>
      </c>
      <c r="AR20" s="1">
        <v>1.328927308983413E-2</v>
      </c>
      <c r="AS20" s="1">
        <v>-1.7143829334892779E-2</v>
      </c>
      <c r="AT20" s="1">
        <v>-2.8495391157897132E-3</v>
      </c>
      <c r="AU20" s="1">
        <v>0.28169787258320111</v>
      </c>
      <c r="AV20" s="1">
        <v>7.1473185653933402E-2</v>
      </c>
      <c r="AW20" s="1">
        <v>0.14631084433305</v>
      </c>
      <c r="AX20" s="1">
        <v>8.5886175187610506E-2</v>
      </c>
      <c r="AY20" s="1">
        <v>-6.2285593803070888E-2</v>
      </c>
      <c r="AZ20" s="1">
        <v>9.9804303272323425E-2</v>
      </c>
      <c r="BA20" s="1">
        <v>0.15133772550591279</v>
      </c>
      <c r="BB20" s="1">
        <v>0.2312136261880767</v>
      </c>
      <c r="BC20" s="1">
        <v>7.0605567677740205E-2</v>
      </c>
      <c r="BD20" s="1">
        <v>-1.1308295386238161E-2</v>
      </c>
      <c r="BE20" s="1">
        <v>-3.8466832445436583E-2</v>
      </c>
      <c r="BF20" s="1">
        <v>-5.5216900174269133E-2</v>
      </c>
      <c r="BG20" s="1">
        <v>-5.172719331813868E-2</v>
      </c>
      <c r="BH20" s="1">
        <v>-5.1899277325599007E-2</v>
      </c>
      <c r="BI20" s="1">
        <v>2.3171586640369529E-2</v>
      </c>
      <c r="BJ20" s="1">
        <v>-2.1629511833186621E-2</v>
      </c>
      <c r="BK20" s="1">
        <v>0.11765037240502189</v>
      </c>
      <c r="BL20" s="1">
        <v>1.9783341504224079E-2</v>
      </c>
      <c r="BM20" s="1">
        <v>-5.45559103284224E-2</v>
      </c>
      <c r="BN20" s="1">
        <v>1.8638027253166291E-2</v>
      </c>
      <c r="BO20" s="1">
        <v>-7.6105449457829488E-3</v>
      </c>
      <c r="BP20" s="1">
        <v>-7.2822475063245764E-3</v>
      </c>
      <c r="BQ20" s="1">
        <v>-1.246709149470095E-2</v>
      </c>
      <c r="BR20" s="1">
        <v>1.8188121223676221E-2</v>
      </c>
      <c r="BS20" s="1">
        <v>0.10486012065370739</v>
      </c>
      <c r="BT20" s="1">
        <v>5.2467623281905747E-2</v>
      </c>
      <c r="BU20" s="1">
        <v>-0.14944100404532221</v>
      </c>
      <c r="BV20" s="1">
        <v>0.13370992447700669</v>
      </c>
      <c r="BW20" s="1">
        <v>0.3420426788792848</v>
      </c>
      <c r="BX20" s="1">
        <v>-5.2861421730525368E-2</v>
      </c>
      <c r="BY20" s="1">
        <v>-4.3183482687236242E-2</v>
      </c>
      <c r="BZ20" s="1">
        <v>0.18472508748935221</v>
      </c>
      <c r="CA20" s="1">
        <v>5.0216826091073863E-2</v>
      </c>
      <c r="CB20" s="1">
        <v>0.1264950457700191</v>
      </c>
      <c r="CC20" s="1">
        <v>1.291514747808061E-2</v>
      </c>
      <c r="CD20" s="1">
        <v>9.606464764259523E-2</v>
      </c>
      <c r="CE20" s="1">
        <v>8.5778172602440458E-2</v>
      </c>
      <c r="CF20" s="1">
        <v>-0.1312085557648148</v>
      </c>
      <c r="CG20" s="1">
        <v>0.32193852229938452</v>
      </c>
      <c r="CH20" s="1">
        <v>4.9195223767314333E-2</v>
      </c>
      <c r="CI20" s="1">
        <v>-0.13148573441164721</v>
      </c>
      <c r="CJ20" s="1">
        <v>-1.232383789920124E-2</v>
      </c>
      <c r="CK20" s="1">
        <v>6.2276751541654671E-2</v>
      </c>
      <c r="CL20" s="1">
        <v>0.29793491036415792</v>
      </c>
      <c r="CM20" s="1">
        <v>-9.6775805849237839E-2</v>
      </c>
      <c r="CN20" s="1">
        <v>-1.934797759137534E-2</v>
      </c>
      <c r="CO20" s="1">
        <v>0.29657330510502922</v>
      </c>
      <c r="CP20" s="1">
        <v>7.4243418589798518E-3</v>
      </c>
      <c r="CQ20" s="1">
        <v>8.2519806375350474E-2</v>
      </c>
      <c r="CR20" s="1">
        <v>2.5362552774013961E-2</v>
      </c>
      <c r="CS20" s="1">
        <v>2.2293038159359669E-2</v>
      </c>
      <c r="CT20" s="1">
        <v>-9.0474037414266281E-2</v>
      </c>
      <c r="CU20" s="1">
        <v>1.022289643244023E-2</v>
      </c>
      <c r="CV20" s="1">
        <v>9.7003954321720084E-2</v>
      </c>
      <c r="CW20" s="1">
        <v>-2.5816402571476719E-2</v>
      </c>
      <c r="CX20" s="1">
        <v>9.3861437533022188E-3</v>
      </c>
      <c r="CY20" s="1">
        <v>0.108732838402072</v>
      </c>
      <c r="CZ20" s="1">
        <v>0.12830070160238419</v>
      </c>
      <c r="DA20" s="1">
        <v>7.7081696653549386E-2</v>
      </c>
      <c r="DB20" s="1">
        <v>7.696806977078402E-2</v>
      </c>
      <c r="DC20" s="1">
        <v>2.890116070260346E-2</v>
      </c>
      <c r="DD20" s="1">
        <v>-6.8163012313784327E-2</v>
      </c>
      <c r="DE20" s="1">
        <v>-3.0466569126282001E-2</v>
      </c>
      <c r="DF20" s="1">
        <v>0.24557420527758439</v>
      </c>
      <c r="DG20" s="1">
        <v>-5.2344813299819028E-2</v>
      </c>
      <c r="DH20" s="1">
        <v>-1.097541174252706E-2</v>
      </c>
      <c r="DI20" s="1">
        <v>-7.7575680139924984E-3</v>
      </c>
      <c r="DJ20" s="1">
        <v>-3.9459946268887811E-2</v>
      </c>
      <c r="DK20" s="1">
        <v>-8.5187540020503633E-2</v>
      </c>
      <c r="DL20" s="1">
        <v>1.0186968683304249E-2</v>
      </c>
      <c r="DM20" s="1">
        <v>6.9336106675116957E-2</v>
      </c>
      <c r="DN20" s="1">
        <v>-6.4461202418456584E-2</v>
      </c>
      <c r="DO20" s="1">
        <v>0.25800136345901148</v>
      </c>
      <c r="DP20" s="1">
        <v>-2.167126176510448E-2</v>
      </c>
      <c r="DQ20" s="1">
        <v>-3.8540311084368499E-2</v>
      </c>
      <c r="DR20" s="1">
        <v>-5.5557992226731322E-2</v>
      </c>
      <c r="DS20" s="1">
        <v>-7.4906957537590798E-3</v>
      </c>
      <c r="DT20" s="1">
        <v>4.8293441839824189E-3</v>
      </c>
      <c r="DU20" s="1">
        <v>-0.17637516893039651</v>
      </c>
      <c r="DV20" s="1">
        <v>-3.019289637960447E-2</v>
      </c>
      <c r="DW20" s="1">
        <v>-0.1035461681398053</v>
      </c>
      <c r="DX20" s="1">
        <v>-0.15386632960631469</v>
      </c>
      <c r="DY20" s="1">
        <v>5.3618609351648763E-2</v>
      </c>
      <c r="DZ20" s="1">
        <v>9.0199646158974578E-2</v>
      </c>
      <c r="EA20" s="1">
        <v>0.29368998396417129</v>
      </c>
      <c r="EB20" s="1">
        <v>-0.10631226685028709</v>
      </c>
      <c r="EC20" s="1">
        <v>2.2976412108212281E-2</v>
      </c>
      <c r="ED20" s="1">
        <v>-7.4625657997327538E-2</v>
      </c>
      <c r="EE20" s="1">
        <v>1.7409797518545299E-3</v>
      </c>
      <c r="EF20" s="1">
        <v>2.0281416615907238E-2</v>
      </c>
    </row>
    <row r="21" spans="1:137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-1.3690170285790599E-2</v>
      </c>
      <c r="F21" s="9">
        <v>-5.1097483846408213E-2</v>
      </c>
      <c r="G21" s="9">
        <v>-7.2961380278514509E-3</v>
      </c>
      <c r="H21" s="9">
        <v>0.1621640877938379</v>
      </c>
      <c r="I21" s="9">
        <v>1.4111278480981961E-2</v>
      </c>
      <c r="J21" s="9">
        <v>-0.13674291533985661</v>
      </c>
      <c r="K21" s="9">
        <v>1.4702959601359119E-3</v>
      </c>
      <c r="L21" s="2">
        <v>0.1096796074542299</v>
      </c>
      <c r="M21" s="2">
        <v>-0.19988497469051561</v>
      </c>
      <c r="N21" s="2">
        <v>0.58489126462072527</v>
      </c>
      <c r="O21" s="1">
        <v>0.1392774934469892</v>
      </c>
      <c r="P21" s="1">
        <v>4.5427193017503087E-2</v>
      </c>
      <c r="Q21" s="1">
        <v>-0.27408344527068967</v>
      </c>
      <c r="R21" s="1">
        <v>8.4905231193340591E-2</v>
      </c>
      <c r="S21" s="1">
        <v>-3.656329165669691E-2</v>
      </c>
      <c r="T21" s="1">
        <v>-0.13112036093842719</v>
      </c>
      <c r="U21" s="1">
        <v>8.6278417611758002E-2</v>
      </c>
      <c r="V21" s="1">
        <v>-0.13175048865250241</v>
      </c>
      <c r="W21" s="1">
        <v>0.124498618828508</v>
      </c>
      <c r="X21" s="1">
        <v>-0.20780126735333779</v>
      </c>
      <c r="Y21" s="1">
        <v>-1.014366037320256E-2</v>
      </c>
      <c r="Z21" s="1">
        <v>3.9457715679957053E-2</v>
      </c>
      <c r="AA21" s="1">
        <v>2.8033456192208511E-2</v>
      </c>
      <c r="AB21" s="1">
        <v>-6.5287595030865841E-2</v>
      </c>
      <c r="AC21" s="1">
        <v>-0.15954227246420169</v>
      </c>
      <c r="AD21" s="1">
        <v>0.1288246656475579</v>
      </c>
      <c r="AE21" s="1">
        <v>1.031161069406002E-2</v>
      </c>
      <c r="AF21" s="1">
        <v>3.3566825383980557E-2</v>
      </c>
      <c r="AG21" s="1">
        <v>-1.057075303995837E-2</v>
      </c>
      <c r="AH21" s="1">
        <v>-4.3406382504438977E-2</v>
      </c>
      <c r="AI21" s="1">
        <v>7.9594209333291061E-2</v>
      </c>
      <c r="AJ21" s="1">
        <v>5.1859256457010838E-3</v>
      </c>
      <c r="AK21" s="1">
        <v>-3.064343373743127E-2</v>
      </c>
      <c r="AL21" s="1">
        <v>1.9780813559851541E-2</v>
      </c>
      <c r="AM21" s="1">
        <v>3.671096993441314E-2</v>
      </c>
      <c r="AN21" s="1">
        <v>1.869553259224431E-2</v>
      </c>
      <c r="AO21" s="1">
        <v>9.4985151776199414E-2</v>
      </c>
      <c r="AP21" s="1">
        <v>1.8942378916172939E-2</v>
      </c>
      <c r="AQ21" s="1">
        <v>-6.7199966097465244E-2</v>
      </c>
      <c r="AR21" s="1">
        <v>-4.798814140331014E-2</v>
      </c>
      <c r="AS21" s="1">
        <v>1.7046019964585189E-2</v>
      </c>
      <c r="AT21" s="1">
        <v>-6.3444048411961634E-2</v>
      </c>
      <c r="AU21" s="1">
        <v>0.34648126396342699</v>
      </c>
      <c r="AV21" s="1">
        <v>5.0897567971442279E-2</v>
      </c>
      <c r="AW21" s="1">
        <v>0.17294653270883231</v>
      </c>
      <c r="AX21" s="1">
        <v>6.6006052217483888E-2</v>
      </c>
      <c r="AY21" s="1">
        <v>-0.1188761948249938</v>
      </c>
      <c r="AZ21" s="1">
        <v>0.1085023584146062</v>
      </c>
      <c r="BA21" s="1">
        <v>0.1395926821613267</v>
      </c>
      <c r="BB21" s="1">
        <v>0.29451263697732177</v>
      </c>
      <c r="BC21" s="1">
        <v>3.8321147725193877E-2</v>
      </c>
      <c r="BD21" s="1">
        <v>-3.0287979307913451E-2</v>
      </c>
      <c r="BE21" s="1">
        <v>-4.0588332503811789E-2</v>
      </c>
      <c r="BF21" s="1">
        <v>-6.2289949375188239E-2</v>
      </c>
      <c r="BG21" s="1">
        <v>-7.8525059461954635E-2</v>
      </c>
      <c r="BH21" s="1">
        <v>-6.7916730562062572E-2</v>
      </c>
      <c r="BI21" s="1">
        <v>4.6273768631689999E-2</v>
      </c>
      <c r="BJ21" s="1">
        <v>-2.3579026181717661E-2</v>
      </c>
      <c r="BK21" s="1">
        <v>7.2723114748713999E-2</v>
      </c>
      <c r="BL21" s="1">
        <v>3.752798508045226E-3</v>
      </c>
      <c r="BM21" s="1">
        <v>-9.4970354993302086E-2</v>
      </c>
      <c r="BN21" s="1">
        <v>2.5790766448446922E-2</v>
      </c>
      <c r="BO21" s="1">
        <v>1.50041027098864E-2</v>
      </c>
      <c r="BP21" s="1">
        <v>4.1808023315929119E-3</v>
      </c>
      <c r="BQ21" s="1">
        <v>-4.3304436737006603E-2</v>
      </c>
      <c r="BR21" s="1">
        <v>1.1285397979313499E-2</v>
      </c>
      <c r="BS21" s="1">
        <v>4.6111557361256973E-2</v>
      </c>
      <c r="BT21" s="1">
        <v>6.0820742542524793E-2</v>
      </c>
      <c r="BU21" s="1">
        <v>-0.1707385105504178</v>
      </c>
      <c r="BV21" s="1">
        <v>1.9240488152239291E-2</v>
      </c>
      <c r="BW21" s="1">
        <v>0.4021309158390593</v>
      </c>
      <c r="BX21" s="1">
        <v>-7.7165002520596909E-2</v>
      </c>
      <c r="BY21" s="1">
        <v>-1.491637891683696E-2</v>
      </c>
      <c r="BZ21" s="1">
        <v>0.25140177788258627</v>
      </c>
      <c r="CA21" s="1">
        <v>9.5059433847559396E-2</v>
      </c>
      <c r="CB21" s="1">
        <v>0.2078698479015878</v>
      </c>
      <c r="CC21" s="1">
        <v>-8.0189542709663136E-3</v>
      </c>
      <c r="CD21" s="1">
        <v>8.4423550992515431E-2</v>
      </c>
      <c r="CE21" s="1">
        <v>6.1514882354154247E-2</v>
      </c>
      <c r="CF21" s="1">
        <v>-0.1271704760916082</v>
      </c>
      <c r="CG21" s="1">
        <v>0.32016678338047649</v>
      </c>
      <c r="CH21" s="1">
        <v>-7.1336803883333716E-2</v>
      </c>
      <c r="CI21" s="1">
        <v>-0.123293346411547</v>
      </c>
      <c r="CJ21" s="1">
        <v>-1.1956466840917611E-2</v>
      </c>
      <c r="CK21" s="1">
        <v>8.5636303161818576E-3</v>
      </c>
      <c r="CL21" s="1">
        <v>0.36208375089819639</v>
      </c>
      <c r="CM21" s="1">
        <v>-0.1162318191805591</v>
      </c>
      <c r="CN21" s="1">
        <v>-1.1281919190459261E-2</v>
      </c>
      <c r="CO21" s="1">
        <v>0.3354837581948798</v>
      </c>
      <c r="CP21" s="1">
        <v>-9.625328840339234E-2</v>
      </c>
      <c r="CQ21" s="1">
        <v>-5.9403617018034788E-2</v>
      </c>
      <c r="CR21" s="1">
        <v>1.161578886010306E-2</v>
      </c>
      <c r="CS21" s="1">
        <v>3.0907745682497659E-2</v>
      </c>
      <c r="CT21" s="1">
        <v>-8.2292872854338978E-2</v>
      </c>
      <c r="CU21" s="1">
        <v>1.9973830490846098E-3</v>
      </c>
      <c r="CV21" s="1">
        <v>0.13162753116195661</v>
      </c>
      <c r="CW21" s="1">
        <v>-3.0752481308038811E-2</v>
      </c>
      <c r="CX21" s="1">
        <v>1.339552396105914E-2</v>
      </c>
      <c r="CY21" s="1">
        <v>0.102505161081563</v>
      </c>
      <c r="CZ21" s="1">
        <v>0.1902933866431426</v>
      </c>
      <c r="DA21" s="1">
        <v>4.1709064063925938E-2</v>
      </c>
      <c r="DB21" s="1">
        <v>7.1461213773998111E-2</v>
      </c>
      <c r="DC21" s="1">
        <v>4.8309147365506719E-2</v>
      </c>
      <c r="DD21" s="1">
        <v>-6.7027496200741665E-2</v>
      </c>
      <c r="DE21" s="1">
        <v>-5.4719267994411902E-2</v>
      </c>
      <c r="DF21" s="1">
        <v>0.30115021168204381</v>
      </c>
      <c r="DG21" s="1">
        <v>-5.9409518844913557E-2</v>
      </c>
      <c r="DH21" s="1">
        <v>1.407682021245452E-2</v>
      </c>
      <c r="DI21" s="1">
        <v>3.4407478280179482E-2</v>
      </c>
      <c r="DJ21" s="1">
        <v>-3.7911313190560098E-2</v>
      </c>
      <c r="DK21" s="1">
        <v>-9.0895590906945836E-2</v>
      </c>
      <c r="DL21" s="1">
        <v>3.2208203249560433E-2</v>
      </c>
      <c r="DM21" s="1">
        <v>2.4988802442145672E-2</v>
      </c>
      <c r="DN21" s="1">
        <v>-4.687483536663517E-2</v>
      </c>
      <c r="DO21" s="1">
        <v>0.33162680487864599</v>
      </c>
      <c r="DP21" s="1">
        <v>-3.7108633098233243E-2</v>
      </c>
      <c r="DQ21" s="1">
        <v>-2.821605205239688E-2</v>
      </c>
      <c r="DR21" s="1">
        <v>-5.3556989806694252E-2</v>
      </c>
      <c r="DS21" s="1">
        <v>-1.6720946793213241E-3</v>
      </c>
      <c r="DT21" s="1">
        <v>-9.7086429422632292E-3</v>
      </c>
      <c r="DU21" s="1">
        <v>-0.1486147166384135</v>
      </c>
      <c r="DV21" s="1">
        <v>-4.9664404149365959E-2</v>
      </c>
      <c r="DW21" s="1">
        <v>-0.1035344925963028</v>
      </c>
      <c r="DX21" s="1">
        <v>-0.18596621403118341</v>
      </c>
      <c r="DY21" s="1">
        <v>2.459599553801604E-2</v>
      </c>
      <c r="DZ21" s="1">
        <v>9.893057365990536E-2</v>
      </c>
      <c r="EA21" s="1">
        <v>0.26605683227934601</v>
      </c>
      <c r="EB21" s="1">
        <v>-0.10329555902400769</v>
      </c>
      <c r="EC21" s="1">
        <v>2.7188931609766109E-2</v>
      </c>
      <c r="ED21" s="1">
        <v>-8.2730047503211529E-2</v>
      </c>
      <c r="EE21" s="1">
        <v>-2.1310592307867391E-2</v>
      </c>
      <c r="EF21" s="1">
        <v>-7.9916028560319194E-3</v>
      </c>
    </row>
    <row r="22" spans="1:137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-1.7355098916458981E-2</v>
      </c>
      <c r="F22" s="9">
        <v>-9.7433995578986451E-2</v>
      </c>
      <c r="G22" s="9">
        <v>-3.2954824249798613E-2</v>
      </c>
      <c r="H22" s="9">
        <v>0.1241780629606463</v>
      </c>
      <c r="I22" s="9">
        <v>1.743734320629017E-2</v>
      </c>
      <c r="J22" s="9">
        <v>-0.10425350273662951</v>
      </c>
      <c r="K22" s="9">
        <v>2.8656780116393998E-2</v>
      </c>
      <c r="L22" s="2">
        <v>0.17118335942590121</v>
      </c>
      <c r="M22" s="2">
        <v>-0.18466278734295011</v>
      </c>
      <c r="N22" s="2">
        <v>0.75614344311733894</v>
      </c>
      <c r="O22" s="1">
        <v>6.6442332164954182E-2</v>
      </c>
      <c r="P22" s="1">
        <v>9.0630874426634297E-2</v>
      </c>
      <c r="Q22" s="1">
        <v>-0.12727089023139021</v>
      </c>
      <c r="R22" s="1">
        <v>6.6698292606331602E-2</v>
      </c>
      <c r="S22" s="1">
        <v>-3.9234143537179147E-2</v>
      </c>
      <c r="T22" s="1">
        <v>-0.1048489671566299</v>
      </c>
      <c r="U22" s="1">
        <v>0.11059002340250421</v>
      </c>
      <c r="V22" s="1">
        <v>-0.1756249024704124</v>
      </c>
      <c r="W22" s="1">
        <v>0.1580477531639507</v>
      </c>
      <c r="X22" s="1">
        <v>-0.25720235121349699</v>
      </c>
      <c r="Y22" s="1">
        <v>-6.9853331702800808E-2</v>
      </c>
      <c r="Z22" s="1">
        <v>2.386612179035642E-2</v>
      </c>
      <c r="AA22" s="1">
        <v>0.1181206143698829</v>
      </c>
      <c r="AB22" s="1">
        <v>-3.8274054421571273E-2</v>
      </c>
      <c r="AC22" s="1">
        <v>-0.1772130781488627</v>
      </c>
      <c r="AD22" s="1">
        <v>1.357278877236134E-2</v>
      </c>
      <c r="AE22" s="1">
        <v>-8.514768595770715E-2</v>
      </c>
      <c r="AF22" s="1">
        <v>8.6404239042423531E-2</v>
      </c>
      <c r="AG22" s="1">
        <v>-4.5973813007689088E-2</v>
      </c>
      <c r="AH22" s="1">
        <v>4.8894599402210352E-4</v>
      </c>
      <c r="AI22" s="1">
        <v>9.4141260657386039E-2</v>
      </c>
      <c r="AJ22" s="1">
        <v>1.3081541637357001E-2</v>
      </c>
      <c r="AK22" s="1">
        <v>0.1012885607403957</v>
      </c>
      <c r="AL22" s="1">
        <v>-9.4397384737102564E-3</v>
      </c>
      <c r="AM22" s="1">
        <v>4.1473780125443782E-2</v>
      </c>
      <c r="AN22" s="1">
        <v>3.5264122370512491E-2</v>
      </c>
      <c r="AO22" s="1">
        <v>0.19067277961470569</v>
      </c>
      <c r="AP22" s="1">
        <v>2.0492728517978578E-2</v>
      </c>
      <c r="AQ22" s="1">
        <v>-0.11013171229127849</v>
      </c>
      <c r="AR22" s="1">
        <v>-6.7924487703603389E-2</v>
      </c>
      <c r="AS22" s="1">
        <v>0.16458944034718581</v>
      </c>
      <c r="AT22" s="1">
        <v>1.0736947302628259E-3</v>
      </c>
      <c r="AU22" s="1">
        <v>0.42935378467834612</v>
      </c>
      <c r="AV22" s="1">
        <v>5.9646140173665471E-2</v>
      </c>
      <c r="AW22" s="1">
        <v>0.23220958510370571</v>
      </c>
      <c r="AX22" s="1">
        <v>-0.1077606357745645</v>
      </c>
      <c r="AY22" s="1">
        <v>-0.16372433134556691</v>
      </c>
      <c r="AZ22" s="1">
        <v>0.1551884040435336</v>
      </c>
      <c r="BA22" s="1">
        <v>4.9774957584186978E-2</v>
      </c>
      <c r="BB22" s="1">
        <v>0.36955058329648782</v>
      </c>
      <c r="BC22" s="1">
        <v>-0.13083693812295519</v>
      </c>
      <c r="BD22" s="1">
        <v>-5.8336354641560839E-2</v>
      </c>
      <c r="BE22" s="1">
        <v>-6.8483036868100741E-2</v>
      </c>
      <c r="BF22" s="1">
        <v>-5.4886013754806257E-2</v>
      </c>
      <c r="BG22" s="1">
        <v>-9.617852912963791E-2</v>
      </c>
      <c r="BH22" s="1">
        <v>-7.9934120635503092E-3</v>
      </c>
      <c r="BI22" s="1">
        <v>8.2345467472674225E-2</v>
      </c>
      <c r="BJ22" s="1">
        <v>-5.4996415150720922E-2</v>
      </c>
      <c r="BK22" s="1">
        <v>4.831524105166432E-2</v>
      </c>
      <c r="BL22" s="1">
        <v>1.7863882134281309E-2</v>
      </c>
      <c r="BM22" s="1">
        <v>-0.1209396353275756</v>
      </c>
      <c r="BN22" s="1">
        <v>8.2937899200322518E-2</v>
      </c>
      <c r="BO22" s="1">
        <v>3.8350062963842829E-2</v>
      </c>
      <c r="BP22" s="1">
        <v>5.4100012453170681E-4</v>
      </c>
      <c r="BQ22" s="1">
        <v>-8.214939685951779E-2</v>
      </c>
      <c r="BR22" s="1">
        <v>1.964033086019874E-2</v>
      </c>
      <c r="BS22" s="1">
        <v>5.1914987543122577E-2</v>
      </c>
      <c r="BT22" s="1">
        <v>-8.8726194332783462E-2</v>
      </c>
      <c r="BU22" s="1">
        <v>-0.1043505830823649</v>
      </c>
      <c r="BV22" s="1">
        <v>6.8176016755736729E-4</v>
      </c>
      <c r="BW22" s="1">
        <v>0.42771649646437632</v>
      </c>
      <c r="BX22" s="1">
        <v>-0.1130288989043652</v>
      </c>
      <c r="BY22" s="1">
        <v>3.2352875520499369E-2</v>
      </c>
      <c r="BZ22" s="1">
        <v>0.27962933884715457</v>
      </c>
      <c r="CA22" s="1">
        <v>0.14407873603425539</v>
      </c>
      <c r="CB22" s="1">
        <v>0.25473925571486122</v>
      </c>
      <c r="CC22" s="1">
        <v>-0.12510399532003291</v>
      </c>
      <c r="CD22" s="1">
        <v>9.5518542864996087E-2</v>
      </c>
      <c r="CE22" s="1">
        <v>6.6840145636817616E-2</v>
      </c>
      <c r="CF22" s="1">
        <v>-0.15557256842246689</v>
      </c>
      <c r="CG22" s="1">
        <v>0.4438008150544101</v>
      </c>
      <c r="CH22" s="1">
        <v>-2.6761117522733122E-2</v>
      </c>
      <c r="CI22" s="1">
        <v>-0.23044916703818419</v>
      </c>
      <c r="CJ22" s="1">
        <v>-1.6242847843122001E-2</v>
      </c>
      <c r="CK22" s="1">
        <v>-2.71524965709375E-2</v>
      </c>
      <c r="CL22" s="1">
        <v>0.55395436540251797</v>
      </c>
      <c r="CM22" s="1">
        <v>-0.21983248519746329</v>
      </c>
      <c r="CN22" s="1">
        <v>2.185030678558755E-2</v>
      </c>
      <c r="CO22" s="1">
        <v>0.27205949814687491</v>
      </c>
      <c r="CP22" s="1">
        <v>-8.1323106021387065E-2</v>
      </c>
      <c r="CQ22" s="1">
        <v>-7.4467010274027912E-2</v>
      </c>
      <c r="CR22" s="1">
        <v>-2.8422205079160712E-2</v>
      </c>
      <c r="CS22" s="1">
        <v>2.4439586832032689E-2</v>
      </c>
      <c r="CT22" s="1">
        <v>-5.8232521355985362E-2</v>
      </c>
      <c r="CU22" s="1">
        <v>2.6581005047035321E-2</v>
      </c>
      <c r="CV22" s="1">
        <v>0.12961749876888301</v>
      </c>
      <c r="CW22" s="1">
        <v>-1.349979853596164E-2</v>
      </c>
      <c r="CX22" s="1">
        <v>4.7285453258790341E-2</v>
      </c>
      <c r="CY22" s="1">
        <v>0.1045108260680616</v>
      </c>
      <c r="CZ22" s="1">
        <v>0.20669386208575841</v>
      </c>
      <c r="DA22" s="1">
        <v>3.2453994810138623E-2</v>
      </c>
      <c r="DB22" s="1">
        <v>5.4041621710522049E-2</v>
      </c>
      <c r="DC22" s="1">
        <v>7.2342033732944094E-2</v>
      </c>
      <c r="DD22" s="1">
        <v>-1.596257781556271E-2</v>
      </c>
      <c r="DE22" s="1">
        <v>-0.13335614324542941</v>
      </c>
      <c r="DF22" s="1">
        <v>0.38966763369412349</v>
      </c>
      <c r="DG22" s="1">
        <v>-7.1889499417003094E-2</v>
      </c>
      <c r="DH22" s="1">
        <v>1.3945346183503959E-2</v>
      </c>
      <c r="DI22" s="1">
        <v>6.356099926224941E-2</v>
      </c>
      <c r="DJ22" s="1">
        <v>-5.0246005833095859E-2</v>
      </c>
      <c r="DK22" s="1">
        <v>-9.1428405059511261E-2</v>
      </c>
      <c r="DL22" s="1">
        <v>2.1680326157890579E-2</v>
      </c>
      <c r="DM22" s="1">
        <v>3.1884709289730702E-2</v>
      </c>
      <c r="DN22" s="1">
        <v>-8.3173707077558875E-2</v>
      </c>
      <c r="DO22" s="1">
        <v>7.5715816054906154E-2</v>
      </c>
      <c r="DP22" s="1">
        <v>-0.10509905980047871</v>
      </c>
      <c r="DQ22" s="1">
        <v>-5.1850201837621311E-2</v>
      </c>
      <c r="DR22" s="1">
        <v>-7.1236299673135633E-2</v>
      </c>
      <c r="DS22" s="1">
        <v>-3.6346262249535841E-2</v>
      </c>
      <c r="DT22" s="1">
        <v>-4.3681446324088213E-2</v>
      </c>
      <c r="DU22" s="1">
        <v>-0.16154691088272999</v>
      </c>
      <c r="DV22" s="1">
        <v>5.337016682824209E-2</v>
      </c>
      <c r="DW22" s="1">
        <v>-8.1415413379923474E-2</v>
      </c>
      <c r="DX22" s="1">
        <v>-0.22244260844829469</v>
      </c>
      <c r="DY22" s="1">
        <v>-8.1471166255399959E-3</v>
      </c>
      <c r="DZ22" s="1">
        <v>0.11083450478771149</v>
      </c>
      <c r="EA22" s="1">
        <v>0.14035616200069359</v>
      </c>
      <c r="EB22" s="1">
        <v>-0.14292707605232749</v>
      </c>
      <c r="EC22" s="1">
        <v>8.808544742642449E-2</v>
      </c>
      <c r="ED22" s="1">
        <v>-5.7499218608810271E-2</v>
      </c>
      <c r="EE22" s="1">
        <v>-4.7636659384698889E-2</v>
      </c>
      <c r="EF22" s="1">
        <v>-3.4790246372172352E-2</v>
      </c>
    </row>
    <row r="23" spans="1:137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0.13300519405617101</v>
      </c>
      <c r="F23" s="9">
        <v>-0.14166490905190171</v>
      </c>
      <c r="G23" s="9">
        <v>-5.2224173846498377E-2</v>
      </c>
      <c r="H23" s="9">
        <v>-1.8188470841484668E-2</v>
      </c>
      <c r="I23" s="9">
        <v>-3.6386488866407093E-2</v>
      </c>
      <c r="J23" s="9">
        <v>-0.1148775059304451</v>
      </c>
      <c r="K23" s="9">
        <v>-5.9917884508062888E-2</v>
      </c>
      <c r="L23" s="2">
        <v>5.4043529775598627E-2</v>
      </c>
      <c r="M23" s="2">
        <v>-0.14728696802749691</v>
      </c>
      <c r="N23" s="2">
        <v>0.97590144327128003</v>
      </c>
      <c r="O23" s="1">
        <v>0.1228997073071684</v>
      </c>
      <c r="P23" s="1">
        <v>5.46815260345479E-2</v>
      </c>
      <c r="Q23" s="1">
        <v>-0.29117349346670462</v>
      </c>
      <c r="R23" s="1">
        <v>6.2821977969761703E-2</v>
      </c>
      <c r="S23" s="1">
        <v>-7.2572664450062274E-2</v>
      </c>
      <c r="T23" s="1">
        <v>-8.4676175768728656E-2</v>
      </c>
      <c r="U23" s="1">
        <v>9.3757422440794366E-2</v>
      </c>
      <c r="V23" s="1">
        <v>-0.2324772033709247</v>
      </c>
      <c r="W23" s="1">
        <v>0.25954732367705918</v>
      </c>
      <c r="X23" s="1">
        <v>-0.1945564614576443</v>
      </c>
      <c r="Y23" s="1">
        <v>-6.7949921591350784E-2</v>
      </c>
      <c r="Z23" s="1">
        <v>4.1051966520251372E-2</v>
      </c>
      <c r="AA23" s="1">
        <v>0.15164933184604609</v>
      </c>
      <c r="AB23" s="1">
        <v>-4.7748945219155479E-2</v>
      </c>
      <c r="AC23" s="1">
        <v>-0.23400862094644481</v>
      </c>
      <c r="AD23" s="1">
        <v>7.1628868085674022E-2</v>
      </c>
      <c r="AE23" s="1">
        <v>-0.22171323582164909</v>
      </c>
      <c r="AF23" s="1">
        <v>2.5300492366547252E-2</v>
      </c>
      <c r="AG23" s="1">
        <v>-2.0576770504273641E-3</v>
      </c>
      <c r="AH23" s="1">
        <v>3.7279490370669702E-2</v>
      </c>
      <c r="AI23" s="1">
        <v>1.7205917313467271E-2</v>
      </c>
      <c r="AJ23" s="1">
        <v>2.3587440294024171E-2</v>
      </c>
      <c r="AK23" s="1">
        <v>0.11411109934719101</v>
      </c>
      <c r="AL23" s="1">
        <v>-1.4066593107004361E-2</v>
      </c>
      <c r="AM23" s="1">
        <v>8.6692827716290069E-2</v>
      </c>
      <c r="AN23" s="1">
        <v>0.12762959881318461</v>
      </c>
      <c r="AO23" s="1">
        <v>0.34648431481390879</v>
      </c>
      <c r="AP23" s="1">
        <v>-0.16526637233349209</v>
      </c>
      <c r="AQ23" s="1">
        <v>-9.9380639012752223E-2</v>
      </c>
      <c r="AR23" s="1">
        <v>-0.1461361643393671</v>
      </c>
      <c r="AS23" s="1">
        <v>3.2167011410198447E-2</v>
      </c>
      <c r="AT23" s="1">
        <v>1.6951230815730939E-2</v>
      </c>
      <c r="AU23" s="1">
        <v>0.60833204424947662</v>
      </c>
      <c r="AV23" s="1">
        <v>-9.6757250400133471E-2</v>
      </c>
      <c r="AW23" s="1">
        <v>0.32642827270511449</v>
      </c>
      <c r="AX23" s="1">
        <v>6.513715432570244E-2</v>
      </c>
      <c r="AY23" s="1">
        <v>-0.16314791108071039</v>
      </c>
      <c r="AZ23" s="1">
        <v>7.8071576521207053E-2</v>
      </c>
      <c r="BA23" s="1">
        <v>5.3998338629857423E-2</v>
      </c>
      <c r="BB23" s="1">
        <v>0.56682652604744033</v>
      </c>
      <c r="BC23" s="1">
        <v>-0.30082824917306578</v>
      </c>
      <c r="BD23" s="1">
        <v>-1.535066922443418E-2</v>
      </c>
      <c r="BE23" s="1">
        <v>-8.6532394790002992E-2</v>
      </c>
      <c r="BF23" s="1">
        <v>-6.0012943621825209E-2</v>
      </c>
      <c r="BG23" s="1">
        <v>-4.4908674694266577E-2</v>
      </c>
      <c r="BH23" s="1">
        <v>5.3596863934990302E-2</v>
      </c>
      <c r="BI23" s="1">
        <v>0.1212055236354101</v>
      </c>
      <c r="BJ23" s="1">
        <v>-0.1040033152679269</v>
      </c>
      <c r="BK23" s="1">
        <v>4.7849323301188178E-2</v>
      </c>
      <c r="BL23" s="1">
        <v>-5.3432219944672933E-2</v>
      </c>
      <c r="BM23" s="1">
        <v>-0.18414780725786861</v>
      </c>
      <c r="BN23" s="1">
        <v>3.8453237240273198E-2</v>
      </c>
      <c r="BO23" s="1">
        <v>6.1815479967866467E-2</v>
      </c>
      <c r="BP23" s="1">
        <v>2.2475721392681891E-2</v>
      </c>
      <c r="BQ23" s="1">
        <v>-0.1222207307313553</v>
      </c>
      <c r="BR23" s="1">
        <v>8.3521862528781465E-3</v>
      </c>
      <c r="BS23" s="1">
        <v>0.12567015773727569</v>
      </c>
      <c r="BT23" s="1">
        <v>-0.2181866761329041</v>
      </c>
      <c r="BU23" s="1">
        <v>-0.1056852737934032</v>
      </c>
      <c r="BV23" s="1">
        <v>-1.7018950875927849E-2</v>
      </c>
      <c r="BW23" s="1">
        <v>0.60099752643345095</v>
      </c>
      <c r="BX23" s="1">
        <v>-6.8735089330797944E-2</v>
      </c>
      <c r="BY23" s="1">
        <v>3.9939448876130351E-2</v>
      </c>
      <c r="BZ23" s="1">
        <v>0.35239786706502269</v>
      </c>
      <c r="CA23" s="1">
        <v>0.20637272238748691</v>
      </c>
      <c r="CB23" s="1">
        <v>0.31616676175875003</v>
      </c>
      <c r="CC23" s="1">
        <v>-8.4544614715775346E-2</v>
      </c>
      <c r="CD23" s="1">
        <v>0.141241944161549</v>
      </c>
      <c r="CE23" s="1">
        <v>5.9602301837717461E-2</v>
      </c>
      <c r="CF23" s="1">
        <v>-0.18343323628555941</v>
      </c>
      <c r="CG23" s="1">
        <v>0.29290393811773718</v>
      </c>
      <c r="CH23" s="1">
        <v>2.195056422561048E-2</v>
      </c>
      <c r="CI23" s="1">
        <v>-5.9122473913523821E-2</v>
      </c>
      <c r="CJ23" s="1">
        <v>3.8255248936276638E-2</v>
      </c>
      <c r="CK23" s="1">
        <v>-5.6594325379505338E-2</v>
      </c>
      <c r="CL23" s="1">
        <v>0.82114882676553158</v>
      </c>
      <c r="CM23" s="1">
        <v>-0.23470497261609899</v>
      </c>
      <c r="CN23" s="1">
        <v>4.9969055564242637E-2</v>
      </c>
      <c r="CO23" s="1">
        <v>0.26615853772710141</v>
      </c>
      <c r="CP23" s="1">
        <v>-0.1197183136790923</v>
      </c>
      <c r="CQ23" s="1">
        <v>-6.7315098148372304E-2</v>
      </c>
      <c r="CR23" s="1">
        <v>-3.8232839171219918E-2</v>
      </c>
      <c r="CS23" s="1">
        <v>6.901537085690515E-2</v>
      </c>
      <c r="CT23" s="1">
        <v>-4.5662541711253862E-2</v>
      </c>
      <c r="CU23" s="1">
        <v>-8.7742900709933888E-3</v>
      </c>
      <c r="CV23" s="1">
        <v>0.20185146288687841</v>
      </c>
      <c r="CW23" s="1">
        <v>6.4165112115841361E-2</v>
      </c>
      <c r="CX23" s="1">
        <v>-4.425407954953503E-2</v>
      </c>
      <c r="CY23" s="1">
        <v>0.15375033367153881</v>
      </c>
      <c r="CZ23" s="1">
        <v>0.16600444921733951</v>
      </c>
      <c r="DA23" s="1">
        <v>6.4644882448389021E-2</v>
      </c>
      <c r="DB23" s="1">
        <v>1.8747066443219641E-2</v>
      </c>
      <c r="DC23" s="1">
        <v>7.2416033656425932E-2</v>
      </c>
      <c r="DD23" s="1">
        <v>-1.8407826273001211E-2</v>
      </c>
      <c r="DE23" s="1">
        <v>-0.141445299859559</v>
      </c>
      <c r="DF23" s="1">
        <v>0.40879492056092032</v>
      </c>
      <c r="DG23" s="1">
        <v>-6.7620427406409236E-2</v>
      </c>
      <c r="DH23" s="1">
        <v>5.5413447308742453E-2</v>
      </c>
      <c r="DI23" s="1">
        <v>5.3479596916020812E-2</v>
      </c>
      <c r="DJ23" s="1">
        <v>-8.7058008172347823E-2</v>
      </c>
      <c r="DK23" s="1">
        <v>-9.1244988740826746E-2</v>
      </c>
      <c r="DL23" s="1">
        <v>-5.6607334331075572E-2</v>
      </c>
      <c r="DM23" s="1">
        <v>4.6477315989241888E-2</v>
      </c>
      <c r="DN23" s="1">
        <v>-0.11820475442736959</v>
      </c>
      <c r="DO23" s="1">
        <v>0.124068441987729</v>
      </c>
      <c r="DP23" s="1">
        <v>-3.8404395837998338E-2</v>
      </c>
      <c r="DQ23" s="1">
        <v>-0.12113204125745761</v>
      </c>
      <c r="DR23" s="1">
        <v>-0.1024257952350012</v>
      </c>
      <c r="DS23" s="1">
        <v>-0.1165759916669394</v>
      </c>
      <c r="DT23" s="1">
        <v>-5.4250460668612679E-2</v>
      </c>
      <c r="DU23" s="1">
        <v>-5.5639478708282321E-2</v>
      </c>
      <c r="DV23" s="1">
        <v>8.1332536152743107E-3</v>
      </c>
      <c r="DW23" s="1">
        <v>2.3051820755061941E-2</v>
      </c>
      <c r="DX23" s="1">
        <v>-0.31349320637896622</v>
      </c>
      <c r="DY23" s="1">
        <v>0.16987682865225409</v>
      </c>
      <c r="DZ23" s="1">
        <v>-0.21717398775244159</v>
      </c>
      <c r="EA23" s="1">
        <v>-2.875877977640498E-2</v>
      </c>
      <c r="EB23" s="1">
        <v>-0.13822549512320209</v>
      </c>
      <c r="EC23" s="1">
        <v>9.3644533160520085E-2</v>
      </c>
      <c r="ED23" s="1">
        <v>3.8900422569723918E-2</v>
      </c>
      <c r="EE23" s="1">
        <v>-6.9212075984992683E-2</v>
      </c>
      <c r="EF23" s="1">
        <v>-4.7782278591659677E-2</v>
      </c>
    </row>
    <row r="24" spans="1:137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0.28451249769050191</v>
      </c>
      <c r="F24" s="9">
        <v>-0.22715954663674881</v>
      </c>
      <c r="G24" s="9">
        <v>0.2257600230575724</v>
      </c>
      <c r="H24" s="9">
        <v>3.5855796654956661E-2</v>
      </c>
      <c r="I24" s="9">
        <v>1.692708918074378E-2</v>
      </c>
      <c r="J24" s="9">
        <v>-0.1154627982140225</v>
      </c>
      <c r="K24" s="9">
        <v>5.3732996668234008E-2</v>
      </c>
      <c r="L24" s="2">
        <v>9.5623250508682117E-2</v>
      </c>
      <c r="M24" s="2">
        <v>-0.21778567303774149</v>
      </c>
      <c r="N24" s="2">
        <v>1.769031369112569</v>
      </c>
      <c r="O24" s="1">
        <v>0.24427786338818341</v>
      </c>
      <c r="P24" s="1">
        <v>1.736288864347235E-3</v>
      </c>
      <c r="Q24" s="1">
        <v>2.847135602397292E-3</v>
      </c>
      <c r="R24" s="1">
        <v>-2.7822823885088121E-2</v>
      </c>
      <c r="S24" s="1">
        <v>-1.1054460207448651E-2</v>
      </c>
      <c r="T24" s="1">
        <v>-0.28781660351948779</v>
      </c>
      <c r="U24" s="1">
        <v>0.14851867422391801</v>
      </c>
      <c r="V24" s="1">
        <v>-9.8678511259329957E-2</v>
      </c>
      <c r="W24" s="1">
        <v>-0.16456451758688009</v>
      </c>
      <c r="X24" s="1">
        <v>8.988764650171982E-4</v>
      </c>
      <c r="Y24" s="1">
        <v>-0.1203174930645305</v>
      </c>
      <c r="Z24" s="1">
        <v>-2.439454874957615E-2</v>
      </c>
      <c r="AA24" s="1">
        <v>9.4359582813794432E-2</v>
      </c>
      <c r="AB24" s="1">
        <v>-0.18425142266877839</v>
      </c>
      <c r="AC24" s="1">
        <v>-0.24616895878469969</v>
      </c>
      <c r="AD24" s="1">
        <v>0.1011752992567229</v>
      </c>
      <c r="AE24" s="1">
        <v>-0.17526881500734201</v>
      </c>
      <c r="AF24" s="1">
        <v>0.16570377964654229</v>
      </c>
      <c r="AG24" s="1">
        <v>0.10590047247440069</v>
      </c>
      <c r="AH24" s="1">
        <v>-6.8613799461397618E-2</v>
      </c>
      <c r="AI24" s="1">
        <v>-8.8083310984272967E-3</v>
      </c>
      <c r="AJ24" s="1">
        <v>8.5435201790864113E-2</v>
      </c>
      <c r="AK24" s="1">
        <v>8.4883953068192297E-2</v>
      </c>
      <c r="AL24" s="1">
        <v>8.7173701476634946E-2</v>
      </c>
      <c r="AM24" s="1">
        <v>7.859849797311308E-2</v>
      </c>
      <c r="AN24" s="1">
        <v>0.16294174185669941</v>
      </c>
      <c r="AO24" s="1">
        <v>8.2691715845113409E-2</v>
      </c>
      <c r="AP24" s="1">
        <v>-0.16448668915792031</v>
      </c>
      <c r="AQ24" s="1">
        <v>-0.21712720312806419</v>
      </c>
      <c r="AR24" s="1">
        <v>-0.1708334061708256</v>
      </c>
      <c r="AS24" s="1">
        <v>0.23783234364544109</v>
      </c>
      <c r="AT24" s="1">
        <v>5.9286095890559252E-3</v>
      </c>
      <c r="AU24" s="1">
        <v>0.47705418724240228</v>
      </c>
      <c r="AV24" s="1">
        <v>-1.952221442252405E-2</v>
      </c>
      <c r="AW24" s="1">
        <v>0.1203029234068482</v>
      </c>
      <c r="AX24" s="1">
        <v>-2.5561798417856881E-2</v>
      </c>
      <c r="AY24" s="1">
        <v>-0.44347344173649922</v>
      </c>
      <c r="AZ24" s="1">
        <v>0.11862372507117649</v>
      </c>
      <c r="BA24" s="1">
        <v>5.0491305412012258E-2</v>
      </c>
      <c r="BB24" s="1">
        <v>0.69077653138067185</v>
      </c>
      <c r="BC24" s="1">
        <v>-0.59942164102389184</v>
      </c>
      <c r="BD24" s="1">
        <v>0.17257013871334029</v>
      </c>
      <c r="BE24" s="1">
        <v>-0.1041311228506846</v>
      </c>
      <c r="BF24" s="1">
        <v>-0.1002317053814064</v>
      </c>
      <c r="BG24" s="1">
        <v>-0.17662353567931691</v>
      </c>
      <c r="BH24" s="1">
        <v>9.5694510161506985E-3</v>
      </c>
      <c r="BI24" s="1">
        <v>0.16926892499271901</v>
      </c>
      <c r="BJ24" s="1">
        <v>-3.3483157548845829E-3</v>
      </c>
      <c r="BK24" s="1">
        <v>3.4827647172774007E-2</v>
      </c>
      <c r="BL24" s="1">
        <v>-3.089861151917388E-2</v>
      </c>
      <c r="BM24" s="1">
        <v>-0.37691635755964409</v>
      </c>
      <c r="BN24" s="1">
        <v>0.10891326031654749</v>
      </c>
      <c r="BO24" s="1">
        <v>-5.6244215584665136E-3</v>
      </c>
      <c r="BP24" s="1">
        <v>-3.1794104329889807E-2</v>
      </c>
      <c r="BQ24" s="1">
        <v>-0.29185744386226159</v>
      </c>
      <c r="BR24" s="1">
        <v>-9.6993970887136131E-3</v>
      </c>
      <c r="BS24" s="1">
        <v>3.8686933961965847E-2</v>
      </c>
      <c r="BT24" s="1">
        <v>-0.27671901614020838</v>
      </c>
      <c r="BU24" s="1">
        <v>-8.7484923148454363E-3</v>
      </c>
      <c r="BV24" s="1">
        <v>-0.20330415183045039</v>
      </c>
      <c r="BW24" s="1">
        <v>1.109012070037362</v>
      </c>
      <c r="BX24" s="1">
        <v>-0.1039550340490914</v>
      </c>
      <c r="BY24" s="1">
        <v>-0.29033687494541688</v>
      </c>
      <c r="BZ24" s="1">
        <v>0.81395802674252182</v>
      </c>
      <c r="CA24" s="1">
        <v>0.10002491568895069</v>
      </c>
      <c r="CB24" s="1">
        <v>0.639698133634515</v>
      </c>
      <c r="CC24" s="1">
        <v>-0.18246987988756161</v>
      </c>
      <c r="CD24" s="1">
        <v>2.9953525870016359E-2</v>
      </c>
      <c r="CE24" s="1">
        <v>0.16556487399111461</v>
      </c>
      <c r="CF24" s="1">
        <v>-0.16513135300939591</v>
      </c>
      <c r="CG24" s="1">
        <v>0.23727783485992521</v>
      </c>
      <c r="CH24" s="1">
        <v>0.14564333229381871</v>
      </c>
      <c r="CI24" s="1">
        <v>-5.850815723303885E-2</v>
      </c>
      <c r="CJ24" s="1">
        <v>5.7174129573755783E-2</v>
      </c>
      <c r="CK24" s="1">
        <v>3.1855166241217987E-2</v>
      </c>
      <c r="CL24" s="1">
        <v>1.1486200348703459</v>
      </c>
      <c r="CM24" s="1">
        <v>-0.63643326435951064</v>
      </c>
      <c r="CN24" s="1">
        <v>1.491653024804831E-2</v>
      </c>
      <c r="CO24" s="1">
        <v>0.45247744179045318</v>
      </c>
      <c r="CP24" s="1">
        <v>-0.24933871725413359</v>
      </c>
      <c r="CQ24" s="1">
        <v>-0.17760542253115491</v>
      </c>
      <c r="CR24" s="1">
        <v>-9.681790719133844E-2</v>
      </c>
      <c r="CS24" s="1">
        <v>-2.6854922521108548E-2</v>
      </c>
      <c r="CT24" s="1">
        <v>-9.6419008147395818E-2</v>
      </c>
      <c r="CU24" s="1">
        <v>-6.3018776139449999E-3</v>
      </c>
      <c r="CV24" s="1">
        <v>0.36148029535141007</v>
      </c>
      <c r="CW24" s="1">
        <v>-1.5881422078077021E-3</v>
      </c>
      <c r="CX24" s="1">
        <v>5.2765258843267028E-2</v>
      </c>
      <c r="CY24" s="1">
        <v>0.32114775220674069</v>
      </c>
      <c r="CZ24" s="1">
        <v>0.32258987735690992</v>
      </c>
      <c r="DA24" s="1">
        <v>3.3979585092453302E-2</v>
      </c>
      <c r="DB24" s="1">
        <v>-1.6501865848996312E-2</v>
      </c>
      <c r="DC24" s="1">
        <v>0.17955311523934811</v>
      </c>
      <c r="DD24" s="1">
        <v>4.9299772670775198E-2</v>
      </c>
      <c r="DE24" s="1">
        <v>-0.30663608033545542</v>
      </c>
      <c r="DF24" s="1">
        <v>0.52558500614449799</v>
      </c>
      <c r="DG24" s="1">
        <v>-0.11954528640013271</v>
      </c>
      <c r="DH24" s="1">
        <v>9.936698049993925E-2</v>
      </c>
      <c r="DI24" s="1">
        <v>0.1418754589382695</v>
      </c>
      <c r="DJ24" s="1">
        <v>-0.13248861050923971</v>
      </c>
      <c r="DK24" s="1">
        <v>-0.1196801812081898</v>
      </c>
      <c r="DL24" s="1">
        <v>-3.174869831458027E-2</v>
      </c>
      <c r="DM24" s="1">
        <v>4.1344524506759309E-4</v>
      </c>
      <c r="DN24" s="1">
        <v>-0.14903325582948179</v>
      </c>
      <c r="DO24" s="1">
        <v>0.1156119550234804</v>
      </c>
      <c r="DP24" s="1">
        <v>-0.14433064238035609</v>
      </c>
      <c r="DQ24" s="1">
        <v>-5.0486190478925157E-2</v>
      </c>
      <c r="DR24" s="1">
        <v>-2.3391731273528969E-2</v>
      </c>
      <c r="DS24" s="1">
        <v>-6.7362545713944635E-2</v>
      </c>
      <c r="DT24" s="1">
        <v>-7.4733345266004753E-2</v>
      </c>
      <c r="DU24" s="1">
        <v>2.1781395361230051E-2</v>
      </c>
      <c r="DV24" s="1">
        <v>9.8046834802625854E-2</v>
      </c>
      <c r="DW24" s="1">
        <v>0.10118249665524411</v>
      </c>
      <c r="DX24" s="1">
        <v>-0.31159312779250392</v>
      </c>
      <c r="DY24" s="1">
        <v>0.34380428679820851</v>
      </c>
      <c r="DZ24" s="1">
        <v>-0.43350657873669168</v>
      </c>
      <c r="EA24" s="1">
        <v>-5.4920183841502608E-2</v>
      </c>
      <c r="EB24" s="1">
        <v>-0.1092287723728063</v>
      </c>
      <c r="EC24" s="1">
        <v>0.14364347355970919</v>
      </c>
      <c r="ED24" s="1">
        <v>-6.9835153666616717E-2</v>
      </c>
      <c r="EE24" s="1">
        <v>-0.10748065723441801</v>
      </c>
      <c r="EF24" s="1">
        <v>6.7276677043968364E-2</v>
      </c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</row>
    <row r="26" spans="1:137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7" spans="1:137">
      <c r="C27" s="68">
        <v>1101</v>
      </c>
      <c r="D27" s="69">
        <v>2484</v>
      </c>
      <c r="E27" s="69">
        <v>1233</v>
      </c>
      <c r="F27" s="69">
        <v>2379</v>
      </c>
      <c r="G27" s="69">
        <v>2379</v>
      </c>
      <c r="H27" s="69">
        <v>1233</v>
      </c>
      <c r="I27" s="69">
        <v>1805</v>
      </c>
      <c r="J27" s="69">
        <v>1805</v>
      </c>
      <c r="K27" s="68">
        <v>1233</v>
      </c>
      <c r="L27" s="69">
        <v>2379</v>
      </c>
      <c r="M27" s="69">
        <v>1805</v>
      </c>
      <c r="N27" s="69">
        <v>1805</v>
      </c>
      <c r="O27" s="69">
        <v>1805</v>
      </c>
      <c r="P27" s="69">
        <v>4402</v>
      </c>
      <c r="Q27" s="69">
        <v>5515</v>
      </c>
      <c r="R27" s="69">
        <v>1805</v>
      </c>
      <c r="S27" s="69">
        <v>1805</v>
      </c>
      <c r="T27" s="69">
        <v>5515</v>
      </c>
      <c r="U27" s="69">
        <v>3024</v>
      </c>
      <c r="V27" s="69">
        <v>5521</v>
      </c>
      <c r="W27" s="69">
        <v>5521</v>
      </c>
      <c r="X27" s="69">
        <v>5521</v>
      </c>
      <c r="Y27" s="69">
        <v>5521</v>
      </c>
      <c r="Z27" s="69">
        <v>5521</v>
      </c>
      <c r="AA27" s="69">
        <v>5521</v>
      </c>
      <c r="AB27" s="69">
        <v>5521</v>
      </c>
      <c r="AC27" s="69">
        <v>5521</v>
      </c>
      <c r="AD27" s="69">
        <v>5521</v>
      </c>
      <c r="AE27" s="69">
        <v>5521</v>
      </c>
      <c r="AF27" s="69">
        <v>5521</v>
      </c>
      <c r="AG27" s="69">
        <v>5521</v>
      </c>
      <c r="AH27" s="69">
        <v>1464</v>
      </c>
      <c r="AI27" s="69">
        <v>3033</v>
      </c>
      <c r="AJ27" s="69">
        <v>4413</v>
      </c>
      <c r="AK27" s="69">
        <v>2451</v>
      </c>
      <c r="AL27" s="69">
        <v>4413</v>
      </c>
      <c r="AM27" s="69">
        <v>2022</v>
      </c>
      <c r="AN27" s="69">
        <v>2022</v>
      </c>
      <c r="AO27" s="69">
        <v>1436</v>
      </c>
      <c r="AP27" s="69">
        <v>1805</v>
      </c>
      <c r="AQ27" s="69">
        <v>1805</v>
      </c>
      <c r="AR27" s="69">
        <v>4416</v>
      </c>
      <c r="AS27" s="69">
        <v>2022</v>
      </c>
      <c r="AT27" s="69">
        <v>8927</v>
      </c>
      <c r="AU27" s="69">
        <v>1436</v>
      </c>
      <c r="AV27" s="69">
        <v>5523</v>
      </c>
      <c r="AW27" s="69">
        <v>5523</v>
      </c>
      <c r="AX27" s="69">
        <v>5523</v>
      </c>
      <c r="AY27" s="69">
        <v>5523</v>
      </c>
      <c r="AZ27" s="69">
        <v>5523</v>
      </c>
      <c r="BA27" s="69">
        <v>5523</v>
      </c>
      <c r="BB27" s="69">
        <v>5523</v>
      </c>
      <c r="BC27" s="69">
        <v>6186</v>
      </c>
      <c r="BD27" s="69">
        <v>6196</v>
      </c>
      <c r="BE27" s="69">
        <v>5523</v>
      </c>
      <c r="BF27" s="69">
        <v>5523</v>
      </c>
      <c r="BG27" s="69">
        <v>5523</v>
      </c>
      <c r="BH27" s="69">
        <v>5523</v>
      </c>
      <c r="BI27" s="69">
        <v>5523</v>
      </c>
      <c r="BJ27" s="69">
        <v>6186</v>
      </c>
      <c r="BK27" s="69">
        <v>2537</v>
      </c>
      <c r="BL27" s="68">
        <v>2537</v>
      </c>
      <c r="BM27" s="69">
        <v>8927</v>
      </c>
      <c r="BN27" s="69">
        <v>8927</v>
      </c>
      <c r="BO27" s="69">
        <v>8927</v>
      </c>
      <c r="BP27" s="69">
        <v>4416</v>
      </c>
      <c r="BQ27" s="69">
        <v>4416</v>
      </c>
      <c r="BR27" s="69">
        <v>2524</v>
      </c>
      <c r="BS27" s="69">
        <v>2524</v>
      </c>
      <c r="BT27" s="69">
        <v>5007</v>
      </c>
      <c r="BU27" s="69">
        <v>4109</v>
      </c>
      <c r="BV27" s="69">
        <v>4109</v>
      </c>
      <c r="BW27" s="69">
        <v>5345</v>
      </c>
      <c r="BX27" s="69">
        <v>8927</v>
      </c>
      <c r="BY27" s="69">
        <v>5345</v>
      </c>
      <c r="BZ27" s="69">
        <v>8927</v>
      </c>
      <c r="CA27" s="69">
        <v>8927</v>
      </c>
      <c r="CB27" s="69">
        <v>8927</v>
      </c>
      <c r="CC27" s="69">
        <v>8927</v>
      </c>
      <c r="CD27" s="69">
        <v>8927</v>
      </c>
      <c r="CE27" s="69">
        <v>8927</v>
      </c>
      <c r="CF27" s="69">
        <v>8927</v>
      </c>
      <c r="CG27" s="69">
        <v>9904</v>
      </c>
      <c r="CH27" s="69">
        <v>8927</v>
      </c>
      <c r="CI27" s="69">
        <v>8927</v>
      </c>
      <c r="CJ27" s="69">
        <v>6239</v>
      </c>
      <c r="CK27" s="69">
        <v>6239</v>
      </c>
      <c r="CL27" s="69">
        <v>6239</v>
      </c>
      <c r="CM27" s="69">
        <v>4402</v>
      </c>
      <c r="CN27" s="69">
        <v>4402</v>
      </c>
      <c r="CO27" s="69">
        <v>1436</v>
      </c>
      <c r="CP27" s="69">
        <v>8927</v>
      </c>
      <c r="CQ27" s="69">
        <v>8927</v>
      </c>
      <c r="CR27" s="69">
        <v>2493</v>
      </c>
      <c r="CS27" s="69">
        <v>2493</v>
      </c>
      <c r="CT27" s="69">
        <v>5371</v>
      </c>
      <c r="CU27" s="69">
        <v>2493</v>
      </c>
      <c r="CV27" s="69">
        <v>6237</v>
      </c>
      <c r="CW27" s="69">
        <v>5315</v>
      </c>
      <c r="CX27" s="69">
        <v>9904</v>
      </c>
      <c r="CY27" s="69">
        <v>9904</v>
      </c>
      <c r="CZ27" s="69">
        <v>5007</v>
      </c>
      <c r="DA27" s="69">
        <v>5007</v>
      </c>
      <c r="DB27" s="69">
        <v>9904</v>
      </c>
      <c r="DC27" s="69">
        <v>9904</v>
      </c>
      <c r="DD27" s="69">
        <v>2538</v>
      </c>
      <c r="DE27" s="69">
        <v>2538</v>
      </c>
      <c r="DF27" s="69">
        <v>2538</v>
      </c>
      <c r="DG27" s="69">
        <v>2538</v>
      </c>
      <c r="DH27" s="69">
        <v>2493</v>
      </c>
      <c r="DI27" s="69">
        <v>2493</v>
      </c>
      <c r="DJ27" s="69">
        <v>2493</v>
      </c>
      <c r="DK27" s="69">
        <v>2538</v>
      </c>
      <c r="DL27" s="69">
        <v>2538</v>
      </c>
      <c r="DM27" s="69">
        <v>2538</v>
      </c>
      <c r="DN27" s="69">
        <v>2538</v>
      </c>
      <c r="DO27" s="69">
        <v>2538</v>
      </c>
      <c r="DP27" s="69">
        <v>2538</v>
      </c>
      <c r="DQ27" s="69">
        <v>2538</v>
      </c>
      <c r="DR27" s="69">
        <v>6291</v>
      </c>
      <c r="DS27" s="69">
        <v>6291</v>
      </c>
      <c r="DT27" s="69">
        <v>6291</v>
      </c>
      <c r="DU27" s="69">
        <v>6291</v>
      </c>
      <c r="DV27" s="69">
        <v>8050</v>
      </c>
      <c r="DW27" s="69">
        <v>2538</v>
      </c>
      <c r="DX27" s="69">
        <v>6291</v>
      </c>
      <c r="DY27" s="69">
        <v>6291</v>
      </c>
      <c r="DZ27" s="69">
        <v>2538</v>
      </c>
      <c r="EA27" s="69">
        <v>2538</v>
      </c>
      <c r="EB27" s="69">
        <v>2538</v>
      </c>
      <c r="EC27" s="69">
        <v>2538</v>
      </c>
      <c r="ED27" s="69">
        <v>2538</v>
      </c>
      <c r="EE27" s="69">
        <v>2538</v>
      </c>
      <c r="EF27" s="69">
        <v>4402</v>
      </c>
    </row>
    <row r="28" spans="1:137" ht="16">
      <c r="A28" s="28"/>
      <c r="B28" s="28"/>
      <c r="C28" s="70" t="s">
        <v>171</v>
      </c>
      <c r="D28" s="71" t="s">
        <v>172</v>
      </c>
      <c r="E28" s="71" t="s">
        <v>173</v>
      </c>
      <c r="F28" s="71" t="s">
        <v>174</v>
      </c>
      <c r="G28" s="71" t="s">
        <v>174</v>
      </c>
      <c r="H28" s="71" t="s">
        <v>173</v>
      </c>
      <c r="I28" s="71" t="s">
        <v>175</v>
      </c>
      <c r="J28" s="71" t="s">
        <v>175</v>
      </c>
      <c r="K28" s="70" t="s">
        <v>173</v>
      </c>
      <c r="L28" s="71" t="s">
        <v>174</v>
      </c>
      <c r="M28" s="71" t="s">
        <v>175</v>
      </c>
      <c r="N28" s="71" t="s">
        <v>175</v>
      </c>
      <c r="O28" s="71" t="s">
        <v>175</v>
      </c>
      <c r="P28" s="71" t="s">
        <v>176</v>
      </c>
      <c r="Q28" s="71" t="s">
        <v>177</v>
      </c>
      <c r="R28" s="71" t="s">
        <v>175</v>
      </c>
      <c r="S28" s="71" t="s">
        <v>175</v>
      </c>
      <c r="T28" s="71" t="s">
        <v>177</v>
      </c>
      <c r="U28" s="71" t="s">
        <v>178</v>
      </c>
      <c r="V28" s="71" t="s">
        <v>179</v>
      </c>
      <c r="W28" s="71" t="s">
        <v>179</v>
      </c>
      <c r="X28" s="71" t="s">
        <v>179</v>
      </c>
      <c r="Y28" s="71" t="s">
        <v>179</v>
      </c>
      <c r="Z28" s="71" t="s">
        <v>179</v>
      </c>
      <c r="AA28" s="71" t="s">
        <v>179</v>
      </c>
      <c r="AB28" s="71" t="s">
        <v>179</v>
      </c>
      <c r="AC28" s="71" t="s">
        <v>179</v>
      </c>
      <c r="AD28" s="71" t="s">
        <v>179</v>
      </c>
      <c r="AE28" s="71" t="s">
        <v>179</v>
      </c>
      <c r="AF28" s="71" t="s">
        <v>179</v>
      </c>
      <c r="AG28" s="71" t="s">
        <v>179</v>
      </c>
      <c r="AH28" s="71" t="s">
        <v>180</v>
      </c>
      <c r="AI28" s="71" t="s">
        <v>181</v>
      </c>
      <c r="AJ28" s="71" t="s">
        <v>182</v>
      </c>
      <c r="AK28" s="71" t="s">
        <v>183</v>
      </c>
      <c r="AL28" s="71" t="s">
        <v>182</v>
      </c>
      <c r="AM28" s="71" t="s">
        <v>184</v>
      </c>
      <c r="AN28" s="71" t="s">
        <v>184</v>
      </c>
      <c r="AO28" s="71" t="s">
        <v>185</v>
      </c>
      <c r="AP28" s="71" t="s">
        <v>175</v>
      </c>
      <c r="AQ28" s="71" t="s">
        <v>175</v>
      </c>
      <c r="AR28" s="71" t="s">
        <v>186</v>
      </c>
      <c r="AS28" s="71" t="s">
        <v>184</v>
      </c>
      <c r="AT28" s="71" t="s">
        <v>187</v>
      </c>
      <c r="AU28" s="71" t="s">
        <v>185</v>
      </c>
      <c r="AV28" s="71" t="s">
        <v>188</v>
      </c>
      <c r="AW28" s="71" t="s">
        <v>188</v>
      </c>
      <c r="AX28" s="71" t="s">
        <v>188</v>
      </c>
      <c r="AY28" s="71" t="s">
        <v>188</v>
      </c>
      <c r="AZ28" s="71" t="s">
        <v>188</v>
      </c>
      <c r="BA28" s="71" t="s">
        <v>188</v>
      </c>
      <c r="BB28" s="71" t="s">
        <v>188</v>
      </c>
      <c r="BC28" s="71" t="s">
        <v>189</v>
      </c>
      <c r="BD28" s="71" t="s">
        <v>190</v>
      </c>
      <c r="BE28" s="71" t="s">
        <v>188</v>
      </c>
      <c r="BF28" s="71" t="s">
        <v>188</v>
      </c>
      <c r="BG28" s="71" t="s">
        <v>188</v>
      </c>
      <c r="BH28" s="71" t="s">
        <v>188</v>
      </c>
      <c r="BI28" s="71" t="s">
        <v>188</v>
      </c>
      <c r="BJ28" s="71" t="s">
        <v>189</v>
      </c>
      <c r="BK28" s="71" t="s">
        <v>191</v>
      </c>
      <c r="BL28" s="71" t="s">
        <v>191</v>
      </c>
      <c r="BM28" s="71" t="s">
        <v>187</v>
      </c>
      <c r="BN28" s="71" t="s">
        <v>187</v>
      </c>
      <c r="BO28" s="71" t="s">
        <v>187</v>
      </c>
      <c r="BP28" s="71" t="s">
        <v>186</v>
      </c>
      <c r="BQ28" s="71" t="s">
        <v>186</v>
      </c>
      <c r="BR28" s="71" t="s">
        <v>192</v>
      </c>
      <c r="BS28" s="71" t="s">
        <v>192</v>
      </c>
      <c r="BT28" s="71" t="s">
        <v>193</v>
      </c>
      <c r="BU28" s="71" t="s">
        <v>194</v>
      </c>
      <c r="BV28" s="71" t="s">
        <v>194</v>
      </c>
      <c r="BW28" s="71" t="s">
        <v>195</v>
      </c>
      <c r="BX28" s="71" t="s">
        <v>187</v>
      </c>
      <c r="BY28" s="71" t="s">
        <v>195</v>
      </c>
      <c r="BZ28" s="71" t="s">
        <v>187</v>
      </c>
      <c r="CA28" s="71" t="s">
        <v>187</v>
      </c>
      <c r="CB28" s="71" t="s">
        <v>187</v>
      </c>
      <c r="CC28" s="71" t="s">
        <v>187</v>
      </c>
      <c r="CD28" s="71" t="s">
        <v>187</v>
      </c>
      <c r="CE28" s="71" t="s">
        <v>187</v>
      </c>
      <c r="CF28" s="71" t="s">
        <v>187</v>
      </c>
      <c r="CG28" s="71" t="s">
        <v>196</v>
      </c>
      <c r="CH28" s="71" t="s">
        <v>187</v>
      </c>
      <c r="CI28" s="71" t="s">
        <v>187</v>
      </c>
      <c r="CJ28" s="71" t="s">
        <v>197</v>
      </c>
      <c r="CK28" s="71" t="s">
        <v>197</v>
      </c>
      <c r="CL28" s="71" t="s">
        <v>197</v>
      </c>
      <c r="CM28" s="71" t="s">
        <v>176</v>
      </c>
      <c r="CN28" s="71" t="s">
        <v>176</v>
      </c>
      <c r="CO28" s="71" t="s">
        <v>185</v>
      </c>
      <c r="CP28" s="71" t="s">
        <v>187</v>
      </c>
      <c r="CQ28" s="71" t="s">
        <v>187</v>
      </c>
      <c r="CR28" s="71" t="s">
        <v>198</v>
      </c>
      <c r="CS28" s="71" t="s">
        <v>198</v>
      </c>
      <c r="CT28" s="71" t="s">
        <v>199</v>
      </c>
      <c r="CU28" s="71" t="s">
        <v>198</v>
      </c>
      <c r="CV28" s="71" t="s">
        <v>200</v>
      </c>
      <c r="CW28" s="71" t="s">
        <v>201</v>
      </c>
      <c r="CX28" s="71" t="s">
        <v>196</v>
      </c>
      <c r="CY28" s="71" t="s">
        <v>196</v>
      </c>
      <c r="CZ28" s="71" t="s">
        <v>193</v>
      </c>
      <c r="DA28" s="71" t="s">
        <v>193</v>
      </c>
      <c r="DB28" s="71" t="s">
        <v>196</v>
      </c>
      <c r="DC28" s="71" t="s">
        <v>196</v>
      </c>
      <c r="DD28" s="71" t="s">
        <v>202</v>
      </c>
      <c r="DE28" s="71" t="s">
        <v>202</v>
      </c>
      <c r="DF28" s="71" t="s">
        <v>202</v>
      </c>
      <c r="DG28" s="71" t="s">
        <v>202</v>
      </c>
      <c r="DH28" s="71" t="s">
        <v>198</v>
      </c>
      <c r="DI28" s="71" t="s">
        <v>198</v>
      </c>
      <c r="DJ28" s="71" t="s">
        <v>198</v>
      </c>
      <c r="DK28" s="71" t="s">
        <v>202</v>
      </c>
      <c r="DL28" s="71" t="s">
        <v>202</v>
      </c>
      <c r="DM28" s="71" t="s">
        <v>202</v>
      </c>
      <c r="DN28" s="71" t="s">
        <v>202</v>
      </c>
      <c r="DO28" s="71" t="s">
        <v>202</v>
      </c>
      <c r="DP28" s="71" t="s">
        <v>202</v>
      </c>
      <c r="DQ28" s="71" t="s">
        <v>202</v>
      </c>
      <c r="DR28" s="71" t="s">
        <v>203</v>
      </c>
      <c r="DS28" s="71" t="s">
        <v>203</v>
      </c>
      <c r="DT28" s="71" t="s">
        <v>203</v>
      </c>
      <c r="DU28" s="71" t="s">
        <v>203</v>
      </c>
      <c r="DV28" s="71" t="s">
        <v>204</v>
      </c>
      <c r="DW28" s="71" t="s">
        <v>202</v>
      </c>
      <c r="DX28" s="71" t="s">
        <v>203</v>
      </c>
      <c r="DY28" s="71" t="s">
        <v>203</v>
      </c>
      <c r="DZ28" s="71" t="s">
        <v>202</v>
      </c>
      <c r="EA28" s="71" t="s">
        <v>202</v>
      </c>
      <c r="EB28" s="71" t="s">
        <v>202</v>
      </c>
      <c r="EC28" s="71" t="s">
        <v>202</v>
      </c>
      <c r="ED28" s="71" t="s">
        <v>202</v>
      </c>
      <c r="EE28" s="71" t="s">
        <v>202</v>
      </c>
      <c r="EF28" s="71" t="s">
        <v>176</v>
      </c>
    </row>
    <row r="29" spans="1:137">
      <c r="C29" s="68">
        <v>9951</v>
      </c>
      <c r="D29" s="69">
        <v>3219</v>
      </c>
      <c r="E29" s="69">
        <v>2328</v>
      </c>
      <c r="F29" s="69">
        <v>2002</v>
      </c>
      <c r="G29" s="69">
        <v>2002</v>
      </c>
      <c r="H29" s="69">
        <v>2328</v>
      </c>
      <c r="I29" s="69">
        <v>2328</v>
      </c>
      <c r="J29" s="69">
        <v>2328</v>
      </c>
      <c r="K29" s="68">
        <v>2328</v>
      </c>
      <c r="L29" s="69">
        <v>9904</v>
      </c>
      <c r="M29" s="69">
        <v>2328</v>
      </c>
      <c r="N29" s="69">
        <v>2328</v>
      </c>
      <c r="O29" s="69">
        <v>2328</v>
      </c>
      <c r="P29" s="69">
        <v>2328</v>
      </c>
      <c r="Q29" s="69">
        <v>2328</v>
      </c>
      <c r="R29" s="69">
        <v>2328</v>
      </c>
      <c r="S29" s="69">
        <v>2328</v>
      </c>
      <c r="T29" s="69">
        <v>2328</v>
      </c>
      <c r="U29" s="69">
        <v>2524</v>
      </c>
      <c r="V29" s="69">
        <v>2328</v>
      </c>
      <c r="W29" s="69">
        <v>2328</v>
      </c>
      <c r="X29" s="69">
        <v>2328</v>
      </c>
      <c r="Y29" s="69">
        <v>2328</v>
      </c>
      <c r="Z29" s="69">
        <v>2328</v>
      </c>
      <c r="AA29" s="69">
        <v>2328</v>
      </c>
      <c r="AB29" s="69">
        <v>2328</v>
      </c>
      <c r="AC29" s="69">
        <v>2328</v>
      </c>
      <c r="AD29" s="69">
        <v>2328</v>
      </c>
      <c r="AE29" s="69">
        <v>2328</v>
      </c>
      <c r="AF29" s="69">
        <v>2328</v>
      </c>
      <c r="AG29" s="69">
        <v>2328</v>
      </c>
      <c r="AH29" s="69">
        <v>2328</v>
      </c>
      <c r="AI29" s="69">
        <v>2524</v>
      </c>
      <c r="AJ29" s="69">
        <v>2328</v>
      </c>
      <c r="AK29" s="69">
        <v>2538</v>
      </c>
      <c r="AL29" s="69">
        <v>2328</v>
      </c>
      <c r="AM29" s="69">
        <v>2328</v>
      </c>
      <c r="AN29" s="69">
        <v>2328</v>
      </c>
      <c r="AO29" s="69">
        <v>2328</v>
      </c>
      <c r="AP29" s="69">
        <v>2328</v>
      </c>
      <c r="AQ29" s="69">
        <v>2328</v>
      </c>
      <c r="AR29" s="69">
        <v>2328</v>
      </c>
      <c r="AS29" s="69">
        <v>2328</v>
      </c>
      <c r="AT29" s="69">
        <v>2328</v>
      </c>
      <c r="AU29" s="69">
        <v>2328</v>
      </c>
      <c r="AV29" s="69">
        <v>2328</v>
      </c>
      <c r="AW29" s="69">
        <v>2328</v>
      </c>
      <c r="AX29" s="69">
        <v>2328</v>
      </c>
      <c r="AY29" s="69">
        <v>2328</v>
      </c>
      <c r="AZ29" s="69">
        <v>2328</v>
      </c>
      <c r="BA29" s="69">
        <v>2328</v>
      </c>
      <c r="BB29" s="69">
        <v>2328</v>
      </c>
      <c r="BC29" s="69">
        <v>2527</v>
      </c>
      <c r="BD29" s="69">
        <v>5523</v>
      </c>
      <c r="BE29" s="69">
        <v>2328</v>
      </c>
      <c r="BF29" s="69">
        <v>2328</v>
      </c>
      <c r="BG29" s="69">
        <v>2328</v>
      </c>
      <c r="BH29" s="69">
        <v>2328</v>
      </c>
      <c r="BI29" s="69">
        <v>2328</v>
      </c>
      <c r="BJ29" s="69">
        <v>1785</v>
      </c>
      <c r="BK29" s="69">
        <v>2328</v>
      </c>
      <c r="BL29" s="68">
        <v>2328</v>
      </c>
      <c r="BM29" s="69">
        <v>2328</v>
      </c>
      <c r="BN29" s="69">
        <v>2328</v>
      </c>
      <c r="BO29" s="69">
        <v>2328</v>
      </c>
      <c r="BP29" s="69">
        <v>2328</v>
      </c>
      <c r="BQ29" s="69">
        <v>2328</v>
      </c>
      <c r="BR29" s="69">
        <v>2328</v>
      </c>
      <c r="BS29" s="69">
        <v>2328</v>
      </c>
      <c r="BT29" s="69">
        <v>2328</v>
      </c>
      <c r="BU29" s="69">
        <v>2328</v>
      </c>
      <c r="BV29" s="69">
        <v>2328</v>
      </c>
      <c r="BW29" s="69">
        <v>2328</v>
      </c>
      <c r="BX29" s="69">
        <v>2328</v>
      </c>
      <c r="BY29" s="69">
        <v>2328</v>
      </c>
      <c r="BZ29" s="69">
        <v>2328</v>
      </c>
      <c r="CA29" s="69">
        <v>2328</v>
      </c>
      <c r="CB29" s="69">
        <v>2328</v>
      </c>
      <c r="CC29" s="69">
        <v>2328</v>
      </c>
      <c r="CD29" s="69">
        <v>2328</v>
      </c>
      <c r="CE29" s="69">
        <v>2328</v>
      </c>
      <c r="CF29" s="69">
        <v>2328</v>
      </c>
      <c r="CG29" s="69">
        <v>2328</v>
      </c>
      <c r="CH29" s="69">
        <v>2328</v>
      </c>
      <c r="CI29" s="69">
        <v>2328</v>
      </c>
      <c r="CJ29" s="69">
        <v>2328</v>
      </c>
      <c r="CK29" s="69">
        <v>2328</v>
      </c>
      <c r="CL29" s="69">
        <v>2328</v>
      </c>
      <c r="CM29" s="69">
        <v>2328</v>
      </c>
      <c r="CN29" s="69">
        <v>2328</v>
      </c>
      <c r="CO29" s="69">
        <v>2328</v>
      </c>
      <c r="CP29" s="69">
        <v>2328</v>
      </c>
      <c r="CQ29" s="69">
        <v>2328</v>
      </c>
      <c r="CR29" s="69">
        <v>2328</v>
      </c>
      <c r="CS29" s="69">
        <v>2328</v>
      </c>
      <c r="CT29" s="69">
        <v>4205</v>
      </c>
      <c r="CU29" s="69">
        <v>2328</v>
      </c>
      <c r="CV29" s="69">
        <v>2328</v>
      </c>
      <c r="CW29" s="69">
        <v>2328</v>
      </c>
      <c r="CX29" s="69">
        <v>2328</v>
      </c>
      <c r="CY29" s="69">
        <v>2328</v>
      </c>
      <c r="CZ29" s="69">
        <v>2328</v>
      </c>
      <c r="DA29" s="69">
        <v>2328</v>
      </c>
      <c r="DB29" s="69">
        <v>2328</v>
      </c>
      <c r="DC29" s="69">
        <v>2328</v>
      </c>
      <c r="DD29" s="69">
        <v>2328</v>
      </c>
      <c r="DE29" s="69">
        <v>2328</v>
      </c>
      <c r="DF29" s="69">
        <v>2328</v>
      </c>
      <c r="DG29" s="69">
        <v>2328</v>
      </c>
      <c r="DH29" s="69">
        <v>4205</v>
      </c>
      <c r="DI29" s="69">
        <v>5340</v>
      </c>
      <c r="DJ29" s="69">
        <v>4205</v>
      </c>
      <c r="DK29" s="69">
        <v>2328</v>
      </c>
      <c r="DL29" s="69">
        <v>2328</v>
      </c>
      <c r="DM29" s="69">
        <v>2328</v>
      </c>
      <c r="DN29" s="69">
        <v>2328</v>
      </c>
      <c r="DO29" s="69">
        <v>2328</v>
      </c>
      <c r="DP29" s="69">
        <v>2328</v>
      </c>
      <c r="DQ29" s="69">
        <v>2328</v>
      </c>
      <c r="DR29" s="69">
        <v>2328</v>
      </c>
      <c r="DS29" s="69">
        <v>2328</v>
      </c>
      <c r="DT29" s="69">
        <v>2328</v>
      </c>
      <c r="DU29" s="69">
        <v>2328</v>
      </c>
      <c r="DV29" s="69">
        <v>2328</v>
      </c>
      <c r="DW29" s="69">
        <v>2328</v>
      </c>
      <c r="DX29" s="69">
        <v>2434</v>
      </c>
      <c r="DY29" s="69">
        <v>2434</v>
      </c>
      <c r="DZ29" s="69">
        <v>2328</v>
      </c>
      <c r="EA29" s="69">
        <v>2328</v>
      </c>
      <c r="EB29" s="69">
        <v>2328</v>
      </c>
      <c r="EC29" s="69">
        <v>2328</v>
      </c>
      <c r="ED29" s="69">
        <v>2328</v>
      </c>
      <c r="EE29" s="69">
        <v>2328</v>
      </c>
      <c r="EF29" s="69">
        <v>1454</v>
      </c>
    </row>
    <row r="30" spans="1:137">
      <c r="C30" s="68" t="s">
        <v>205</v>
      </c>
      <c r="D30" s="69" t="s">
        <v>206</v>
      </c>
      <c r="E30" s="69" t="s">
        <v>207</v>
      </c>
      <c r="F30" s="69" t="s">
        <v>208</v>
      </c>
      <c r="G30" s="69" t="s">
        <v>208</v>
      </c>
      <c r="H30" s="69" t="s">
        <v>207</v>
      </c>
      <c r="I30" s="69" t="s">
        <v>207</v>
      </c>
      <c r="J30" s="69" t="s">
        <v>207</v>
      </c>
      <c r="K30" s="68" t="s">
        <v>207</v>
      </c>
      <c r="L30" s="69" t="s">
        <v>196</v>
      </c>
      <c r="M30" s="68" t="s">
        <v>207</v>
      </c>
      <c r="N30" s="69" t="s">
        <v>207</v>
      </c>
      <c r="O30" s="69" t="s">
        <v>207</v>
      </c>
      <c r="P30" s="69" t="s">
        <v>207</v>
      </c>
      <c r="Q30" s="69" t="s">
        <v>207</v>
      </c>
      <c r="R30" s="69" t="s">
        <v>207</v>
      </c>
      <c r="S30" s="69" t="s">
        <v>207</v>
      </c>
      <c r="T30" s="69" t="s">
        <v>207</v>
      </c>
      <c r="U30" s="69" t="s">
        <v>192</v>
      </c>
      <c r="V30" s="69" t="s">
        <v>207</v>
      </c>
      <c r="W30" s="69" t="s">
        <v>207</v>
      </c>
      <c r="X30" s="69" t="s">
        <v>207</v>
      </c>
      <c r="Y30" s="69" t="s">
        <v>207</v>
      </c>
      <c r="Z30" s="69" t="s">
        <v>207</v>
      </c>
      <c r="AA30" s="69" t="s">
        <v>207</v>
      </c>
      <c r="AB30" s="69" t="s">
        <v>207</v>
      </c>
      <c r="AC30" s="69" t="s">
        <v>207</v>
      </c>
      <c r="AD30" s="69" t="s">
        <v>207</v>
      </c>
      <c r="AE30" s="69" t="s">
        <v>207</v>
      </c>
      <c r="AF30" s="69" t="s">
        <v>207</v>
      </c>
      <c r="AG30" s="69" t="s">
        <v>207</v>
      </c>
      <c r="AH30" s="69" t="s">
        <v>207</v>
      </c>
      <c r="AI30" s="69" t="s">
        <v>192</v>
      </c>
      <c r="AJ30" s="69" t="s">
        <v>207</v>
      </c>
      <c r="AK30" s="69" t="s">
        <v>202</v>
      </c>
      <c r="AL30" s="69" t="s">
        <v>207</v>
      </c>
      <c r="AM30" s="69" t="s">
        <v>207</v>
      </c>
      <c r="AN30" s="69" t="s">
        <v>207</v>
      </c>
      <c r="AO30" s="69" t="s">
        <v>207</v>
      </c>
      <c r="AP30" s="69" t="s">
        <v>207</v>
      </c>
      <c r="AQ30" s="69" t="s">
        <v>207</v>
      </c>
      <c r="AR30" s="69" t="s">
        <v>207</v>
      </c>
      <c r="AS30" s="69" t="s">
        <v>207</v>
      </c>
      <c r="AT30" s="69" t="s">
        <v>207</v>
      </c>
      <c r="AU30" s="69" t="s">
        <v>207</v>
      </c>
      <c r="AV30" s="69" t="s">
        <v>207</v>
      </c>
      <c r="AW30" s="69" t="s">
        <v>207</v>
      </c>
      <c r="AX30" s="69" t="s">
        <v>207</v>
      </c>
      <c r="AY30" s="69" t="s">
        <v>207</v>
      </c>
      <c r="AZ30" s="69" t="s">
        <v>207</v>
      </c>
      <c r="BA30" s="69" t="s">
        <v>207</v>
      </c>
      <c r="BB30" s="69" t="s">
        <v>207</v>
      </c>
      <c r="BC30" s="69" t="s">
        <v>209</v>
      </c>
      <c r="BD30" s="69" t="s">
        <v>188</v>
      </c>
      <c r="BE30" s="69" t="s">
        <v>207</v>
      </c>
      <c r="BF30" s="69" t="s">
        <v>207</v>
      </c>
      <c r="BG30" s="69" t="s">
        <v>207</v>
      </c>
      <c r="BH30" s="69" t="s">
        <v>207</v>
      </c>
      <c r="BI30" s="69" t="s">
        <v>207</v>
      </c>
      <c r="BJ30" s="69" t="s">
        <v>210</v>
      </c>
      <c r="BK30" s="69" t="s">
        <v>207</v>
      </c>
      <c r="BL30" s="68" t="s">
        <v>207</v>
      </c>
      <c r="BM30" s="69" t="s">
        <v>207</v>
      </c>
      <c r="BN30" s="69" t="s">
        <v>207</v>
      </c>
      <c r="BO30" s="69" t="s">
        <v>207</v>
      </c>
      <c r="BP30" s="69" t="s">
        <v>207</v>
      </c>
      <c r="BQ30" s="69" t="s">
        <v>207</v>
      </c>
      <c r="BR30" s="69" t="s">
        <v>207</v>
      </c>
      <c r="BS30" s="69" t="s">
        <v>207</v>
      </c>
      <c r="BT30" s="69" t="s">
        <v>207</v>
      </c>
      <c r="BU30" s="69" t="s">
        <v>207</v>
      </c>
      <c r="BV30" s="69" t="s">
        <v>207</v>
      </c>
      <c r="BW30" s="69" t="s">
        <v>207</v>
      </c>
      <c r="BX30" s="69" t="s">
        <v>207</v>
      </c>
      <c r="BY30" s="69" t="s">
        <v>207</v>
      </c>
      <c r="BZ30" s="69" t="s">
        <v>207</v>
      </c>
      <c r="CA30" s="69" t="s">
        <v>207</v>
      </c>
      <c r="CB30" s="69" t="s">
        <v>207</v>
      </c>
      <c r="CC30" s="69" t="s">
        <v>207</v>
      </c>
      <c r="CD30" s="69" t="s">
        <v>207</v>
      </c>
      <c r="CE30" s="69" t="s">
        <v>207</v>
      </c>
      <c r="CF30" s="69" t="s">
        <v>207</v>
      </c>
      <c r="CG30" s="69" t="s">
        <v>207</v>
      </c>
      <c r="CH30" s="69" t="s">
        <v>207</v>
      </c>
      <c r="CI30" s="69" t="s">
        <v>207</v>
      </c>
      <c r="CJ30" s="69" t="s">
        <v>207</v>
      </c>
      <c r="CK30" s="69" t="s">
        <v>207</v>
      </c>
      <c r="CL30" s="69" t="s">
        <v>207</v>
      </c>
      <c r="CM30" s="69" t="s">
        <v>207</v>
      </c>
      <c r="CN30" s="69" t="s">
        <v>207</v>
      </c>
      <c r="CO30" s="69" t="s">
        <v>207</v>
      </c>
      <c r="CP30" s="69" t="s">
        <v>207</v>
      </c>
      <c r="CQ30" s="69" t="s">
        <v>207</v>
      </c>
      <c r="CR30" s="69" t="s">
        <v>207</v>
      </c>
      <c r="CS30" s="69" t="s">
        <v>207</v>
      </c>
      <c r="CT30" s="69" t="s">
        <v>211</v>
      </c>
      <c r="CU30" s="69" t="s">
        <v>207</v>
      </c>
      <c r="CV30" s="69" t="s">
        <v>207</v>
      </c>
      <c r="CW30" s="69" t="s">
        <v>207</v>
      </c>
      <c r="CX30" s="69" t="s">
        <v>207</v>
      </c>
      <c r="CY30" s="69" t="s">
        <v>207</v>
      </c>
      <c r="CZ30" s="69" t="s">
        <v>207</v>
      </c>
      <c r="DA30" s="69" t="s">
        <v>207</v>
      </c>
      <c r="DB30" s="69" t="s">
        <v>207</v>
      </c>
      <c r="DC30" s="69" t="s">
        <v>207</v>
      </c>
      <c r="DD30" s="69" t="s">
        <v>207</v>
      </c>
      <c r="DE30" s="69" t="s">
        <v>207</v>
      </c>
      <c r="DF30" s="69" t="s">
        <v>207</v>
      </c>
      <c r="DG30" s="69" t="s">
        <v>207</v>
      </c>
      <c r="DH30" s="69" t="s">
        <v>211</v>
      </c>
      <c r="DI30" s="69" t="s">
        <v>212</v>
      </c>
      <c r="DJ30" s="69" t="s">
        <v>211</v>
      </c>
      <c r="DK30" s="69" t="s">
        <v>207</v>
      </c>
      <c r="DL30" s="69" t="s">
        <v>207</v>
      </c>
      <c r="DM30" s="69" t="s">
        <v>207</v>
      </c>
      <c r="DN30" s="69" t="s">
        <v>207</v>
      </c>
      <c r="DO30" s="69" t="s">
        <v>207</v>
      </c>
      <c r="DP30" s="69" t="s">
        <v>207</v>
      </c>
      <c r="DQ30" s="69" t="s">
        <v>207</v>
      </c>
      <c r="DR30" s="69" t="s">
        <v>207</v>
      </c>
      <c r="DS30" s="69" t="s">
        <v>207</v>
      </c>
      <c r="DT30" s="69" t="s">
        <v>207</v>
      </c>
      <c r="DU30" s="69" t="s">
        <v>207</v>
      </c>
      <c r="DV30" s="69" t="s">
        <v>207</v>
      </c>
      <c r="DW30" s="69" t="s">
        <v>207</v>
      </c>
      <c r="DX30" s="69" t="s">
        <v>213</v>
      </c>
      <c r="DY30" s="69" t="s">
        <v>213</v>
      </c>
      <c r="DZ30" s="69" t="s">
        <v>207</v>
      </c>
      <c r="EA30" s="69" t="s">
        <v>207</v>
      </c>
      <c r="EB30" s="69" t="s">
        <v>207</v>
      </c>
      <c r="EC30" s="69" t="s">
        <v>207</v>
      </c>
      <c r="ED30" s="69" t="s">
        <v>207</v>
      </c>
      <c r="EE30" s="69" t="s">
        <v>207</v>
      </c>
      <c r="EF30" s="69" t="s">
        <v>214</v>
      </c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8"/>
  <sheetViews>
    <sheetView topLeftCell="DL7" zoomScale="81" workbookViewId="0">
      <selection activeCell="EG11" sqref="EG11:EH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8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8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8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8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8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8" ht="16">
      <c r="A6" s="74" t="s">
        <v>139</v>
      </c>
      <c r="B6" s="75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8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8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8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8" ht="16">
      <c r="A10" s="74" t="s">
        <v>140</v>
      </c>
      <c r="B10" s="75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13" t="s">
        <v>148</v>
      </c>
      <c r="EH11" s="13" t="s">
        <v>149</v>
      </c>
    </row>
    <row r="12" spans="1:138" ht="16">
      <c r="A12" s="6">
        <v>10</v>
      </c>
      <c r="B12" s="6">
        <v>96</v>
      </c>
      <c r="C12" s="11">
        <f>IF(預測IC!C12&gt;預測IC!C$25,1,0)</f>
        <v>1</v>
      </c>
      <c r="D12" s="11">
        <f>IF(預測IC!D12&gt;預測IC!D$25,1,0)</f>
        <v>0</v>
      </c>
      <c r="E12" s="11">
        <f>IF(預測IC!E12&gt;預測IC!E$25,1,0)</f>
        <v>1</v>
      </c>
      <c r="F12" s="11">
        <f>IF(預測IC!F12&gt;預測IC!F$25,1,0)</f>
        <v>0</v>
      </c>
      <c r="G12" s="11">
        <f>IF(預測IC!G12&gt;預測IC!G$25,1,0)</f>
        <v>0</v>
      </c>
      <c r="H12" s="11">
        <f>IF(預測IC!H12&gt;預測IC!H$25,1,0)</f>
        <v>1</v>
      </c>
      <c r="I12" s="11">
        <f>IF(預測IC!I12&gt;預測IC!I$25,1,0)</f>
        <v>1</v>
      </c>
      <c r="J12" s="11">
        <f>IF(預測IC!J12&gt;預測IC!J$25,1,0)</f>
        <v>0</v>
      </c>
      <c r="K12" s="11">
        <f>IF(預測IC!K12&gt;預測IC!K$25,1,0)</f>
        <v>1</v>
      </c>
      <c r="L12" s="11">
        <f>IF(預測IC!L12&gt;預測IC!L$25,1,0)</f>
        <v>0</v>
      </c>
      <c r="M12" s="11">
        <f>IF(預測IC!M12&gt;預測IC!M$25,1,0)</f>
        <v>0</v>
      </c>
      <c r="N12" s="11">
        <f>IF(預測IC!N12&gt;預測IC!N$25,1,0)</f>
        <v>1</v>
      </c>
      <c r="O12" s="11">
        <f>IF(預測IC!O12&gt;預測IC!O$25,1,0)</f>
        <v>0</v>
      </c>
      <c r="P12" s="11">
        <f>IF(預測IC!P12&gt;預測IC!P$25,1,0)</f>
        <v>0</v>
      </c>
      <c r="Q12" s="11">
        <f>IF(預測IC!Q12&gt;預測IC!Q$25,1,0)</f>
        <v>0</v>
      </c>
      <c r="R12" s="11">
        <f>IF(預測IC!R12&gt;預測IC!R$25,1,0)</f>
        <v>0</v>
      </c>
      <c r="S12" s="11">
        <f>IF(預測IC!S12&gt;預測IC!S$25,1,0)</f>
        <v>0</v>
      </c>
      <c r="T12" s="11">
        <f>IF(預測IC!T12&gt;預測IC!T$25,1,0)</f>
        <v>1</v>
      </c>
      <c r="U12" s="11">
        <f>IF(預測IC!U12&gt;預測IC!U$25,1,0)</f>
        <v>1</v>
      </c>
      <c r="V12" s="11">
        <f>IF(預測IC!V12&gt;預測IC!V$25,1,0)</f>
        <v>1</v>
      </c>
      <c r="W12" s="11">
        <f>IF(預測IC!W12&gt;預測IC!W$25,1,0)</f>
        <v>1</v>
      </c>
      <c r="X12" s="11">
        <f>IF(預測IC!X12&gt;預測IC!X$25,1,0)</f>
        <v>0</v>
      </c>
      <c r="Y12" s="11">
        <f>IF(預測IC!Y12&gt;預測IC!Y$25,1,0)</f>
        <v>1</v>
      </c>
      <c r="Z12" s="11">
        <f>IF(預測IC!Z12&gt;預測IC!Z$25,1,0)</f>
        <v>1</v>
      </c>
      <c r="AA12" s="11">
        <f>IF(預測IC!AA12&gt;預測IC!AA$25,1,0)</f>
        <v>1</v>
      </c>
      <c r="AB12" s="11">
        <f>IF(預測IC!AB12&gt;預測IC!AB$25,1,0)</f>
        <v>0</v>
      </c>
      <c r="AC12" s="11">
        <f>IF(預測IC!AC12&gt;預測IC!AC$25,1,0)</f>
        <v>0</v>
      </c>
      <c r="AD12" s="11">
        <f>IF(預測IC!AD12&gt;預測IC!AD$25,1,0)</f>
        <v>1</v>
      </c>
      <c r="AE12" s="11">
        <f>IF(預測IC!AE12&gt;預測IC!AE$25,1,0)</f>
        <v>0</v>
      </c>
      <c r="AF12" s="11">
        <f>IF(預測IC!AF12&gt;預測IC!AF$25,1,0)</f>
        <v>0</v>
      </c>
      <c r="AG12" s="11">
        <f>IF(預測IC!AG12&gt;預測IC!AG$25,1,0)</f>
        <v>0</v>
      </c>
      <c r="AH12" s="11">
        <f>IF(預測IC!AH12&gt;預測IC!AH$25,1,0)</f>
        <v>1</v>
      </c>
      <c r="AI12" s="11">
        <f>IF(預測IC!AI12&gt;預測IC!AI$25,1,0)</f>
        <v>1</v>
      </c>
      <c r="AJ12" s="11">
        <f>IF(預測IC!AJ12&gt;預測IC!AJ$25,1,0)</f>
        <v>1</v>
      </c>
      <c r="AK12" s="11">
        <f>IF(預測IC!AK12&gt;預測IC!AK$25,1,0)</f>
        <v>1</v>
      </c>
      <c r="AL12" s="11">
        <f>IF(預測IC!AL12&gt;預測IC!AL$25,1,0)</f>
        <v>1</v>
      </c>
      <c r="AM12" s="11">
        <f>IF(預測IC!AM12&gt;預測IC!AM$25,1,0)</f>
        <v>0</v>
      </c>
      <c r="AN12" s="11">
        <f>IF(預測IC!AN12&gt;預測IC!AN$25,1,0)</f>
        <v>0</v>
      </c>
      <c r="AO12" s="11">
        <f>IF(預測IC!AO12&gt;預測IC!AO$25,1,0)</f>
        <v>1</v>
      </c>
      <c r="AP12" s="11">
        <f>IF(預測IC!AP12&gt;預測IC!AP$25,1,0)</f>
        <v>0</v>
      </c>
      <c r="AQ12" s="11">
        <f>IF(預測IC!AQ12&gt;預測IC!AQ$25,1,0)</f>
        <v>0</v>
      </c>
      <c r="AR12" s="11">
        <f>IF(預測IC!AR12&gt;預測IC!AR$25,1,0)</f>
        <v>0</v>
      </c>
      <c r="AS12" s="11">
        <f>IF(預測IC!AS12&gt;預測IC!AS$25,1,0)</f>
        <v>0</v>
      </c>
      <c r="AT12" s="11">
        <f>IF(預測IC!AT12&gt;預測IC!AT$25,1,0)</f>
        <v>0</v>
      </c>
      <c r="AU12" s="11">
        <f>IF(預測IC!AU12&gt;預測IC!AU$25,1,0)</f>
        <v>1</v>
      </c>
      <c r="AV12" s="11">
        <f>IF(預測IC!AV12&gt;預測IC!AV$25,1,0)</f>
        <v>0</v>
      </c>
      <c r="AW12" s="11">
        <f>IF(預測IC!AW12&gt;預測IC!AW$25,1,0)</f>
        <v>1</v>
      </c>
      <c r="AX12" s="11">
        <f>IF(預測IC!AX12&gt;預測IC!AX$25,1,0)</f>
        <v>0</v>
      </c>
      <c r="AY12" s="11">
        <f>IF(預測IC!AY12&gt;預測IC!AY$25,1,0)</f>
        <v>0</v>
      </c>
      <c r="AZ12" s="11">
        <f>IF(預測IC!AZ12&gt;預測IC!AZ$25,1,0)</f>
        <v>1</v>
      </c>
      <c r="BA12" s="11">
        <f>IF(預測IC!BA12&gt;預測IC!BA$25,1,0)</f>
        <v>1</v>
      </c>
      <c r="BB12" s="11">
        <f>IF(預測IC!BB12&gt;預測IC!BB$25,1,0)</f>
        <v>1</v>
      </c>
      <c r="BC12" s="11">
        <f>IF(預測IC!BC12&gt;預測IC!BC$25,1,0)</f>
        <v>0</v>
      </c>
      <c r="BD12" s="11">
        <f>IF(預測IC!BD12&gt;預測IC!BD$25,1,0)</f>
        <v>1</v>
      </c>
      <c r="BE12" s="11">
        <f>IF(預測IC!BE12&gt;預測IC!BE$25,1,0)</f>
        <v>0</v>
      </c>
      <c r="BF12" s="11">
        <f>IF(預測IC!BF12&gt;預測IC!BF$25,1,0)</f>
        <v>0</v>
      </c>
      <c r="BG12" s="11">
        <f>IF(預測IC!BG12&gt;預測IC!BG$25,1,0)</f>
        <v>1</v>
      </c>
      <c r="BH12" s="11">
        <f>IF(預測IC!BH12&gt;預測IC!BH$25,1,0)</f>
        <v>1</v>
      </c>
      <c r="BI12" s="11">
        <f>IF(預測IC!BI12&gt;預測IC!BI$25,1,0)</f>
        <v>1</v>
      </c>
      <c r="BJ12" s="11">
        <f>IF(預測IC!BJ12&gt;預測IC!BJ$25,1,0)</f>
        <v>1</v>
      </c>
      <c r="BK12" s="11">
        <f>IF(預測IC!BK12&gt;預測IC!BK$25,1,0)</f>
        <v>0</v>
      </c>
      <c r="BL12" s="11">
        <f>IF(預測IC!BL12&gt;預測IC!BL$25,1,0)</f>
        <v>0</v>
      </c>
      <c r="BM12" s="11">
        <f>IF(預測IC!BM12&gt;預測IC!BM$25,1,0)</f>
        <v>0</v>
      </c>
      <c r="BN12" s="11">
        <f>IF(預測IC!BN12&gt;預測IC!BN$25,1,0)</f>
        <v>0</v>
      </c>
      <c r="BO12" s="11">
        <f>IF(預測IC!BO12&gt;預測IC!BO$25,1,0)</f>
        <v>1</v>
      </c>
      <c r="BP12" s="11">
        <f>IF(預測IC!BP12&gt;預測IC!BP$25,1,0)</f>
        <v>0</v>
      </c>
      <c r="BQ12" s="11">
        <f>IF(預測IC!BQ12&gt;預測IC!BQ$25,1,0)</f>
        <v>0</v>
      </c>
      <c r="BR12" s="11">
        <f>IF(預測IC!BR12&gt;預測IC!BR$25,1,0)</f>
        <v>1</v>
      </c>
      <c r="BS12" s="11">
        <f>IF(預測IC!BS12&gt;預測IC!BS$25,1,0)</f>
        <v>1</v>
      </c>
      <c r="BT12" s="11">
        <f>IF(預測IC!BT12&gt;預測IC!BT$25,1,0)</f>
        <v>0</v>
      </c>
      <c r="BU12" s="11">
        <f>IF(預測IC!BU12&gt;預測IC!BU$25,1,0)</f>
        <v>0</v>
      </c>
      <c r="BV12" s="11">
        <f>IF(預測IC!BV12&gt;預測IC!BV$25,1,0)</f>
        <v>0</v>
      </c>
      <c r="BW12" s="11">
        <f>IF(預測IC!BW12&gt;預測IC!BW$25,1,0)</f>
        <v>1</v>
      </c>
      <c r="BX12" s="11">
        <f>IF(預測IC!BX12&gt;預測IC!BX$25,1,0)</f>
        <v>1</v>
      </c>
      <c r="BY12" s="11">
        <f>IF(預測IC!BY12&gt;預測IC!BY$25,1,0)</f>
        <v>1</v>
      </c>
      <c r="BZ12" s="11">
        <f>IF(預測IC!BZ12&gt;預測IC!BZ$25,1,0)</f>
        <v>0</v>
      </c>
      <c r="CA12" s="11">
        <f>IF(預測IC!CA12&gt;預測IC!CA$25,1,0)</f>
        <v>1</v>
      </c>
      <c r="CB12" s="11">
        <f>IF(預測IC!CB12&gt;預測IC!CB$25,1,0)</f>
        <v>1</v>
      </c>
      <c r="CC12" s="11">
        <f>IF(預測IC!CC12&gt;預測IC!CC$25,1,0)</f>
        <v>0</v>
      </c>
      <c r="CD12" s="11">
        <f>IF(預測IC!CD12&gt;預測IC!CD$25,1,0)</f>
        <v>1</v>
      </c>
      <c r="CE12" s="11">
        <f>IF(預測IC!CE12&gt;預測IC!CE$25,1,0)</f>
        <v>1</v>
      </c>
      <c r="CF12" s="11">
        <f>IF(預測IC!CF12&gt;預測IC!CF$25,1,0)</f>
        <v>1</v>
      </c>
      <c r="CG12" s="11">
        <f>IF(預測IC!CG12&gt;預測IC!CG$25,1,0)</f>
        <v>0</v>
      </c>
      <c r="CH12" s="11">
        <f>IF(預測IC!CH12&gt;預測IC!CH$25,1,0)</f>
        <v>0</v>
      </c>
      <c r="CI12" s="11">
        <f>IF(預測IC!CI12&gt;預測IC!CI$25,1,0)</f>
        <v>0</v>
      </c>
      <c r="CJ12" s="11">
        <f>IF(預測IC!CJ12&gt;預測IC!CJ$25,1,0)</f>
        <v>0</v>
      </c>
      <c r="CK12" s="11">
        <f>IF(預測IC!CK12&gt;預測IC!CK$25,1,0)</f>
        <v>1</v>
      </c>
      <c r="CL12" s="11">
        <f>IF(預測IC!CL12&gt;預測IC!CL$25,1,0)</f>
        <v>0</v>
      </c>
      <c r="CM12" s="11">
        <f>IF(預測IC!CM12&gt;預測IC!CM$25,1,0)</f>
        <v>0</v>
      </c>
      <c r="CN12" s="11">
        <f>IF(預測IC!CN12&gt;預測IC!CN$25,1,0)</f>
        <v>0</v>
      </c>
      <c r="CO12" s="11">
        <f>IF(預測IC!CO12&gt;預測IC!CO$25,1,0)</f>
        <v>1</v>
      </c>
      <c r="CP12" s="11">
        <f>IF(預測IC!CP12&gt;預測IC!CP$25,1,0)</f>
        <v>0</v>
      </c>
      <c r="CQ12" s="11">
        <f>IF(預測IC!CQ12&gt;預測IC!CQ$25,1,0)</f>
        <v>1</v>
      </c>
      <c r="CR12" s="11">
        <f>IF(預測IC!CR12&gt;預測IC!CR$25,1,0)</f>
        <v>1</v>
      </c>
      <c r="CS12" s="11">
        <f>IF(預測IC!CS12&gt;預測IC!CS$25,1,0)</f>
        <v>0</v>
      </c>
      <c r="CT12" s="11">
        <f>IF(預測IC!CT12&gt;預測IC!CT$25,1,0)</f>
        <v>0</v>
      </c>
      <c r="CU12" s="11">
        <f>IF(預測IC!CU12&gt;預測IC!CU$25,1,0)</f>
        <v>1</v>
      </c>
      <c r="CV12" s="11">
        <f>IF(預測IC!CV12&gt;預測IC!CV$25,1,0)</f>
        <v>1</v>
      </c>
      <c r="CW12" s="11">
        <f>IF(預測IC!CW12&gt;預測IC!CW$25,1,0)</f>
        <v>1</v>
      </c>
      <c r="CX12" s="11">
        <f>IF(預測IC!CX12&gt;預測IC!CX$25,1,0)</f>
        <v>1</v>
      </c>
      <c r="CY12" s="11">
        <f>IF(預測IC!CY12&gt;預測IC!CY$25,1,0)</f>
        <v>1</v>
      </c>
      <c r="CZ12" s="11">
        <f>IF(預測IC!CZ12&gt;預測IC!CZ$25,1,0)</f>
        <v>1</v>
      </c>
      <c r="DA12" s="11">
        <f>IF(預測IC!DA12&gt;預測IC!DA$25,1,0)</f>
        <v>1</v>
      </c>
      <c r="DB12" s="11">
        <f>IF(預測IC!DB12&gt;預測IC!DB$25,1,0)</f>
        <v>1</v>
      </c>
      <c r="DC12" s="11">
        <f>IF(預測IC!DC12&gt;預測IC!DC$25,1,0)</f>
        <v>1</v>
      </c>
      <c r="DD12" s="11">
        <f>IF(預測IC!DD12&gt;預測IC!DD$25,1,0)</f>
        <v>0</v>
      </c>
      <c r="DE12" s="11">
        <f>IF(預測IC!DE12&gt;預測IC!DE$25,1,0)</f>
        <v>0</v>
      </c>
      <c r="DF12" s="11">
        <f>IF(預測IC!DF12&gt;預測IC!DF$25,1,0)</f>
        <v>1</v>
      </c>
      <c r="DG12" s="11">
        <f>IF(預測IC!DG12&gt;預測IC!DG$25,1,0)</f>
        <v>0</v>
      </c>
      <c r="DH12" s="11">
        <f>IF(預測IC!DH12&gt;預測IC!DH$25,1,0)</f>
        <v>0</v>
      </c>
      <c r="DI12" s="11">
        <f>IF(預測IC!DI12&gt;預測IC!DI$25,1,0)</f>
        <v>0</v>
      </c>
      <c r="DJ12" s="11">
        <f>IF(預測IC!DJ12&gt;預測IC!DJ$25,1,0)</f>
        <v>1</v>
      </c>
      <c r="DK12" s="11">
        <f>IF(預測IC!DK12&gt;預測IC!DK$25,1,0)</f>
        <v>0</v>
      </c>
      <c r="DL12" s="11">
        <f>IF(預測IC!DL12&gt;預測IC!DL$25,1,0)</f>
        <v>0</v>
      </c>
      <c r="DM12" s="11">
        <f>IF(預測IC!DM12&gt;預測IC!DM$25,1,0)</f>
        <v>0</v>
      </c>
      <c r="DN12" s="11">
        <f>IF(預測IC!DN12&gt;預測IC!DN$25,1,0)</f>
        <v>1</v>
      </c>
      <c r="DO12" s="11">
        <f>IF(預測IC!DO12&gt;預測IC!DO$25,1,0)</f>
        <v>1</v>
      </c>
      <c r="DP12" s="11">
        <f>IF(預測IC!DP12&gt;預測IC!DP$25,1,0)</f>
        <v>1</v>
      </c>
      <c r="DQ12" s="11">
        <f>IF(預測IC!DQ12&gt;預測IC!DQ$25,1,0)</f>
        <v>0</v>
      </c>
      <c r="DR12" s="11">
        <f>IF(預測IC!DR12&gt;預測IC!DR$25,1,0)</f>
        <v>0</v>
      </c>
      <c r="DS12" s="11">
        <f>IF(預測IC!DS12&gt;預測IC!DS$25,1,0)</f>
        <v>1</v>
      </c>
      <c r="DT12" s="11">
        <f>IF(預測IC!DT12&gt;預測IC!DT$25,1,0)</f>
        <v>0</v>
      </c>
      <c r="DU12" s="11">
        <f>IF(預測IC!DU12&gt;預測IC!DU$25,1,0)</f>
        <v>0</v>
      </c>
      <c r="DV12" s="11">
        <f>IF(預測IC!DV12&gt;預測IC!DV$25,1,0)</f>
        <v>1</v>
      </c>
      <c r="DW12" s="11">
        <f>IF(預測IC!DW12&gt;預測IC!DW$25,1,0)</f>
        <v>1</v>
      </c>
      <c r="DX12" s="11">
        <f>IF(預測IC!DX12&gt;預測IC!DX$25,1,0)</f>
        <v>0</v>
      </c>
      <c r="DY12" s="11">
        <f>IF(預測IC!DY12&gt;預測IC!DY$25,1,0)</f>
        <v>1</v>
      </c>
      <c r="DZ12" s="11">
        <f>IF(預測IC!DZ12&gt;預測IC!DZ$25,1,0)</f>
        <v>1</v>
      </c>
      <c r="EA12" s="11">
        <f>IF(預測IC!EA12&gt;預測IC!EA$25,1,0)</f>
        <v>1</v>
      </c>
      <c r="EB12" s="11">
        <f>IF(預測IC!EB12&gt;預測IC!EB$25,1,0)</f>
        <v>0</v>
      </c>
      <c r="EC12" s="11">
        <f>IF(預測IC!EC12&gt;預測IC!EC$25,1,0)</f>
        <v>1</v>
      </c>
      <c r="ED12" s="11">
        <f>IF(預測IC!ED12&gt;預測IC!ED$25,1,0)</f>
        <v>0</v>
      </c>
      <c r="EE12" s="11">
        <f>IF(預測IC!EE12&gt;預測IC!EE$25,1,0)</f>
        <v>0</v>
      </c>
      <c r="EF12" s="11">
        <f>IF(預測IC!EF12&gt;預測IC!EF$25,1,0)</f>
        <v>1</v>
      </c>
      <c r="EG12" s="1">
        <f t="shared" ref="EG12:EG24" si="10">SUM(C12:EF12)</f>
        <v>67</v>
      </c>
      <c r="EH12" s="58">
        <f t="shared" ref="EH12:EH24" si="11">SUM(C12:EF12)/134</f>
        <v>0.5</v>
      </c>
    </row>
    <row r="13" spans="1:138" ht="16">
      <c r="A13" s="6">
        <v>20</v>
      </c>
      <c r="B13" s="6">
        <v>48</v>
      </c>
      <c r="C13" s="11">
        <f>IF(預測IC!C13&gt;預測IC!C$25,1,0)</f>
        <v>1</v>
      </c>
      <c r="D13" s="11">
        <f>IF(預測IC!D13&gt;預測IC!D$25,1,0)</f>
        <v>1</v>
      </c>
      <c r="E13" s="11">
        <f>IF(預測IC!E13&gt;預測IC!E$25,1,0)</f>
        <v>1</v>
      </c>
      <c r="F13" s="11">
        <f>IF(預測IC!F13&gt;預測IC!F$25,1,0)</f>
        <v>0</v>
      </c>
      <c r="G13" s="11">
        <f>IF(預測IC!G13&gt;預測IC!G$25,1,0)</f>
        <v>0</v>
      </c>
      <c r="H13" s="11">
        <f>IF(預測IC!H13&gt;預測IC!H$25,1,0)</f>
        <v>0</v>
      </c>
      <c r="I13" s="11">
        <f>IF(預測IC!I13&gt;預測IC!I$25,1,0)</f>
        <v>1</v>
      </c>
      <c r="J13" s="11">
        <f>IF(預測IC!J13&gt;預測IC!J$25,1,0)</f>
        <v>0</v>
      </c>
      <c r="K13" s="11">
        <f>IF(預測IC!K13&gt;預測IC!K$25,1,0)</f>
        <v>1</v>
      </c>
      <c r="L13" s="11">
        <f>IF(預測IC!L13&gt;預測IC!L$25,1,0)</f>
        <v>0</v>
      </c>
      <c r="M13" s="11">
        <f>IF(預測IC!M13&gt;預測IC!M$25,1,0)</f>
        <v>1</v>
      </c>
      <c r="N13" s="11">
        <f>IF(預測IC!N13&gt;預測IC!N$25,1,0)</f>
        <v>1</v>
      </c>
      <c r="O13" s="11">
        <f>IF(預測IC!O13&gt;預測IC!O$25,1,0)</f>
        <v>0</v>
      </c>
      <c r="P13" s="11">
        <f>IF(預測IC!P13&gt;預測IC!P$25,1,0)</f>
        <v>0</v>
      </c>
      <c r="Q13" s="11">
        <f>IF(預測IC!Q13&gt;預測IC!Q$25,1,0)</f>
        <v>0</v>
      </c>
      <c r="R13" s="11">
        <f>IF(預測IC!R13&gt;預測IC!R$25,1,0)</f>
        <v>0</v>
      </c>
      <c r="S13" s="11">
        <f>IF(預測IC!S13&gt;預測IC!S$25,1,0)</f>
        <v>0</v>
      </c>
      <c r="T13" s="11">
        <f>IF(預測IC!T13&gt;預測IC!T$25,1,0)</f>
        <v>1</v>
      </c>
      <c r="U13" s="11">
        <f>IF(預測IC!U13&gt;預測IC!U$25,1,0)</f>
        <v>1</v>
      </c>
      <c r="V13" s="11">
        <f>IF(預測IC!V13&gt;預測IC!V$25,1,0)</f>
        <v>1</v>
      </c>
      <c r="W13" s="11">
        <f>IF(預測IC!W13&gt;預測IC!W$25,1,0)</f>
        <v>1</v>
      </c>
      <c r="X13" s="11">
        <f>IF(預測IC!X13&gt;預測IC!X$25,1,0)</f>
        <v>0</v>
      </c>
      <c r="Y13" s="11">
        <f>IF(預測IC!Y13&gt;預測IC!Y$25,1,0)</f>
        <v>1</v>
      </c>
      <c r="Z13" s="11">
        <f>IF(預測IC!Z13&gt;預測IC!Z$25,1,0)</f>
        <v>1</v>
      </c>
      <c r="AA13" s="11">
        <f>IF(預測IC!AA13&gt;預測IC!AA$25,1,0)</f>
        <v>1</v>
      </c>
      <c r="AB13" s="11">
        <f>IF(預測IC!AB13&gt;預測IC!AB$25,1,0)</f>
        <v>0</v>
      </c>
      <c r="AC13" s="11">
        <f>IF(預測IC!AC13&gt;預測IC!AC$25,1,0)</f>
        <v>0</v>
      </c>
      <c r="AD13" s="11">
        <f>IF(預測IC!AD13&gt;預測IC!AD$25,1,0)</f>
        <v>1</v>
      </c>
      <c r="AE13" s="11">
        <f>IF(預測IC!AE13&gt;預測IC!AE$25,1,0)</f>
        <v>0</v>
      </c>
      <c r="AF13" s="11">
        <f>IF(預測IC!AF13&gt;預測IC!AF$25,1,0)</f>
        <v>0</v>
      </c>
      <c r="AG13" s="11">
        <f>IF(預測IC!AG13&gt;預測IC!AG$25,1,0)</f>
        <v>0</v>
      </c>
      <c r="AH13" s="11">
        <f>IF(預測IC!AH13&gt;預測IC!AH$25,1,0)</f>
        <v>1</v>
      </c>
      <c r="AI13" s="11">
        <f>IF(預測IC!AI13&gt;預測IC!AI$25,1,0)</f>
        <v>1</v>
      </c>
      <c r="AJ13" s="11">
        <f>IF(預測IC!AJ13&gt;預測IC!AJ$25,1,0)</f>
        <v>1</v>
      </c>
      <c r="AK13" s="11">
        <f>IF(預測IC!AK13&gt;預測IC!AK$25,1,0)</f>
        <v>1</v>
      </c>
      <c r="AL13" s="11">
        <f>IF(預測IC!AL13&gt;預測IC!AL$25,1,0)</f>
        <v>1</v>
      </c>
      <c r="AM13" s="11">
        <f>IF(預測IC!AM13&gt;預測IC!AM$25,1,0)</f>
        <v>0</v>
      </c>
      <c r="AN13" s="11">
        <f>IF(預測IC!AN13&gt;預測IC!AN$25,1,0)</f>
        <v>0</v>
      </c>
      <c r="AO13" s="11">
        <f>IF(預測IC!AO13&gt;預測IC!AO$25,1,0)</f>
        <v>0</v>
      </c>
      <c r="AP13" s="11">
        <f>IF(預測IC!AP13&gt;預測IC!AP$25,1,0)</f>
        <v>0</v>
      </c>
      <c r="AQ13" s="11">
        <f>IF(預測IC!AQ13&gt;預測IC!AQ$25,1,0)</f>
        <v>0</v>
      </c>
      <c r="AR13" s="11">
        <f>IF(預測IC!AR13&gt;預測IC!AR$25,1,0)</f>
        <v>0</v>
      </c>
      <c r="AS13" s="11">
        <f>IF(預測IC!AS13&gt;預測IC!AS$25,1,0)</f>
        <v>0</v>
      </c>
      <c r="AT13" s="11">
        <f>IF(預測IC!AT13&gt;預測IC!AT$25,1,0)</f>
        <v>0</v>
      </c>
      <c r="AU13" s="11">
        <f>IF(預測IC!AU13&gt;預測IC!AU$25,1,0)</f>
        <v>1</v>
      </c>
      <c r="AV13" s="11">
        <f>IF(預測IC!AV13&gt;預測IC!AV$25,1,0)</f>
        <v>0</v>
      </c>
      <c r="AW13" s="11">
        <f>IF(預測IC!AW13&gt;預測IC!AW$25,1,0)</f>
        <v>1</v>
      </c>
      <c r="AX13" s="11">
        <f>IF(預測IC!AX13&gt;預測IC!AX$25,1,0)</f>
        <v>0</v>
      </c>
      <c r="AY13" s="11">
        <f>IF(預測IC!AY13&gt;預測IC!AY$25,1,0)</f>
        <v>0</v>
      </c>
      <c r="AZ13" s="11">
        <f>IF(預測IC!AZ13&gt;預測IC!AZ$25,1,0)</f>
        <v>1</v>
      </c>
      <c r="BA13" s="11">
        <f>IF(預測IC!BA13&gt;預測IC!BA$25,1,0)</f>
        <v>1</v>
      </c>
      <c r="BB13" s="11">
        <f>IF(預測IC!BB13&gt;預測IC!BB$25,1,0)</f>
        <v>1</v>
      </c>
      <c r="BC13" s="11">
        <f>IF(預測IC!BC13&gt;預測IC!BC$25,1,0)</f>
        <v>0</v>
      </c>
      <c r="BD13" s="11">
        <f>IF(預測IC!BD13&gt;預測IC!BD$25,1,0)</f>
        <v>1</v>
      </c>
      <c r="BE13" s="11">
        <f>IF(預測IC!BE13&gt;預測IC!BE$25,1,0)</f>
        <v>0</v>
      </c>
      <c r="BF13" s="11">
        <f>IF(預測IC!BF13&gt;預測IC!BF$25,1,0)</f>
        <v>0</v>
      </c>
      <c r="BG13" s="11">
        <f>IF(預測IC!BG13&gt;預測IC!BG$25,1,0)</f>
        <v>1</v>
      </c>
      <c r="BH13" s="11">
        <f>IF(預測IC!BH13&gt;預測IC!BH$25,1,0)</f>
        <v>1</v>
      </c>
      <c r="BI13" s="11">
        <f>IF(預測IC!BI13&gt;預測IC!BI$25,1,0)</f>
        <v>1</v>
      </c>
      <c r="BJ13" s="11">
        <f>IF(預測IC!BJ13&gt;預測IC!BJ$25,1,0)</f>
        <v>1</v>
      </c>
      <c r="BK13" s="11">
        <f>IF(預測IC!BK13&gt;預測IC!BK$25,1,0)</f>
        <v>0</v>
      </c>
      <c r="BL13" s="11">
        <f>IF(預測IC!BL13&gt;預測IC!BL$25,1,0)</f>
        <v>0</v>
      </c>
      <c r="BM13" s="11">
        <f>IF(預測IC!BM13&gt;預測IC!BM$25,1,0)</f>
        <v>0</v>
      </c>
      <c r="BN13" s="11">
        <f>IF(預測IC!BN13&gt;預測IC!BN$25,1,0)</f>
        <v>0</v>
      </c>
      <c r="BO13" s="11">
        <f>IF(預測IC!BO13&gt;預測IC!BO$25,1,0)</f>
        <v>1</v>
      </c>
      <c r="BP13" s="11">
        <f>IF(預測IC!BP13&gt;預測IC!BP$25,1,0)</f>
        <v>0</v>
      </c>
      <c r="BQ13" s="11">
        <f>IF(預測IC!BQ13&gt;預測IC!BQ$25,1,0)</f>
        <v>1</v>
      </c>
      <c r="BR13" s="11">
        <f>IF(預測IC!BR13&gt;預測IC!BR$25,1,0)</f>
        <v>1</v>
      </c>
      <c r="BS13" s="11">
        <f>IF(預測IC!BS13&gt;預測IC!BS$25,1,0)</f>
        <v>1</v>
      </c>
      <c r="BT13" s="11">
        <f>IF(預測IC!BT13&gt;預測IC!BT$25,1,0)</f>
        <v>0</v>
      </c>
      <c r="BU13" s="11">
        <f>IF(預測IC!BU13&gt;預測IC!BU$25,1,0)</f>
        <v>0</v>
      </c>
      <c r="BV13" s="11">
        <f>IF(預測IC!BV13&gt;預測IC!BV$25,1,0)</f>
        <v>0</v>
      </c>
      <c r="BW13" s="11">
        <f>IF(預測IC!BW13&gt;預測IC!BW$25,1,0)</f>
        <v>1</v>
      </c>
      <c r="BX13" s="11">
        <f>IF(預測IC!BX13&gt;預測IC!BX$25,1,0)</f>
        <v>1</v>
      </c>
      <c r="BY13" s="11">
        <f>IF(預測IC!BY13&gt;預測IC!BY$25,1,0)</f>
        <v>1</v>
      </c>
      <c r="BZ13" s="11">
        <f>IF(預測IC!BZ13&gt;預測IC!BZ$25,1,0)</f>
        <v>0</v>
      </c>
      <c r="CA13" s="11">
        <f>IF(預測IC!CA13&gt;預測IC!CA$25,1,0)</f>
        <v>1</v>
      </c>
      <c r="CB13" s="11">
        <f>IF(預測IC!CB13&gt;預測IC!CB$25,1,0)</f>
        <v>1</v>
      </c>
      <c r="CC13" s="11">
        <f>IF(預測IC!CC13&gt;預測IC!CC$25,1,0)</f>
        <v>1</v>
      </c>
      <c r="CD13" s="11">
        <f>IF(預測IC!CD13&gt;預測IC!CD$25,1,0)</f>
        <v>1</v>
      </c>
      <c r="CE13" s="11">
        <f>IF(預測IC!CE13&gt;預測IC!CE$25,1,0)</f>
        <v>1</v>
      </c>
      <c r="CF13" s="11">
        <f>IF(預測IC!CF13&gt;預測IC!CF$25,1,0)</f>
        <v>1</v>
      </c>
      <c r="CG13" s="11">
        <f>IF(預測IC!CG13&gt;預測IC!CG$25,1,0)</f>
        <v>0</v>
      </c>
      <c r="CH13" s="11">
        <f>IF(預測IC!CH13&gt;預測IC!CH$25,1,0)</f>
        <v>0</v>
      </c>
      <c r="CI13" s="11">
        <f>IF(預測IC!CI13&gt;預測IC!CI$25,1,0)</f>
        <v>0</v>
      </c>
      <c r="CJ13" s="11">
        <f>IF(預測IC!CJ13&gt;預測IC!CJ$25,1,0)</f>
        <v>0</v>
      </c>
      <c r="CK13" s="11">
        <f>IF(預測IC!CK13&gt;預測IC!CK$25,1,0)</f>
        <v>1</v>
      </c>
      <c r="CL13" s="11">
        <f>IF(預測IC!CL13&gt;預測IC!CL$25,1,0)</f>
        <v>0</v>
      </c>
      <c r="CM13" s="11">
        <f>IF(預測IC!CM13&gt;預測IC!CM$25,1,0)</f>
        <v>0</v>
      </c>
      <c r="CN13" s="11">
        <f>IF(預測IC!CN13&gt;預測IC!CN$25,1,0)</f>
        <v>0</v>
      </c>
      <c r="CO13" s="11">
        <f>IF(預測IC!CO13&gt;預測IC!CO$25,1,0)</f>
        <v>1</v>
      </c>
      <c r="CP13" s="11">
        <f>IF(預測IC!CP13&gt;預測IC!CP$25,1,0)</f>
        <v>0</v>
      </c>
      <c r="CQ13" s="11">
        <f>IF(預測IC!CQ13&gt;預測IC!CQ$25,1,0)</f>
        <v>1</v>
      </c>
      <c r="CR13" s="11">
        <f>IF(預測IC!CR13&gt;預測IC!CR$25,1,0)</f>
        <v>1</v>
      </c>
      <c r="CS13" s="11">
        <f>IF(預測IC!CS13&gt;預測IC!CS$25,1,0)</f>
        <v>0</v>
      </c>
      <c r="CT13" s="11">
        <f>IF(預測IC!CT13&gt;預測IC!CT$25,1,0)</f>
        <v>0</v>
      </c>
      <c r="CU13" s="11">
        <f>IF(預測IC!CU13&gt;預測IC!CU$25,1,0)</f>
        <v>1</v>
      </c>
      <c r="CV13" s="11">
        <f>IF(預測IC!CV13&gt;預測IC!CV$25,1,0)</f>
        <v>1</v>
      </c>
      <c r="CW13" s="11">
        <f>IF(預測IC!CW13&gt;預測IC!CW$25,1,0)</f>
        <v>1</v>
      </c>
      <c r="CX13" s="11">
        <f>IF(預測IC!CX13&gt;預測IC!CX$25,1,0)</f>
        <v>1</v>
      </c>
      <c r="CY13" s="11">
        <f>IF(預測IC!CY13&gt;預測IC!CY$25,1,0)</f>
        <v>1</v>
      </c>
      <c r="CZ13" s="11">
        <f>IF(預測IC!CZ13&gt;預測IC!CZ$25,1,0)</f>
        <v>1</v>
      </c>
      <c r="DA13" s="11">
        <f>IF(預測IC!DA13&gt;預測IC!DA$25,1,0)</f>
        <v>1</v>
      </c>
      <c r="DB13" s="11">
        <f>IF(預測IC!DB13&gt;預測IC!DB$25,1,0)</f>
        <v>1</v>
      </c>
      <c r="DC13" s="11">
        <f>IF(預測IC!DC13&gt;預測IC!DC$25,1,0)</f>
        <v>1</v>
      </c>
      <c r="DD13" s="11">
        <f>IF(預測IC!DD13&gt;預測IC!DD$25,1,0)</f>
        <v>0</v>
      </c>
      <c r="DE13" s="11">
        <f>IF(預測IC!DE13&gt;預測IC!DE$25,1,0)</f>
        <v>0</v>
      </c>
      <c r="DF13" s="11">
        <f>IF(預測IC!DF13&gt;預測IC!DF$25,1,0)</f>
        <v>1</v>
      </c>
      <c r="DG13" s="11">
        <f>IF(預測IC!DG13&gt;預測IC!DG$25,1,0)</f>
        <v>0</v>
      </c>
      <c r="DH13" s="11">
        <f>IF(預測IC!DH13&gt;預測IC!DH$25,1,0)</f>
        <v>0</v>
      </c>
      <c r="DI13" s="11">
        <f>IF(預測IC!DI13&gt;預測IC!DI$25,1,0)</f>
        <v>0</v>
      </c>
      <c r="DJ13" s="11">
        <f>IF(預測IC!DJ13&gt;預測IC!DJ$25,1,0)</f>
        <v>1</v>
      </c>
      <c r="DK13" s="11">
        <f>IF(預測IC!DK13&gt;預測IC!DK$25,1,0)</f>
        <v>0</v>
      </c>
      <c r="DL13" s="11">
        <f>IF(預測IC!DL13&gt;預測IC!DL$25,1,0)</f>
        <v>1</v>
      </c>
      <c r="DM13" s="11">
        <f>IF(預測IC!DM13&gt;預測IC!DM$25,1,0)</f>
        <v>0</v>
      </c>
      <c r="DN13" s="11">
        <f>IF(預測IC!DN13&gt;預測IC!DN$25,1,0)</f>
        <v>1</v>
      </c>
      <c r="DO13" s="11">
        <f>IF(預測IC!DO13&gt;預測IC!DO$25,1,0)</f>
        <v>1</v>
      </c>
      <c r="DP13" s="11">
        <f>IF(預測IC!DP13&gt;預測IC!DP$25,1,0)</f>
        <v>1</v>
      </c>
      <c r="DQ13" s="11">
        <f>IF(預測IC!DQ13&gt;預測IC!DQ$25,1,0)</f>
        <v>0</v>
      </c>
      <c r="DR13" s="11">
        <f>IF(預測IC!DR13&gt;預測IC!DR$25,1,0)</f>
        <v>0</v>
      </c>
      <c r="DS13" s="11">
        <f>IF(預測IC!DS13&gt;預測IC!DS$25,1,0)</f>
        <v>1</v>
      </c>
      <c r="DT13" s="11">
        <f>IF(預測IC!DT13&gt;預測IC!DT$25,1,0)</f>
        <v>0</v>
      </c>
      <c r="DU13" s="11">
        <f>IF(預測IC!DU13&gt;預測IC!DU$25,1,0)</f>
        <v>0</v>
      </c>
      <c r="DV13" s="11">
        <f>IF(預測IC!DV13&gt;預測IC!DV$25,1,0)</f>
        <v>1</v>
      </c>
      <c r="DW13" s="11">
        <f>IF(預測IC!DW13&gt;預測IC!DW$25,1,0)</f>
        <v>1</v>
      </c>
      <c r="DX13" s="11">
        <f>IF(預測IC!DX13&gt;預測IC!DX$25,1,0)</f>
        <v>0</v>
      </c>
      <c r="DY13" s="11">
        <f>IF(預測IC!DY13&gt;預測IC!DY$25,1,0)</f>
        <v>1</v>
      </c>
      <c r="DZ13" s="11">
        <f>IF(預測IC!DZ13&gt;預測IC!DZ$25,1,0)</f>
        <v>1</v>
      </c>
      <c r="EA13" s="11">
        <f>IF(預測IC!EA13&gt;預測IC!EA$25,1,0)</f>
        <v>1</v>
      </c>
      <c r="EB13" s="11">
        <f>IF(預測IC!EB13&gt;預測IC!EB$25,1,0)</f>
        <v>0</v>
      </c>
      <c r="EC13" s="11">
        <f>IF(預測IC!EC13&gt;預測IC!EC$25,1,0)</f>
        <v>1</v>
      </c>
      <c r="ED13" s="11">
        <f>IF(預測IC!ED13&gt;預測IC!ED$25,1,0)</f>
        <v>0</v>
      </c>
      <c r="EE13" s="11">
        <f>IF(預測IC!EE13&gt;預測IC!EE$25,1,0)</f>
        <v>0</v>
      </c>
      <c r="EF13" s="11">
        <f>IF(預測IC!EF13&gt;預測IC!EF$25,1,0)</f>
        <v>1</v>
      </c>
      <c r="EG13" s="1">
        <f t="shared" si="10"/>
        <v>70</v>
      </c>
      <c r="EH13" s="58">
        <f t="shared" si="11"/>
        <v>0.52238805970149249</v>
      </c>
    </row>
    <row r="14" spans="1:138" ht="16">
      <c r="A14" s="6">
        <v>50</v>
      </c>
      <c r="B14" s="6">
        <v>19</v>
      </c>
      <c r="C14" s="11">
        <f>IF(預測IC!C14&gt;預測IC!C$25,1,0)</f>
        <v>0</v>
      </c>
      <c r="D14" s="11">
        <f>IF(預測IC!D14&gt;預測IC!D$25,1,0)</f>
        <v>1</v>
      </c>
      <c r="E14" s="11">
        <f>IF(預測IC!E14&gt;預測IC!E$25,1,0)</f>
        <v>1</v>
      </c>
      <c r="F14" s="11">
        <f>IF(預測IC!F14&gt;預測IC!F$25,1,0)</f>
        <v>0</v>
      </c>
      <c r="G14" s="11">
        <f>IF(預測IC!G14&gt;預測IC!G$25,1,0)</f>
        <v>0</v>
      </c>
      <c r="H14" s="11">
        <f>IF(預測IC!H14&gt;預測IC!H$25,1,0)</f>
        <v>1</v>
      </c>
      <c r="I14" s="11">
        <f>IF(預測IC!I14&gt;預測IC!I$25,1,0)</f>
        <v>1</v>
      </c>
      <c r="J14" s="11">
        <f>IF(預測IC!J14&gt;預測IC!J$25,1,0)</f>
        <v>0</v>
      </c>
      <c r="K14" s="11">
        <f>IF(預測IC!K14&gt;預測IC!K$25,1,0)</f>
        <v>1</v>
      </c>
      <c r="L14" s="11">
        <f>IF(預測IC!L14&gt;預測IC!L$25,1,0)</f>
        <v>1</v>
      </c>
      <c r="M14" s="11">
        <f>IF(預測IC!M14&gt;預測IC!M$25,1,0)</f>
        <v>0</v>
      </c>
      <c r="N14" s="11">
        <f>IF(預測IC!N14&gt;預測IC!N$25,1,0)</f>
        <v>1</v>
      </c>
      <c r="O14" s="11">
        <f>IF(預測IC!O14&gt;預測IC!O$25,1,0)</f>
        <v>0</v>
      </c>
      <c r="P14" s="11">
        <f>IF(預測IC!P14&gt;預測IC!P$25,1,0)</f>
        <v>1</v>
      </c>
      <c r="Q14" s="11">
        <f>IF(預測IC!Q14&gt;預測IC!Q$25,1,0)</f>
        <v>0</v>
      </c>
      <c r="R14" s="11">
        <f>IF(預測IC!R14&gt;預測IC!R$25,1,0)</f>
        <v>0</v>
      </c>
      <c r="S14" s="11">
        <f>IF(預測IC!S14&gt;預測IC!S$25,1,0)</f>
        <v>1</v>
      </c>
      <c r="T14" s="11">
        <f>IF(預測IC!T14&gt;預測IC!T$25,1,0)</f>
        <v>1</v>
      </c>
      <c r="U14" s="11">
        <f>IF(預測IC!U14&gt;預測IC!U$25,1,0)</f>
        <v>1</v>
      </c>
      <c r="V14" s="11">
        <f>IF(預測IC!V14&gt;預測IC!V$25,1,0)</f>
        <v>1</v>
      </c>
      <c r="W14" s="11">
        <f>IF(預測IC!W14&gt;預測IC!W$25,1,0)</f>
        <v>1</v>
      </c>
      <c r="X14" s="11">
        <f>IF(預測IC!X14&gt;預測IC!X$25,1,0)</f>
        <v>0</v>
      </c>
      <c r="Y14" s="11">
        <f>IF(預測IC!Y14&gt;預測IC!Y$25,1,0)</f>
        <v>1</v>
      </c>
      <c r="Z14" s="11">
        <f>IF(預測IC!Z14&gt;預測IC!Z$25,1,0)</f>
        <v>1</v>
      </c>
      <c r="AA14" s="11">
        <f>IF(預測IC!AA14&gt;預測IC!AA$25,1,0)</f>
        <v>1</v>
      </c>
      <c r="AB14" s="11">
        <f>IF(預測IC!AB14&gt;預測IC!AB$25,1,0)</f>
        <v>0</v>
      </c>
      <c r="AC14" s="11">
        <f>IF(預測IC!AC14&gt;預測IC!AC$25,1,0)</f>
        <v>0</v>
      </c>
      <c r="AD14" s="11">
        <f>IF(預測IC!AD14&gt;預測IC!AD$25,1,0)</f>
        <v>1</v>
      </c>
      <c r="AE14" s="11">
        <f>IF(預測IC!AE14&gt;預測IC!AE$25,1,0)</f>
        <v>0</v>
      </c>
      <c r="AF14" s="11">
        <f>IF(預測IC!AF14&gt;預測IC!AF$25,1,0)</f>
        <v>0</v>
      </c>
      <c r="AG14" s="11">
        <f>IF(預測IC!AG14&gt;預測IC!AG$25,1,0)</f>
        <v>0</v>
      </c>
      <c r="AH14" s="11">
        <f>IF(預測IC!AH14&gt;預測IC!AH$25,1,0)</f>
        <v>1</v>
      </c>
      <c r="AI14" s="11">
        <f>IF(預測IC!AI14&gt;預測IC!AI$25,1,0)</f>
        <v>1</v>
      </c>
      <c r="AJ14" s="11">
        <f>IF(預測IC!AJ14&gt;預測IC!AJ$25,1,0)</f>
        <v>1</v>
      </c>
      <c r="AK14" s="11">
        <f>IF(預測IC!AK14&gt;預測IC!AK$25,1,0)</f>
        <v>1</v>
      </c>
      <c r="AL14" s="11">
        <f>IF(預測IC!AL14&gt;預測IC!AL$25,1,0)</f>
        <v>1</v>
      </c>
      <c r="AM14" s="11">
        <f>IF(預測IC!AM14&gt;預測IC!AM$25,1,0)</f>
        <v>0</v>
      </c>
      <c r="AN14" s="11">
        <f>IF(預測IC!AN14&gt;預測IC!AN$25,1,0)</f>
        <v>0</v>
      </c>
      <c r="AO14" s="11">
        <f>IF(預測IC!AO14&gt;預測IC!AO$25,1,0)</f>
        <v>0</v>
      </c>
      <c r="AP14" s="11">
        <f>IF(預測IC!AP14&gt;預測IC!AP$25,1,0)</f>
        <v>1</v>
      </c>
      <c r="AQ14" s="11">
        <f>IF(預測IC!AQ14&gt;預測IC!AQ$25,1,0)</f>
        <v>0</v>
      </c>
      <c r="AR14" s="11">
        <f>IF(預測IC!AR14&gt;預測IC!AR$25,1,0)</f>
        <v>0</v>
      </c>
      <c r="AS14" s="11">
        <f>IF(預測IC!AS14&gt;預測IC!AS$25,1,0)</f>
        <v>1</v>
      </c>
      <c r="AT14" s="11">
        <f>IF(預測IC!AT14&gt;預測IC!AT$25,1,0)</f>
        <v>0</v>
      </c>
      <c r="AU14" s="11">
        <f>IF(預測IC!AU14&gt;預測IC!AU$25,1,0)</f>
        <v>1</v>
      </c>
      <c r="AV14" s="11">
        <f>IF(預測IC!AV14&gt;預測IC!AV$25,1,0)</f>
        <v>0</v>
      </c>
      <c r="AW14" s="11">
        <f>IF(預測IC!AW14&gt;預測IC!AW$25,1,0)</f>
        <v>1</v>
      </c>
      <c r="AX14" s="11">
        <f>IF(預測IC!AX14&gt;預測IC!AX$25,1,0)</f>
        <v>0</v>
      </c>
      <c r="AY14" s="11">
        <f>IF(預測IC!AY14&gt;預測IC!AY$25,1,0)</f>
        <v>0</v>
      </c>
      <c r="AZ14" s="11">
        <f>IF(預測IC!AZ14&gt;預測IC!AZ$25,1,0)</f>
        <v>1</v>
      </c>
      <c r="BA14" s="11">
        <f>IF(預測IC!BA14&gt;預測IC!BA$25,1,0)</f>
        <v>1</v>
      </c>
      <c r="BB14" s="11">
        <f>IF(預測IC!BB14&gt;預測IC!BB$25,1,0)</f>
        <v>1</v>
      </c>
      <c r="BC14" s="11">
        <f>IF(預測IC!BC14&gt;預測IC!BC$25,1,0)</f>
        <v>0</v>
      </c>
      <c r="BD14" s="11">
        <f>IF(預測IC!BD14&gt;預測IC!BD$25,1,0)</f>
        <v>1</v>
      </c>
      <c r="BE14" s="11">
        <f>IF(預測IC!BE14&gt;預測IC!BE$25,1,0)</f>
        <v>0</v>
      </c>
      <c r="BF14" s="11">
        <f>IF(預測IC!BF14&gt;預測IC!BF$25,1,0)</f>
        <v>0</v>
      </c>
      <c r="BG14" s="11">
        <f>IF(預測IC!BG14&gt;預測IC!BG$25,1,0)</f>
        <v>1</v>
      </c>
      <c r="BH14" s="11">
        <f>IF(預測IC!BH14&gt;預測IC!BH$25,1,0)</f>
        <v>1</v>
      </c>
      <c r="BI14" s="11">
        <f>IF(預測IC!BI14&gt;預測IC!BI$25,1,0)</f>
        <v>1</v>
      </c>
      <c r="BJ14" s="11">
        <f>IF(預測IC!BJ14&gt;預測IC!BJ$25,1,0)</f>
        <v>1</v>
      </c>
      <c r="BK14" s="11">
        <f>IF(預測IC!BK14&gt;預測IC!BK$25,1,0)</f>
        <v>1</v>
      </c>
      <c r="BL14" s="11">
        <f>IF(預測IC!BL14&gt;預測IC!BL$25,1,0)</f>
        <v>0</v>
      </c>
      <c r="BM14" s="11">
        <f>IF(預測IC!BM14&gt;預測IC!BM$25,1,0)</f>
        <v>0</v>
      </c>
      <c r="BN14" s="11">
        <f>IF(預測IC!BN14&gt;預測IC!BN$25,1,0)</f>
        <v>0</v>
      </c>
      <c r="BO14" s="11">
        <f>IF(預測IC!BO14&gt;預測IC!BO$25,1,0)</f>
        <v>1</v>
      </c>
      <c r="BP14" s="11">
        <f>IF(預測IC!BP14&gt;預測IC!BP$25,1,0)</f>
        <v>1</v>
      </c>
      <c r="BQ14" s="11">
        <f>IF(預測IC!BQ14&gt;預測IC!BQ$25,1,0)</f>
        <v>1</v>
      </c>
      <c r="BR14" s="11">
        <f>IF(預測IC!BR14&gt;預測IC!BR$25,1,0)</f>
        <v>0</v>
      </c>
      <c r="BS14" s="11">
        <f>IF(預測IC!BS14&gt;預測IC!BS$25,1,0)</f>
        <v>1</v>
      </c>
      <c r="BT14" s="11">
        <f>IF(預測IC!BT14&gt;預測IC!BT$25,1,0)</f>
        <v>0</v>
      </c>
      <c r="BU14" s="11">
        <f>IF(預測IC!BU14&gt;預測IC!BU$25,1,0)</f>
        <v>0</v>
      </c>
      <c r="BV14" s="11">
        <f>IF(預測IC!BV14&gt;預測IC!BV$25,1,0)</f>
        <v>0</v>
      </c>
      <c r="BW14" s="11">
        <f>IF(預測IC!BW14&gt;預測IC!BW$25,1,0)</f>
        <v>1</v>
      </c>
      <c r="BX14" s="11">
        <f>IF(預測IC!BX14&gt;預測IC!BX$25,1,0)</f>
        <v>1</v>
      </c>
      <c r="BY14" s="11">
        <f>IF(預測IC!BY14&gt;預測IC!BY$25,1,0)</f>
        <v>1</v>
      </c>
      <c r="BZ14" s="11">
        <f>IF(預測IC!BZ14&gt;預測IC!BZ$25,1,0)</f>
        <v>0</v>
      </c>
      <c r="CA14" s="11">
        <f>IF(預測IC!CA14&gt;預測IC!CA$25,1,0)</f>
        <v>1</v>
      </c>
      <c r="CB14" s="11">
        <f>IF(預測IC!CB14&gt;預測IC!CB$25,1,0)</f>
        <v>1</v>
      </c>
      <c r="CC14" s="11">
        <f>IF(預測IC!CC14&gt;預測IC!CC$25,1,0)</f>
        <v>1</v>
      </c>
      <c r="CD14" s="11">
        <f>IF(預測IC!CD14&gt;預測IC!CD$25,1,0)</f>
        <v>1</v>
      </c>
      <c r="CE14" s="11">
        <f>IF(預測IC!CE14&gt;預測IC!CE$25,1,0)</f>
        <v>1</v>
      </c>
      <c r="CF14" s="11">
        <f>IF(預測IC!CF14&gt;預測IC!CF$25,1,0)</f>
        <v>0</v>
      </c>
      <c r="CG14" s="11">
        <f>IF(預測IC!CG14&gt;預測IC!CG$25,1,0)</f>
        <v>1</v>
      </c>
      <c r="CH14" s="11">
        <f>IF(預測IC!CH14&gt;預測IC!CH$25,1,0)</f>
        <v>0</v>
      </c>
      <c r="CI14" s="11">
        <f>IF(預測IC!CI14&gt;預測IC!CI$25,1,0)</f>
        <v>0</v>
      </c>
      <c r="CJ14" s="11">
        <f>IF(預測IC!CJ14&gt;預測IC!CJ$25,1,0)</f>
        <v>0</v>
      </c>
      <c r="CK14" s="11">
        <f>IF(預測IC!CK14&gt;預測IC!CK$25,1,0)</f>
        <v>0</v>
      </c>
      <c r="CL14" s="11">
        <f>IF(預測IC!CL14&gt;預測IC!CL$25,1,0)</f>
        <v>1</v>
      </c>
      <c r="CM14" s="11">
        <f>IF(預測IC!CM14&gt;預測IC!CM$25,1,0)</f>
        <v>0</v>
      </c>
      <c r="CN14" s="11">
        <f>IF(預測IC!CN14&gt;預測IC!CN$25,1,0)</f>
        <v>0</v>
      </c>
      <c r="CO14" s="11">
        <f>IF(預測IC!CO14&gt;預測IC!CO$25,1,0)</f>
        <v>1</v>
      </c>
      <c r="CP14" s="11">
        <f>IF(預測IC!CP14&gt;預測IC!CP$25,1,0)</f>
        <v>0</v>
      </c>
      <c r="CQ14" s="11">
        <f>IF(預測IC!CQ14&gt;預測IC!CQ$25,1,0)</f>
        <v>1</v>
      </c>
      <c r="CR14" s="11">
        <f>IF(預測IC!CR14&gt;預測IC!CR$25,1,0)</f>
        <v>1</v>
      </c>
      <c r="CS14" s="11">
        <f>IF(預測IC!CS14&gt;預測IC!CS$25,1,0)</f>
        <v>0</v>
      </c>
      <c r="CT14" s="11">
        <f>IF(預測IC!CT14&gt;預測IC!CT$25,1,0)</f>
        <v>0</v>
      </c>
      <c r="CU14" s="11">
        <f>IF(預測IC!CU14&gt;預測IC!CU$25,1,0)</f>
        <v>1</v>
      </c>
      <c r="CV14" s="11">
        <f>IF(預測IC!CV14&gt;預測IC!CV$25,1,0)</f>
        <v>1</v>
      </c>
      <c r="CW14" s="11">
        <f>IF(預測IC!CW14&gt;預測IC!CW$25,1,0)</f>
        <v>1</v>
      </c>
      <c r="CX14" s="11">
        <f>IF(預測IC!CX14&gt;預測IC!CX$25,1,0)</f>
        <v>1</v>
      </c>
      <c r="CY14" s="11">
        <f>IF(預測IC!CY14&gt;預測IC!CY$25,1,0)</f>
        <v>1</v>
      </c>
      <c r="CZ14" s="11">
        <f>IF(預測IC!CZ14&gt;預測IC!CZ$25,1,0)</f>
        <v>1</v>
      </c>
      <c r="DA14" s="11">
        <f>IF(預測IC!DA14&gt;預測IC!DA$25,1,0)</f>
        <v>1</v>
      </c>
      <c r="DB14" s="11">
        <f>IF(預測IC!DB14&gt;預測IC!DB$25,1,0)</f>
        <v>1</v>
      </c>
      <c r="DC14" s="11">
        <f>IF(預測IC!DC14&gt;預測IC!DC$25,1,0)</f>
        <v>1</v>
      </c>
      <c r="DD14" s="11">
        <f>IF(預測IC!DD14&gt;預測IC!DD$25,1,0)</f>
        <v>0</v>
      </c>
      <c r="DE14" s="11">
        <f>IF(預測IC!DE14&gt;預測IC!DE$25,1,0)</f>
        <v>0</v>
      </c>
      <c r="DF14" s="11">
        <f>IF(預測IC!DF14&gt;預測IC!DF$25,1,0)</f>
        <v>1</v>
      </c>
      <c r="DG14" s="11">
        <f>IF(預測IC!DG14&gt;預測IC!DG$25,1,0)</f>
        <v>0</v>
      </c>
      <c r="DH14" s="11">
        <f>IF(預測IC!DH14&gt;預測IC!DH$25,1,0)</f>
        <v>0</v>
      </c>
      <c r="DI14" s="11">
        <f>IF(預測IC!DI14&gt;預測IC!DI$25,1,0)</f>
        <v>0</v>
      </c>
      <c r="DJ14" s="11">
        <f>IF(預測IC!DJ14&gt;預測IC!DJ$25,1,0)</f>
        <v>1</v>
      </c>
      <c r="DK14" s="11">
        <f>IF(預測IC!DK14&gt;預測IC!DK$25,1,0)</f>
        <v>0</v>
      </c>
      <c r="DL14" s="11">
        <f>IF(預測IC!DL14&gt;預測IC!DL$25,1,0)</f>
        <v>0</v>
      </c>
      <c r="DM14" s="11">
        <f>IF(預測IC!DM14&gt;預測IC!DM$25,1,0)</f>
        <v>0</v>
      </c>
      <c r="DN14" s="11">
        <f>IF(預測IC!DN14&gt;預測IC!DN$25,1,0)</f>
        <v>1</v>
      </c>
      <c r="DO14" s="11">
        <f>IF(預測IC!DO14&gt;預測IC!DO$25,1,0)</f>
        <v>1</v>
      </c>
      <c r="DP14" s="11">
        <f>IF(預測IC!DP14&gt;預測IC!DP$25,1,0)</f>
        <v>1</v>
      </c>
      <c r="DQ14" s="11">
        <f>IF(預測IC!DQ14&gt;預測IC!DQ$25,1,0)</f>
        <v>0</v>
      </c>
      <c r="DR14" s="11">
        <f>IF(預測IC!DR14&gt;預測IC!DR$25,1,0)</f>
        <v>0</v>
      </c>
      <c r="DS14" s="11">
        <f>IF(預測IC!DS14&gt;預測IC!DS$25,1,0)</f>
        <v>1</v>
      </c>
      <c r="DT14" s="11">
        <f>IF(預測IC!DT14&gt;預測IC!DT$25,1,0)</f>
        <v>1</v>
      </c>
      <c r="DU14" s="11">
        <f>IF(預測IC!DU14&gt;預測IC!DU$25,1,0)</f>
        <v>0</v>
      </c>
      <c r="DV14" s="11">
        <f>IF(預測IC!DV14&gt;預測IC!DV$25,1,0)</f>
        <v>1</v>
      </c>
      <c r="DW14" s="11">
        <f>IF(預測IC!DW14&gt;預測IC!DW$25,1,0)</f>
        <v>0</v>
      </c>
      <c r="DX14" s="11">
        <f>IF(預測IC!DX14&gt;預測IC!DX$25,1,0)</f>
        <v>0</v>
      </c>
      <c r="DY14" s="11">
        <f>IF(預測IC!DY14&gt;預測IC!DY$25,1,0)</f>
        <v>1</v>
      </c>
      <c r="DZ14" s="11">
        <f>IF(預測IC!DZ14&gt;預測IC!DZ$25,1,0)</f>
        <v>1</v>
      </c>
      <c r="EA14" s="11">
        <f>IF(預測IC!EA14&gt;預測IC!EA$25,1,0)</f>
        <v>1</v>
      </c>
      <c r="EB14" s="11">
        <f>IF(預測IC!EB14&gt;預測IC!EB$25,1,0)</f>
        <v>0</v>
      </c>
      <c r="EC14" s="11">
        <f>IF(預測IC!EC14&gt;預測IC!EC$25,1,0)</f>
        <v>1</v>
      </c>
      <c r="ED14" s="11">
        <f>IF(預測IC!ED14&gt;預測IC!ED$25,1,0)</f>
        <v>0</v>
      </c>
      <c r="EE14" s="11">
        <f>IF(預測IC!EE14&gt;預測IC!EE$25,1,0)</f>
        <v>0</v>
      </c>
      <c r="EF14" s="11">
        <f>IF(預測IC!EF14&gt;預測IC!EF$25,1,0)</f>
        <v>1</v>
      </c>
      <c r="EG14" s="1">
        <f t="shared" si="10"/>
        <v>74</v>
      </c>
      <c r="EH14" s="58">
        <f t="shared" si="11"/>
        <v>0.55223880597014929</v>
      </c>
    </row>
    <row r="15" spans="1:138" ht="16">
      <c r="A15" s="6">
        <v>100</v>
      </c>
      <c r="B15" s="6">
        <v>10</v>
      </c>
      <c r="C15" s="11">
        <f>IF(預測IC!C15&gt;預測IC!C$25,1,0)</f>
        <v>0</v>
      </c>
      <c r="D15" s="11">
        <f>IF(預測IC!D15&gt;預測IC!D$25,1,0)</f>
        <v>0</v>
      </c>
      <c r="E15" s="11">
        <f>IF(預測IC!E15&gt;預測IC!E$25,1,0)</f>
        <v>1</v>
      </c>
      <c r="F15" s="11">
        <f>IF(預測IC!F15&gt;預測IC!F$25,1,0)</f>
        <v>0</v>
      </c>
      <c r="G15" s="11">
        <f>IF(預測IC!G15&gt;預測IC!G$25,1,0)</f>
        <v>0</v>
      </c>
      <c r="H15" s="11">
        <f>IF(預測IC!H15&gt;預測IC!H$25,1,0)</f>
        <v>1</v>
      </c>
      <c r="I15" s="11">
        <f>IF(預測IC!I15&gt;預測IC!I$25,1,0)</f>
        <v>1</v>
      </c>
      <c r="J15" s="11">
        <f>IF(預測IC!J15&gt;預測IC!J$25,1,0)</f>
        <v>0</v>
      </c>
      <c r="K15" s="11">
        <f>IF(預測IC!K15&gt;預測IC!K$25,1,0)</f>
        <v>1</v>
      </c>
      <c r="L15" s="11">
        <f>IF(預測IC!L15&gt;預測IC!L$25,1,0)</f>
        <v>1</v>
      </c>
      <c r="M15" s="11">
        <f>IF(預測IC!M15&gt;預測IC!M$25,1,0)</f>
        <v>0</v>
      </c>
      <c r="N15" s="11">
        <f>IF(預測IC!N15&gt;預測IC!N$25,1,0)</f>
        <v>1</v>
      </c>
      <c r="O15" s="11">
        <f>IF(預測IC!O15&gt;預測IC!O$25,1,0)</f>
        <v>0</v>
      </c>
      <c r="P15" s="11">
        <f>IF(預測IC!P15&gt;預測IC!P$25,1,0)</f>
        <v>1</v>
      </c>
      <c r="Q15" s="11">
        <f>IF(預測IC!Q15&gt;預測IC!Q$25,1,0)</f>
        <v>0</v>
      </c>
      <c r="R15" s="11">
        <f>IF(預測IC!R15&gt;預測IC!R$25,1,0)</f>
        <v>0</v>
      </c>
      <c r="S15" s="11">
        <f>IF(預測IC!S15&gt;預測IC!S$25,1,0)</f>
        <v>0</v>
      </c>
      <c r="T15" s="11">
        <f>IF(預測IC!T15&gt;預測IC!T$25,1,0)</f>
        <v>0</v>
      </c>
      <c r="U15" s="11">
        <f>IF(預測IC!U15&gt;預測IC!U$25,1,0)</f>
        <v>1</v>
      </c>
      <c r="V15" s="11">
        <f>IF(預測IC!V15&gt;預測IC!V$25,1,0)</f>
        <v>0</v>
      </c>
      <c r="W15" s="11">
        <f>IF(預測IC!W15&gt;預測IC!W$25,1,0)</f>
        <v>1</v>
      </c>
      <c r="X15" s="11">
        <f>IF(預測IC!X15&gt;預測IC!X$25,1,0)</f>
        <v>0</v>
      </c>
      <c r="Y15" s="11">
        <f>IF(預測IC!Y15&gt;預測IC!Y$25,1,0)</f>
        <v>1</v>
      </c>
      <c r="Z15" s="11">
        <f>IF(預測IC!Z15&gt;預測IC!Z$25,1,0)</f>
        <v>0</v>
      </c>
      <c r="AA15" s="11">
        <f>IF(預測IC!AA15&gt;預測IC!AA$25,1,0)</f>
        <v>1</v>
      </c>
      <c r="AB15" s="11">
        <f>IF(預測IC!AB15&gt;預測IC!AB$25,1,0)</f>
        <v>0</v>
      </c>
      <c r="AC15" s="11">
        <f>IF(預測IC!AC15&gt;預測IC!AC$25,1,0)</f>
        <v>0</v>
      </c>
      <c r="AD15" s="11">
        <f>IF(預測IC!AD15&gt;預測IC!AD$25,1,0)</f>
        <v>1</v>
      </c>
      <c r="AE15" s="11">
        <f>IF(預測IC!AE15&gt;預測IC!AE$25,1,0)</f>
        <v>1</v>
      </c>
      <c r="AF15" s="11">
        <f>IF(預測IC!AF15&gt;預測IC!AF$25,1,0)</f>
        <v>0</v>
      </c>
      <c r="AG15" s="11">
        <f>IF(預測IC!AG15&gt;預測IC!AG$25,1,0)</f>
        <v>0</v>
      </c>
      <c r="AH15" s="11">
        <f>IF(預測IC!AH15&gt;預測IC!AH$25,1,0)</f>
        <v>0</v>
      </c>
      <c r="AI15" s="11">
        <f>IF(預測IC!AI15&gt;預測IC!AI$25,1,0)</f>
        <v>1</v>
      </c>
      <c r="AJ15" s="11">
        <f>IF(預測IC!AJ15&gt;預測IC!AJ$25,1,0)</f>
        <v>0</v>
      </c>
      <c r="AK15" s="11">
        <f>IF(預測IC!AK15&gt;預測IC!AK$25,1,0)</f>
        <v>1</v>
      </c>
      <c r="AL15" s="11">
        <f>IF(預測IC!AL15&gt;預測IC!AL$25,1,0)</f>
        <v>0</v>
      </c>
      <c r="AM15" s="11">
        <f>IF(預測IC!AM15&gt;預測IC!AM$25,1,0)</f>
        <v>0</v>
      </c>
      <c r="AN15" s="11">
        <f>IF(預測IC!AN15&gt;預測IC!AN$25,1,0)</f>
        <v>0</v>
      </c>
      <c r="AO15" s="11">
        <f>IF(預測IC!AO15&gt;預測IC!AO$25,1,0)</f>
        <v>1</v>
      </c>
      <c r="AP15" s="11">
        <f>IF(預測IC!AP15&gt;預測IC!AP$25,1,0)</f>
        <v>1</v>
      </c>
      <c r="AQ15" s="11">
        <f>IF(預測IC!AQ15&gt;預測IC!AQ$25,1,0)</f>
        <v>0</v>
      </c>
      <c r="AR15" s="11">
        <f>IF(預測IC!AR15&gt;預測IC!AR$25,1,0)</f>
        <v>0</v>
      </c>
      <c r="AS15" s="11">
        <f>IF(預測IC!AS15&gt;預測IC!AS$25,1,0)</f>
        <v>0</v>
      </c>
      <c r="AT15" s="11">
        <f>IF(預測IC!AT15&gt;預測IC!AT$25,1,0)</f>
        <v>0</v>
      </c>
      <c r="AU15" s="11">
        <f>IF(預測IC!AU15&gt;預測IC!AU$25,1,0)</f>
        <v>1</v>
      </c>
      <c r="AV15" s="11">
        <f>IF(預測IC!AV15&gt;預測IC!AV$25,1,0)</f>
        <v>0</v>
      </c>
      <c r="AW15" s="11">
        <f>IF(預測IC!AW15&gt;預測IC!AW$25,1,0)</f>
        <v>1</v>
      </c>
      <c r="AX15" s="11">
        <f>IF(預測IC!AX15&gt;預測IC!AX$25,1,0)</f>
        <v>0</v>
      </c>
      <c r="AY15" s="11">
        <f>IF(預測IC!AY15&gt;預測IC!AY$25,1,0)</f>
        <v>0</v>
      </c>
      <c r="AZ15" s="11">
        <f>IF(預測IC!AZ15&gt;預測IC!AZ$25,1,0)</f>
        <v>1</v>
      </c>
      <c r="BA15" s="11">
        <f>IF(預測IC!BA15&gt;預測IC!BA$25,1,0)</f>
        <v>1</v>
      </c>
      <c r="BB15" s="11">
        <f>IF(預測IC!BB15&gt;預測IC!BB$25,1,0)</f>
        <v>1</v>
      </c>
      <c r="BC15" s="11">
        <f>IF(預測IC!BC15&gt;預測IC!BC$25,1,0)</f>
        <v>1</v>
      </c>
      <c r="BD15" s="11">
        <f>IF(預測IC!BD15&gt;預測IC!BD$25,1,0)</f>
        <v>1</v>
      </c>
      <c r="BE15" s="11">
        <f>IF(預測IC!BE15&gt;預測IC!BE$25,1,0)</f>
        <v>0</v>
      </c>
      <c r="BF15" s="11">
        <f>IF(預測IC!BF15&gt;預測IC!BF$25,1,0)</f>
        <v>0</v>
      </c>
      <c r="BG15" s="11">
        <f>IF(預測IC!BG15&gt;預測IC!BG$25,1,0)</f>
        <v>1</v>
      </c>
      <c r="BH15" s="11">
        <f>IF(預測IC!BH15&gt;預測IC!BH$25,1,0)</f>
        <v>1</v>
      </c>
      <c r="BI15" s="11">
        <f>IF(預測IC!BI15&gt;預測IC!BI$25,1,0)</f>
        <v>1</v>
      </c>
      <c r="BJ15" s="11">
        <f>IF(預測IC!BJ15&gt;預測IC!BJ$25,1,0)</f>
        <v>1</v>
      </c>
      <c r="BK15" s="11">
        <f>IF(預測IC!BK15&gt;預測IC!BK$25,1,0)</f>
        <v>1</v>
      </c>
      <c r="BL15" s="11">
        <f>IF(預測IC!BL15&gt;預測IC!BL$25,1,0)</f>
        <v>0</v>
      </c>
      <c r="BM15" s="11">
        <f>IF(預測IC!BM15&gt;預測IC!BM$25,1,0)</f>
        <v>0</v>
      </c>
      <c r="BN15" s="11">
        <f>IF(預測IC!BN15&gt;預測IC!BN$25,1,0)</f>
        <v>0</v>
      </c>
      <c r="BO15" s="11">
        <f>IF(預測IC!BO15&gt;預測IC!BO$25,1,0)</f>
        <v>1</v>
      </c>
      <c r="BP15" s="11">
        <f>IF(預測IC!BP15&gt;預測IC!BP$25,1,0)</f>
        <v>1</v>
      </c>
      <c r="BQ15" s="11">
        <f>IF(預測IC!BQ15&gt;預測IC!BQ$25,1,0)</f>
        <v>1</v>
      </c>
      <c r="BR15" s="11">
        <f>IF(預測IC!BR15&gt;預測IC!BR$25,1,0)</f>
        <v>0</v>
      </c>
      <c r="BS15" s="11">
        <f>IF(預測IC!BS15&gt;預測IC!BS$25,1,0)</f>
        <v>1</v>
      </c>
      <c r="BT15" s="11">
        <f>IF(預測IC!BT15&gt;預測IC!BT$25,1,0)</f>
        <v>0</v>
      </c>
      <c r="BU15" s="11">
        <f>IF(預測IC!BU15&gt;預測IC!BU$25,1,0)</f>
        <v>0</v>
      </c>
      <c r="BV15" s="11">
        <f>IF(預測IC!BV15&gt;預測IC!BV$25,1,0)</f>
        <v>1</v>
      </c>
      <c r="BW15" s="11">
        <f>IF(預測IC!BW15&gt;預測IC!BW$25,1,0)</f>
        <v>1</v>
      </c>
      <c r="BX15" s="11">
        <f>IF(預測IC!BX15&gt;預測IC!BX$25,1,0)</f>
        <v>1</v>
      </c>
      <c r="BY15" s="11">
        <f>IF(預測IC!BY15&gt;預測IC!BY$25,1,0)</f>
        <v>1</v>
      </c>
      <c r="BZ15" s="11">
        <f>IF(預測IC!BZ15&gt;預測IC!BZ$25,1,0)</f>
        <v>0</v>
      </c>
      <c r="CA15" s="11">
        <f>IF(預測IC!CA15&gt;預測IC!CA$25,1,0)</f>
        <v>1</v>
      </c>
      <c r="CB15" s="11">
        <f>IF(預測IC!CB15&gt;預測IC!CB$25,1,0)</f>
        <v>1</v>
      </c>
      <c r="CC15" s="11">
        <f>IF(預測IC!CC15&gt;預測IC!CC$25,1,0)</f>
        <v>1</v>
      </c>
      <c r="CD15" s="11">
        <f>IF(預測IC!CD15&gt;預測IC!CD$25,1,0)</f>
        <v>1</v>
      </c>
      <c r="CE15" s="11">
        <f>IF(預測IC!CE15&gt;預測IC!CE$25,1,0)</f>
        <v>1</v>
      </c>
      <c r="CF15" s="11">
        <f>IF(預測IC!CF15&gt;預測IC!CF$25,1,0)</f>
        <v>0</v>
      </c>
      <c r="CG15" s="11">
        <f>IF(預測IC!CG15&gt;預測IC!CG$25,1,0)</f>
        <v>1</v>
      </c>
      <c r="CH15" s="11">
        <f>IF(預測IC!CH15&gt;預測IC!CH$25,1,0)</f>
        <v>0</v>
      </c>
      <c r="CI15" s="11">
        <f>IF(預測IC!CI15&gt;預測IC!CI$25,1,0)</f>
        <v>0</v>
      </c>
      <c r="CJ15" s="11">
        <f>IF(預測IC!CJ15&gt;預測IC!CJ$25,1,0)</f>
        <v>0</v>
      </c>
      <c r="CK15" s="11">
        <f>IF(預測IC!CK15&gt;預測IC!CK$25,1,0)</f>
        <v>1</v>
      </c>
      <c r="CL15" s="11">
        <f>IF(預測IC!CL15&gt;預測IC!CL$25,1,0)</f>
        <v>1</v>
      </c>
      <c r="CM15" s="11">
        <f>IF(預測IC!CM15&gt;預測IC!CM$25,1,0)</f>
        <v>0</v>
      </c>
      <c r="CN15" s="11">
        <f>IF(預測IC!CN15&gt;預測IC!CN$25,1,0)</f>
        <v>0</v>
      </c>
      <c r="CO15" s="11">
        <f>IF(預測IC!CO15&gt;預測IC!CO$25,1,0)</f>
        <v>1</v>
      </c>
      <c r="CP15" s="11">
        <f>IF(預測IC!CP15&gt;預測IC!CP$25,1,0)</f>
        <v>0</v>
      </c>
      <c r="CQ15" s="11">
        <f>IF(預測IC!CQ15&gt;預測IC!CQ$25,1,0)</f>
        <v>1</v>
      </c>
      <c r="CR15" s="11">
        <f>IF(預測IC!CR15&gt;預測IC!CR$25,1,0)</f>
        <v>1</v>
      </c>
      <c r="CS15" s="11">
        <f>IF(預測IC!CS15&gt;預測IC!CS$25,1,0)</f>
        <v>0</v>
      </c>
      <c r="CT15" s="11">
        <f>IF(預測IC!CT15&gt;預測IC!CT$25,1,0)</f>
        <v>0</v>
      </c>
      <c r="CU15" s="11">
        <f>IF(預測IC!CU15&gt;預測IC!CU$25,1,0)</f>
        <v>1</v>
      </c>
      <c r="CV15" s="11">
        <f>IF(預測IC!CV15&gt;預測IC!CV$25,1,0)</f>
        <v>1</v>
      </c>
      <c r="CW15" s="11">
        <f>IF(預測IC!CW15&gt;預測IC!CW$25,1,0)</f>
        <v>0</v>
      </c>
      <c r="CX15" s="11">
        <f>IF(預測IC!CX15&gt;預測IC!CX$25,1,0)</f>
        <v>1</v>
      </c>
      <c r="CY15" s="11">
        <f>IF(預測IC!CY15&gt;預測IC!CY$25,1,0)</f>
        <v>1</v>
      </c>
      <c r="CZ15" s="11">
        <f>IF(預測IC!CZ15&gt;預測IC!CZ$25,1,0)</f>
        <v>1</v>
      </c>
      <c r="DA15" s="11">
        <f>IF(預測IC!DA15&gt;預測IC!DA$25,1,0)</f>
        <v>1</v>
      </c>
      <c r="DB15" s="11">
        <f>IF(預測IC!DB15&gt;預測IC!DB$25,1,0)</f>
        <v>1</v>
      </c>
      <c r="DC15" s="11">
        <f>IF(預測IC!DC15&gt;預測IC!DC$25,1,0)</f>
        <v>1</v>
      </c>
      <c r="DD15" s="11">
        <f>IF(預測IC!DD15&gt;預測IC!DD$25,1,0)</f>
        <v>0</v>
      </c>
      <c r="DE15" s="11">
        <f>IF(預測IC!DE15&gt;預測IC!DE$25,1,0)</f>
        <v>0</v>
      </c>
      <c r="DF15" s="11">
        <f>IF(預測IC!DF15&gt;預測IC!DF$25,1,0)</f>
        <v>1</v>
      </c>
      <c r="DG15" s="11">
        <f>IF(預測IC!DG15&gt;預測IC!DG$25,1,0)</f>
        <v>0</v>
      </c>
      <c r="DH15" s="11">
        <f>IF(預測IC!DH15&gt;預測IC!DH$25,1,0)</f>
        <v>0</v>
      </c>
      <c r="DI15" s="11">
        <f>IF(預測IC!DI15&gt;預測IC!DI$25,1,0)</f>
        <v>0</v>
      </c>
      <c r="DJ15" s="11">
        <f>IF(預測IC!DJ15&gt;預測IC!DJ$25,1,0)</f>
        <v>0</v>
      </c>
      <c r="DK15" s="11">
        <f>IF(預測IC!DK15&gt;預測IC!DK$25,1,0)</f>
        <v>0</v>
      </c>
      <c r="DL15" s="11">
        <f>IF(預測IC!DL15&gt;預測IC!DL$25,1,0)</f>
        <v>0</v>
      </c>
      <c r="DM15" s="11">
        <f>IF(預測IC!DM15&gt;預測IC!DM$25,1,0)</f>
        <v>0</v>
      </c>
      <c r="DN15" s="11">
        <f>IF(預測IC!DN15&gt;預測IC!DN$25,1,0)</f>
        <v>0</v>
      </c>
      <c r="DO15" s="11">
        <f>IF(預測IC!DO15&gt;預測IC!DO$25,1,0)</f>
        <v>1</v>
      </c>
      <c r="DP15" s="11">
        <f>IF(預測IC!DP15&gt;預測IC!DP$25,1,0)</f>
        <v>0</v>
      </c>
      <c r="DQ15" s="11">
        <f>IF(預測IC!DQ15&gt;預測IC!DQ$25,1,0)</f>
        <v>0</v>
      </c>
      <c r="DR15" s="11">
        <f>IF(預測IC!DR15&gt;預測IC!DR$25,1,0)</f>
        <v>0</v>
      </c>
      <c r="DS15" s="11">
        <f>IF(預測IC!DS15&gt;預測IC!DS$25,1,0)</f>
        <v>1</v>
      </c>
      <c r="DT15" s="11">
        <f>IF(預測IC!DT15&gt;預測IC!DT$25,1,0)</f>
        <v>0</v>
      </c>
      <c r="DU15" s="11">
        <f>IF(預測IC!DU15&gt;預測IC!DU$25,1,0)</f>
        <v>0</v>
      </c>
      <c r="DV15" s="11">
        <f>IF(預測IC!DV15&gt;預測IC!DV$25,1,0)</f>
        <v>1</v>
      </c>
      <c r="DW15" s="11">
        <f>IF(預測IC!DW15&gt;預測IC!DW$25,1,0)</f>
        <v>0</v>
      </c>
      <c r="DX15" s="11">
        <f>IF(預測IC!DX15&gt;預測IC!DX$25,1,0)</f>
        <v>0</v>
      </c>
      <c r="DY15" s="11">
        <f>IF(預測IC!DY15&gt;預測IC!DY$25,1,0)</f>
        <v>1</v>
      </c>
      <c r="DZ15" s="11">
        <f>IF(預測IC!DZ15&gt;預測IC!DZ$25,1,0)</f>
        <v>1</v>
      </c>
      <c r="EA15" s="11">
        <f>IF(預測IC!EA15&gt;預測IC!EA$25,1,0)</f>
        <v>1</v>
      </c>
      <c r="EB15" s="11">
        <f>IF(預測IC!EB15&gt;預測IC!EB$25,1,0)</f>
        <v>0</v>
      </c>
      <c r="EC15" s="11">
        <f>IF(預測IC!EC15&gt;預測IC!EC$25,1,0)</f>
        <v>1</v>
      </c>
      <c r="ED15" s="11">
        <f>IF(預測IC!ED15&gt;預測IC!ED$25,1,0)</f>
        <v>0</v>
      </c>
      <c r="EE15" s="11">
        <f>IF(預測IC!EE15&gt;預測IC!EE$25,1,0)</f>
        <v>0</v>
      </c>
      <c r="EF15" s="11">
        <f>IF(預測IC!EF15&gt;預測IC!EF$25,1,0)</f>
        <v>1</v>
      </c>
      <c r="EG15" s="1">
        <f t="shared" si="10"/>
        <v>65</v>
      </c>
      <c r="EH15" s="2">
        <f t="shared" si="11"/>
        <v>0.48507462686567165</v>
      </c>
    </row>
    <row r="16" spans="1:138" ht="16">
      <c r="A16" s="6">
        <v>107</v>
      </c>
      <c r="B16" s="6">
        <v>9</v>
      </c>
      <c r="C16" s="11">
        <f>IF(預測IC!C16&gt;預測IC!C$25,1,0)</f>
        <v>0</v>
      </c>
      <c r="D16" s="11">
        <f>IF(預測IC!D16&gt;預測IC!D$25,1,0)</f>
        <v>0</v>
      </c>
      <c r="E16" s="11">
        <f>IF(預測IC!E16&gt;預測IC!E$25,1,0)</f>
        <v>1</v>
      </c>
      <c r="F16" s="11">
        <f>IF(預測IC!F16&gt;預測IC!F$25,1,0)</f>
        <v>0</v>
      </c>
      <c r="G16" s="11">
        <f>IF(預測IC!G16&gt;預測IC!G$25,1,0)</f>
        <v>0</v>
      </c>
      <c r="H16" s="11">
        <f>IF(預測IC!H16&gt;預測IC!H$25,1,0)</f>
        <v>1</v>
      </c>
      <c r="I16" s="11">
        <f>IF(預測IC!I16&gt;預測IC!I$25,1,0)</f>
        <v>1</v>
      </c>
      <c r="J16" s="11">
        <f>IF(預測IC!J16&gt;預測IC!J$25,1,0)</f>
        <v>0</v>
      </c>
      <c r="K16" s="11">
        <f>IF(預測IC!K16&gt;預測IC!K$25,1,0)</f>
        <v>1</v>
      </c>
      <c r="L16" s="11">
        <f>IF(預測IC!L16&gt;預測IC!L$25,1,0)</f>
        <v>1</v>
      </c>
      <c r="M16" s="11">
        <f>IF(預測IC!M16&gt;預測IC!M$25,1,0)</f>
        <v>0</v>
      </c>
      <c r="N16" s="11">
        <f>IF(預測IC!N16&gt;預測IC!N$25,1,0)</f>
        <v>1</v>
      </c>
      <c r="O16" s="11">
        <f>IF(預測IC!O16&gt;預測IC!O$25,1,0)</f>
        <v>0</v>
      </c>
      <c r="P16" s="11">
        <f>IF(預測IC!P16&gt;預測IC!P$25,1,0)</f>
        <v>1</v>
      </c>
      <c r="Q16" s="11">
        <f>IF(預測IC!Q16&gt;預測IC!Q$25,1,0)</f>
        <v>0</v>
      </c>
      <c r="R16" s="11">
        <f>IF(預測IC!R16&gt;預測IC!R$25,1,0)</f>
        <v>0</v>
      </c>
      <c r="S16" s="11">
        <f>IF(預測IC!S16&gt;預測IC!S$25,1,0)</f>
        <v>0</v>
      </c>
      <c r="T16" s="11">
        <f>IF(預測IC!T16&gt;預測IC!T$25,1,0)</f>
        <v>1</v>
      </c>
      <c r="U16" s="11">
        <f>IF(預測IC!U16&gt;預測IC!U$25,1,0)</f>
        <v>1</v>
      </c>
      <c r="V16" s="11">
        <f>IF(預測IC!V16&gt;預測IC!V$25,1,0)</f>
        <v>0</v>
      </c>
      <c r="W16" s="11">
        <f>IF(預測IC!W16&gt;預測IC!W$25,1,0)</f>
        <v>1</v>
      </c>
      <c r="X16" s="11">
        <f>IF(預測IC!X16&gt;預測IC!X$25,1,0)</f>
        <v>0</v>
      </c>
      <c r="Y16" s="11">
        <f>IF(預測IC!Y16&gt;預測IC!Y$25,1,0)</f>
        <v>1</v>
      </c>
      <c r="Z16" s="11">
        <f>IF(預測IC!Z16&gt;預測IC!Z$25,1,0)</f>
        <v>0</v>
      </c>
      <c r="AA16" s="11">
        <f>IF(預測IC!AA16&gt;預測IC!AA$25,1,0)</f>
        <v>1</v>
      </c>
      <c r="AB16" s="11">
        <f>IF(預測IC!AB16&gt;預測IC!AB$25,1,0)</f>
        <v>0</v>
      </c>
      <c r="AC16" s="11">
        <f>IF(預測IC!AC16&gt;預測IC!AC$25,1,0)</f>
        <v>0</v>
      </c>
      <c r="AD16" s="11">
        <f>IF(預測IC!AD16&gt;預測IC!AD$25,1,0)</f>
        <v>1</v>
      </c>
      <c r="AE16" s="11">
        <f>IF(預測IC!AE16&gt;預測IC!AE$25,1,0)</f>
        <v>1</v>
      </c>
      <c r="AF16" s="11">
        <f>IF(預測IC!AF16&gt;預測IC!AF$25,1,0)</f>
        <v>0</v>
      </c>
      <c r="AG16" s="11">
        <f>IF(預測IC!AG16&gt;預測IC!AG$25,1,0)</f>
        <v>0</v>
      </c>
      <c r="AH16" s="11">
        <f>IF(預測IC!AH16&gt;預測IC!AH$25,1,0)</f>
        <v>0</v>
      </c>
      <c r="AI16" s="11">
        <f>IF(預測IC!AI16&gt;預測IC!AI$25,1,0)</f>
        <v>1</v>
      </c>
      <c r="AJ16" s="11">
        <f>IF(預測IC!AJ16&gt;預測IC!AJ$25,1,0)</f>
        <v>0</v>
      </c>
      <c r="AK16" s="11">
        <f>IF(預測IC!AK16&gt;預測IC!AK$25,1,0)</f>
        <v>1</v>
      </c>
      <c r="AL16" s="11">
        <f>IF(預測IC!AL16&gt;預測IC!AL$25,1,0)</f>
        <v>0</v>
      </c>
      <c r="AM16" s="11">
        <f>IF(預測IC!AM16&gt;預測IC!AM$25,1,0)</f>
        <v>1</v>
      </c>
      <c r="AN16" s="11">
        <f>IF(預測IC!AN16&gt;預測IC!AN$25,1,0)</f>
        <v>0</v>
      </c>
      <c r="AO16" s="11">
        <f>IF(預測IC!AO16&gt;預測IC!AO$25,1,0)</f>
        <v>1</v>
      </c>
      <c r="AP16" s="11">
        <f>IF(預測IC!AP16&gt;預測IC!AP$25,1,0)</f>
        <v>0</v>
      </c>
      <c r="AQ16" s="11">
        <f>IF(預測IC!AQ16&gt;預測IC!AQ$25,1,0)</f>
        <v>0</v>
      </c>
      <c r="AR16" s="11">
        <f>IF(預測IC!AR16&gt;預測IC!AR$25,1,0)</f>
        <v>0</v>
      </c>
      <c r="AS16" s="11">
        <f>IF(預測IC!AS16&gt;預測IC!AS$25,1,0)</f>
        <v>0</v>
      </c>
      <c r="AT16" s="11">
        <f>IF(預測IC!AT16&gt;預測IC!AT$25,1,0)</f>
        <v>0</v>
      </c>
      <c r="AU16" s="11">
        <f>IF(預測IC!AU16&gt;預測IC!AU$25,1,0)</f>
        <v>1</v>
      </c>
      <c r="AV16" s="11">
        <f>IF(預測IC!AV16&gt;預測IC!AV$25,1,0)</f>
        <v>0</v>
      </c>
      <c r="AW16" s="11">
        <f>IF(預測IC!AW16&gt;預測IC!AW$25,1,0)</f>
        <v>1</v>
      </c>
      <c r="AX16" s="11">
        <f>IF(預測IC!AX16&gt;預測IC!AX$25,1,0)</f>
        <v>0</v>
      </c>
      <c r="AY16" s="11">
        <f>IF(預測IC!AY16&gt;預測IC!AY$25,1,0)</f>
        <v>0</v>
      </c>
      <c r="AZ16" s="11">
        <f>IF(預測IC!AZ16&gt;預測IC!AZ$25,1,0)</f>
        <v>1</v>
      </c>
      <c r="BA16" s="11">
        <f>IF(預測IC!BA16&gt;預測IC!BA$25,1,0)</f>
        <v>1</v>
      </c>
      <c r="BB16" s="11">
        <f>IF(預測IC!BB16&gt;預測IC!BB$25,1,0)</f>
        <v>1</v>
      </c>
      <c r="BC16" s="11">
        <f>IF(預測IC!BC16&gt;預測IC!BC$25,1,0)</f>
        <v>1</v>
      </c>
      <c r="BD16" s="11">
        <f>IF(預測IC!BD16&gt;預測IC!BD$25,1,0)</f>
        <v>0</v>
      </c>
      <c r="BE16" s="11">
        <f>IF(預測IC!BE16&gt;預測IC!BE$25,1,0)</f>
        <v>0</v>
      </c>
      <c r="BF16" s="11">
        <f>IF(預測IC!BF16&gt;預測IC!BF$25,1,0)</f>
        <v>0</v>
      </c>
      <c r="BG16" s="11">
        <f>IF(預測IC!BG16&gt;預測IC!BG$25,1,0)</f>
        <v>1</v>
      </c>
      <c r="BH16" s="11">
        <f>IF(預測IC!BH16&gt;預測IC!BH$25,1,0)</f>
        <v>1</v>
      </c>
      <c r="BI16" s="11">
        <f>IF(預測IC!BI16&gt;預測IC!BI$25,1,0)</f>
        <v>1</v>
      </c>
      <c r="BJ16" s="11">
        <f>IF(預測IC!BJ16&gt;預測IC!BJ$25,1,0)</f>
        <v>1</v>
      </c>
      <c r="BK16" s="11">
        <f>IF(預測IC!BK16&gt;預測IC!BK$25,1,0)</f>
        <v>1</v>
      </c>
      <c r="BL16" s="11">
        <f>IF(預測IC!BL16&gt;預測IC!BL$25,1,0)</f>
        <v>0</v>
      </c>
      <c r="BM16" s="11">
        <f>IF(預測IC!BM16&gt;預測IC!BM$25,1,0)</f>
        <v>0</v>
      </c>
      <c r="BN16" s="11">
        <f>IF(預測IC!BN16&gt;預測IC!BN$25,1,0)</f>
        <v>0</v>
      </c>
      <c r="BO16" s="11">
        <f>IF(預測IC!BO16&gt;預測IC!BO$25,1,0)</f>
        <v>1</v>
      </c>
      <c r="BP16" s="11">
        <f>IF(預測IC!BP16&gt;預測IC!BP$25,1,0)</f>
        <v>1</v>
      </c>
      <c r="BQ16" s="11">
        <f>IF(預測IC!BQ16&gt;預測IC!BQ$25,1,0)</f>
        <v>1</v>
      </c>
      <c r="BR16" s="11">
        <f>IF(預測IC!BR16&gt;預測IC!BR$25,1,0)</f>
        <v>1</v>
      </c>
      <c r="BS16" s="11">
        <f>IF(預測IC!BS16&gt;預測IC!BS$25,1,0)</f>
        <v>1</v>
      </c>
      <c r="BT16" s="11">
        <f>IF(預測IC!BT16&gt;預測IC!BT$25,1,0)</f>
        <v>0</v>
      </c>
      <c r="BU16" s="11">
        <f>IF(預測IC!BU16&gt;預測IC!BU$25,1,0)</f>
        <v>0</v>
      </c>
      <c r="BV16" s="11">
        <f>IF(預測IC!BV16&gt;預測IC!BV$25,1,0)</f>
        <v>1</v>
      </c>
      <c r="BW16" s="11">
        <f>IF(預測IC!BW16&gt;預測IC!BW$25,1,0)</f>
        <v>1</v>
      </c>
      <c r="BX16" s="11">
        <f>IF(預測IC!BX16&gt;預測IC!BX$25,1,0)</f>
        <v>1</v>
      </c>
      <c r="BY16" s="11">
        <f>IF(預測IC!BY16&gt;預測IC!BY$25,1,0)</f>
        <v>1</v>
      </c>
      <c r="BZ16" s="11">
        <f>IF(預測IC!BZ16&gt;預測IC!BZ$25,1,0)</f>
        <v>0</v>
      </c>
      <c r="CA16" s="11">
        <f>IF(預測IC!CA16&gt;預測IC!CA$25,1,0)</f>
        <v>1</v>
      </c>
      <c r="CB16" s="11">
        <f>IF(預測IC!CB16&gt;預測IC!CB$25,1,0)</f>
        <v>1</v>
      </c>
      <c r="CC16" s="11">
        <f>IF(預測IC!CC16&gt;預測IC!CC$25,1,0)</f>
        <v>0</v>
      </c>
      <c r="CD16" s="11">
        <f>IF(預測IC!CD16&gt;預測IC!CD$25,1,0)</f>
        <v>1</v>
      </c>
      <c r="CE16" s="11">
        <f>IF(預測IC!CE16&gt;預測IC!CE$25,1,0)</f>
        <v>1</v>
      </c>
      <c r="CF16" s="11">
        <f>IF(預測IC!CF16&gt;預測IC!CF$25,1,0)</f>
        <v>0</v>
      </c>
      <c r="CG16" s="11">
        <f>IF(預測IC!CG16&gt;預測IC!CG$25,1,0)</f>
        <v>1</v>
      </c>
      <c r="CH16" s="11">
        <f>IF(預測IC!CH16&gt;預測IC!CH$25,1,0)</f>
        <v>0</v>
      </c>
      <c r="CI16" s="11">
        <f>IF(預測IC!CI16&gt;預測IC!CI$25,1,0)</f>
        <v>0</v>
      </c>
      <c r="CJ16" s="11">
        <f>IF(預測IC!CJ16&gt;預測IC!CJ$25,1,0)</f>
        <v>0</v>
      </c>
      <c r="CK16" s="11">
        <f>IF(預測IC!CK16&gt;預測IC!CK$25,1,0)</f>
        <v>1</v>
      </c>
      <c r="CL16" s="11">
        <f>IF(預測IC!CL16&gt;預測IC!CL$25,1,0)</f>
        <v>1</v>
      </c>
      <c r="CM16" s="11">
        <f>IF(預測IC!CM16&gt;預測IC!CM$25,1,0)</f>
        <v>0</v>
      </c>
      <c r="CN16" s="11">
        <f>IF(預測IC!CN16&gt;預測IC!CN$25,1,0)</f>
        <v>0</v>
      </c>
      <c r="CO16" s="11">
        <f>IF(預測IC!CO16&gt;預測IC!CO$25,1,0)</f>
        <v>1</v>
      </c>
      <c r="CP16" s="11">
        <f>IF(預測IC!CP16&gt;預測IC!CP$25,1,0)</f>
        <v>0</v>
      </c>
      <c r="CQ16" s="11">
        <f>IF(預測IC!CQ16&gt;預測IC!CQ$25,1,0)</f>
        <v>1</v>
      </c>
      <c r="CR16" s="11">
        <f>IF(預測IC!CR16&gt;預測IC!CR$25,1,0)</f>
        <v>1</v>
      </c>
      <c r="CS16" s="11">
        <f>IF(預測IC!CS16&gt;預測IC!CS$25,1,0)</f>
        <v>0</v>
      </c>
      <c r="CT16" s="11">
        <f>IF(預測IC!CT16&gt;預測IC!CT$25,1,0)</f>
        <v>0</v>
      </c>
      <c r="CU16" s="11">
        <f>IF(預測IC!CU16&gt;預測IC!CU$25,1,0)</f>
        <v>1</v>
      </c>
      <c r="CV16" s="11">
        <f>IF(預測IC!CV16&gt;預測IC!CV$25,1,0)</f>
        <v>1</v>
      </c>
      <c r="CW16" s="11">
        <f>IF(預測IC!CW16&gt;預測IC!CW$25,1,0)</f>
        <v>0</v>
      </c>
      <c r="CX16" s="11">
        <f>IF(預測IC!CX16&gt;預測IC!CX$25,1,0)</f>
        <v>1</v>
      </c>
      <c r="CY16" s="11">
        <f>IF(預測IC!CY16&gt;預測IC!CY$25,1,0)</f>
        <v>1</v>
      </c>
      <c r="CZ16" s="11">
        <f>IF(預測IC!CZ16&gt;預測IC!CZ$25,1,0)</f>
        <v>1</v>
      </c>
      <c r="DA16" s="11">
        <f>IF(預測IC!DA16&gt;預測IC!DA$25,1,0)</f>
        <v>1</v>
      </c>
      <c r="DB16" s="11">
        <f>IF(預測IC!DB16&gt;預測IC!DB$25,1,0)</f>
        <v>1</v>
      </c>
      <c r="DC16" s="11">
        <f>IF(預測IC!DC16&gt;預測IC!DC$25,1,0)</f>
        <v>1</v>
      </c>
      <c r="DD16" s="11">
        <f>IF(預測IC!DD16&gt;預測IC!DD$25,1,0)</f>
        <v>0</v>
      </c>
      <c r="DE16" s="11">
        <f>IF(預測IC!DE16&gt;預測IC!DE$25,1,0)</f>
        <v>0</v>
      </c>
      <c r="DF16" s="11">
        <f>IF(預測IC!DF16&gt;預測IC!DF$25,1,0)</f>
        <v>1</v>
      </c>
      <c r="DG16" s="11">
        <f>IF(預測IC!DG16&gt;預測IC!DG$25,1,0)</f>
        <v>0</v>
      </c>
      <c r="DH16" s="11">
        <f>IF(預測IC!DH16&gt;預測IC!DH$25,1,0)</f>
        <v>0</v>
      </c>
      <c r="DI16" s="11">
        <f>IF(預測IC!DI16&gt;預測IC!DI$25,1,0)</f>
        <v>0</v>
      </c>
      <c r="DJ16" s="11">
        <f>IF(預測IC!DJ16&gt;預測IC!DJ$25,1,0)</f>
        <v>0</v>
      </c>
      <c r="DK16" s="11">
        <f>IF(預測IC!DK16&gt;預測IC!DK$25,1,0)</f>
        <v>0</v>
      </c>
      <c r="DL16" s="11">
        <f>IF(預測IC!DL16&gt;預測IC!DL$25,1,0)</f>
        <v>0</v>
      </c>
      <c r="DM16" s="11">
        <f>IF(預測IC!DM16&gt;預測IC!DM$25,1,0)</f>
        <v>1</v>
      </c>
      <c r="DN16" s="11">
        <f>IF(預測IC!DN16&gt;預測IC!DN$25,1,0)</f>
        <v>0</v>
      </c>
      <c r="DO16" s="11">
        <f>IF(預測IC!DO16&gt;預測IC!DO$25,1,0)</f>
        <v>1</v>
      </c>
      <c r="DP16" s="11">
        <f>IF(預測IC!DP16&gt;預測IC!DP$25,1,0)</f>
        <v>0</v>
      </c>
      <c r="DQ16" s="11">
        <f>IF(預測IC!DQ16&gt;預測IC!DQ$25,1,0)</f>
        <v>0</v>
      </c>
      <c r="DR16" s="11">
        <f>IF(預測IC!DR16&gt;預測IC!DR$25,1,0)</f>
        <v>0</v>
      </c>
      <c r="DS16" s="11">
        <f>IF(預測IC!DS16&gt;預測IC!DS$25,1,0)</f>
        <v>1</v>
      </c>
      <c r="DT16" s="11">
        <f>IF(預測IC!DT16&gt;預測IC!DT$25,1,0)</f>
        <v>0</v>
      </c>
      <c r="DU16" s="11">
        <f>IF(預測IC!DU16&gt;預測IC!DU$25,1,0)</f>
        <v>0</v>
      </c>
      <c r="DV16" s="11">
        <f>IF(預測IC!DV16&gt;預測IC!DV$25,1,0)</f>
        <v>1</v>
      </c>
      <c r="DW16" s="11">
        <f>IF(預測IC!DW16&gt;預測IC!DW$25,1,0)</f>
        <v>0</v>
      </c>
      <c r="DX16" s="11">
        <f>IF(預測IC!DX16&gt;預測IC!DX$25,1,0)</f>
        <v>0</v>
      </c>
      <c r="DY16" s="11">
        <f>IF(預測IC!DY16&gt;預測IC!DY$25,1,0)</f>
        <v>1</v>
      </c>
      <c r="DZ16" s="11">
        <f>IF(預測IC!DZ16&gt;預測IC!DZ$25,1,0)</f>
        <v>1</v>
      </c>
      <c r="EA16" s="11">
        <f>IF(預測IC!EA16&gt;預測IC!EA$25,1,0)</f>
        <v>1</v>
      </c>
      <c r="EB16" s="11">
        <f>IF(預測IC!EB16&gt;預測IC!EB$25,1,0)</f>
        <v>0</v>
      </c>
      <c r="EC16" s="11">
        <f>IF(預測IC!EC16&gt;預測IC!EC$25,1,0)</f>
        <v>0</v>
      </c>
      <c r="ED16" s="11">
        <f>IF(預測IC!ED16&gt;預測IC!ED$25,1,0)</f>
        <v>0</v>
      </c>
      <c r="EE16" s="11">
        <f>IF(預測IC!EE16&gt;預測IC!EE$25,1,0)</f>
        <v>0</v>
      </c>
      <c r="EF16" s="11">
        <f>IF(預測IC!EF16&gt;預測IC!EF$25,1,0)</f>
        <v>1</v>
      </c>
      <c r="EG16" s="1">
        <f t="shared" si="10"/>
        <v>65</v>
      </c>
      <c r="EH16" s="2">
        <f t="shared" si="11"/>
        <v>0.48507462686567165</v>
      </c>
    </row>
    <row r="17" spans="1:138" ht="16">
      <c r="A17" s="6">
        <v>120</v>
      </c>
      <c r="B17" s="6">
        <v>8</v>
      </c>
      <c r="C17" s="11">
        <f>IF(預測IC!C17&gt;預測IC!C$25,1,0)</f>
        <v>0</v>
      </c>
      <c r="D17" s="11">
        <f>IF(預測IC!D17&gt;預測IC!D$25,1,0)</f>
        <v>0</v>
      </c>
      <c r="E17" s="11">
        <f>IF(預測IC!E17&gt;預測IC!E$25,1,0)</f>
        <v>1</v>
      </c>
      <c r="F17" s="11">
        <f>IF(預測IC!F17&gt;預測IC!F$25,1,0)</f>
        <v>0</v>
      </c>
      <c r="G17" s="11">
        <f>IF(預測IC!G17&gt;預測IC!G$25,1,0)</f>
        <v>0</v>
      </c>
      <c r="H17" s="11">
        <f>IF(預測IC!H17&gt;預測IC!H$25,1,0)</f>
        <v>1</v>
      </c>
      <c r="I17" s="11">
        <f>IF(預測IC!I17&gt;預測IC!I$25,1,0)</f>
        <v>1</v>
      </c>
      <c r="J17" s="11">
        <f>IF(預測IC!J17&gt;預測IC!J$25,1,0)</f>
        <v>0</v>
      </c>
      <c r="K17" s="11">
        <f>IF(預測IC!K17&gt;預測IC!K$25,1,0)</f>
        <v>1</v>
      </c>
      <c r="L17" s="11">
        <f>IF(預測IC!L17&gt;預測IC!L$25,1,0)</f>
        <v>1</v>
      </c>
      <c r="M17" s="11">
        <f>IF(預測IC!M17&gt;預測IC!M$25,1,0)</f>
        <v>0</v>
      </c>
      <c r="N17" s="11">
        <f>IF(預測IC!N17&gt;預測IC!N$25,1,0)</f>
        <v>1</v>
      </c>
      <c r="O17" s="11">
        <f>IF(預測IC!O17&gt;預測IC!O$25,1,0)</f>
        <v>0</v>
      </c>
      <c r="P17" s="11">
        <f>IF(預測IC!P17&gt;預測IC!P$25,1,0)</f>
        <v>1</v>
      </c>
      <c r="Q17" s="11">
        <f>IF(預測IC!Q17&gt;預測IC!Q$25,1,0)</f>
        <v>0</v>
      </c>
      <c r="R17" s="11">
        <f>IF(預測IC!R17&gt;預測IC!R$25,1,0)</f>
        <v>0</v>
      </c>
      <c r="S17" s="11">
        <f>IF(預測IC!S17&gt;預測IC!S$25,1,0)</f>
        <v>0</v>
      </c>
      <c r="T17" s="11">
        <f>IF(預測IC!T17&gt;預測IC!T$25,1,0)</f>
        <v>1</v>
      </c>
      <c r="U17" s="11">
        <f>IF(預測IC!U17&gt;預測IC!U$25,1,0)</f>
        <v>1</v>
      </c>
      <c r="V17" s="11">
        <f>IF(預測IC!V17&gt;預測IC!V$25,1,0)</f>
        <v>0</v>
      </c>
      <c r="W17" s="11">
        <f>IF(預測IC!W17&gt;預測IC!W$25,1,0)</f>
        <v>1</v>
      </c>
      <c r="X17" s="11">
        <f>IF(預測IC!X17&gt;預測IC!X$25,1,0)</f>
        <v>0</v>
      </c>
      <c r="Y17" s="11">
        <f>IF(預測IC!Y17&gt;預測IC!Y$25,1,0)</f>
        <v>1</v>
      </c>
      <c r="Z17" s="11">
        <f>IF(預測IC!Z17&gt;預測IC!Z$25,1,0)</f>
        <v>0</v>
      </c>
      <c r="AA17" s="11">
        <f>IF(預測IC!AA17&gt;預測IC!AA$25,1,0)</f>
        <v>1</v>
      </c>
      <c r="AB17" s="11">
        <f>IF(預測IC!AB17&gt;預測IC!AB$25,1,0)</f>
        <v>0</v>
      </c>
      <c r="AC17" s="11">
        <f>IF(預測IC!AC17&gt;預測IC!AC$25,1,0)</f>
        <v>0</v>
      </c>
      <c r="AD17" s="11">
        <f>IF(預測IC!AD17&gt;預測IC!AD$25,1,0)</f>
        <v>1</v>
      </c>
      <c r="AE17" s="11">
        <f>IF(預測IC!AE17&gt;預測IC!AE$25,1,0)</f>
        <v>1</v>
      </c>
      <c r="AF17" s="11">
        <f>IF(預測IC!AF17&gt;預測IC!AF$25,1,0)</f>
        <v>0</v>
      </c>
      <c r="AG17" s="11">
        <f>IF(預測IC!AG17&gt;預測IC!AG$25,1,0)</f>
        <v>0</v>
      </c>
      <c r="AH17" s="11">
        <f>IF(預測IC!AH17&gt;預測IC!AH$25,1,0)</f>
        <v>0</v>
      </c>
      <c r="AI17" s="11">
        <f>IF(預測IC!AI17&gt;預測IC!AI$25,1,0)</f>
        <v>1</v>
      </c>
      <c r="AJ17" s="11">
        <f>IF(預測IC!AJ17&gt;預測IC!AJ$25,1,0)</f>
        <v>0</v>
      </c>
      <c r="AK17" s="11">
        <f>IF(預測IC!AK17&gt;預測IC!AK$25,1,0)</f>
        <v>1</v>
      </c>
      <c r="AL17" s="11">
        <f>IF(預測IC!AL17&gt;預測IC!AL$25,1,0)</f>
        <v>0</v>
      </c>
      <c r="AM17" s="11">
        <f>IF(預測IC!AM17&gt;預測IC!AM$25,1,0)</f>
        <v>1</v>
      </c>
      <c r="AN17" s="11">
        <f>IF(預測IC!AN17&gt;預測IC!AN$25,1,0)</f>
        <v>0</v>
      </c>
      <c r="AO17" s="11">
        <f>IF(預測IC!AO17&gt;預測IC!AO$25,1,0)</f>
        <v>1</v>
      </c>
      <c r="AP17" s="11">
        <f>IF(預測IC!AP17&gt;預測IC!AP$25,1,0)</f>
        <v>0</v>
      </c>
      <c r="AQ17" s="11">
        <f>IF(預測IC!AQ17&gt;預測IC!AQ$25,1,0)</f>
        <v>0</v>
      </c>
      <c r="AR17" s="11">
        <f>IF(預測IC!AR17&gt;預測IC!AR$25,1,0)</f>
        <v>1</v>
      </c>
      <c r="AS17" s="11">
        <f>IF(預測IC!AS17&gt;預測IC!AS$25,1,0)</f>
        <v>0</v>
      </c>
      <c r="AT17" s="11">
        <f>IF(預測IC!AT17&gt;預測IC!AT$25,1,0)</f>
        <v>0</v>
      </c>
      <c r="AU17" s="11">
        <f>IF(預測IC!AU17&gt;預測IC!AU$25,1,0)</f>
        <v>1</v>
      </c>
      <c r="AV17" s="11">
        <f>IF(預測IC!AV17&gt;預測IC!AV$25,1,0)</f>
        <v>0</v>
      </c>
      <c r="AW17" s="11">
        <f>IF(預測IC!AW17&gt;預測IC!AW$25,1,0)</f>
        <v>1</v>
      </c>
      <c r="AX17" s="11">
        <f>IF(預測IC!AX17&gt;預測IC!AX$25,1,0)</f>
        <v>1</v>
      </c>
      <c r="AY17" s="11">
        <f>IF(預測IC!AY17&gt;預測IC!AY$25,1,0)</f>
        <v>0</v>
      </c>
      <c r="AZ17" s="11">
        <f>IF(預測IC!AZ17&gt;預測IC!AZ$25,1,0)</f>
        <v>1</v>
      </c>
      <c r="BA17" s="11">
        <f>IF(預測IC!BA17&gt;預測IC!BA$25,1,0)</f>
        <v>1</v>
      </c>
      <c r="BB17" s="11">
        <f>IF(預測IC!BB17&gt;預測IC!BB$25,1,0)</f>
        <v>1</v>
      </c>
      <c r="BC17" s="11">
        <f>IF(預測IC!BC17&gt;預測IC!BC$25,1,0)</f>
        <v>1</v>
      </c>
      <c r="BD17" s="11">
        <f>IF(預測IC!BD17&gt;預測IC!BD$25,1,0)</f>
        <v>1</v>
      </c>
      <c r="BE17" s="11">
        <f>IF(預測IC!BE17&gt;預測IC!BE$25,1,0)</f>
        <v>0</v>
      </c>
      <c r="BF17" s="11">
        <f>IF(預測IC!BF17&gt;預測IC!BF$25,1,0)</f>
        <v>0</v>
      </c>
      <c r="BG17" s="11">
        <f>IF(預測IC!BG17&gt;預測IC!BG$25,1,0)</f>
        <v>0</v>
      </c>
      <c r="BH17" s="11">
        <f>IF(預測IC!BH17&gt;預測IC!BH$25,1,0)</f>
        <v>1</v>
      </c>
      <c r="BI17" s="11">
        <f>IF(預測IC!BI17&gt;預測IC!BI$25,1,0)</f>
        <v>1</v>
      </c>
      <c r="BJ17" s="11">
        <f>IF(預測IC!BJ17&gt;預測IC!BJ$25,1,0)</f>
        <v>1</v>
      </c>
      <c r="BK17" s="11">
        <f>IF(預測IC!BK17&gt;預測IC!BK$25,1,0)</f>
        <v>1</v>
      </c>
      <c r="BL17" s="11">
        <f>IF(預測IC!BL17&gt;預測IC!BL$25,1,0)</f>
        <v>0</v>
      </c>
      <c r="BM17" s="11">
        <f>IF(預測IC!BM17&gt;預測IC!BM$25,1,0)</f>
        <v>0</v>
      </c>
      <c r="BN17" s="11">
        <f>IF(預測IC!BN17&gt;預測IC!BN$25,1,0)</f>
        <v>0</v>
      </c>
      <c r="BO17" s="11">
        <f>IF(預測IC!BO17&gt;預測IC!BO$25,1,0)</f>
        <v>1</v>
      </c>
      <c r="BP17" s="11">
        <f>IF(預測IC!BP17&gt;預測IC!BP$25,1,0)</f>
        <v>1</v>
      </c>
      <c r="BQ17" s="11">
        <f>IF(預測IC!BQ17&gt;預測IC!BQ$25,1,0)</f>
        <v>1</v>
      </c>
      <c r="BR17" s="11">
        <f>IF(預測IC!BR17&gt;預測IC!BR$25,1,0)</f>
        <v>1</v>
      </c>
      <c r="BS17" s="11">
        <f>IF(預測IC!BS17&gt;預測IC!BS$25,1,0)</f>
        <v>1</v>
      </c>
      <c r="BT17" s="11">
        <f>IF(預測IC!BT17&gt;預測IC!BT$25,1,0)</f>
        <v>0</v>
      </c>
      <c r="BU17" s="11">
        <f>IF(預測IC!BU17&gt;預測IC!BU$25,1,0)</f>
        <v>0</v>
      </c>
      <c r="BV17" s="11">
        <f>IF(預測IC!BV17&gt;預測IC!BV$25,1,0)</f>
        <v>1</v>
      </c>
      <c r="BW17" s="11">
        <f>IF(預測IC!BW17&gt;預測IC!BW$25,1,0)</f>
        <v>1</v>
      </c>
      <c r="BX17" s="11">
        <f>IF(預測IC!BX17&gt;預測IC!BX$25,1,0)</f>
        <v>1</v>
      </c>
      <c r="BY17" s="11">
        <f>IF(預測IC!BY17&gt;預測IC!BY$25,1,0)</f>
        <v>1</v>
      </c>
      <c r="BZ17" s="11">
        <f>IF(預測IC!BZ17&gt;預測IC!BZ$25,1,0)</f>
        <v>0</v>
      </c>
      <c r="CA17" s="11">
        <f>IF(預測IC!CA17&gt;預測IC!CA$25,1,0)</f>
        <v>1</v>
      </c>
      <c r="CB17" s="11">
        <f>IF(預測IC!CB17&gt;預測IC!CB$25,1,0)</f>
        <v>1</v>
      </c>
      <c r="CC17" s="11">
        <f>IF(預測IC!CC17&gt;預測IC!CC$25,1,0)</f>
        <v>0</v>
      </c>
      <c r="CD17" s="11">
        <f>IF(預測IC!CD17&gt;預測IC!CD$25,1,0)</f>
        <v>1</v>
      </c>
      <c r="CE17" s="11">
        <f>IF(預測IC!CE17&gt;預測IC!CE$25,1,0)</f>
        <v>1</v>
      </c>
      <c r="CF17" s="11">
        <f>IF(預測IC!CF17&gt;預測IC!CF$25,1,0)</f>
        <v>0</v>
      </c>
      <c r="CG17" s="11">
        <f>IF(預測IC!CG17&gt;預測IC!CG$25,1,0)</f>
        <v>1</v>
      </c>
      <c r="CH17" s="11">
        <f>IF(預測IC!CH17&gt;預測IC!CH$25,1,0)</f>
        <v>0</v>
      </c>
      <c r="CI17" s="11">
        <f>IF(預測IC!CI17&gt;預測IC!CI$25,1,0)</f>
        <v>0</v>
      </c>
      <c r="CJ17" s="11">
        <f>IF(預測IC!CJ17&gt;預測IC!CJ$25,1,0)</f>
        <v>0</v>
      </c>
      <c r="CK17" s="11">
        <f>IF(預測IC!CK17&gt;預測IC!CK$25,1,0)</f>
        <v>1</v>
      </c>
      <c r="CL17" s="11">
        <f>IF(預測IC!CL17&gt;預測IC!CL$25,1,0)</f>
        <v>1</v>
      </c>
      <c r="CM17" s="11">
        <f>IF(預測IC!CM17&gt;預測IC!CM$25,1,0)</f>
        <v>0</v>
      </c>
      <c r="CN17" s="11">
        <f>IF(預測IC!CN17&gt;預測IC!CN$25,1,0)</f>
        <v>0</v>
      </c>
      <c r="CO17" s="11">
        <f>IF(預測IC!CO17&gt;預測IC!CO$25,1,0)</f>
        <v>1</v>
      </c>
      <c r="CP17" s="11">
        <f>IF(預測IC!CP17&gt;預測IC!CP$25,1,0)</f>
        <v>0</v>
      </c>
      <c r="CQ17" s="11">
        <f>IF(預測IC!CQ17&gt;預測IC!CQ$25,1,0)</f>
        <v>1</v>
      </c>
      <c r="CR17" s="11">
        <f>IF(預測IC!CR17&gt;預測IC!CR$25,1,0)</f>
        <v>1</v>
      </c>
      <c r="CS17" s="11">
        <f>IF(預測IC!CS17&gt;預測IC!CS$25,1,0)</f>
        <v>0</v>
      </c>
      <c r="CT17" s="11">
        <f>IF(預測IC!CT17&gt;預測IC!CT$25,1,0)</f>
        <v>0</v>
      </c>
      <c r="CU17" s="11">
        <f>IF(預測IC!CU17&gt;預測IC!CU$25,1,0)</f>
        <v>1</v>
      </c>
      <c r="CV17" s="11">
        <f>IF(預測IC!CV17&gt;預測IC!CV$25,1,0)</f>
        <v>1</v>
      </c>
      <c r="CW17" s="11">
        <f>IF(預測IC!CW17&gt;預測IC!CW$25,1,0)</f>
        <v>0</v>
      </c>
      <c r="CX17" s="11">
        <f>IF(預測IC!CX17&gt;預測IC!CX$25,1,0)</f>
        <v>1</v>
      </c>
      <c r="CY17" s="11">
        <f>IF(預測IC!CY17&gt;預測IC!CY$25,1,0)</f>
        <v>1</v>
      </c>
      <c r="CZ17" s="11">
        <f>IF(預測IC!CZ17&gt;預測IC!CZ$25,1,0)</f>
        <v>1</v>
      </c>
      <c r="DA17" s="11">
        <f>IF(預測IC!DA17&gt;預測IC!DA$25,1,0)</f>
        <v>1</v>
      </c>
      <c r="DB17" s="11">
        <f>IF(預測IC!DB17&gt;預測IC!DB$25,1,0)</f>
        <v>1</v>
      </c>
      <c r="DC17" s="11">
        <f>IF(預測IC!DC17&gt;預測IC!DC$25,1,0)</f>
        <v>1</v>
      </c>
      <c r="DD17" s="11">
        <f>IF(預測IC!DD17&gt;預測IC!DD$25,1,0)</f>
        <v>0</v>
      </c>
      <c r="DE17" s="11">
        <f>IF(預測IC!DE17&gt;預測IC!DE$25,1,0)</f>
        <v>0</v>
      </c>
      <c r="DF17" s="11">
        <f>IF(預測IC!DF17&gt;預測IC!DF$25,1,0)</f>
        <v>1</v>
      </c>
      <c r="DG17" s="11">
        <f>IF(預測IC!DG17&gt;預測IC!DG$25,1,0)</f>
        <v>0</v>
      </c>
      <c r="DH17" s="11">
        <f>IF(預測IC!DH17&gt;預測IC!DH$25,1,0)</f>
        <v>0</v>
      </c>
      <c r="DI17" s="11">
        <f>IF(預測IC!DI17&gt;預測IC!DI$25,1,0)</f>
        <v>0</v>
      </c>
      <c r="DJ17" s="11">
        <f>IF(預測IC!DJ17&gt;預測IC!DJ$25,1,0)</f>
        <v>0</v>
      </c>
      <c r="DK17" s="11">
        <f>IF(預測IC!DK17&gt;預測IC!DK$25,1,0)</f>
        <v>0</v>
      </c>
      <c r="DL17" s="11">
        <f>IF(預測IC!DL17&gt;預測IC!DL$25,1,0)</f>
        <v>0</v>
      </c>
      <c r="DM17" s="11">
        <f>IF(預測IC!DM17&gt;預測IC!DM$25,1,0)</f>
        <v>1</v>
      </c>
      <c r="DN17" s="11">
        <f>IF(預測IC!DN17&gt;預測IC!DN$25,1,0)</f>
        <v>0</v>
      </c>
      <c r="DO17" s="11">
        <f>IF(預測IC!DO17&gt;預測IC!DO$25,1,0)</f>
        <v>1</v>
      </c>
      <c r="DP17" s="11">
        <f>IF(預測IC!DP17&gt;預測IC!DP$25,1,0)</f>
        <v>0</v>
      </c>
      <c r="DQ17" s="11">
        <f>IF(預測IC!DQ17&gt;預測IC!DQ$25,1,0)</f>
        <v>0</v>
      </c>
      <c r="DR17" s="11">
        <f>IF(預測IC!DR17&gt;預測IC!DR$25,1,0)</f>
        <v>0</v>
      </c>
      <c r="DS17" s="11">
        <f>IF(預測IC!DS17&gt;預測IC!DS$25,1,0)</f>
        <v>1</v>
      </c>
      <c r="DT17" s="11">
        <f>IF(預測IC!DT17&gt;預測IC!DT$25,1,0)</f>
        <v>0</v>
      </c>
      <c r="DU17" s="11">
        <f>IF(預測IC!DU17&gt;預測IC!DU$25,1,0)</f>
        <v>0</v>
      </c>
      <c r="DV17" s="11">
        <f>IF(預測IC!DV17&gt;預測IC!DV$25,1,0)</f>
        <v>1</v>
      </c>
      <c r="DW17" s="11">
        <f>IF(預測IC!DW17&gt;預測IC!DW$25,1,0)</f>
        <v>0</v>
      </c>
      <c r="DX17" s="11">
        <f>IF(預測IC!DX17&gt;預測IC!DX$25,1,0)</f>
        <v>0</v>
      </c>
      <c r="DY17" s="11">
        <f>IF(預測IC!DY17&gt;預測IC!DY$25,1,0)</f>
        <v>1</v>
      </c>
      <c r="DZ17" s="11">
        <f>IF(預測IC!DZ17&gt;預測IC!DZ$25,1,0)</f>
        <v>1</v>
      </c>
      <c r="EA17" s="11">
        <f>IF(預測IC!EA17&gt;預測IC!EA$25,1,0)</f>
        <v>1</v>
      </c>
      <c r="EB17" s="11">
        <f>IF(預測IC!EB17&gt;預測IC!EB$25,1,0)</f>
        <v>0</v>
      </c>
      <c r="EC17" s="11">
        <f>IF(預測IC!EC17&gt;預測IC!EC$25,1,0)</f>
        <v>1</v>
      </c>
      <c r="ED17" s="11">
        <f>IF(預測IC!ED17&gt;預測IC!ED$25,1,0)</f>
        <v>0</v>
      </c>
      <c r="EE17" s="11">
        <f>IF(預測IC!EE17&gt;預測IC!EE$25,1,0)</f>
        <v>0</v>
      </c>
      <c r="EF17" s="11">
        <f>IF(預測IC!EF17&gt;預測IC!EF$25,1,0)</f>
        <v>1</v>
      </c>
      <c r="EG17" s="1">
        <f t="shared" si="10"/>
        <v>68</v>
      </c>
      <c r="EH17" s="58">
        <f t="shared" si="11"/>
        <v>0.5074626865671642</v>
      </c>
    </row>
    <row r="18" spans="1:138" ht="16">
      <c r="A18" s="6">
        <v>137</v>
      </c>
      <c r="B18" s="6">
        <v>7</v>
      </c>
      <c r="C18" s="11">
        <f>IF(預測IC!C18&gt;預測IC!C$25,1,0)</f>
        <v>0</v>
      </c>
      <c r="D18" s="11">
        <f>IF(預測IC!D18&gt;預測IC!D$25,1,0)</f>
        <v>0</v>
      </c>
      <c r="E18" s="11">
        <f>IF(預測IC!E18&gt;預測IC!E$25,1,0)</f>
        <v>1</v>
      </c>
      <c r="F18" s="11">
        <f>IF(預測IC!F18&gt;預測IC!F$25,1,0)</f>
        <v>0</v>
      </c>
      <c r="G18" s="11">
        <f>IF(預測IC!G18&gt;預測IC!G$25,1,0)</f>
        <v>0</v>
      </c>
      <c r="H18" s="11">
        <f>IF(預測IC!H18&gt;預測IC!H$25,1,0)</f>
        <v>1</v>
      </c>
      <c r="I18" s="11">
        <f>IF(預測IC!I18&gt;預測IC!I$25,1,0)</f>
        <v>1</v>
      </c>
      <c r="J18" s="11">
        <f>IF(預測IC!J18&gt;預測IC!J$25,1,0)</f>
        <v>0</v>
      </c>
      <c r="K18" s="11">
        <f>IF(預測IC!K18&gt;預測IC!K$25,1,0)</f>
        <v>1</v>
      </c>
      <c r="L18" s="11">
        <f>IF(預測IC!L18&gt;預測IC!L$25,1,0)</f>
        <v>1</v>
      </c>
      <c r="M18" s="11">
        <f>IF(預測IC!M18&gt;預測IC!M$25,1,0)</f>
        <v>0</v>
      </c>
      <c r="N18" s="11">
        <f>IF(預測IC!N18&gt;預測IC!N$25,1,0)</f>
        <v>1</v>
      </c>
      <c r="O18" s="11">
        <f>IF(預測IC!O18&gt;預測IC!O$25,1,0)</f>
        <v>0</v>
      </c>
      <c r="P18" s="11">
        <f>IF(預測IC!P18&gt;預測IC!P$25,1,0)</f>
        <v>1</v>
      </c>
      <c r="Q18" s="11">
        <f>IF(預測IC!Q18&gt;預測IC!Q$25,1,0)</f>
        <v>0</v>
      </c>
      <c r="R18" s="11">
        <f>IF(預測IC!R18&gt;預測IC!R$25,1,0)</f>
        <v>0</v>
      </c>
      <c r="S18" s="11">
        <f>IF(預測IC!S18&gt;預測IC!S$25,1,0)</f>
        <v>0</v>
      </c>
      <c r="T18" s="11">
        <f>IF(預測IC!T18&gt;預測IC!T$25,1,0)</f>
        <v>1</v>
      </c>
      <c r="U18" s="11">
        <f>IF(預測IC!U18&gt;預測IC!U$25,1,0)</f>
        <v>1</v>
      </c>
      <c r="V18" s="11">
        <f>IF(預測IC!V18&gt;預測IC!V$25,1,0)</f>
        <v>0</v>
      </c>
      <c r="W18" s="11">
        <f>IF(預測IC!W18&gt;預測IC!W$25,1,0)</f>
        <v>1</v>
      </c>
      <c r="X18" s="11">
        <f>IF(預測IC!X18&gt;預測IC!X$25,1,0)</f>
        <v>0</v>
      </c>
      <c r="Y18" s="11">
        <f>IF(預測IC!Y18&gt;預測IC!Y$25,1,0)</f>
        <v>1</v>
      </c>
      <c r="Z18" s="11">
        <f>IF(預測IC!Z18&gt;預測IC!Z$25,1,0)</f>
        <v>0</v>
      </c>
      <c r="AA18" s="11">
        <f>IF(預測IC!AA18&gt;預測IC!AA$25,1,0)</f>
        <v>1</v>
      </c>
      <c r="AB18" s="11">
        <f>IF(預測IC!AB18&gt;預測IC!AB$25,1,0)</f>
        <v>0</v>
      </c>
      <c r="AC18" s="11">
        <f>IF(預測IC!AC18&gt;預測IC!AC$25,1,0)</f>
        <v>0</v>
      </c>
      <c r="AD18" s="11">
        <f>IF(預測IC!AD18&gt;預測IC!AD$25,1,0)</f>
        <v>1</v>
      </c>
      <c r="AE18" s="11">
        <f>IF(預測IC!AE18&gt;預測IC!AE$25,1,0)</f>
        <v>1</v>
      </c>
      <c r="AF18" s="11">
        <f>IF(預測IC!AF18&gt;預測IC!AF$25,1,0)</f>
        <v>0</v>
      </c>
      <c r="AG18" s="11">
        <f>IF(預測IC!AG18&gt;預測IC!AG$25,1,0)</f>
        <v>0</v>
      </c>
      <c r="AH18" s="11">
        <f>IF(預測IC!AH18&gt;預測IC!AH$25,1,0)</f>
        <v>0</v>
      </c>
      <c r="AI18" s="11">
        <f>IF(預測IC!AI18&gt;預測IC!AI$25,1,0)</f>
        <v>1</v>
      </c>
      <c r="AJ18" s="11">
        <f>IF(預測IC!AJ18&gt;預測IC!AJ$25,1,0)</f>
        <v>0</v>
      </c>
      <c r="AK18" s="11">
        <f>IF(預測IC!AK18&gt;預測IC!AK$25,1,0)</f>
        <v>1</v>
      </c>
      <c r="AL18" s="11">
        <f>IF(預測IC!AL18&gt;預測IC!AL$25,1,0)</f>
        <v>0</v>
      </c>
      <c r="AM18" s="11">
        <f>IF(預測IC!AM18&gt;預測IC!AM$25,1,0)</f>
        <v>0</v>
      </c>
      <c r="AN18" s="11">
        <f>IF(預測IC!AN18&gt;預測IC!AN$25,1,0)</f>
        <v>0</v>
      </c>
      <c r="AO18" s="11">
        <f>IF(預測IC!AO18&gt;預測IC!AO$25,1,0)</f>
        <v>1</v>
      </c>
      <c r="AP18" s="11">
        <f>IF(預測IC!AP18&gt;預測IC!AP$25,1,0)</f>
        <v>0</v>
      </c>
      <c r="AQ18" s="11">
        <f>IF(預測IC!AQ18&gt;預測IC!AQ$25,1,0)</f>
        <v>0</v>
      </c>
      <c r="AR18" s="11">
        <f>IF(預測IC!AR18&gt;預測IC!AR$25,1,0)</f>
        <v>1</v>
      </c>
      <c r="AS18" s="11">
        <f>IF(預測IC!AS18&gt;預測IC!AS$25,1,0)</f>
        <v>0</v>
      </c>
      <c r="AT18" s="11">
        <f>IF(預測IC!AT18&gt;預測IC!AT$25,1,0)</f>
        <v>1</v>
      </c>
      <c r="AU18" s="11">
        <f>IF(預測IC!AU18&gt;預測IC!AU$25,1,0)</f>
        <v>1</v>
      </c>
      <c r="AV18" s="11">
        <f>IF(預測IC!AV18&gt;預測IC!AV$25,1,0)</f>
        <v>0</v>
      </c>
      <c r="AW18" s="11">
        <f>IF(預測IC!AW18&gt;預測IC!AW$25,1,0)</f>
        <v>1</v>
      </c>
      <c r="AX18" s="11">
        <f>IF(預測IC!AX18&gt;預測IC!AX$25,1,0)</f>
        <v>1</v>
      </c>
      <c r="AY18" s="11">
        <f>IF(預測IC!AY18&gt;預測IC!AY$25,1,0)</f>
        <v>0</v>
      </c>
      <c r="AZ18" s="11">
        <f>IF(預測IC!AZ18&gt;預測IC!AZ$25,1,0)</f>
        <v>1</v>
      </c>
      <c r="BA18" s="11">
        <f>IF(預測IC!BA18&gt;預測IC!BA$25,1,0)</f>
        <v>1</v>
      </c>
      <c r="BB18" s="11">
        <f>IF(預測IC!BB18&gt;預測IC!BB$25,1,0)</f>
        <v>1</v>
      </c>
      <c r="BC18" s="11">
        <f>IF(預測IC!BC18&gt;預測IC!BC$25,1,0)</f>
        <v>1</v>
      </c>
      <c r="BD18" s="11">
        <f>IF(預測IC!BD18&gt;預測IC!BD$25,1,0)</f>
        <v>1</v>
      </c>
      <c r="BE18" s="11">
        <f>IF(預測IC!BE18&gt;預測IC!BE$25,1,0)</f>
        <v>0</v>
      </c>
      <c r="BF18" s="11">
        <f>IF(預測IC!BF18&gt;預測IC!BF$25,1,0)</f>
        <v>0</v>
      </c>
      <c r="BG18" s="11">
        <f>IF(預測IC!BG18&gt;預測IC!BG$25,1,0)</f>
        <v>1</v>
      </c>
      <c r="BH18" s="11">
        <f>IF(預測IC!BH18&gt;預測IC!BH$25,1,0)</f>
        <v>1</v>
      </c>
      <c r="BI18" s="11">
        <f>IF(預測IC!BI18&gt;預測IC!BI$25,1,0)</f>
        <v>1</v>
      </c>
      <c r="BJ18" s="11">
        <f>IF(預測IC!BJ18&gt;預測IC!BJ$25,1,0)</f>
        <v>1</v>
      </c>
      <c r="BK18" s="11">
        <f>IF(預測IC!BK18&gt;預測IC!BK$25,1,0)</f>
        <v>1</v>
      </c>
      <c r="BL18" s="11">
        <f>IF(預測IC!BL18&gt;預測IC!BL$25,1,0)</f>
        <v>0</v>
      </c>
      <c r="BM18" s="11">
        <f>IF(預測IC!BM18&gt;預測IC!BM$25,1,0)</f>
        <v>0</v>
      </c>
      <c r="BN18" s="11">
        <f>IF(預測IC!BN18&gt;預測IC!BN$25,1,0)</f>
        <v>0</v>
      </c>
      <c r="BO18" s="11">
        <f>IF(預測IC!BO18&gt;預測IC!BO$25,1,0)</f>
        <v>1</v>
      </c>
      <c r="BP18" s="11">
        <f>IF(預測IC!BP18&gt;預測IC!BP$25,1,0)</f>
        <v>1</v>
      </c>
      <c r="BQ18" s="11">
        <f>IF(預測IC!BQ18&gt;預測IC!BQ$25,1,0)</f>
        <v>1</v>
      </c>
      <c r="BR18" s="11">
        <f>IF(預測IC!BR18&gt;預測IC!BR$25,1,0)</f>
        <v>1</v>
      </c>
      <c r="BS18" s="11">
        <f>IF(預測IC!BS18&gt;預測IC!BS$25,1,0)</f>
        <v>1</v>
      </c>
      <c r="BT18" s="11">
        <f>IF(預測IC!BT18&gt;預測IC!BT$25,1,0)</f>
        <v>0</v>
      </c>
      <c r="BU18" s="11">
        <f>IF(預測IC!BU18&gt;預測IC!BU$25,1,0)</f>
        <v>0</v>
      </c>
      <c r="BV18" s="11">
        <f>IF(預測IC!BV18&gt;預測IC!BV$25,1,0)</f>
        <v>1</v>
      </c>
      <c r="BW18" s="11">
        <f>IF(預測IC!BW18&gt;預測IC!BW$25,1,0)</f>
        <v>1</v>
      </c>
      <c r="BX18" s="11">
        <f>IF(預測IC!BX18&gt;預測IC!BX$25,1,0)</f>
        <v>1</v>
      </c>
      <c r="BY18" s="11">
        <f>IF(預測IC!BY18&gt;預測IC!BY$25,1,0)</f>
        <v>1</v>
      </c>
      <c r="BZ18" s="11">
        <f>IF(預測IC!BZ18&gt;預測IC!BZ$25,1,0)</f>
        <v>0</v>
      </c>
      <c r="CA18" s="11">
        <f>IF(預測IC!CA18&gt;預測IC!CA$25,1,0)</f>
        <v>1</v>
      </c>
      <c r="CB18" s="11">
        <f>IF(預測IC!CB18&gt;預測IC!CB$25,1,0)</f>
        <v>1</v>
      </c>
      <c r="CC18" s="11">
        <f>IF(預測IC!CC18&gt;預測IC!CC$25,1,0)</f>
        <v>1</v>
      </c>
      <c r="CD18" s="11">
        <f>IF(預測IC!CD18&gt;預測IC!CD$25,1,0)</f>
        <v>1</v>
      </c>
      <c r="CE18" s="11">
        <f>IF(預測IC!CE18&gt;預測IC!CE$25,1,0)</f>
        <v>1</v>
      </c>
      <c r="CF18" s="11">
        <f>IF(預測IC!CF18&gt;預測IC!CF$25,1,0)</f>
        <v>0</v>
      </c>
      <c r="CG18" s="11">
        <f>IF(預測IC!CG18&gt;預測IC!CG$25,1,0)</f>
        <v>1</v>
      </c>
      <c r="CH18" s="11">
        <f>IF(預測IC!CH18&gt;預測IC!CH$25,1,0)</f>
        <v>0</v>
      </c>
      <c r="CI18" s="11">
        <f>IF(預測IC!CI18&gt;預測IC!CI$25,1,0)</f>
        <v>0</v>
      </c>
      <c r="CJ18" s="11">
        <f>IF(預測IC!CJ18&gt;預測IC!CJ$25,1,0)</f>
        <v>0</v>
      </c>
      <c r="CK18" s="11">
        <f>IF(預測IC!CK18&gt;預測IC!CK$25,1,0)</f>
        <v>1</v>
      </c>
      <c r="CL18" s="11">
        <f>IF(預測IC!CL18&gt;預測IC!CL$25,1,0)</f>
        <v>1</v>
      </c>
      <c r="CM18" s="11">
        <f>IF(預測IC!CM18&gt;預測IC!CM$25,1,0)</f>
        <v>0</v>
      </c>
      <c r="CN18" s="11">
        <f>IF(預測IC!CN18&gt;預測IC!CN$25,1,0)</f>
        <v>0</v>
      </c>
      <c r="CO18" s="11">
        <f>IF(預測IC!CO18&gt;預測IC!CO$25,1,0)</f>
        <v>1</v>
      </c>
      <c r="CP18" s="11">
        <f>IF(預測IC!CP18&gt;預測IC!CP$25,1,0)</f>
        <v>0</v>
      </c>
      <c r="CQ18" s="11">
        <f>IF(預測IC!CQ18&gt;預測IC!CQ$25,1,0)</f>
        <v>1</v>
      </c>
      <c r="CR18" s="11">
        <f>IF(預測IC!CR18&gt;預測IC!CR$25,1,0)</f>
        <v>1</v>
      </c>
      <c r="CS18" s="11">
        <f>IF(預測IC!CS18&gt;預測IC!CS$25,1,0)</f>
        <v>1</v>
      </c>
      <c r="CT18" s="11">
        <f>IF(預測IC!CT18&gt;預測IC!CT$25,1,0)</f>
        <v>0</v>
      </c>
      <c r="CU18" s="11">
        <f>IF(預測IC!CU18&gt;預測IC!CU$25,1,0)</f>
        <v>1</v>
      </c>
      <c r="CV18" s="11">
        <f>IF(預測IC!CV18&gt;預測IC!CV$25,1,0)</f>
        <v>1</v>
      </c>
      <c r="CW18" s="11">
        <f>IF(預測IC!CW18&gt;預測IC!CW$25,1,0)</f>
        <v>0</v>
      </c>
      <c r="CX18" s="11">
        <f>IF(預測IC!CX18&gt;預測IC!CX$25,1,0)</f>
        <v>1</v>
      </c>
      <c r="CY18" s="11">
        <f>IF(預測IC!CY18&gt;預測IC!CY$25,1,0)</f>
        <v>1</v>
      </c>
      <c r="CZ18" s="11">
        <f>IF(預測IC!CZ18&gt;預測IC!CZ$25,1,0)</f>
        <v>1</v>
      </c>
      <c r="DA18" s="11">
        <f>IF(預測IC!DA18&gt;預測IC!DA$25,1,0)</f>
        <v>1</v>
      </c>
      <c r="DB18" s="11">
        <f>IF(預測IC!DB18&gt;預測IC!DB$25,1,0)</f>
        <v>1</v>
      </c>
      <c r="DC18" s="11">
        <f>IF(預測IC!DC18&gt;預測IC!DC$25,1,0)</f>
        <v>1</v>
      </c>
      <c r="DD18" s="11">
        <f>IF(預測IC!DD18&gt;預測IC!DD$25,1,0)</f>
        <v>0</v>
      </c>
      <c r="DE18" s="11">
        <f>IF(預測IC!DE18&gt;預測IC!DE$25,1,0)</f>
        <v>0</v>
      </c>
      <c r="DF18" s="11">
        <f>IF(預測IC!DF18&gt;預測IC!DF$25,1,0)</f>
        <v>1</v>
      </c>
      <c r="DG18" s="11">
        <f>IF(預測IC!DG18&gt;預測IC!DG$25,1,0)</f>
        <v>0</v>
      </c>
      <c r="DH18" s="11">
        <f>IF(預測IC!DH18&gt;預測IC!DH$25,1,0)</f>
        <v>0</v>
      </c>
      <c r="DI18" s="11">
        <f>IF(預測IC!DI18&gt;預測IC!DI$25,1,0)</f>
        <v>0</v>
      </c>
      <c r="DJ18" s="11">
        <f>IF(預測IC!DJ18&gt;預測IC!DJ$25,1,0)</f>
        <v>0</v>
      </c>
      <c r="DK18" s="11">
        <f>IF(預測IC!DK18&gt;預測IC!DK$25,1,0)</f>
        <v>0</v>
      </c>
      <c r="DL18" s="11">
        <f>IF(預測IC!DL18&gt;預測IC!DL$25,1,0)</f>
        <v>0</v>
      </c>
      <c r="DM18" s="11">
        <f>IF(預測IC!DM18&gt;預測IC!DM$25,1,0)</f>
        <v>1</v>
      </c>
      <c r="DN18" s="11">
        <f>IF(預測IC!DN18&gt;預測IC!DN$25,1,0)</f>
        <v>0</v>
      </c>
      <c r="DO18" s="11">
        <f>IF(預測IC!DO18&gt;預測IC!DO$25,1,0)</f>
        <v>1</v>
      </c>
      <c r="DP18" s="11">
        <f>IF(預測IC!DP18&gt;預測IC!DP$25,1,0)</f>
        <v>1</v>
      </c>
      <c r="DQ18" s="11">
        <f>IF(預測IC!DQ18&gt;預測IC!DQ$25,1,0)</f>
        <v>0</v>
      </c>
      <c r="DR18" s="11">
        <f>IF(預測IC!DR18&gt;預測IC!DR$25,1,0)</f>
        <v>0</v>
      </c>
      <c r="DS18" s="11">
        <f>IF(預測IC!DS18&gt;預測IC!DS$25,1,0)</f>
        <v>1</v>
      </c>
      <c r="DT18" s="11">
        <f>IF(預測IC!DT18&gt;預測IC!DT$25,1,0)</f>
        <v>0</v>
      </c>
      <c r="DU18" s="11">
        <f>IF(預測IC!DU18&gt;預測IC!DU$25,1,0)</f>
        <v>0</v>
      </c>
      <c r="DV18" s="11">
        <f>IF(預測IC!DV18&gt;預測IC!DV$25,1,0)</f>
        <v>1</v>
      </c>
      <c r="DW18" s="11">
        <f>IF(預測IC!DW18&gt;預測IC!DW$25,1,0)</f>
        <v>0</v>
      </c>
      <c r="DX18" s="11">
        <f>IF(預測IC!DX18&gt;預測IC!DX$25,1,0)</f>
        <v>0</v>
      </c>
      <c r="DY18" s="11">
        <f>IF(預測IC!DY18&gt;預測IC!DY$25,1,0)</f>
        <v>1</v>
      </c>
      <c r="DZ18" s="11">
        <f>IF(預測IC!DZ18&gt;預測IC!DZ$25,1,0)</f>
        <v>1</v>
      </c>
      <c r="EA18" s="11">
        <f>IF(預測IC!EA18&gt;預測IC!EA$25,1,0)</f>
        <v>1</v>
      </c>
      <c r="EB18" s="11">
        <f>IF(預測IC!EB18&gt;預測IC!EB$25,1,0)</f>
        <v>0</v>
      </c>
      <c r="EC18" s="11">
        <f>IF(預測IC!EC18&gt;預測IC!EC$25,1,0)</f>
        <v>1</v>
      </c>
      <c r="ED18" s="11">
        <f>IF(預測IC!ED18&gt;預測IC!ED$25,1,0)</f>
        <v>0</v>
      </c>
      <c r="EE18" s="11">
        <f>IF(預測IC!EE18&gt;預測IC!EE$25,1,0)</f>
        <v>0</v>
      </c>
      <c r="EF18" s="11">
        <f>IF(預測IC!EF18&gt;預測IC!EF$25,1,0)</f>
        <v>1</v>
      </c>
      <c r="EG18" s="1">
        <f t="shared" si="10"/>
        <v>72</v>
      </c>
      <c r="EH18" s="58">
        <f t="shared" si="11"/>
        <v>0.53731343283582089</v>
      </c>
    </row>
    <row r="19" spans="1:138" ht="16">
      <c r="A19" s="6">
        <v>160</v>
      </c>
      <c r="B19" s="6">
        <v>6</v>
      </c>
      <c r="C19" s="11">
        <f>IF(預測IC!C19&gt;預測IC!C$25,1,0)</f>
        <v>0</v>
      </c>
      <c r="D19" s="11">
        <f>IF(預測IC!D19&gt;預測IC!D$25,1,0)</f>
        <v>0</v>
      </c>
      <c r="E19" s="11">
        <f>IF(預測IC!E19&gt;預測IC!E$25,1,0)</f>
        <v>1</v>
      </c>
      <c r="F19" s="11">
        <f>IF(預測IC!F19&gt;預測IC!F$25,1,0)</f>
        <v>0</v>
      </c>
      <c r="G19" s="11">
        <f>IF(預測IC!G19&gt;預測IC!G$25,1,0)</f>
        <v>0</v>
      </c>
      <c r="H19" s="11">
        <f>IF(預測IC!H19&gt;預測IC!H$25,1,0)</f>
        <v>1</v>
      </c>
      <c r="I19" s="11">
        <f>IF(預測IC!I19&gt;預測IC!I$25,1,0)</f>
        <v>1</v>
      </c>
      <c r="J19" s="11">
        <f>IF(預測IC!J19&gt;預測IC!J$25,1,0)</f>
        <v>0</v>
      </c>
      <c r="K19" s="11">
        <f>IF(預測IC!K19&gt;預測IC!K$25,1,0)</f>
        <v>1</v>
      </c>
      <c r="L19" s="11">
        <f>IF(預測IC!L19&gt;預測IC!L$25,1,0)</f>
        <v>1</v>
      </c>
      <c r="M19" s="11">
        <f>IF(預測IC!M19&gt;預測IC!M$25,1,0)</f>
        <v>0</v>
      </c>
      <c r="N19" s="11">
        <f>IF(預測IC!N19&gt;預測IC!N$25,1,0)</f>
        <v>1</v>
      </c>
      <c r="O19" s="11">
        <f>IF(預測IC!O19&gt;預測IC!O$25,1,0)</f>
        <v>1</v>
      </c>
      <c r="P19" s="11">
        <f>IF(預測IC!P19&gt;預測IC!P$25,1,0)</f>
        <v>0</v>
      </c>
      <c r="Q19" s="11">
        <f>IF(預測IC!Q19&gt;預測IC!Q$25,1,0)</f>
        <v>0</v>
      </c>
      <c r="R19" s="11">
        <f>IF(預測IC!R19&gt;預測IC!R$25,1,0)</f>
        <v>1</v>
      </c>
      <c r="S19" s="11">
        <f>IF(預測IC!S19&gt;預測IC!S$25,1,0)</f>
        <v>0</v>
      </c>
      <c r="T19" s="11">
        <f>IF(預測IC!T19&gt;預測IC!T$25,1,0)</f>
        <v>0</v>
      </c>
      <c r="U19" s="11">
        <f>IF(預測IC!U19&gt;預測IC!U$25,1,0)</f>
        <v>1</v>
      </c>
      <c r="V19" s="11">
        <f>IF(預測IC!V19&gt;預測IC!V$25,1,0)</f>
        <v>0</v>
      </c>
      <c r="W19" s="11">
        <f>IF(預測IC!W19&gt;預測IC!W$25,1,0)</f>
        <v>1</v>
      </c>
      <c r="X19" s="11">
        <f>IF(預測IC!X19&gt;預測IC!X$25,1,0)</f>
        <v>0</v>
      </c>
      <c r="Y19" s="11">
        <f>IF(預測IC!Y19&gt;預測IC!Y$25,1,0)</f>
        <v>1</v>
      </c>
      <c r="Z19" s="11">
        <f>IF(預測IC!Z19&gt;預測IC!Z$25,1,0)</f>
        <v>0</v>
      </c>
      <c r="AA19" s="11">
        <f>IF(預測IC!AA19&gt;預測IC!AA$25,1,0)</f>
        <v>1</v>
      </c>
      <c r="AB19" s="11">
        <f>IF(預測IC!AB19&gt;預測IC!AB$25,1,0)</f>
        <v>0</v>
      </c>
      <c r="AC19" s="11">
        <f>IF(預測IC!AC19&gt;預測IC!AC$25,1,0)</f>
        <v>0</v>
      </c>
      <c r="AD19" s="11">
        <f>IF(預測IC!AD19&gt;預測IC!AD$25,1,0)</f>
        <v>1</v>
      </c>
      <c r="AE19" s="11">
        <f>IF(預測IC!AE19&gt;預測IC!AE$25,1,0)</f>
        <v>1</v>
      </c>
      <c r="AF19" s="11">
        <f>IF(預測IC!AF19&gt;預測IC!AF$25,1,0)</f>
        <v>0</v>
      </c>
      <c r="AG19" s="11">
        <f>IF(預測IC!AG19&gt;預測IC!AG$25,1,0)</f>
        <v>0</v>
      </c>
      <c r="AH19" s="11">
        <f>IF(預測IC!AH19&gt;預測IC!AH$25,1,0)</f>
        <v>0</v>
      </c>
      <c r="AI19" s="11">
        <f>IF(預測IC!AI19&gt;預測IC!AI$25,1,0)</f>
        <v>1</v>
      </c>
      <c r="AJ19" s="11">
        <f>IF(預測IC!AJ19&gt;預測IC!AJ$25,1,0)</f>
        <v>0</v>
      </c>
      <c r="AK19" s="11">
        <f>IF(預測IC!AK19&gt;預測IC!AK$25,1,0)</f>
        <v>1</v>
      </c>
      <c r="AL19" s="11">
        <f>IF(預測IC!AL19&gt;預測IC!AL$25,1,0)</f>
        <v>0</v>
      </c>
      <c r="AM19" s="11">
        <f>IF(預測IC!AM19&gt;預測IC!AM$25,1,0)</f>
        <v>0</v>
      </c>
      <c r="AN19" s="11">
        <f>IF(預測IC!AN19&gt;預測IC!AN$25,1,0)</f>
        <v>0</v>
      </c>
      <c r="AO19" s="11">
        <f>IF(預測IC!AO19&gt;預測IC!AO$25,1,0)</f>
        <v>1</v>
      </c>
      <c r="AP19" s="11">
        <f>IF(預測IC!AP19&gt;預測IC!AP$25,1,0)</f>
        <v>1</v>
      </c>
      <c r="AQ19" s="11">
        <f>IF(預測IC!AQ19&gt;預測IC!AQ$25,1,0)</f>
        <v>1</v>
      </c>
      <c r="AR19" s="11">
        <f>IF(預測IC!AR19&gt;預測IC!AR$25,1,0)</f>
        <v>1</v>
      </c>
      <c r="AS19" s="11">
        <f>IF(預測IC!AS19&gt;預測IC!AS$25,1,0)</f>
        <v>0</v>
      </c>
      <c r="AT19" s="11">
        <f>IF(預測IC!AT19&gt;預測IC!AT$25,1,0)</f>
        <v>0</v>
      </c>
      <c r="AU19" s="11">
        <f>IF(預測IC!AU19&gt;預測IC!AU$25,1,0)</f>
        <v>1</v>
      </c>
      <c r="AV19" s="11">
        <f>IF(預測IC!AV19&gt;預測IC!AV$25,1,0)</f>
        <v>1</v>
      </c>
      <c r="AW19" s="11">
        <f>IF(預測IC!AW19&gt;預測IC!AW$25,1,0)</f>
        <v>1</v>
      </c>
      <c r="AX19" s="11">
        <f>IF(預測IC!AX19&gt;預測IC!AX$25,1,0)</f>
        <v>1</v>
      </c>
      <c r="AY19" s="11">
        <f>IF(預測IC!AY19&gt;預測IC!AY$25,1,0)</f>
        <v>0</v>
      </c>
      <c r="AZ19" s="11">
        <f>IF(預測IC!AZ19&gt;預測IC!AZ$25,1,0)</f>
        <v>1</v>
      </c>
      <c r="BA19" s="11">
        <f>IF(預測IC!BA19&gt;預測IC!BA$25,1,0)</f>
        <v>1</v>
      </c>
      <c r="BB19" s="11">
        <f>IF(預測IC!BB19&gt;預測IC!BB$25,1,0)</f>
        <v>1</v>
      </c>
      <c r="BC19" s="11">
        <f>IF(預測IC!BC19&gt;預測IC!BC$25,1,0)</f>
        <v>1</v>
      </c>
      <c r="BD19" s="11">
        <f>IF(預測IC!BD19&gt;預測IC!BD$25,1,0)</f>
        <v>0</v>
      </c>
      <c r="BE19" s="11">
        <f>IF(預測IC!BE19&gt;預測IC!BE$25,1,0)</f>
        <v>0</v>
      </c>
      <c r="BF19" s="11">
        <f>IF(預測IC!BF19&gt;預測IC!BF$25,1,0)</f>
        <v>0</v>
      </c>
      <c r="BG19" s="11">
        <f>IF(預測IC!BG19&gt;預測IC!BG$25,1,0)</f>
        <v>1</v>
      </c>
      <c r="BH19" s="11">
        <f>IF(預測IC!BH19&gt;預測IC!BH$25,1,0)</f>
        <v>1</v>
      </c>
      <c r="BI19" s="11">
        <f>IF(預測IC!BI19&gt;預測IC!BI$25,1,0)</f>
        <v>1</v>
      </c>
      <c r="BJ19" s="11">
        <f>IF(預測IC!BJ19&gt;預測IC!BJ$25,1,0)</f>
        <v>0</v>
      </c>
      <c r="BK19" s="11">
        <f>IF(預測IC!BK19&gt;預測IC!BK$25,1,0)</f>
        <v>1</v>
      </c>
      <c r="BL19" s="11">
        <f>IF(預測IC!BL19&gt;預測IC!BL$25,1,0)</f>
        <v>0</v>
      </c>
      <c r="BM19" s="11">
        <f>IF(預測IC!BM19&gt;預測IC!BM$25,1,0)</f>
        <v>0</v>
      </c>
      <c r="BN19" s="11">
        <f>IF(預測IC!BN19&gt;預測IC!BN$25,1,0)</f>
        <v>0</v>
      </c>
      <c r="BO19" s="11">
        <f>IF(預測IC!BO19&gt;預測IC!BO$25,1,0)</f>
        <v>1</v>
      </c>
      <c r="BP19" s="11">
        <f>IF(預測IC!BP19&gt;預測IC!BP$25,1,0)</f>
        <v>0</v>
      </c>
      <c r="BQ19" s="11">
        <f>IF(預測IC!BQ19&gt;預測IC!BQ$25,1,0)</f>
        <v>0</v>
      </c>
      <c r="BR19" s="11">
        <f>IF(預測IC!BR19&gt;預測IC!BR$25,1,0)</f>
        <v>1</v>
      </c>
      <c r="BS19" s="11">
        <f>IF(預測IC!BS19&gt;預測IC!BS$25,1,0)</f>
        <v>1</v>
      </c>
      <c r="BT19" s="11">
        <f>IF(預測IC!BT19&gt;預測IC!BT$25,1,0)</f>
        <v>0</v>
      </c>
      <c r="BU19" s="11">
        <f>IF(預測IC!BU19&gt;預測IC!BU$25,1,0)</f>
        <v>0</v>
      </c>
      <c r="BV19" s="11">
        <f>IF(預測IC!BV19&gt;預測IC!BV$25,1,0)</f>
        <v>1</v>
      </c>
      <c r="BW19" s="11">
        <f>IF(預測IC!BW19&gt;預測IC!BW$25,1,0)</f>
        <v>1</v>
      </c>
      <c r="BX19" s="11">
        <f>IF(預測IC!BX19&gt;預測IC!BX$25,1,0)</f>
        <v>0</v>
      </c>
      <c r="BY19" s="11">
        <f>IF(預測IC!BY19&gt;預測IC!BY$25,1,0)</f>
        <v>1</v>
      </c>
      <c r="BZ19" s="11">
        <f>IF(預測IC!BZ19&gt;預測IC!BZ$25,1,0)</f>
        <v>1</v>
      </c>
      <c r="CA19" s="11">
        <f>IF(預測IC!CA19&gt;預測IC!CA$25,1,0)</f>
        <v>1</v>
      </c>
      <c r="CB19" s="11">
        <f>IF(預測IC!CB19&gt;預測IC!CB$25,1,0)</f>
        <v>1</v>
      </c>
      <c r="CC19" s="11">
        <f>IF(預測IC!CC19&gt;預測IC!CC$25,1,0)</f>
        <v>0</v>
      </c>
      <c r="CD19" s="11">
        <f>IF(預測IC!CD19&gt;預測IC!CD$25,1,0)</f>
        <v>1</v>
      </c>
      <c r="CE19" s="11">
        <f>IF(預測IC!CE19&gt;預測IC!CE$25,1,0)</f>
        <v>1</v>
      </c>
      <c r="CF19" s="11">
        <f>IF(預測IC!CF19&gt;預測IC!CF$25,1,0)</f>
        <v>0</v>
      </c>
      <c r="CG19" s="11">
        <f>IF(預測IC!CG19&gt;預測IC!CG$25,1,0)</f>
        <v>1</v>
      </c>
      <c r="CH19" s="11">
        <f>IF(預測IC!CH19&gt;預測IC!CH$25,1,0)</f>
        <v>0</v>
      </c>
      <c r="CI19" s="11">
        <f>IF(預測IC!CI19&gt;預測IC!CI$25,1,0)</f>
        <v>0</v>
      </c>
      <c r="CJ19" s="11">
        <f>IF(預測IC!CJ19&gt;預測IC!CJ$25,1,0)</f>
        <v>0</v>
      </c>
      <c r="CK19" s="11">
        <f>IF(預測IC!CK19&gt;預測IC!CK$25,1,0)</f>
        <v>1</v>
      </c>
      <c r="CL19" s="11">
        <f>IF(預測IC!CL19&gt;預測IC!CL$25,1,0)</f>
        <v>1</v>
      </c>
      <c r="CM19" s="11">
        <f>IF(預測IC!CM19&gt;預測IC!CM$25,1,0)</f>
        <v>0</v>
      </c>
      <c r="CN19" s="11">
        <f>IF(預測IC!CN19&gt;預測IC!CN$25,1,0)</f>
        <v>0</v>
      </c>
      <c r="CO19" s="11">
        <f>IF(預測IC!CO19&gt;預測IC!CO$25,1,0)</f>
        <v>1</v>
      </c>
      <c r="CP19" s="11">
        <f>IF(預測IC!CP19&gt;預測IC!CP$25,1,0)</f>
        <v>0</v>
      </c>
      <c r="CQ19" s="11">
        <f>IF(預測IC!CQ19&gt;預測IC!CQ$25,1,0)</f>
        <v>1</v>
      </c>
      <c r="CR19" s="11">
        <f>IF(預測IC!CR19&gt;預測IC!CR$25,1,0)</f>
        <v>1</v>
      </c>
      <c r="CS19" s="11">
        <f>IF(預測IC!CS19&gt;預測IC!CS$25,1,0)</f>
        <v>1</v>
      </c>
      <c r="CT19" s="11">
        <f>IF(預測IC!CT19&gt;預測IC!CT$25,1,0)</f>
        <v>0</v>
      </c>
      <c r="CU19" s="11">
        <f>IF(預測IC!CU19&gt;預測IC!CU$25,1,0)</f>
        <v>1</v>
      </c>
      <c r="CV19" s="11">
        <f>IF(預測IC!CV19&gt;預測IC!CV$25,1,0)</f>
        <v>1</v>
      </c>
      <c r="CW19" s="11">
        <f>IF(預測IC!CW19&gt;預測IC!CW$25,1,0)</f>
        <v>0</v>
      </c>
      <c r="CX19" s="11">
        <f>IF(預測IC!CX19&gt;預測IC!CX$25,1,0)</f>
        <v>1</v>
      </c>
      <c r="CY19" s="11">
        <f>IF(預測IC!CY19&gt;預測IC!CY$25,1,0)</f>
        <v>1</v>
      </c>
      <c r="CZ19" s="11">
        <f>IF(預測IC!CZ19&gt;預測IC!CZ$25,1,0)</f>
        <v>1</v>
      </c>
      <c r="DA19" s="11">
        <f>IF(預測IC!DA19&gt;預測IC!DA$25,1,0)</f>
        <v>1</v>
      </c>
      <c r="DB19" s="11">
        <f>IF(預測IC!DB19&gt;預測IC!DB$25,1,0)</f>
        <v>1</v>
      </c>
      <c r="DC19" s="11">
        <f>IF(預測IC!DC19&gt;預測IC!DC$25,1,0)</f>
        <v>1</v>
      </c>
      <c r="DD19" s="11">
        <f>IF(預測IC!DD19&gt;預測IC!DD$25,1,0)</f>
        <v>0</v>
      </c>
      <c r="DE19" s="11">
        <f>IF(預測IC!DE19&gt;預測IC!DE$25,1,0)</f>
        <v>0</v>
      </c>
      <c r="DF19" s="11">
        <f>IF(預測IC!DF19&gt;預測IC!DF$25,1,0)</f>
        <v>1</v>
      </c>
      <c r="DG19" s="11">
        <f>IF(預測IC!DG19&gt;預測IC!DG$25,1,0)</f>
        <v>0</v>
      </c>
      <c r="DH19" s="11">
        <f>IF(預測IC!DH19&gt;預測IC!DH$25,1,0)</f>
        <v>0</v>
      </c>
      <c r="DI19" s="11">
        <f>IF(預測IC!DI19&gt;預測IC!DI$25,1,0)</f>
        <v>0</v>
      </c>
      <c r="DJ19" s="11">
        <f>IF(預測IC!DJ19&gt;預測IC!DJ$25,1,0)</f>
        <v>0</v>
      </c>
      <c r="DK19" s="11">
        <f>IF(預測IC!DK19&gt;預測IC!DK$25,1,0)</f>
        <v>0</v>
      </c>
      <c r="DL19" s="11">
        <f>IF(預測IC!DL19&gt;預測IC!DL$25,1,0)</f>
        <v>0</v>
      </c>
      <c r="DM19" s="11">
        <f>IF(預測IC!DM19&gt;預測IC!DM$25,1,0)</f>
        <v>1</v>
      </c>
      <c r="DN19" s="11">
        <f>IF(預測IC!DN19&gt;預測IC!DN$25,1,0)</f>
        <v>0</v>
      </c>
      <c r="DO19" s="11">
        <f>IF(預測IC!DO19&gt;預測IC!DO$25,1,0)</f>
        <v>1</v>
      </c>
      <c r="DP19" s="11">
        <f>IF(預測IC!DP19&gt;預測IC!DP$25,1,0)</f>
        <v>1</v>
      </c>
      <c r="DQ19" s="11">
        <f>IF(預測IC!DQ19&gt;預測IC!DQ$25,1,0)</f>
        <v>0</v>
      </c>
      <c r="DR19" s="11">
        <f>IF(預測IC!DR19&gt;預測IC!DR$25,1,0)</f>
        <v>0</v>
      </c>
      <c r="DS19" s="11">
        <f>IF(預測IC!DS19&gt;預測IC!DS$25,1,0)</f>
        <v>0</v>
      </c>
      <c r="DT19" s="11">
        <f>IF(預測IC!DT19&gt;預測IC!DT$25,1,0)</f>
        <v>0</v>
      </c>
      <c r="DU19" s="11">
        <f>IF(預測IC!DU19&gt;預測IC!DU$25,1,0)</f>
        <v>0</v>
      </c>
      <c r="DV19" s="11">
        <f>IF(預測IC!DV19&gt;預測IC!DV$25,1,0)</f>
        <v>1</v>
      </c>
      <c r="DW19" s="11">
        <f>IF(預測IC!DW19&gt;預測IC!DW$25,1,0)</f>
        <v>0</v>
      </c>
      <c r="DX19" s="11">
        <f>IF(預測IC!DX19&gt;預測IC!DX$25,1,0)</f>
        <v>0</v>
      </c>
      <c r="DY19" s="11">
        <f>IF(預測IC!DY19&gt;預測IC!DY$25,1,0)</f>
        <v>1</v>
      </c>
      <c r="DZ19" s="11">
        <f>IF(預測IC!DZ19&gt;預測IC!DZ$25,1,0)</f>
        <v>1</v>
      </c>
      <c r="EA19" s="11">
        <f>IF(預測IC!EA19&gt;預測IC!EA$25,1,0)</f>
        <v>1</v>
      </c>
      <c r="EB19" s="11">
        <f>IF(預測IC!EB19&gt;預測IC!EB$25,1,0)</f>
        <v>0</v>
      </c>
      <c r="EC19" s="11">
        <f>IF(預測IC!EC19&gt;預測IC!EC$25,1,0)</f>
        <v>0</v>
      </c>
      <c r="ED19" s="11">
        <f>IF(預測IC!ED19&gt;預測IC!ED$25,1,0)</f>
        <v>0</v>
      </c>
      <c r="EE19" s="11">
        <f>IF(預測IC!EE19&gt;預測IC!EE$25,1,0)</f>
        <v>0</v>
      </c>
      <c r="EF19" s="11">
        <f>IF(預測IC!EF19&gt;預測IC!EF$25,1,0)</f>
        <v>1</v>
      </c>
      <c r="EG19" s="1">
        <f t="shared" si="10"/>
        <v>67</v>
      </c>
      <c r="EH19" s="58">
        <f t="shared" si="11"/>
        <v>0.5</v>
      </c>
    </row>
    <row r="20" spans="1:138" ht="16">
      <c r="A20" s="6">
        <v>192</v>
      </c>
      <c r="B20" s="6">
        <v>5</v>
      </c>
      <c r="C20" s="11">
        <f>IF(預測IC!C20&gt;預測IC!C$25,1,0)</f>
        <v>0</v>
      </c>
      <c r="D20" s="11">
        <f>IF(預測IC!D20&gt;預測IC!D$25,1,0)</f>
        <v>0</v>
      </c>
      <c r="E20" s="11">
        <f>IF(預測IC!E20&gt;預測IC!E$25,1,0)</f>
        <v>1</v>
      </c>
      <c r="F20" s="11">
        <f>IF(預測IC!F20&gt;預測IC!F$25,1,0)</f>
        <v>0</v>
      </c>
      <c r="G20" s="11">
        <f>IF(預測IC!G20&gt;預測IC!G$25,1,0)</f>
        <v>0</v>
      </c>
      <c r="H20" s="11">
        <f>IF(預測IC!H20&gt;預測IC!H$25,1,0)</f>
        <v>1</v>
      </c>
      <c r="I20" s="11">
        <f>IF(預測IC!I20&gt;預測IC!I$25,1,0)</f>
        <v>1</v>
      </c>
      <c r="J20" s="11">
        <f>IF(預測IC!J20&gt;預測IC!J$25,1,0)</f>
        <v>0</v>
      </c>
      <c r="K20" s="11">
        <f>IF(預測IC!K20&gt;預測IC!K$25,1,0)</f>
        <v>1</v>
      </c>
      <c r="L20" s="11">
        <f>IF(預測IC!L20&gt;預測IC!L$25,1,0)</f>
        <v>1</v>
      </c>
      <c r="M20" s="11">
        <f>IF(預測IC!M20&gt;預測IC!M$25,1,0)</f>
        <v>0</v>
      </c>
      <c r="N20" s="11">
        <f>IF(預測IC!N20&gt;預測IC!N$25,1,0)</f>
        <v>1</v>
      </c>
      <c r="O20" s="11">
        <f>IF(預測IC!O20&gt;預測IC!O$25,1,0)</f>
        <v>1</v>
      </c>
      <c r="P20" s="11">
        <f>IF(預測IC!P20&gt;預測IC!P$25,1,0)</f>
        <v>1</v>
      </c>
      <c r="Q20" s="11">
        <f>IF(預測IC!Q20&gt;預測IC!Q$25,1,0)</f>
        <v>0</v>
      </c>
      <c r="R20" s="11">
        <f>IF(預測IC!R20&gt;預測IC!R$25,1,0)</f>
        <v>1</v>
      </c>
      <c r="S20" s="11">
        <f>IF(預測IC!S20&gt;預測IC!S$25,1,0)</f>
        <v>0</v>
      </c>
      <c r="T20" s="11">
        <f>IF(預測IC!T20&gt;預測IC!T$25,1,0)</f>
        <v>0</v>
      </c>
      <c r="U20" s="11">
        <f>IF(預測IC!U20&gt;預測IC!U$25,1,0)</f>
        <v>1</v>
      </c>
      <c r="V20" s="11">
        <f>IF(預測IC!V20&gt;預測IC!V$25,1,0)</f>
        <v>0</v>
      </c>
      <c r="W20" s="11">
        <f>IF(預測IC!W20&gt;預測IC!W$25,1,0)</f>
        <v>1</v>
      </c>
      <c r="X20" s="11">
        <f>IF(預測IC!X20&gt;預測IC!X$25,1,0)</f>
        <v>0</v>
      </c>
      <c r="Y20" s="11">
        <f>IF(預測IC!Y20&gt;預測IC!Y$25,1,0)</f>
        <v>1</v>
      </c>
      <c r="Z20" s="11">
        <f>IF(預測IC!Z20&gt;預測IC!Z$25,1,0)</f>
        <v>1</v>
      </c>
      <c r="AA20" s="11">
        <f>IF(預測IC!AA20&gt;預測IC!AA$25,1,0)</f>
        <v>1</v>
      </c>
      <c r="AB20" s="11">
        <f>IF(預測IC!AB20&gt;預測IC!AB$25,1,0)</f>
        <v>0</v>
      </c>
      <c r="AC20" s="11">
        <f>IF(預測IC!AC20&gt;預測IC!AC$25,1,0)</f>
        <v>0</v>
      </c>
      <c r="AD20" s="11">
        <f>IF(預測IC!AD20&gt;預測IC!AD$25,1,0)</f>
        <v>1</v>
      </c>
      <c r="AE20" s="11">
        <f>IF(預測IC!AE20&gt;預測IC!AE$25,1,0)</f>
        <v>0</v>
      </c>
      <c r="AF20" s="11">
        <f>IF(預測IC!AF20&gt;預測IC!AF$25,1,0)</f>
        <v>0</v>
      </c>
      <c r="AG20" s="11">
        <f>IF(預測IC!AG20&gt;預測IC!AG$25,1,0)</f>
        <v>0</v>
      </c>
      <c r="AH20" s="11">
        <f>IF(預測IC!AH20&gt;預測IC!AH$25,1,0)</f>
        <v>0</v>
      </c>
      <c r="AI20" s="11">
        <f>IF(預測IC!AI20&gt;預測IC!AI$25,1,0)</f>
        <v>1</v>
      </c>
      <c r="AJ20" s="11">
        <f>IF(預測IC!AJ20&gt;預測IC!AJ$25,1,0)</f>
        <v>1</v>
      </c>
      <c r="AK20" s="11">
        <f>IF(預測IC!AK20&gt;預測IC!AK$25,1,0)</f>
        <v>0</v>
      </c>
      <c r="AL20" s="11">
        <f>IF(預測IC!AL20&gt;預測IC!AL$25,1,0)</f>
        <v>0</v>
      </c>
      <c r="AM20" s="11">
        <f>IF(預測IC!AM20&gt;預測IC!AM$25,1,0)</f>
        <v>1</v>
      </c>
      <c r="AN20" s="11">
        <f>IF(預測IC!AN20&gt;預測IC!AN$25,1,0)</f>
        <v>1</v>
      </c>
      <c r="AO20" s="11">
        <f>IF(預測IC!AO20&gt;預測IC!AO$25,1,0)</f>
        <v>1</v>
      </c>
      <c r="AP20" s="11">
        <f>IF(預測IC!AP20&gt;預測IC!AP$25,1,0)</f>
        <v>1</v>
      </c>
      <c r="AQ20" s="11">
        <f>IF(預測IC!AQ20&gt;預測IC!AQ$25,1,0)</f>
        <v>0</v>
      </c>
      <c r="AR20" s="11">
        <f>IF(預測IC!AR20&gt;預測IC!AR$25,1,0)</f>
        <v>0</v>
      </c>
      <c r="AS20" s="11">
        <f>IF(預測IC!AS20&gt;預測IC!AS$25,1,0)</f>
        <v>0</v>
      </c>
      <c r="AT20" s="11">
        <f>IF(預測IC!AT20&gt;預測IC!AT$25,1,0)</f>
        <v>0</v>
      </c>
      <c r="AU20" s="11">
        <f>IF(預測IC!AU20&gt;預測IC!AU$25,1,0)</f>
        <v>1</v>
      </c>
      <c r="AV20" s="11">
        <f>IF(預測IC!AV20&gt;預測IC!AV$25,1,0)</f>
        <v>1</v>
      </c>
      <c r="AW20" s="11">
        <f>IF(預測IC!AW20&gt;預測IC!AW$25,1,0)</f>
        <v>1</v>
      </c>
      <c r="AX20" s="11">
        <f>IF(預測IC!AX20&gt;預測IC!AX$25,1,0)</f>
        <v>1</v>
      </c>
      <c r="AY20" s="11">
        <f>IF(預測IC!AY20&gt;預測IC!AY$25,1,0)</f>
        <v>0</v>
      </c>
      <c r="AZ20" s="11">
        <f>IF(預測IC!AZ20&gt;預測IC!AZ$25,1,0)</f>
        <v>1</v>
      </c>
      <c r="BA20" s="11">
        <f>IF(預測IC!BA20&gt;預測IC!BA$25,1,0)</f>
        <v>1</v>
      </c>
      <c r="BB20" s="11">
        <f>IF(預測IC!BB20&gt;預測IC!BB$25,1,0)</f>
        <v>1</v>
      </c>
      <c r="BC20" s="11">
        <f>IF(預測IC!BC20&gt;預測IC!BC$25,1,0)</f>
        <v>1</v>
      </c>
      <c r="BD20" s="11">
        <f>IF(預測IC!BD20&gt;預測IC!BD$25,1,0)</f>
        <v>0</v>
      </c>
      <c r="BE20" s="11">
        <f>IF(預測IC!BE20&gt;預測IC!BE$25,1,0)</f>
        <v>0</v>
      </c>
      <c r="BF20" s="11">
        <f>IF(預測IC!BF20&gt;預測IC!BF$25,1,0)</f>
        <v>0</v>
      </c>
      <c r="BG20" s="11">
        <f>IF(預測IC!BG20&gt;預測IC!BG$25,1,0)</f>
        <v>0</v>
      </c>
      <c r="BH20" s="11">
        <f>IF(預測IC!BH20&gt;預測IC!BH$25,1,0)</f>
        <v>1</v>
      </c>
      <c r="BI20" s="11">
        <f>IF(預測IC!BI20&gt;預測IC!BI$25,1,0)</f>
        <v>1</v>
      </c>
      <c r="BJ20" s="11">
        <f>IF(預測IC!BJ20&gt;預測IC!BJ$25,1,0)</f>
        <v>0</v>
      </c>
      <c r="BK20" s="11">
        <f>IF(預測IC!BK20&gt;預測IC!BK$25,1,0)</f>
        <v>1</v>
      </c>
      <c r="BL20" s="11">
        <f>IF(預測IC!BL20&gt;預測IC!BL$25,1,0)</f>
        <v>0</v>
      </c>
      <c r="BM20" s="11">
        <f>IF(預測IC!BM20&gt;預測IC!BM$25,1,0)</f>
        <v>0</v>
      </c>
      <c r="BN20" s="11">
        <f>IF(預測IC!BN20&gt;預測IC!BN$25,1,0)</f>
        <v>0</v>
      </c>
      <c r="BO20" s="11">
        <f>IF(預測IC!BO20&gt;預測IC!BO$25,1,0)</f>
        <v>1</v>
      </c>
      <c r="BP20" s="11">
        <f>IF(預測IC!BP20&gt;預測IC!BP$25,1,0)</f>
        <v>0</v>
      </c>
      <c r="BQ20" s="11">
        <f>IF(預測IC!BQ20&gt;預測IC!BQ$25,1,0)</f>
        <v>0</v>
      </c>
      <c r="BR20" s="11">
        <f>IF(預測IC!BR20&gt;預測IC!BR$25,1,0)</f>
        <v>1</v>
      </c>
      <c r="BS20" s="11">
        <f>IF(預測IC!BS20&gt;預測IC!BS$25,1,0)</f>
        <v>1</v>
      </c>
      <c r="BT20" s="11">
        <f>IF(預測IC!BT20&gt;預測IC!BT$25,1,0)</f>
        <v>1</v>
      </c>
      <c r="BU20" s="11">
        <f>IF(預測IC!BU20&gt;預測IC!BU$25,1,0)</f>
        <v>0</v>
      </c>
      <c r="BV20" s="11">
        <f>IF(預測IC!BV20&gt;預測IC!BV$25,1,0)</f>
        <v>1</v>
      </c>
      <c r="BW20" s="11">
        <f>IF(預測IC!BW20&gt;預測IC!BW$25,1,0)</f>
        <v>1</v>
      </c>
      <c r="BX20" s="11">
        <f>IF(預測IC!BX20&gt;預測IC!BX$25,1,0)</f>
        <v>0</v>
      </c>
      <c r="BY20" s="11">
        <f>IF(預測IC!BY20&gt;預測IC!BY$25,1,0)</f>
        <v>1</v>
      </c>
      <c r="BZ20" s="11">
        <f>IF(預測IC!BZ20&gt;預測IC!BZ$25,1,0)</f>
        <v>1</v>
      </c>
      <c r="CA20" s="11">
        <f>IF(預測IC!CA20&gt;預測IC!CA$25,1,0)</f>
        <v>1</v>
      </c>
      <c r="CB20" s="11">
        <f>IF(預測IC!CB20&gt;預測IC!CB$25,1,0)</f>
        <v>1</v>
      </c>
      <c r="CC20" s="11">
        <f>IF(預測IC!CC20&gt;預測IC!CC$25,1,0)</f>
        <v>0</v>
      </c>
      <c r="CD20" s="11">
        <f>IF(預測IC!CD20&gt;預測IC!CD$25,1,0)</f>
        <v>1</v>
      </c>
      <c r="CE20" s="11">
        <f>IF(預測IC!CE20&gt;預測IC!CE$25,1,0)</f>
        <v>1</v>
      </c>
      <c r="CF20" s="11">
        <f>IF(預測IC!CF20&gt;預測IC!CF$25,1,0)</f>
        <v>0</v>
      </c>
      <c r="CG20" s="11">
        <f>IF(預測IC!CG20&gt;預測IC!CG$25,1,0)</f>
        <v>1</v>
      </c>
      <c r="CH20" s="11">
        <f>IF(預測IC!CH20&gt;預測IC!CH$25,1,0)</f>
        <v>0</v>
      </c>
      <c r="CI20" s="11">
        <f>IF(預測IC!CI20&gt;預測IC!CI$25,1,0)</f>
        <v>0</v>
      </c>
      <c r="CJ20" s="11">
        <f>IF(預測IC!CJ20&gt;預測IC!CJ$25,1,0)</f>
        <v>0</v>
      </c>
      <c r="CK20" s="11">
        <f>IF(預測IC!CK20&gt;預測IC!CK$25,1,0)</f>
        <v>1</v>
      </c>
      <c r="CL20" s="11">
        <f>IF(預測IC!CL20&gt;預測IC!CL$25,1,0)</f>
        <v>1</v>
      </c>
      <c r="CM20" s="11">
        <f>IF(預測IC!CM20&gt;預測IC!CM$25,1,0)</f>
        <v>0</v>
      </c>
      <c r="CN20" s="11">
        <f>IF(預測IC!CN20&gt;預測IC!CN$25,1,0)</f>
        <v>0</v>
      </c>
      <c r="CO20" s="11">
        <f>IF(預測IC!CO20&gt;預測IC!CO$25,1,0)</f>
        <v>1</v>
      </c>
      <c r="CP20" s="11">
        <f>IF(預測IC!CP20&gt;預測IC!CP$25,1,0)</f>
        <v>0</v>
      </c>
      <c r="CQ20" s="11">
        <f>IF(預測IC!CQ20&gt;預測IC!CQ$25,1,0)</f>
        <v>1</v>
      </c>
      <c r="CR20" s="11">
        <f>IF(預測IC!CR20&gt;預測IC!CR$25,1,0)</f>
        <v>1</v>
      </c>
      <c r="CS20" s="11">
        <f>IF(預測IC!CS20&gt;預測IC!CS$25,1,0)</f>
        <v>0</v>
      </c>
      <c r="CT20" s="11">
        <f>IF(預測IC!CT20&gt;預測IC!CT$25,1,0)</f>
        <v>0</v>
      </c>
      <c r="CU20" s="11">
        <f>IF(預測IC!CU20&gt;預測IC!CU$25,1,0)</f>
        <v>1</v>
      </c>
      <c r="CV20" s="11">
        <f>IF(預測IC!CV20&gt;預測IC!CV$25,1,0)</f>
        <v>1</v>
      </c>
      <c r="CW20" s="11">
        <f>IF(預測IC!CW20&gt;預測IC!CW$25,1,0)</f>
        <v>0</v>
      </c>
      <c r="CX20" s="11">
        <f>IF(預測IC!CX20&gt;預測IC!CX$25,1,0)</f>
        <v>1</v>
      </c>
      <c r="CY20" s="11">
        <f>IF(預測IC!CY20&gt;預測IC!CY$25,1,0)</f>
        <v>1</v>
      </c>
      <c r="CZ20" s="11">
        <f>IF(預測IC!CZ20&gt;預測IC!CZ$25,1,0)</f>
        <v>1</v>
      </c>
      <c r="DA20" s="11">
        <f>IF(預測IC!DA20&gt;預測IC!DA$25,1,0)</f>
        <v>1</v>
      </c>
      <c r="DB20" s="11">
        <f>IF(預測IC!DB20&gt;預測IC!DB$25,1,0)</f>
        <v>1</v>
      </c>
      <c r="DC20" s="11">
        <f>IF(預測IC!DC20&gt;預測IC!DC$25,1,0)</f>
        <v>1</v>
      </c>
      <c r="DD20" s="11">
        <f>IF(預測IC!DD20&gt;預測IC!DD$25,1,0)</f>
        <v>0</v>
      </c>
      <c r="DE20" s="11">
        <f>IF(預測IC!DE20&gt;預測IC!DE$25,1,0)</f>
        <v>0</v>
      </c>
      <c r="DF20" s="11">
        <f>IF(預測IC!DF20&gt;預測IC!DF$25,1,0)</f>
        <v>1</v>
      </c>
      <c r="DG20" s="11">
        <f>IF(預測IC!DG20&gt;預測IC!DG$25,1,0)</f>
        <v>0</v>
      </c>
      <c r="DH20" s="11">
        <f>IF(預測IC!DH20&gt;預測IC!DH$25,1,0)</f>
        <v>0</v>
      </c>
      <c r="DI20" s="11">
        <f>IF(預測IC!DI20&gt;預測IC!DI$25,1,0)</f>
        <v>0</v>
      </c>
      <c r="DJ20" s="11">
        <f>IF(預測IC!DJ20&gt;預測IC!DJ$25,1,0)</f>
        <v>0</v>
      </c>
      <c r="DK20" s="11">
        <f>IF(預測IC!DK20&gt;預測IC!DK$25,1,0)</f>
        <v>0</v>
      </c>
      <c r="DL20" s="11">
        <f>IF(預測IC!DL20&gt;預測IC!DL$25,1,0)</f>
        <v>0</v>
      </c>
      <c r="DM20" s="11">
        <f>IF(預測IC!DM20&gt;預測IC!DM$25,1,0)</f>
        <v>1</v>
      </c>
      <c r="DN20" s="11">
        <f>IF(預測IC!DN20&gt;預測IC!DN$25,1,0)</f>
        <v>0</v>
      </c>
      <c r="DO20" s="11">
        <f>IF(預測IC!DO20&gt;預測IC!DO$25,1,0)</f>
        <v>1</v>
      </c>
      <c r="DP20" s="11">
        <f>IF(預測IC!DP20&gt;預測IC!DP$25,1,0)</f>
        <v>1</v>
      </c>
      <c r="DQ20" s="11">
        <f>IF(預測IC!DQ20&gt;預測IC!DQ$25,1,0)</f>
        <v>0</v>
      </c>
      <c r="DR20" s="11">
        <f>IF(預測IC!DR20&gt;預測IC!DR$25,1,0)</f>
        <v>0</v>
      </c>
      <c r="DS20" s="11">
        <f>IF(預測IC!DS20&gt;預測IC!DS$25,1,0)</f>
        <v>0</v>
      </c>
      <c r="DT20" s="11">
        <f>IF(預測IC!DT20&gt;預測IC!DT$25,1,0)</f>
        <v>0</v>
      </c>
      <c r="DU20" s="11">
        <f>IF(預測IC!DU20&gt;預測IC!DU$25,1,0)</f>
        <v>0</v>
      </c>
      <c r="DV20" s="11">
        <f>IF(預測IC!DV20&gt;預測IC!DV$25,1,0)</f>
        <v>0</v>
      </c>
      <c r="DW20" s="11">
        <f>IF(預測IC!DW20&gt;預測IC!DW$25,1,0)</f>
        <v>0</v>
      </c>
      <c r="DX20" s="11">
        <f>IF(預測IC!DX20&gt;預測IC!DX$25,1,0)</f>
        <v>0</v>
      </c>
      <c r="DY20" s="11">
        <f>IF(預測IC!DY20&gt;預測IC!DY$25,1,0)</f>
        <v>1</v>
      </c>
      <c r="DZ20" s="11">
        <f>IF(預測IC!DZ20&gt;預測IC!DZ$25,1,0)</f>
        <v>1</v>
      </c>
      <c r="EA20" s="11">
        <f>IF(預測IC!EA20&gt;預測IC!EA$25,1,0)</f>
        <v>1</v>
      </c>
      <c r="EB20" s="11">
        <f>IF(預測IC!EB20&gt;預測IC!EB$25,1,0)</f>
        <v>0</v>
      </c>
      <c r="EC20" s="11">
        <f>IF(預測IC!EC20&gt;預測IC!EC$25,1,0)</f>
        <v>1</v>
      </c>
      <c r="ED20" s="11">
        <f>IF(預測IC!ED20&gt;預測IC!ED$25,1,0)</f>
        <v>0</v>
      </c>
      <c r="EE20" s="11">
        <f>IF(預測IC!EE20&gt;預測IC!EE$25,1,0)</f>
        <v>0</v>
      </c>
      <c r="EF20" s="11">
        <f>IF(預測IC!EF20&gt;預測IC!EF$25,1,0)</f>
        <v>1</v>
      </c>
      <c r="EG20" s="1">
        <f t="shared" si="10"/>
        <v>67</v>
      </c>
      <c r="EH20" s="58">
        <f t="shared" si="11"/>
        <v>0.5</v>
      </c>
    </row>
    <row r="21" spans="1:138" ht="16">
      <c r="A21" s="6">
        <v>241</v>
      </c>
      <c r="B21" s="6">
        <v>4</v>
      </c>
      <c r="C21" s="11">
        <f>IF(預測IC!C21&gt;預測IC!C$25,1,0)</f>
        <v>0</v>
      </c>
      <c r="D21" s="11">
        <f>IF(預測IC!D21&gt;預測IC!D$25,1,0)</f>
        <v>0</v>
      </c>
      <c r="E21" s="11">
        <f>IF(預測IC!E21&gt;預測IC!E$25,1,0)</f>
        <v>0</v>
      </c>
      <c r="F21" s="11">
        <f>IF(預測IC!F21&gt;預測IC!F$25,1,0)</f>
        <v>0</v>
      </c>
      <c r="G21" s="11">
        <f>IF(預測IC!G21&gt;預測IC!G$25,1,0)</f>
        <v>0</v>
      </c>
      <c r="H21" s="11">
        <f>IF(預測IC!H21&gt;預測IC!H$25,1,0)</f>
        <v>1</v>
      </c>
      <c r="I21" s="11">
        <f>IF(預測IC!I21&gt;預測IC!I$25,1,0)</f>
        <v>1</v>
      </c>
      <c r="J21" s="11">
        <f>IF(預測IC!J21&gt;預測IC!J$25,1,0)</f>
        <v>0</v>
      </c>
      <c r="K21" s="11">
        <f>IF(預測IC!K21&gt;預測IC!K$25,1,0)</f>
        <v>1</v>
      </c>
      <c r="L21" s="11">
        <f>IF(預測IC!L21&gt;預測IC!L$25,1,0)</f>
        <v>1</v>
      </c>
      <c r="M21" s="11">
        <f>IF(預測IC!M21&gt;預測IC!M$25,1,0)</f>
        <v>0</v>
      </c>
      <c r="N21" s="11">
        <f>IF(預測IC!N21&gt;預測IC!N$25,1,0)</f>
        <v>1</v>
      </c>
      <c r="O21" s="11">
        <f>IF(預測IC!O21&gt;預測IC!O$25,1,0)</f>
        <v>1</v>
      </c>
      <c r="P21" s="11">
        <f>IF(預測IC!P21&gt;預測IC!P$25,1,0)</f>
        <v>1</v>
      </c>
      <c r="Q21" s="11">
        <f>IF(預測IC!Q21&gt;預測IC!Q$25,1,0)</f>
        <v>0</v>
      </c>
      <c r="R21" s="11">
        <f>IF(預測IC!R21&gt;預測IC!R$25,1,0)</f>
        <v>1</v>
      </c>
      <c r="S21" s="11">
        <f>IF(預測IC!S21&gt;預測IC!S$25,1,0)</f>
        <v>0</v>
      </c>
      <c r="T21" s="11">
        <f>IF(預測IC!T21&gt;預測IC!T$25,1,0)</f>
        <v>0</v>
      </c>
      <c r="U21" s="11">
        <f>IF(預測IC!U21&gt;預測IC!U$25,1,0)</f>
        <v>1</v>
      </c>
      <c r="V21" s="11">
        <f>IF(預測IC!V21&gt;預測IC!V$25,1,0)</f>
        <v>0</v>
      </c>
      <c r="W21" s="11">
        <f>IF(預測IC!W21&gt;預測IC!W$25,1,0)</f>
        <v>1</v>
      </c>
      <c r="X21" s="11">
        <f>IF(預測IC!X21&gt;預測IC!X$25,1,0)</f>
        <v>0</v>
      </c>
      <c r="Y21" s="11">
        <f>IF(預測IC!Y21&gt;預測IC!Y$25,1,0)</f>
        <v>1</v>
      </c>
      <c r="Z21" s="11">
        <f>IF(預測IC!Z21&gt;預測IC!Z$25,1,0)</f>
        <v>1</v>
      </c>
      <c r="AA21" s="11">
        <f>IF(預測IC!AA21&gt;預測IC!AA$25,1,0)</f>
        <v>1</v>
      </c>
      <c r="AB21" s="11">
        <f>IF(預測IC!AB21&gt;預測IC!AB$25,1,0)</f>
        <v>0</v>
      </c>
      <c r="AC21" s="11">
        <f>IF(預測IC!AC21&gt;預測IC!AC$25,1,0)</f>
        <v>0</v>
      </c>
      <c r="AD21" s="11">
        <f>IF(預測IC!AD21&gt;預測IC!AD$25,1,0)</f>
        <v>1</v>
      </c>
      <c r="AE21" s="11">
        <f>IF(預測IC!AE21&gt;預測IC!AE$25,1,0)</f>
        <v>0</v>
      </c>
      <c r="AF21" s="11">
        <f>IF(預測IC!AF21&gt;預測IC!AF$25,1,0)</f>
        <v>1</v>
      </c>
      <c r="AG21" s="11">
        <f>IF(預測IC!AG21&gt;預測IC!AG$25,1,0)</f>
        <v>0</v>
      </c>
      <c r="AH21" s="11">
        <f>IF(預測IC!AH21&gt;預測IC!AH$25,1,0)</f>
        <v>0</v>
      </c>
      <c r="AI21" s="11">
        <f>IF(預測IC!AI21&gt;預測IC!AI$25,1,0)</f>
        <v>1</v>
      </c>
      <c r="AJ21" s="11">
        <f>IF(預測IC!AJ21&gt;預測IC!AJ$25,1,0)</f>
        <v>0</v>
      </c>
      <c r="AK21" s="11">
        <f>IF(預測IC!AK21&gt;預測IC!AK$25,1,0)</f>
        <v>0</v>
      </c>
      <c r="AL21" s="11">
        <f>IF(預測IC!AL21&gt;預測IC!AL$25,1,0)</f>
        <v>1</v>
      </c>
      <c r="AM21" s="11">
        <f>IF(預測IC!AM21&gt;預測IC!AM$25,1,0)</f>
        <v>1</v>
      </c>
      <c r="AN21" s="11">
        <f>IF(預測IC!AN21&gt;預測IC!AN$25,1,0)</f>
        <v>0</v>
      </c>
      <c r="AO21" s="11">
        <f>IF(預測IC!AO21&gt;預測IC!AO$25,1,0)</f>
        <v>1</v>
      </c>
      <c r="AP21" s="11">
        <f>IF(預測IC!AP21&gt;預測IC!AP$25,1,0)</f>
        <v>1</v>
      </c>
      <c r="AQ21" s="11">
        <f>IF(預測IC!AQ21&gt;預測IC!AQ$25,1,0)</f>
        <v>0</v>
      </c>
      <c r="AR21" s="11">
        <f>IF(預測IC!AR21&gt;預測IC!AR$25,1,0)</f>
        <v>0</v>
      </c>
      <c r="AS21" s="11">
        <f>IF(預測IC!AS21&gt;預測IC!AS$25,1,0)</f>
        <v>1</v>
      </c>
      <c r="AT21" s="11">
        <f>IF(預測IC!AT21&gt;預測IC!AT$25,1,0)</f>
        <v>0</v>
      </c>
      <c r="AU21" s="11">
        <f>IF(預測IC!AU21&gt;預測IC!AU$25,1,0)</f>
        <v>1</v>
      </c>
      <c r="AV21" s="11">
        <f>IF(預測IC!AV21&gt;預測IC!AV$25,1,0)</f>
        <v>1</v>
      </c>
      <c r="AW21" s="11">
        <f>IF(預測IC!AW21&gt;預測IC!AW$25,1,0)</f>
        <v>1</v>
      </c>
      <c r="AX21" s="11">
        <f>IF(預測IC!AX21&gt;預測IC!AX$25,1,0)</f>
        <v>1</v>
      </c>
      <c r="AY21" s="11">
        <f>IF(預測IC!AY21&gt;預測IC!AY$25,1,0)</f>
        <v>0</v>
      </c>
      <c r="AZ21" s="11">
        <f>IF(預測IC!AZ21&gt;預測IC!AZ$25,1,0)</f>
        <v>1</v>
      </c>
      <c r="BA21" s="11">
        <f>IF(預測IC!BA21&gt;預測IC!BA$25,1,0)</f>
        <v>1</v>
      </c>
      <c r="BB21" s="11">
        <f>IF(預測IC!BB21&gt;預測IC!BB$25,1,0)</f>
        <v>1</v>
      </c>
      <c r="BC21" s="11">
        <f>IF(預測IC!BC21&gt;預測IC!BC$25,1,0)</f>
        <v>1</v>
      </c>
      <c r="BD21" s="11">
        <f>IF(預測IC!BD21&gt;預測IC!BD$25,1,0)</f>
        <v>0</v>
      </c>
      <c r="BE21" s="11">
        <f>IF(預測IC!BE21&gt;預測IC!BE$25,1,0)</f>
        <v>0</v>
      </c>
      <c r="BF21" s="11">
        <f>IF(預測IC!BF21&gt;預測IC!BF$25,1,0)</f>
        <v>0</v>
      </c>
      <c r="BG21" s="11">
        <f>IF(預測IC!BG21&gt;預測IC!BG$25,1,0)</f>
        <v>0</v>
      </c>
      <c r="BH21" s="11">
        <f>IF(預測IC!BH21&gt;預測IC!BH$25,1,0)</f>
        <v>1</v>
      </c>
      <c r="BI21" s="11">
        <f>IF(預測IC!BI21&gt;預測IC!BI$25,1,0)</f>
        <v>1</v>
      </c>
      <c r="BJ21" s="11">
        <f>IF(預測IC!BJ21&gt;預測IC!BJ$25,1,0)</f>
        <v>0</v>
      </c>
      <c r="BK21" s="11">
        <f>IF(預測IC!BK21&gt;預測IC!BK$25,1,0)</f>
        <v>1</v>
      </c>
      <c r="BL21" s="11">
        <f>IF(預測IC!BL21&gt;預測IC!BL$25,1,0)</f>
        <v>0</v>
      </c>
      <c r="BM21" s="11">
        <f>IF(預測IC!BM21&gt;預測IC!BM$25,1,0)</f>
        <v>0</v>
      </c>
      <c r="BN21" s="11">
        <f>IF(預測IC!BN21&gt;預測IC!BN$25,1,0)</f>
        <v>0</v>
      </c>
      <c r="BO21" s="11">
        <f>IF(預測IC!BO21&gt;預測IC!BO$25,1,0)</f>
        <v>1</v>
      </c>
      <c r="BP21" s="11">
        <f>IF(預測IC!BP21&gt;預測IC!BP$25,1,0)</f>
        <v>0</v>
      </c>
      <c r="BQ21" s="11">
        <f>IF(預測IC!BQ21&gt;預測IC!BQ$25,1,0)</f>
        <v>0</v>
      </c>
      <c r="BR21" s="11">
        <f>IF(預測IC!BR21&gt;預測IC!BR$25,1,0)</f>
        <v>1</v>
      </c>
      <c r="BS21" s="11">
        <f>IF(預測IC!BS21&gt;預測IC!BS$25,1,0)</f>
        <v>1</v>
      </c>
      <c r="BT21" s="11">
        <f>IF(預測IC!BT21&gt;預測IC!BT$25,1,0)</f>
        <v>1</v>
      </c>
      <c r="BU21" s="11">
        <f>IF(預測IC!BU21&gt;預測IC!BU$25,1,0)</f>
        <v>0</v>
      </c>
      <c r="BV21" s="11">
        <f>IF(預測IC!BV21&gt;預測IC!BV$25,1,0)</f>
        <v>0</v>
      </c>
      <c r="BW21" s="11">
        <f>IF(預測IC!BW21&gt;預測IC!BW$25,1,0)</f>
        <v>1</v>
      </c>
      <c r="BX21" s="11">
        <f>IF(預測IC!BX21&gt;預測IC!BX$25,1,0)</f>
        <v>0</v>
      </c>
      <c r="BY21" s="11">
        <f>IF(預測IC!BY21&gt;預測IC!BY$25,1,0)</f>
        <v>1</v>
      </c>
      <c r="BZ21" s="11">
        <f>IF(預測IC!BZ21&gt;預測IC!BZ$25,1,0)</f>
        <v>1</v>
      </c>
      <c r="CA21" s="11">
        <f>IF(預測IC!CA21&gt;預測IC!CA$25,1,0)</f>
        <v>1</v>
      </c>
      <c r="CB21" s="11">
        <f>IF(預測IC!CB21&gt;預測IC!CB$25,1,0)</f>
        <v>1</v>
      </c>
      <c r="CC21" s="11">
        <f>IF(預測IC!CC21&gt;預測IC!CC$25,1,0)</f>
        <v>0</v>
      </c>
      <c r="CD21" s="11">
        <f>IF(預測IC!CD21&gt;預測IC!CD$25,1,0)</f>
        <v>1</v>
      </c>
      <c r="CE21" s="11">
        <f>IF(預測IC!CE21&gt;預測IC!CE$25,1,0)</f>
        <v>1</v>
      </c>
      <c r="CF21" s="11">
        <f>IF(預測IC!CF21&gt;預測IC!CF$25,1,0)</f>
        <v>0</v>
      </c>
      <c r="CG21" s="11">
        <f>IF(預測IC!CG21&gt;預測IC!CG$25,1,0)</f>
        <v>1</v>
      </c>
      <c r="CH21" s="11">
        <f>IF(預測IC!CH21&gt;預測IC!CH$25,1,0)</f>
        <v>0</v>
      </c>
      <c r="CI21" s="11">
        <f>IF(預測IC!CI21&gt;預測IC!CI$25,1,0)</f>
        <v>0</v>
      </c>
      <c r="CJ21" s="11">
        <f>IF(預測IC!CJ21&gt;預測IC!CJ$25,1,0)</f>
        <v>0</v>
      </c>
      <c r="CK21" s="11">
        <f>IF(預測IC!CK21&gt;預測IC!CK$25,1,0)</f>
        <v>0</v>
      </c>
      <c r="CL21" s="11">
        <f>IF(預測IC!CL21&gt;預測IC!CL$25,1,0)</f>
        <v>1</v>
      </c>
      <c r="CM21" s="11">
        <f>IF(預測IC!CM21&gt;預測IC!CM$25,1,0)</f>
        <v>0</v>
      </c>
      <c r="CN21" s="11">
        <f>IF(預測IC!CN21&gt;預測IC!CN$25,1,0)</f>
        <v>0</v>
      </c>
      <c r="CO21" s="11">
        <f>IF(預測IC!CO21&gt;預測IC!CO$25,1,0)</f>
        <v>1</v>
      </c>
      <c r="CP21" s="11">
        <f>IF(預測IC!CP21&gt;預測IC!CP$25,1,0)</f>
        <v>0</v>
      </c>
      <c r="CQ21" s="11">
        <f>IF(預測IC!CQ21&gt;預測IC!CQ$25,1,0)</f>
        <v>0</v>
      </c>
      <c r="CR21" s="11">
        <f>IF(預測IC!CR21&gt;預測IC!CR$25,1,0)</f>
        <v>1</v>
      </c>
      <c r="CS21" s="11">
        <f>IF(預測IC!CS21&gt;預測IC!CS$25,1,0)</f>
        <v>1</v>
      </c>
      <c r="CT21" s="11">
        <f>IF(預測IC!CT21&gt;預測IC!CT$25,1,0)</f>
        <v>0</v>
      </c>
      <c r="CU21" s="11">
        <f>IF(預測IC!CU21&gt;預測IC!CU$25,1,0)</f>
        <v>1</v>
      </c>
      <c r="CV21" s="11">
        <f>IF(預測IC!CV21&gt;預測IC!CV$25,1,0)</f>
        <v>1</v>
      </c>
      <c r="CW21" s="11">
        <f>IF(預測IC!CW21&gt;預測IC!CW$25,1,0)</f>
        <v>0</v>
      </c>
      <c r="CX21" s="11">
        <f>IF(預測IC!CX21&gt;預測IC!CX$25,1,0)</f>
        <v>1</v>
      </c>
      <c r="CY21" s="11">
        <f>IF(預測IC!CY21&gt;預測IC!CY$25,1,0)</f>
        <v>1</v>
      </c>
      <c r="CZ21" s="11">
        <f>IF(預測IC!CZ21&gt;預測IC!CZ$25,1,0)</f>
        <v>1</v>
      </c>
      <c r="DA21" s="11">
        <f>IF(預測IC!DA21&gt;預測IC!DA$25,1,0)</f>
        <v>1</v>
      </c>
      <c r="DB21" s="11">
        <f>IF(預測IC!DB21&gt;預測IC!DB$25,1,0)</f>
        <v>1</v>
      </c>
      <c r="DC21" s="11">
        <f>IF(預測IC!DC21&gt;預測IC!DC$25,1,0)</f>
        <v>1</v>
      </c>
      <c r="DD21" s="11">
        <f>IF(預測IC!DD21&gt;預測IC!DD$25,1,0)</f>
        <v>0</v>
      </c>
      <c r="DE21" s="11">
        <f>IF(預測IC!DE21&gt;預測IC!DE$25,1,0)</f>
        <v>0</v>
      </c>
      <c r="DF21" s="11">
        <f>IF(預測IC!DF21&gt;預測IC!DF$25,1,0)</f>
        <v>1</v>
      </c>
      <c r="DG21" s="11">
        <f>IF(預測IC!DG21&gt;預測IC!DG$25,1,0)</f>
        <v>0</v>
      </c>
      <c r="DH21" s="11">
        <f>IF(預測IC!DH21&gt;預測IC!DH$25,1,0)</f>
        <v>0</v>
      </c>
      <c r="DI21" s="11">
        <f>IF(預測IC!DI21&gt;預測IC!DI$25,1,0)</f>
        <v>1</v>
      </c>
      <c r="DJ21" s="11">
        <f>IF(預測IC!DJ21&gt;預測IC!DJ$25,1,0)</f>
        <v>0</v>
      </c>
      <c r="DK21" s="11">
        <f>IF(預測IC!DK21&gt;預測IC!DK$25,1,0)</f>
        <v>0</v>
      </c>
      <c r="DL21" s="11">
        <f>IF(預測IC!DL21&gt;預測IC!DL$25,1,0)</f>
        <v>1</v>
      </c>
      <c r="DM21" s="11">
        <f>IF(預測IC!DM21&gt;預測IC!DM$25,1,0)</f>
        <v>1</v>
      </c>
      <c r="DN21" s="11">
        <f>IF(預測IC!DN21&gt;預測IC!DN$25,1,0)</f>
        <v>0</v>
      </c>
      <c r="DO21" s="11">
        <f>IF(預測IC!DO21&gt;預測IC!DO$25,1,0)</f>
        <v>1</v>
      </c>
      <c r="DP21" s="11">
        <f>IF(預測IC!DP21&gt;預測IC!DP$25,1,0)</f>
        <v>0</v>
      </c>
      <c r="DQ21" s="11">
        <f>IF(預測IC!DQ21&gt;預測IC!DQ$25,1,0)</f>
        <v>0</v>
      </c>
      <c r="DR21" s="11">
        <f>IF(預測IC!DR21&gt;預測IC!DR$25,1,0)</f>
        <v>0</v>
      </c>
      <c r="DS21" s="11">
        <f>IF(預測IC!DS21&gt;預測IC!DS$25,1,0)</f>
        <v>1</v>
      </c>
      <c r="DT21" s="11">
        <f>IF(預測IC!DT21&gt;預測IC!DT$25,1,0)</f>
        <v>0</v>
      </c>
      <c r="DU21" s="11">
        <f>IF(預測IC!DU21&gt;預測IC!DU$25,1,0)</f>
        <v>0</v>
      </c>
      <c r="DV21" s="11">
        <f>IF(預測IC!DV21&gt;預測IC!DV$25,1,0)</f>
        <v>0</v>
      </c>
      <c r="DW21" s="11">
        <f>IF(預測IC!DW21&gt;預測IC!DW$25,1,0)</f>
        <v>0</v>
      </c>
      <c r="DX21" s="11">
        <f>IF(預測IC!DX21&gt;預測IC!DX$25,1,0)</f>
        <v>0</v>
      </c>
      <c r="DY21" s="11">
        <f>IF(預測IC!DY21&gt;預測IC!DY$25,1,0)</f>
        <v>1</v>
      </c>
      <c r="DZ21" s="11">
        <f>IF(預測IC!DZ21&gt;預測IC!DZ$25,1,0)</f>
        <v>1</v>
      </c>
      <c r="EA21" s="11">
        <f>IF(預測IC!EA21&gt;預測IC!EA$25,1,0)</f>
        <v>1</v>
      </c>
      <c r="EB21" s="11">
        <f>IF(預測IC!EB21&gt;預測IC!EB$25,1,0)</f>
        <v>0</v>
      </c>
      <c r="EC21" s="11">
        <f>IF(預測IC!EC21&gt;預測IC!EC$25,1,0)</f>
        <v>1</v>
      </c>
      <c r="ED21" s="11">
        <f>IF(預測IC!ED21&gt;預測IC!ED$25,1,0)</f>
        <v>0</v>
      </c>
      <c r="EE21" s="11">
        <f>IF(預測IC!EE21&gt;預測IC!EE$25,1,0)</f>
        <v>0</v>
      </c>
      <c r="EF21" s="11">
        <f>IF(預測IC!EF21&gt;預測IC!EF$25,1,0)</f>
        <v>1</v>
      </c>
      <c r="EG21" s="1">
        <f t="shared" si="10"/>
        <v>67</v>
      </c>
      <c r="EH21" s="58">
        <f t="shared" si="11"/>
        <v>0.5</v>
      </c>
    </row>
    <row r="22" spans="1:138" ht="16">
      <c r="A22" s="6">
        <v>321</v>
      </c>
      <c r="B22" s="6">
        <v>3</v>
      </c>
      <c r="C22" s="11">
        <f>IF(預測IC!C22&gt;預測IC!C$25,1,0)</f>
        <v>1</v>
      </c>
      <c r="D22" s="11">
        <f>IF(預測IC!D22&gt;預測IC!D$25,1,0)</f>
        <v>0</v>
      </c>
      <c r="E22" s="11">
        <f>IF(預測IC!E22&gt;預測IC!E$25,1,0)</f>
        <v>0</v>
      </c>
      <c r="F22" s="11">
        <f>IF(預測IC!F22&gt;預測IC!F$25,1,0)</f>
        <v>0</v>
      </c>
      <c r="G22" s="11">
        <f>IF(預測IC!G22&gt;預測IC!G$25,1,0)</f>
        <v>0</v>
      </c>
      <c r="H22" s="11">
        <f>IF(預測IC!H22&gt;預測IC!H$25,1,0)</f>
        <v>1</v>
      </c>
      <c r="I22" s="11">
        <f>IF(預測IC!I22&gt;預測IC!I$25,1,0)</f>
        <v>1</v>
      </c>
      <c r="J22" s="11">
        <f>IF(預測IC!J22&gt;預測IC!J$25,1,0)</f>
        <v>0</v>
      </c>
      <c r="K22" s="11">
        <f>IF(預測IC!K22&gt;預測IC!K$25,1,0)</f>
        <v>1</v>
      </c>
      <c r="L22" s="11">
        <f>IF(預測IC!L22&gt;預測IC!L$25,1,0)</f>
        <v>1</v>
      </c>
      <c r="M22" s="11">
        <f>IF(預測IC!M22&gt;預測IC!M$25,1,0)</f>
        <v>0</v>
      </c>
      <c r="N22" s="11">
        <f>IF(預測IC!N22&gt;預測IC!N$25,1,0)</f>
        <v>1</v>
      </c>
      <c r="O22" s="11">
        <f>IF(預測IC!O22&gt;預測IC!O$25,1,0)</f>
        <v>1</v>
      </c>
      <c r="P22" s="11">
        <f>IF(預測IC!P22&gt;預測IC!P$25,1,0)</f>
        <v>1</v>
      </c>
      <c r="Q22" s="11">
        <f>IF(預測IC!Q22&gt;預測IC!Q$25,1,0)</f>
        <v>0</v>
      </c>
      <c r="R22" s="11">
        <f>IF(預測IC!R22&gt;預測IC!R$25,1,0)</f>
        <v>1</v>
      </c>
      <c r="S22" s="11">
        <f>IF(預測IC!S22&gt;預測IC!S$25,1,0)</f>
        <v>0</v>
      </c>
      <c r="T22" s="11">
        <f>IF(預測IC!T22&gt;預測IC!T$25,1,0)</f>
        <v>0</v>
      </c>
      <c r="U22" s="11">
        <f>IF(預測IC!U22&gt;預測IC!U$25,1,0)</f>
        <v>1</v>
      </c>
      <c r="V22" s="11">
        <f>IF(預測IC!V22&gt;預測IC!V$25,1,0)</f>
        <v>0</v>
      </c>
      <c r="W22" s="11">
        <f>IF(預測IC!W22&gt;預測IC!W$25,1,0)</f>
        <v>1</v>
      </c>
      <c r="X22" s="11">
        <f>IF(預測IC!X22&gt;預測IC!X$25,1,0)</f>
        <v>0</v>
      </c>
      <c r="Y22" s="11">
        <f>IF(預測IC!Y22&gt;預測IC!Y$25,1,0)</f>
        <v>0</v>
      </c>
      <c r="Z22" s="11">
        <f>IF(預測IC!Z22&gt;預測IC!Z$25,1,0)</f>
        <v>1</v>
      </c>
      <c r="AA22" s="11">
        <f>IF(預測IC!AA22&gt;預測IC!AA$25,1,0)</f>
        <v>1</v>
      </c>
      <c r="AB22" s="11">
        <f>IF(預測IC!AB22&gt;預測IC!AB$25,1,0)</f>
        <v>0</v>
      </c>
      <c r="AC22" s="11">
        <f>IF(預測IC!AC22&gt;預測IC!AC$25,1,0)</f>
        <v>0</v>
      </c>
      <c r="AD22" s="11">
        <f>IF(預測IC!AD22&gt;預測IC!AD$25,1,0)</f>
        <v>1</v>
      </c>
      <c r="AE22" s="11">
        <f>IF(預測IC!AE22&gt;預測IC!AE$25,1,0)</f>
        <v>0</v>
      </c>
      <c r="AF22" s="11">
        <f>IF(預測IC!AF22&gt;預測IC!AF$25,1,0)</f>
        <v>1</v>
      </c>
      <c r="AG22" s="11">
        <f>IF(預測IC!AG22&gt;預測IC!AG$25,1,0)</f>
        <v>0</v>
      </c>
      <c r="AH22" s="11">
        <f>IF(預測IC!AH22&gt;預測IC!AH$25,1,0)</f>
        <v>0</v>
      </c>
      <c r="AI22" s="11">
        <f>IF(預測IC!AI22&gt;預測IC!AI$25,1,0)</f>
        <v>1</v>
      </c>
      <c r="AJ22" s="11">
        <f>IF(預測IC!AJ22&gt;預測IC!AJ$25,1,0)</f>
        <v>0</v>
      </c>
      <c r="AK22" s="11">
        <f>IF(預測IC!AK22&gt;預測IC!AK$25,1,0)</f>
        <v>1</v>
      </c>
      <c r="AL22" s="11">
        <f>IF(預測IC!AL22&gt;預測IC!AL$25,1,0)</f>
        <v>0</v>
      </c>
      <c r="AM22" s="11">
        <f>IF(預測IC!AM22&gt;預測IC!AM$25,1,0)</f>
        <v>1</v>
      </c>
      <c r="AN22" s="11">
        <f>IF(預測IC!AN22&gt;預測IC!AN$25,1,0)</f>
        <v>1</v>
      </c>
      <c r="AO22" s="11">
        <f>IF(預測IC!AO22&gt;預測IC!AO$25,1,0)</f>
        <v>1</v>
      </c>
      <c r="AP22" s="11">
        <f>IF(預測IC!AP22&gt;預測IC!AP$25,1,0)</f>
        <v>1</v>
      </c>
      <c r="AQ22" s="11">
        <f>IF(預測IC!AQ22&gt;預測IC!AQ$25,1,0)</f>
        <v>0</v>
      </c>
      <c r="AR22" s="11">
        <f>IF(預測IC!AR22&gt;預測IC!AR$25,1,0)</f>
        <v>0</v>
      </c>
      <c r="AS22" s="11">
        <f>IF(預測IC!AS22&gt;預測IC!AS$25,1,0)</f>
        <v>1</v>
      </c>
      <c r="AT22" s="11">
        <f>IF(預測IC!AT22&gt;預測IC!AT$25,1,0)</f>
        <v>0</v>
      </c>
      <c r="AU22" s="11">
        <f>IF(預測IC!AU22&gt;預測IC!AU$25,1,0)</f>
        <v>1</v>
      </c>
      <c r="AV22" s="11">
        <f>IF(預測IC!AV22&gt;預測IC!AV$25,1,0)</f>
        <v>1</v>
      </c>
      <c r="AW22" s="11">
        <f>IF(預測IC!AW22&gt;預測IC!AW$25,1,0)</f>
        <v>1</v>
      </c>
      <c r="AX22" s="11">
        <f>IF(預測IC!AX22&gt;預測IC!AX$25,1,0)</f>
        <v>0</v>
      </c>
      <c r="AY22" s="11">
        <f>IF(預測IC!AY22&gt;預測IC!AY$25,1,0)</f>
        <v>0</v>
      </c>
      <c r="AZ22" s="11">
        <f>IF(預測IC!AZ22&gt;預測IC!AZ$25,1,0)</f>
        <v>1</v>
      </c>
      <c r="BA22" s="11">
        <f>IF(預測IC!BA22&gt;預測IC!BA$25,1,0)</f>
        <v>1</v>
      </c>
      <c r="BB22" s="11">
        <f>IF(預測IC!BB22&gt;預測IC!BB$25,1,0)</f>
        <v>1</v>
      </c>
      <c r="BC22" s="11">
        <f>IF(預測IC!BC22&gt;預測IC!BC$25,1,0)</f>
        <v>0</v>
      </c>
      <c r="BD22" s="11">
        <f>IF(預測IC!BD22&gt;預測IC!BD$25,1,0)</f>
        <v>0</v>
      </c>
      <c r="BE22" s="11">
        <f>IF(預測IC!BE22&gt;預測IC!BE$25,1,0)</f>
        <v>0</v>
      </c>
      <c r="BF22" s="11">
        <f>IF(預測IC!BF22&gt;預測IC!BF$25,1,0)</f>
        <v>0</v>
      </c>
      <c r="BG22" s="11">
        <f>IF(預測IC!BG22&gt;預測IC!BG$25,1,0)</f>
        <v>0</v>
      </c>
      <c r="BH22" s="11">
        <f>IF(預測IC!BH22&gt;預測IC!BH$25,1,0)</f>
        <v>1</v>
      </c>
      <c r="BI22" s="11">
        <f>IF(預測IC!BI22&gt;預測IC!BI$25,1,0)</f>
        <v>1</v>
      </c>
      <c r="BJ22" s="11">
        <f>IF(預測IC!BJ22&gt;預測IC!BJ$25,1,0)</f>
        <v>0</v>
      </c>
      <c r="BK22" s="11">
        <f>IF(預測IC!BK22&gt;預測IC!BK$25,1,0)</f>
        <v>1</v>
      </c>
      <c r="BL22" s="11">
        <f>IF(預測IC!BL22&gt;預測IC!BL$25,1,0)</f>
        <v>0</v>
      </c>
      <c r="BM22" s="11">
        <f>IF(預測IC!BM22&gt;預測IC!BM$25,1,0)</f>
        <v>0</v>
      </c>
      <c r="BN22" s="11">
        <f>IF(預測IC!BN22&gt;預測IC!BN$25,1,0)</f>
        <v>1</v>
      </c>
      <c r="BO22" s="11">
        <f>IF(預測IC!BO22&gt;預測IC!BO$25,1,0)</f>
        <v>1</v>
      </c>
      <c r="BP22" s="11">
        <f>IF(預測IC!BP22&gt;預測IC!BP$25,1,0)</f>
        <v>0</v>
      </c>
      <c r="BQ22" s="11">
        <f>IF(預測IC!BQ22&gt;預測IC!BQ$25,1,0)</f>
        <v>0</v>
      </c>
      <c r="BR22" s="11">
        <f>IF(預測IC!BR22&gt;預測IC!BR$25,1,0)</f>
        <v>1</v>
      </c>
      <c r="BS22" s="11">
        <f>IF(預測IC!BS22&gt;預測IC!BS$25,1,0)</f>
        <v>1</v>
      </c>
      <c r="BT22" s="11">
        <f>IF(預測IC!BT22&gt;預測IC!BT$25,1,0)</f>
        <v>0</v>
      </c>
      <c r="BU22" s="11">
        <f>IF(預測IC!BU22&gt;預測IC!BU$25,1,0)</f>
        <v>0</v>
      </c>
      <c r="BV22" s="11">
        <f>IF(預測IC!BV22&gt;預測IC!BV$25,1,0)</f>
        <v>0</v>
      </c>
      <c r="BW22" s="11">
        <f>IF(預測IC!BW22&gt;預測IC!BW$25,1,0)</f>
        <v>1</v>
      </c>
      <c r="BX22" s="11">
        <f>IF(預測IC!BX22&gt;預測IC!BX$25,1,0)</f>
        <v>0</v>
      </c>
      <c r="BY22" s="11">
        <f>IF(預測IC!BY22&gt;預測IC!BY$25,1,0)</f>
        <v>1</v>
      </c>
      <c r="BZ22" s="11">
        <f>IF(預測IC!BZ22&gt;預測IC!BZ$25,1,0)</f>
        <v>1</v>
      </c>
      <c r="CA22" s="11">
        <f>IF(預測IC!CA22&gt;預測IC!CA$25,1,0)</f>
        <v>1</v>
      </c>
      <c r="CB22" s="11">
        <f>IF(預測IC!CB22&gt;預測IC!CB$25,1,0)</f>
        <v>1</v>
      </c>
      <c r="CC22" s="11">
        <f>IF(預測IC!CC22&gt;預測IC!CC$25,1,0)</f>
        <v>0</v>
      </c>
      <c r="CD22" s="11">
        <f>IF(預測IC!CD22&gt;預測IC!CD$25,1,0)</f>
        <v>1</v>
      </c>
      <c r="CE22" s="11">
        <f>IF(預測IC!CE22&gt;預測IC!CE$25,1,0)</f>
        <v>1</v>
      </c>
      <c r="CF22" s="11">
        <f>IF(預測IC!CF22&gt;預測IC!CF$25,1,0)</f>
        <v>0</v>
      </c>
      <c r="CG22" s="11">
        <f>IF(預測IC!CG22&gt;預測IC!CG$25,1,0)</f>
        <v>1</v>
      </c>
      <c r="CH22" s="11">
        <f>IF(預測IC!CH22&gt;預測IC!CH$25,1,0)</f>
        <v>0</v>
      </c>
      <c r="CI22" s="11">
        <f>IF(預測IC!CI22&gt;預測IC!CI$25,1,0)</f>
        <v>0</v>
      </c>
      <c r="CJ22" s="11">
        <f>IF(預測IC!CJ22&gt;預測IC!CJ$25,1,0)</f>
        <v>0</v>
      </c>
      <c r="CK22" s="11">
        <f>IF(預測IC!CK22&gt;預測IC!CK$25,1,0)</f>
        <v>0</v>
      </c>
      <c r="CL22" s="11">
        <f>IF(預測IC!CL22&gt;預測IC!CL$25,1,0)</f>
        <v>1</v>
      </c>
      <c r="CM22" s="11">
        <f>IF(預測IC!CM22&gt;預測IC!CM$25,1,0)</f>
        <v>0</v>
      </c>
      <c r="CN22" s="11">
        <f>IF(預測IC!CN22&gt;預測IC!CN$25,1,0)</f>
        <v>0</v>
      </c>
      <c r="CO22" s="11">
        <f>IF(預測IC!CO22&gt;預測IC!CO$25,1,0)</f>
        <v>1</v>
      </c>
      <c r="CP22" s="11">
        <f>IF(預測IC!CP22&gt;預測IC!CP$25,1,0)</f>
        <v>0</v>
      </c>
      <c r="CQ22" s="11">
        <f>IF(預測IC!CQ22&gt;預測IC!CQ$25,1,0)</f>
        <v>0</v>
      </c>
      <c r="CR22" s="11">
        <f>IF(預測IC!CR22&gt;預測IC!CR$25,1,0)</f>
        <v>0</v>
      </c>
      <c r="CS22" s="11">
        <f>IF(預測IC!CS22&gt;預測IC!CS$25,1,0)</f>
        <v>0</v>
      </c>
      <c r="CT22" s="11">
        <f>IF(預測IC!CT22&gt;預測IC!CT$25,1,0)</f>
        <v>0</v>
      </c>
      <c r="CU22" s="11">
        <f>IF(預測IC!CU22&gt;預測IC!CU$25,1,0)</f>
        <v>1</v>
      </c>
      <c r="CV22" s="11">
        <f>IF(預測IC!CV22&gt;預測IC!CV$25,1,0)</f>
        <v>1</v>
      </c>
      <c r="CW22" s="11">
        <f>IF(預測IC!CW22&gt;預測IC!CW$25,1,0)</f>
        <v>0</v>
      </c>
      <c r="CX22" s="11">
        <f>IF(預測IC!CX22&gt;預測IC!CX$25,1,0)</f>
        <v>1</v>
      </c>
      <c r="CY22" s="11">
        <f>IF(預測IC!CY22&gt;預測IC!CY$25,1,0)</f>
        <v>1</v>
      </c>
      <c r="CZ22" s="11">
        <f>IF(預測IC!CZ22&gt;預測IC!CZ$25,1,0)</f>
        <v>1</v>
      </c>
      <c r="DA22" s="11">
        <f>IF(預測IC!DA22&gt;預測IC!DA$25,1,0)</f>
        <v>1</v>
      </c>
      <c r="DB22" s="11">
        <f>IF(預測IC!DB22&gt;預測IC!DB$25,1,0)</f>
        <v>1</v>
      </c>
      <c r="DC22" s="11">
        <f>IF(預測IC!DC22&gt;預測IC!DC$25,1,0)</f>
        <v>1</v>
      </c>
      <c r="DD22" s="11">
        <f>IF(預測IC!DD22&gt;預測IC!DD$25,1,0)</f>
        <v>1</v>
      </c>
      <c r="DE22" s="11">
        <f>IF(預測IC!DE22&gt;預測IC!DE$25,1,0)</f>
        <v>0</v>
      </c>
      <c r="DF22" s="11">
        <f>IF(預測IC!DF22&gt;預測IC!DF$25,1,0)</f>
        <v>1</v>
      </c>
      <c r="DG22" s="11">
        <f>IF(預測IC!DG22&gt;預測IC!DG$25,1,0)</f>
        <v>0</v>
      </c>
      <c r="DH22" s="11">
        <f>IF(預測IC!DH22&gt;預測IC!DH$25,1,0)</f>
        <v>0</v>
      </c>
      <c r="DI22" s="11">
        <f>IF(預測IC!DI22&gt;預測IC!DI$25,1,0)</f>
        <v>1</v>
      </c>
      <c r="DJ22" s="11">
        <f>IF(預測IC!DJ22&gt;預測IC!DJ$25,1,0)</f>
        <v>0</v>
      </c>
      <c r="DK22" s="11">
        <f>IF(預測IC!DK22&gt;預測IC!DK$25,1,0)</f>
        <v>0</v>
      </c>
      <c r="DL22" s="11">
        <f>IF(預測IC!DL22&gt;預測IC!DL$25,1,0)</f>
        <v>1</v>
      </c>
      <c r="DM22" s="11">
        <f>IF(預測IC!DM22&gt;預測IC!DM$25,1,0)</f>
        <v>1</v>
      </c>
      <c r="DN22" s="11">
        <f>IF(預測IC!DN22&gt;預測IC!DN$25,1,0)</f>
        <v>0</v>
      </c>
      <c r="DO22" s="11">
        <f>IF(預測IC!DO22&gt;預測IC!DO$25,1,0)</f>
        <v>1</v>
      </c>
      <c r="DP22" s="11">
        <f>IF(預測IC!DP22&gt;預測IC!DP$25,1,0)</f>
        <v>0</v>
      </c>
      <c r="DQ22" s="11">
        <f>IF(預測IC!DQ22&gt;預測IC!DQ$25,1,0)</f>
        <v>0</v>
      </c>
      <c r="DR22" s="11">
        <f>IF(預測IC!DR22&gt;預測IC!DR$25,1,0)</f>
        <v>0</v>
      </c>
      <c r="DS22" s="11">
        <f>IF(預測IC!DS22&gt;預測IC!DS$25,1,0)</f>
        <v>0</v>
      </c>
      <c r="DT22" s="11">
        <f>IF(預測IC!DT22&gt;預測IC!DT$25,1,0)</f>
        <v>0</v>
      </c>
      <c r="DU22" s="11">
        <f>IF(預測IC!DU22&gt;預測IC!DU$25,1,0)</f>
        <v>0</v>
      </c>
      <c r="DV22" s="11">
        <f>IF(預測IC!DV22&gt;預測IC!DV$25,1,0)</f>
        <v>1</v>
      </c>
      <c r="DW22" s="11">
        <f>IF(預測IC!DW22&gt;預測IC!DW$25,1,0)</f>
        <v>0</v>
      </c>
      <c r="DX22" s="11">
        <f>IF(預測IC!DX22&gt;預測IC!DX$25,1,0)</f>
        <v>0</v>
      </c>
      <c r="DY22" s="11">
        <f>IF(預測IC!DY22&gt;預測IC!DY$25,1,0)</f>
        <v>1</v>
      </c>
      <c r="DZ22" s="11">
        <f>IF(預測IC!DZ22&gt;預測IC!DZ$25,1,0)</f>
        <v>1</v>
      </c>
      <c r="EA22" s="11">
        <f>IF(預測IC!EA22&gt;預測IC!EA$25,1,0)</f>
        <v>1</v>
      </c>
      <c r="EB22" s="11">
        <f>IF(預測IC!EB22&gt;預測IC!EB$25,1,0)</f>
        <v>0</v>
      </c>
      <c r="EC22" s="11">
        <f>IF(預測IC!EC22&gt;預測IC!EC$25,1,0)</f>
        <v>1</v>
      </c>
      <c r="ED22" s="11">
        <f>IF(預測IC!ED22&gt;預測IC!ED$25,1,0)</f>
        <v>0</v>
      </c>
      <c r="EE22" s="11">
        <f>IF(預測IC!EE22&gt;預測IC!EE$25,1,0)</f>
        <v>0</v>
      </c>
      <c r="EF22" s="11">
        <f>IF(預測IC!EF22&gt;預測IC!EF$25,1,0)</f>
        <v>0</v>
      </c>
      <c r="EG22" s="1">
        <f t="shared" si="10"/>
        <v>64</v>
      </c>
      <c r="EH22" s="2">
        <f t="shared" si="11"/>
        <v>0.47761194029850745</v>
      </c>
    </row>
    <row r="23" spans="1:138" ht="16">
      <c r="A23" s="6">
        <v>482</v>
      </c>
      <c r="B23" s="6">
        <v>2</v>
      </c>
      <c r="C23" s="11">
        <f>IF(預測IC!C23&gt;預測IC!C$25,1,0)</f>
        <v>0</v>
      </c>
      <c r="D23" s="11">
        <f>IF(預測IC!D23&gt;預測IC!D$25,1,0)</f>
        <v>0</v>
      </c>
      <c r="E23" s="11">
        <f>IF(預測IC!E23&gt;預測IC!E$25,1,0)</f>
        <v>1</v>
      </c>
      <c r="F23" s="11">
        <f>IF(預測IC!F23&gt;預測IC!F$25,1,0)</f>
        <v>0</v>
      </c>
      <c r="G23" s="11">
        <f>IF(預測IC!G23&gt;預測IC!G$25,1,0)</f>
        <v>0</v>
      </c>
      <c r="H23" s="11">
        <f>IF(預測IC!H23&gt;預測IC!H$25,1,0)</f>
        <v>0</v>
      </c>
      <c r="I23" s="11">
        <f>IF(預測IC!I23&gt;預測IC!I$25,1,0)</f>
        <v>0</v>
      </c>
      <c r="J23" s="11">
        <f>IF(預測IC!J23&gt;預測IC!J$25,1,0)</f>
        <v>0</v>
      </c>
      <c r="K23" s="11">
        <f>IF(預測IC!K23&gt;預測IC!K$25,1,0)</f>
        <v>0</v>
      </c>
      <c r="L23" s="11">
        <f>IF(預測IC!L23&gt;預測IC!L$25,1,0)</f>
        <v>1</v>
      </c>
      <c r="M23" s="11">
        <f>IF(預測IC!M23&gt;預測IC!M$25,1,0)</f>
        <v>0</v>
      </c>
      <c r="N23" s="11">
        <f>IF(預測IC!N23&gt;預測IC!N$25,1,0)</f>
        <v>1</v>
      </c>
      <c r="O23" s="11">
        <f>IF(預測IC!O23&gt;預測IC!O$25,1,0)</f>
        <v>1</v>
      </c>
      <c r="P23" s="11">
        <f>IF(預測IC!P23&gt;預測IC!P$25,1,0)</f>
        <v>1</v>
      </c>
      <c r="Q23" s="11">
        <f>IF(預測IC!Q23&gt;預測IC!Q$25,1,0)</f>
        <v>0</v>
      </c>
      <c r="R23" s="11">
        <f>IF(預測IC!R23&gt;預測IC!R$25,1,0)</f>
        <v>1</v>
      </c>
      <c r="S23" s="11">
        <f>IF(預測IC!S23&gt;預測IC!S$25,1,0)</f>
        <v>0</v>
      </c>
      <c r="T23" s="11">
        <f>IF(預測IC!T23&gt;預測IC!T$25,1,0)</f>
        <v>0</v>
      </c>
      <c r="U23" s="11">
        <f>IF(預測IC!U23&gt;預測IC!U$25,1,0)</f>
        <v>1</v>
      </c>
      <c r="V23" s="11">
        <f>IF(預測IC!V23&gt;預測IC!V$25,1,0)</f>
        <v>0</v>
      </c>
      <c r="W23" s="11">
        <f>IF(預測IC!W23&gt;預測IC!W$25,1,0)</f>
        <v>1</v>
      </c>
      <c r="X23" s="11">
        <f>IF(預測IC!X23&gt;預測IC!X$25,1,0)</f>
        <v>0</v>
      </c>
      <c r="Y23" s="11">
        <f>IF(預測IC!Y23&gt;預測IC!Y$25,1,0)</f>
        <v>0</v>
      </c>
      <c r="Z23" s="11">
        <f>IF(預測IC!Z23&gt;預測IC!Z$25,1,0)</f>
        <v>1</v>
      </c>
      <c r="AA23" s="11">
        <f>IF(預測IC!AA23&gt;預測IC!AA$25,1,0)</f>
        <v>1</v>
      </c>
      <c r="AB23" s="11">
        <f>IF(預測IC!AB23&gt;預測IC!AB$25,1,0)</f>
        <v>0</v>
      </c>
      <c r="AC23" s="11">
        <f>IF(預測IC!AC23&gt;預測IC!AC$25,1,0)</f>
        <v>0</v>
      </c>
      <c r="AD23" s="11">
        <f>IF(預測IC!AD23&gt;預測IC!AD$25,1,0)</f>
        <v>1</v>
      </c>
      <c r="AE23" s="11">
        <f>IF(預測IC!AE23&gt;預測IC!AE$25,1,0)</f>
        <v>0</v>
      </c>
      <c r="AF23" s="11">
        <f>IF(預測IC!AF23&gt;預測IC!AF$25,1,0)</f>
        <v>1</v>
      </c>
      <c r="AG23" s="11">
        <f>IF(預測IC!AG23&gt;預測IC!AG$25,1,0)</f>
        <v>0</v>
      </c>
      <c r="AH23" s="11">
        <f>IF(預測IC!AH23&gt;預測IC!AH$25,1,0)</f>
        <v>1</v>
      </c>
      <c r="AI23" s="11">
        <f>IF(預測IC!AI23&gt;預測IC!AI$25,1,0)</f>
        <v>1</v>
      </c>
      <c r="AJ23" s="11">
        <f>IF(預測IC!AJ23&gt;預測IC!AJ$25,1,0)</f>
        <v>1</v>
      </c>
      <c r="AK23" s="11">
        <f>IF(預測IC!AK23&gt;預測IC!AK$25,1,0)</f>
        <v>1</v>
      </c>
      <c r="AL23" s="11">
        <f>IF(預測IC!AL23&gt;預測IC!AL$25,1,0)</f>
        <v>0</v>
      </c>
      <c r="AM23" s="11">
        <f>IF(預測IC!AM23&gt;預測IC!AM$25,1,0)</f>
        <v>1</v>
      </c>
      <c r="AN23" s="11">
        <f>IF(預測IC!AN23&gt;預測IC!AN$25,1,0)</f>
        <v>1</v>
      </c>
      <c r="AO23" s="11">
        <f>IF(預測IC!AO23&gt;預測IC!AO$25,1,0)</f>
        <v>1</v>
      </c>
      <c r="AP23" s="11">
        <f>IF(預測IC!AP23&gt;預測IC!AP$25,1,0)</f>
        <v>0</v>
      </c>
      <c r="AQ23" s="11">
        <f>IF(預測IC!AQ23&gt;預測IC!AQ$25,1,0)</f>
        <v>0</v>
      </c>
      <c r="AR23" s="11">
        <f>IF(預測IC!AR23&gt;預測IC!AR$25,1,0)</f>
        <v>0</v>
      </c>
      <c r="AS23" s="11">
        <f>IF(預測IC!AS23&gt;預測IC!AS$25,1,0)</f>
        <v>1</v>
      </c>
      <c r="AT23" s="11">
        <f>IF(預測IC!AT23&gt;預測IC!AT$25,1,0)</f>
        <v>1</v>
      </c>
      <c r="AU23" s="11">
        <f>IF(預測IC!AU23&gt;預測IC!AU$25,1,0)</f>
        <v>1</v>
      </c>
      <c r="AV23" s="11">
        <f>IF(預測IC!AV23&gt;預測IC!AV$25,1,0)</f>
        <v>0</v>
      </c>
      <c r="AW23" s="11">
        <f>IF(預測IC!AW23&gt;預測IC!AW$25,1,0)</f>
        <v>1</v>
      </c>
      <c r="AX23" s="11">
        <f>IF(預測IC!AX23&gt;預測IC!AX$25,1,0)</f>
        <v>1</v>
      </c>
      <c r="AY23" s="11">
        <f>IF(預測IC!AY23&gt;預測IC!AY$25,1,0)</f>
        <v>0</v>
      </c>
      <c r="AZ23" s="11">
        <f>IF(預測IC!AZ23&gt;預測IC!AZ$25,1,0)</f>
        <v>1</v>
      </c>
      <c r="BA23" s="11">
        <f>IF(預測IC!BA23&gt;預測IC!BA$25,1,0)</f>
        <v>1</v>
      </c>
      <c r="BB23" s="11">
        <f>IF(預測IC!BB23&gt;預測IC!BB$25,1,0)</f>
        <v>1</v>
      </c>
      <c r="BC23" s="11">
        <f>IF(預測IC!BC23&gt;預測IC!BC$25,1,0)</f>
        <v>0</v>
      </c>
      <c r="BD23" s="11">
        <f>IF(預測IC!BD23&gt;預測IC!BD$25,1,0)</f>
        <v>0</v>
      </c>
      <c r="BE23" s="11">
        <f>IF(預測IC!BE23&gt;預測IC!BE$25,1,0)</f>
        <v>0</v>
      </c>
      <c r="BF23" s="11">
        <f>IF(預測IC!BF23&gt;預測IC!BF$25,1,0)</f>
        <v>0</v>
      </c>
      <c r="BG23" s="11">
        <f>IF(預測IC!BG23&gt;預測IC!BG$25,1,0)</f>
        <v>0</v>
      </c>
      <c r="BH23" s="11">
        <f>IF(預測IC!BH23&gt;預測IC!BH$25,1,0)</f>
        <v>1</v>
      </c>
      <c r="BI23" s="11">
        <f>IF(預測IC!BI23&gt;預測IC!BI$25,1,0)</f>
        <v>1</v>
      </c>
      <c r="BJ23" s="11">
        <f>IF(預測IC!BJ23&gt;預測IC!BJ$25,1,0)</f>
        <v>0</v>
      </c>
      <c r="BK23" s="11">
        <f>IF(預測IC!BK23&gt;預測IC!BK$25,1,0)</f>
        <v>1</v>
      </c>
      <c r="BL23" s="11">
        <f>IF(預測IC!BL23&gt;預測IC!BL$25,1,0)</f>
        <v>0</v>
      </c>
      <c r="BM23" s="11">
        <f>IF(預測IC!BM23&gt;預測IC!BM$25,1,0)</f>
        <v>0</v>
      </c>
      <c r="BN23" s="11">
        <f>IF(預測IC!BN23&gt;預測IC!BN$25,1,0)</f>
        <v>1</v>
      </c>
      <c r="BO23" s="11">
        <f>IF(預測IC!BO23&gt;預測IC!BO$25,1,0)</f>
        <v>1</v>
      </c>
      <c r="BP23" s="11">
        <f>IF(預測IC!BP23&gt;預測IC!BP$25,1,0)</f>
        <v>1</v>
      </c>
      <c r="BQ23" s="11">
        <f>IF(預測IC!BQ23&gt;預測IC!BQ$25,1,0)</f>
        <v>0</v>
      </c>
      <c r="BR23" s="11">
        <f>IF(預測IC!BR23&gt;預測IC!BR$25,1,0)</f>
        <v>1</v>
      </c>
      <c r="BS23" s="11">
        <f>IF(預測IC!BS23&gt;預測IC!BS$25,1,0)</f>
        <v>1</v>
      </c>
      <c r="BT23" s="11">
        <f>IF(預測IC!BT23&gt;預測IC!BT$25,1,0)</f>
        <v>0</v>
      </c>
      <c r="BU23" s="11">
        <f>IF(預測IC!BU23&gt;預測IC!BU$25,1,0)</f>
        <v>0</v>
      </c>
      <c r="BV23" s="11">
        <f>IF(預測IC!BV23&gt;預測IC!BV$25,1,0)</f>
        <v>0</v>
      </c>
      <c r="BW23" s="11">
        <f>IF(預測IC!BW23&gt;預測IC!BW$25,1,0)</f>
        <v>1</v>
      </c>
      <c r="BX23" s="11">
        <f>IF(預測IC!BX23&gt;預測IC!BX$25,1,0)</f>
        <v>0</v>
      </c>
      <c r="BY23" s="11">
        <f>IF(預測IC!BY23&gt;預測IC!BY$25,1,0)</f>
        <v>1</v>
      </c>
      <c r="BZ23" s="11">
        <f>IF(預測IC!BZ23&gt;預測IC!BZ$25,1,0)</f>
        <v>1</v>
      </c>
      <c r="CA23" s="11">
        <f>IF(預測IC!CA23&gt;預測IC!CA$25,1,0)</f>
        <v>1</v>
      </c>
      <c r="CB23" s="11">
        <f>IF(預測IC!CB23&gt;預測IC!CB$25,1,0)</f>
        <v>1</v>
      </c>
      <c r="CC23" s="11">
        <f>IF(預測IC!CC23&gt;預測IC!CC$25,1,0)</f>
        <v>0</v>
      </c>
      <c r="CD23" s="11">
        <f>IF(預測IC!CD23&gt;預測IC!CD$25,1,0)</f>
        <v>1</v>
      </c>
      <c r="CE23" s="11">
        <f>IF(預測IC!CE23&gt;預測IC!CE$25,1,0)</f>
        <v>1</v>
      </c>
      <c r="CF23" s="11">
        <f>IF(預測IC!CF23&gt;預測IC!CF$25,1,0)</f>
        <v>0</v>
      </c>
      <c r="CG23" s="11">
        <f>IF(預測IC!CG23&gt;預測IC!CG$25,1,0)</f>
        <v>1</v>
      </c>
      <c r="CH23" s="11">
        <f>IF(預測IC!CH23&gt;預測IC!CH$25,1,0)</f>
        <v>0</v>
      </c>
      <c r="CI23" s="11">
        <f>IF(預測IC!CI23&gt;預測IC!CI$25,1,0)</f>
        <v>0</v>
      </c>
      <c r="CJ23" s="11">
        <f>IF(預測IC!CJ23&gt;預測IC!CJ$25,1,0)</f>
        <v>0</v>
      </c>
      <c r="CK23" s="11">
        <f>IF(預測IC!CK23&gt;預測IC!CK$25,1,0)</f>
        <v>0</v>
      </c>
      <c r="CL23" s="11">
        <f>IF(預測IC!CL23&gt;預測IC!CL$25,1,0)</f>
        <v>1</v>
      </c>
      <c r="CM23" s="11">
        <f>IF(預測IC!CM23&gt;預測IC!CM$25,1,0)</f>
        <v>0</v>
      </c>
      <c r="CN23" s="11">
        <f>IF(預測IC!CN23&gt;預測IC!CN$25,1,0)</f>
        <v>1</v>
      </c>
      <c r="CO23" s="11">
        <f>IF(預測IC!CO23&gt;預測IC!CO$25,1,0)</f>
        <v>1</v>
      </c>
      <c r="CP23" s="11">
        <f>IF(預測IC!CP23&gt;預測IC!CP$25,1,0)</f>
        <v>0</v>
      </c>
      <c r="CQ23" s="11">
        <f>IF(預測IC!CQ23&gt;預測IC!CQ$25,1,0)</f>
        <v>0</v>
      </c>
      <c r="CR23" s="11">
        <f>IF(預測IC!CR23&gt;預測IC!CR$25,1,0)</f>
        <v>0</v>
      </c>
      <c r="CS23" s="11">
        <f>IF(預測IC!CS23&gt;預測IC!CS$25,1,0)</f>
        <v>1</v>
      </c>
      <c r="CT23" s="11">
        <f>IF(預測IC!CT23&gt;預測IC!CT$25,1,0)</f>
        <v>0</v>
      </c>
      <c r="CU23" s="11">
        <f>IF(預測IC!CU23&gt;預測IC!CU$25,1,0)</f>
        <v>1</v>
      </c>
      <c r="CV23" s="11">
        <f>IF(預測IC!CV23&gt;預測IC!CV$25,1,0)</f>
        <v>1</v>
      </c>
      <c r="CW23" s="11">
        <f>IF(預測IC!CW23&gt;預測IC!CW$25,1,0)</f>
        <v>1</v>
      </c>
      <c r="CX23" s="11">
        <f>IF(預測IC!CX23&gt;預測IC!CX$25,1,0)</f>
        <v>1</v>
      </c>
      <c r="CY23" s="11">
        <f>IF(預測IC!CY23&gt;預測IC!CY$25,1,0)</f>
        <v>1</v>
      </c>
      <c r="CZ23" s="11">
        <f>IF(預測IC!CZ23&gt;預測IC!CZ$25,1,0)</f>
        <v>1</v>
      </c>
      <c r="DA23" s="11">
        <f>IF(預測IC!DA23&gt;預測IC!DA$25,1,0)</f>
        <v>1</v>
      </c>
      <c r="DB23" s="11">
        <f>IF(預測IC!DB23&gt;預測IC!DB$25,1,0)</f>
        <v>1</v>
      </c>
      <c r="DC23" s="11">
        <f>IF(預測IC!DC23&gt;預測IC!DC$25,1,0)</f>
        <v>1</v>
      </c>
      <c r="DD23" s="11">
        <f>IF(預測IC!DD23&gt;預測IC!DD$25,1,0)</f>
        <v>1</v>
      </c>
      <c r="DE23" s="11">
        <f>IF(預測IC!DE23&gt;預測IC!DE$25,1,0)</f>
        <v>0</v>
      </c>
      <c r="DF23" s="11">
        <f>IF(預測IC!DF23&gt;預測IC!DF$25,1,0)</f>
        <v>1</v>
      </c>
      <c r="DG23" s="11">
        <f>IF(預測IC!DG23&gt;預測IC!DG$25,1,0)</f>
        <v>0</v>
      </c>
      <c r="DH23" s="11">
        <f>IF(預測IC!DH23&gt;預測IC!DH$25,1,0)</f>
        <v>1</v>
      </c>
      <c r="DI23" s="11">
        <f>IF(預測IC!DI23&gt;預測IC!DI$25,1,0)</f>
        <v>1</v>
      </c>
      <c r="DJ23" s="11">
        <f>IF(預測IC!DJ23&gt;預測IC!DJ$25,1,0)</f>
        <v>0</v>
      </c>
      <c r="DK23" s="11">
        <f>IF(預測IC!DK23&gt;預測IC!DK$25,1,0)</f>
        <v>0</v>
      </c>
      <c r="DL23" s="11">
        <f>IF(預測IC!DL23&gt;預測IC!DL$25,1,0)</f>
        <v>0</v>
      </c>
      <c r="DM23" s="11">
        <f>IF(預測IC!DM23&gt;預測IC!DM$25,1,0)</f>
        <v>1</v>
      </c>
      <c r="DN23" s="11">
        <f>IF(預測IC!DN23&gt;預測IC!DN$25,1,0)</f>
        <v>0</v>
      </c>
      <c r="DO23" s="11">
        <f>IF(預測IC!DO23&gt;預測IC!DO$25,1,0)</f>
        <v>1</v>
      </c>
      <c r="DP23" s="11">
        <f>IF(預測IC!DP23&gt;預測IC!DP$25,1,0)</f>
        <v>0</v>
      </c>
      <c r="DQ23" s="11">
        <f>IF(預測IC!DQ23&gt;預測IC!DQ$25,1,0)</f>
        <v>0</v>
      </c>
      <c r="DR23" s="11">
        <f>IF(預測IC!DR23&gt;預測IC!DR$25,1,0)</f>
        <v>0</v>
      </c>
      <c r="DS23" s="11">
        <f>IF(預測IC!DS23&gt;預測IC!DS$25,1,0)</f>
        <v>0</v>
      </c>
      <c r="DT23" s="11">
        <f>IF(預測IC!DT23&gt;預測IC!DT$25,1,0)</f>
        <v>0</v>
      </c>
      <c r="DU23" s="11">
        <f>IF(預測IC!DU23&gt;預測IC!DU$25,1,0)</f>
        <v>0</v>
      </c>
      <c r="DV23" s="11">
        <f>IF(預測IC!DV23&gt;預測IC!DV$25,1,0)</f>
        <v>1</v>
      </c>
      <c r="DW23" s="11">
        <f>IF(預測IC!DW23&gt;預測IC!DW$25,1,0)</f>
        <v>0</v>
      </c>
      <c r="DX23" s="11">
        <f>IF(預測IC!DX23&gt;預測IC!DX$25,1,0)</f>
        <v>0</v>
      </c>
      <c r="DY23" s="11">
        <f>IF(預測IC!DY23&gt;預測IC!DY$25,1,0)</f>
        <v>1</v>
      </c>
      <c r="DZ23" s="11">
        <f>IF(預測IC!DZ23&gt;預測IC!DZ$25,1,0)</f>
        <v>0</v>
      </c>
      <c r="EA23" s="11">
        <f>IF(預測IC!EA23&gt;預測IC!EA$25,1,0)</f>
        <v>0</v>
      </c>
      <c r="EB23" s="11">
        <f>IF(預測IC!EB23&gt;預測IC!EB$25,1,0)</f>
        <v>0</v>
      </c>
      <c r="EC23" s="11">
        <f>IF(預測IC!EC23&gt;預測IC!EC$25,1,0)</f>
        <v>1</v>
      </c>
      <c r="ED23" s="11">
        <f>IF(預測IC!ED23&gt;預測IC!ED$25,1,0)</f>
        <v>1</v>
      </c>
      <c r="EE23" s="11">
        <f>IF(預測IC!EE23&gt;預測IC!EE$25,1,0)</f>
        <v>0</v>
      </c>
      <c r="EF23" s="11">
        <f>IF(預測IC!EF23&gt;預測IC!EF$25,1,0)</f>
        <v>0</v>
      </c>
      <c r="EG23" s="1">
        <f t="shared" si="10"/>
        <v>66</v>
      </c>
      <c r="EH23" s="2">
        <f t="shared" si="11"/>
        <v>0.4925373134328358</v>
      </c>
    </row>
    <row r="24" spans="1:138" ht="16">
      <c r="A24" s="6">
        <v>964</v>
      </c>
      <c r="B24" s="6">
        <v>1</v>
      </c>
      <c r="C24" s="11">
        <f>IF(預測IC!C24&gt;預測IC!C$25,1,0)</f>
        <v>1</v>
      </c>
      <c r="D24" s="11">
        <f>IF(預測IC!D24&gt;預測IC!D$25,1,0)</f>
        <v>0</v>
      </c>
      <c r="E24" s="11">
        <f>IF(預測IC!E24&gt;預測IC!E$25,1,0)</f>
        <v>1</v>
      </c>
      <c r="F24" s="11">
        <f>IF(預測IC!F24&gt;預測IC!F$25,1,0)</f>
        <v>0</v>
      </c>
      <c r="G24" s="11">
        <f>IF(預測IC!G24&gt;預測IC!G$25,1,0)</f>
        <v>1</v>
      </c>
      <c r="H24" s="11">
        <f>IF(預測IC!H24&gt;預測IC!H$25,1,0)</f>
        <v>1</v>
      </c>
      <c r="I24" s="11">
        <f>IF(預測IC!I24&gt;預測IC!I$25,1,0)</f>
        <v>1</v>
      </c>
      <c r="J24" s="11">
        <f>IF(預測IC!J24&gt;預測IC!J$25,1,0)</f>
        <v>0</v>
      </c>
      <c r="K24" s="11">
        <f>IF(預測IC!K24&gt;預測IC!K$25,1,0)</f>
        <v>1</v>
      </c>
      <c r="L24" s="11">
        <f>IF(預測IC!L24&gt;預測IC!L$25,1,0)</f>
        <v>1</v>
      </c>
      <c r="M24" s="11">
        <f>IF(預測IC!M24&gt;預測IC!M$25,1,0)</f>
        <v>0</v>
      </c>
      <c r="N24" s="11">
        <f>IF(預測IC!N24&gt;預測IC!N$25,1,0)</f>
        <v>1</v>
      </c>
      <c r="O24" s="11">
        <f>IF(預測IC!O24&gt;預測IC!O$25,1,0)</f>
        <v>1</v>
      </c>
      <c r="P24" s="11">
        <f>IF(預測IC!P24&gt;預測IC!P$25,1,0)</f>
        <v>0</v>
      </c>
      <c r="Q24" s="11">
        <f>IF(預測IC!Q24&gt;預測IC!Q$25,1,0)</f>
        <v>1</v>
      </c>
      <c r="R24" s="11">
        <f>IF(預測IC!R24&gt;預測IC!R$25,1,0)</f>
        <v>0</v>
      </c>
      <c r="S24" s="11">
        <f>IF(預測IC!S24&gt;預測IC!S$25,1,0)</f>
        <v>1</v>
      </c>
      <c r="T24" s="11">
        <f>IF(預測IC!T24&gt;預測IC!T$25,1,0)</f>
        <v>0</v>
      </c>
      <c r="U24" s="11">
        <f>IF(預測IC!U24&gt;預測IC!U$25,1,0)</f>
        <v>1</v>
      </c>
      <c r="V24" s="11">
        <f>IF(預測IC!V24&gt;預測IC!V$25,1,0)</f>
        <v>0</v>
      </c>
      <c r="W24" s="11">
        <f>IF(預測IC!W24&gt;預測IC!W$25,1,0)</f>
        <v>0</v>
      </c>
      <c r="X24" s="11">
        <f>IF(預測IC!X24&gt;預測IC!X$25,1,0)</f>
        <v>0</v>
      </c>
      <c r="Y24" s="11">
        <f>IF(預測IC!Y24&gt;預測IC!Y$25,1,0)</f>
        <v>0</v>
      </c>
      <c r="Z24" s="11">
        <f>IF(預測IC!Z24&gt;預測IC!Z$25,1,0)</f>
        <v>0</v>
      </c>
      <c r="AA24" s="11">
        <f>IF(預測IC!AA24&gt;預測IC!AA$25,1,0)</f>
        <v>1</v>
      </c>
      <c r="AB24" s="11">
        <f>IF(預測IC!AB24&gt;預測IC!AB$25,1,0)</f>
        <v>0</v>
      </c>
      <c r="AC24" s="11">
        <f>IF(預測IC!AC24&gt;預測IC!AC$25,1,0)</f>
        <v>0</v>
      </c>
      <c r="AD24" s="11">
        <f>IF(預測IC!AD24&gt;預測IC!AD$25,1,0)</f>
        <v>1</v>
      </c>
      <c r="AE24" s="11">
        <f>IF(預測IC!AE24&gt;預測IC!AE$25,1,0)</f>
        <v>0</v>
      </c>
      <c r="AF24" s="11">
        <f>IF(預測IC!AF24&gt;預測IC!AF$25,1,0)</f>
        <v>1</v>
      </c>
      <c r="AG24" s="11">
        <f>IF(預測IC!AG24&gt;預測IC!AG$25,1,0)</f>
        <v>1</v>
      </c>
      <c r="AH24" s="11">
        <f>IF(預測IC!AH24&gt;預測IC!AH$25,1,0)</f>
        <v>0</v>
      </c>
      <c r="AI24" s="11">
        <f>IF(預測IC!AI24&gt;預測IC!AI$25,1,0)</f>
        <v>0</v>
      </c>
      <c r="AJ24" s="11">
        <f>IF(預測IC!AJ24&gt;預測IC!AJ$25,1,0)</f>
        <v>1</v>
      </c>
      <c r="AK24" s="11">
        <f>IF(預測IC!AK24&gt;預測IC!AK$25,1,0)</f>
        <v>1</v>
      </c>
      <c r="AL24" s="11">
        <f>IF(預測IC!AL24&gt;預測IC!AL$25,1,0)</f>
        <v>1</v>
      </c>
      <c r="AM24" s="11">
        <f>IF(預測IC!AM24&gt;預測IC!AM$25,1,0)</f>
        <v>1</v>
      </c>
      <c r="AN24" s="11">
        <f>IF(預測IC!AN24&gt;預測IC!AN$25,1,0)</f>
        <v>1</v>
      </c>
      <c r="AO24" s="11">
        <f>IF(預測IC!AO24&gt;預測IC!AO$25,1,0)</f>
        <v>1</v>
      </c>
      <c r="AP24" s="11">
        <f>IF(預測IC!AP24&gt;預測IC!AP$25,1,0)</f>
        <v>0</v>
      </c>
      <c r="AQ24" s="11">
        <f>IF(預測IC!AQ24&gt;預測IC!AQ$25,1,0)</f>
        <v>0</v>
      </c>
      <c r="AR24" s="11">
        <f>IF(預測IC!AR24&gt;預測IC!AR$25,1,0)</f>
        <v>0</v>
      </c>
      <c r="AS24" s="11">
        <f>IF(預測IC!AS24&gt;預測IC!AS$25,1,0)</f>
        <v>1</v>
      </c>
      <c r="AT24" s="11">
        <f>IF(預測IC!AT24&gt;預測IC!AT$25,1,0)</f>
        <v>0</v>
      </c>
      <c r="AU24" s="11">
        <f>IF(預測IC!AU24&gt;預測IC!AU$25,1,0)</f>
        <v>1</v>
      </c>
      <c r="AV24" s="11">
        <f>IF(預測IC!AV24&gt;預測IC!AV$25,1,0)</f>
        <v>0</v>
      </c>
      <c r="AW24" s="11">
        <f>IF(預測IC!AW24&gt;預測IC!AW$25,1,0)</f>
        <v>1</v>
      </c>
      <c r="AX24" s="11">
        <f>IF(預測IC!AX24&gt;預測IC!AX$25,1,0)</f>
        <v>0</v>
      </c>
      <c r="AY24" s="11">
        <f>IF(預測IC!AY24&gt;預測IC!AY$25,1,0)</f>
        <v>0</v>
      </c>
      <c r="AZ24" s="11">
        <f>IF(預測IC!AZ24&gt;預測IC!AZ$25,1,0)</f>
        <v>1</v>
      </c>
      <c r="BA24" s="11">
        <f>IF(預測IC!BA24&gt;預測IC!BA$25,1,0)</f>
        <v>1</v>
      </c>
      <c r="BB24" s="11">
        <f>IF(預測IC!BB24&gt;預測IC!BB$25,1,0)</f>
        <v>1</v>
      </c>
      <c r="BC24" s="11">
        <f>IF(預測IC!BC24&gt;預測IC!BC$25,1,0)</f>
        <v>0</v>
      </c>
      <c r="BD24" s="11">
        <f>IF(預測IC!BD24&gt;預測IC!BD$25,1,0)</f>
        <v>1</v>
      </c>
      <c r="BE24" s="11">
        <f>IF(預測IC!BE24&gt;預測IC!BE$25,1,0)</f>
        <v>0</v>
      </c>
      <c r="BF24" s="11">
        <f>IF(預測IC!BF24&gt;預測IC!BF$25,1,0)</f>
        <v>0</v>
      </c>
      <c r="BG24" s="11">
        <f>IF(預測IC!BG24&gt;預測IC!BG$25,1,0)</f>
        <v>0</v>
      </c>
      <c r="BH24" s="11">
        <f>IF(預測IC!BH24&gt;預測IC!BH$25,1,0)</f>
        <v>1</v>
      </c>
      <c r="BI24" s="11">
        <f>IF(預測IC!BI24&gt;預測IC!BI$25,1,0)</f>
        <v>1</v>
      </c>
      <c r="BJ24" s="11">
        <f>IF(預測IC!BJ24&gt;預測IC!BJ$25,1,0)</f>
        <v>1</v>
      </c>
      <c r="BK24" s="11">
        <f>IF(預測IC!BK24&gt;預測IC!BK$25,1,0)</f>
        <v>1</v>
      </c>
      <c r="BL24" s="11">
        <f>IF(預測IC!BL24&gt;預測IC!BL$25,1,0)</f>
        <v>0</v>
      </c>
      <c r="BM24" s="11">
        <f>IF(預測IC!BM24&gt;預測IC!BM$25,1,0)</f>
        <v>0</v>
      </c>
      <c r="BN24" s="11">
        <f>IF(預測IC!BN24&gt;預測IC!BN$25,1,0)</f>
        <v>1</v>
      </c>
      <c r="BO24" s="11">
        <f>IF(預測IC!BO24&gt;預測IC!BO$25,1,0)</f>
        <v>1</v>
      </c>
      <c r="BP24" s="11">
        <f>IF(預測IC!BP24&gt;預測IC!BP$25,1,0)</f>
        <v>0</v>
      </c>
      <c r="BQ24" s="11">
        <f>IF(預測IC!BQ24&gt;預測IC!BQ$25,1,0)</f>
        <v>0</v>
      </c>
      <c r="BR24" s="11">
        <f>IF(預測IC!BR24&gt;預測IC!BR$25,1,0)</f>
        <v>1</v>
      </c>
      <c r="BS24" s="11">
        <f>IF(預測IC!BS24&gt;預測IC!BS$25,1,0)</f>
        <v>1</v>
      </c>
      <c r="BT24" s="11">
        <f>IF(預測IC!BT24&gt;預測IC!BT$25,1,0)</f>
        <v>0</v>
      </c>
      <c r="BU24" s="11">
        <f>IF(預測IC!BU24&gt;預測IC!BU$25,1,0)</f>
        <v>0</v>
      </c>
      <c r="BV24" s="11">
        <f>IF(預測IC!BV24&gt;預測IC!BV$25,1,0)</f>
        <v>0</v>
      </c>
      <c r="BW24" s="11">
        <f>IF(預測IC!BW24&gt;預測IC!BW$25,1,0)</f>
        <v>1</v>
      </c>
      <c r="BX24" s="11">
        <f>IF(預測IC!BX24&gt;預測IC!BX$25,1,0)</f>
        <v>0</v>
      </c>
      <c r="BY24" s="11">
        <f>IF(預測IC!BY24&gt;預測IC!BY$25,1,0)</f>
        <v>0</v>
      </c>
      <c r="BZ24" s="11">
        <f>IF(預測IC!BZ24&gt;預測IC!BZ$25,1,0)</f>
        <v>1</v>
      </c>
      <c r="CA24" s="11">
        <f>IF(預測IC!CA24&gt;預測IC!CA$25,1,0)</f>
        <v>1</v>
      </c>
      <c r="CB24" s="11">
        <f>IF(預測IC!CB24&gt;預測IC!CB$25,1,0)</f>
        <v>1</v>
      </c>
      <c r="CC24" s="11">
        <f>IF(預測IC!CC24&gt;預測IC!CC$25,1,0)</f>
        <v>0</v>
      </c>
      <c r="CD24" s="11">
        <f>IF(預測IC!CD24&gt;預測IC!CD$25,1,0)</f>
        <v>1</v>
      </c>
      <c r="CE24" s="11">
        <f>IF(預測IC!CE24&gt;預測IC!CE$25,1,0)</f>
        <v>1</v>
      </c>
      <c r="CF24" s="11">
        <f>IF(預測IC!CF24&gt;預測IC!CF$25,1,0)</f>
        <v>0</v>
      </c>
      <c r="CG24" s="11">
        <f>IF(預測IC!CG24&gt;預測IC!CG$25,1,0)</f>
        <v>1</v>
      </c>
      <c r="CH24" s="11">
        <f>IF(預測IC!CH24&gt;預測IC!CH$25,1,0)</f>
        <v>1</v>
      </c>
      <c r="CI24" s="11">
        <f>IF(預測IC!CI24&gt;預測IC!CI$25,1,0)</f>
        <v>0</v>
      </c>
      <c r="CJ24" s="11">
        <f>IF(預測IC!CJ24&gt;預測IC!CJ$25,1,0)</f>
        <v>1</v>
      </c>
      <c r="CK24" s="11">
        <f>IF(預測IC!CK24&gt;預測IC!CK$25,1,0)</f>
        <v>1</v>
      </c>
      <c r="CL24" s="11">
        <f>IF(預測IC!CL24&gt;預測IC!CL$25,1,0)</f>
        <v>1</v>
      </c>
      <c r="CM24" s="11">
        <f>IF(預測IC!CM24&gt;預測IC!CM$25,1,0)</f>
        <v>0</v>
      </c>
      <c r="CN24" s="11">
        <f>IF(預測IC!CN24&gt;預測IC!CN$25,1,0)</f>
        <v>0</v>
      </c>
      <c r="CO24" s="11">
        <f>IF(預測IC!CO24&gt;預測IC!CO$25,1,0)</f>
        <v>1</v>
      </c>
      <c r="CP24" s="11">
        <f>IF(預測IC!CP24&gt;預測IC!CP$25,1,0)</f>
        <v>0</v>
      </c>
      <c r="CQ24" s="11">
        <f>IF(預測IC!CQ24&gt;預測IC!CQ$25,1,0)</f>
        <v>0</v>
      </c>
      <c r="CR24" s="11">
        <f>IF(預測IC!CR24&gt;預測IC!CR$25,1,0)</f>
        <v>0</v>
      </c>
      <c r="CS24" s="11">
        <f>IF(預測IC!CS24&gt;預測IC!CS$25,1,0)</f>
        <v>0</v>
      </c>
      <c r="CT24" s="11">
        <f>IF(預測IC!CT24&gt;預測IC!CT$25,1,0)</f>
        <v>0</v>
      </c>
      <c r="CU24" s="11">
        <f>IF(預測IC!CU24&gt;預測IC!CU$25,1,0)</f>
        <v>1</v>
      </c>
      <c r="CV24" s="11">
        <f>IF(預測IC!CV24&gt;預測IC!CV$25,1,0)</f>
        <v>1</v>
      </c>
      <c r="CW24" s="11">
        <f>IF(預測IC!CW24&gt;預測IC!CW$25,1,0)</f>
        <v>0</v>
      </c>
      <c r="CX24" s="11">
        <f>IF(預測IC!CX24&gt;預測IC!CX$25,1,0)</f>
        <v>1</v>
      </c>
      <c r="CY24" s="11">
        <f>IF(預測IC!CY24&gt;預測IC!CY$25,1,0)</f>
        <v>1</v>
      </c>
      <c r="CZ24" s="11">
        <f>IF(預測IC!CZ24&gt;預測IC!CZ$25,1,0)</f>
        <v>1</v>
      </c>
      <c r="DA24" s="11">
        <f>IF(預測IC!DA24&gt;預測IC!DA$25,1,0)</f>
        <v>1</v>
      </c>
      <c r="DB24" s="11">
        <f>IF(預測IC!DB24&gt;預測IC!DB$25,1,0)</f>
        <v>0</v>
      </c>
      <c r="DC24" s="11">
        <f>IF(預測IC!DC24&gt;預測IC!DC$25,1,0)</f>
        <v>1</v>
      </c>
      <c r="DD24" s="11">
        <f>IF(預測IC!DD24&gt;預測IC!DD$25,1,0)</f>
        <v>1</v>
      </c>
      <c r="DE24" s="11">
        <f>IF(預測IC!DE24&gt;預測IC!DE$25,1,0)</f>
        <v>0</v>
      </c>
      <c r="DF24" s="11">
        <f>IF(預測IC!DF24&gt;預測IC!DF$25,1,0)</f>
        <v>1</v>
      </c>
      <c r="DG24" s="11">
        <f>IF(預測IC!DG24&gt;預測IC!DG$25,1,0)</f>
        <v>0</v>
      </c>
      <c r="DH24" s="11">
        <f>IF(預測IC!DH24&gt;預測IC!DH$25,1,0)</f>
        <v>1</v>
      </c>
      <c r="DI24" s="11">
        <f>IF(預測IC!DI24&gt;預測IC!DI$25,1,0)</f>
        <v>1</v>
      </c>
      <c r="DJ24" s="11">
        <f>IF(預測IC!DJ24&gt;預測IC!DJ$25,1,0)</f>
        <v>0</v>
      </c>
      <c r="DK24" s="11">
        <f>IF(預測IC!DK24&gt;預測IC!DK$25,1,0)</f>
        <v>0</v>
      </c>
      <c r="DL24" s="11">
        <f>IF(預測IC!DL24&gt;預測IC!DL$25,1,0)</f>
        <v>0</v>
      </c>
      <c r="DM24" s="11">
        <f>IF(預測IC!DM24&gt;預測IC!DM$25,1,0)</f>
        <v>0</v>
      </c>
      <c r="DN24" s="11">
        <f>IF(預測IC!DN24&gt;預測IC!DN$25,1,0)</f>
        <v>0</v>
      </c>
      <c r="DO24" s="11">
        <f>IF(預測IC!DO24&gt;預測IC!DO$25,1,0)</f>
        <v>1</v>
      </c>
      <c r="DP24" s="11">
        <f>IF(預測IC!DP24&gt;預測IC!DP$25,1,0)</f>
        <v>0</v>
      </c>
      <c r="DQ24" s="11">
        <f>IF(預測IC!DQ24&gt;預測IC!DQ$25,1,0)</f>
        <v>0</v>
      </c>
      <c r="DR24" s="11">
        <f>IF(預測IC!DR24&gt;預測IC!DR$25,1,0)</f>
        <v>0</v>
      </c>
      <c r="DS24" s="11">
        <f>IF(預測IC!DS24&gt;預測IC!DS$25,1,0)</f>
        <v>0</v>
      </c>
      <c r="DT24" s="11">
        <f>IF(預測IC!DT24&gt;預測IC!DT$25,1,0)</f>
        <v>0</v>
      </c>
      <c r="DU24" s="11">
        <f>IF(預測IC!DU24&gt;預測IC!DU$25,1,0)</f>
        <v>0</v>
      </c>
      <c r="DV24" s="11">
        <f>IF(預測IC!DV24&gt;預測IC!DV$25,1,0)</f>
        <v>1</v>
      </c>
      <c r="DW24" s="11">
        <f>IF(預測IC!DW24&gt;預測IC!DW$25,1,0)</f>
        <v>1</v>
      </c>
      <c r="DX24" s="11">
        <f>IF(預測IC!DX24&gt;預測IC!DX$25,1,0)</f>
        <v>0</v>
      </c>
      <c r="DY24" s="11">
        <f>IF(預測IC!DY24&gt;預測IC!DY$25,1,0)</f>
        <v>1</v>
      </c>
      <c r="DZ24" s="11">
        <f>IF(預測IC!DZ24&gt;預測IC!DZ$25,1,0)</f>
        <v>0</v>
      </c>
      <c r="EA24" s="11">
        <f>IF(預測IC!EA24&gt;預測IC!EA$25,1,0)</f>
        <v>0</v>
      </c>
      <c r="EB24" s="11">
        <f>IF(預測IC!EB24&gt;預測IC!EB$25,1,0)</f>
        <v>0</v>
      </c>
      <c r="EC24" s="11">
        <f>IF(預測IC!EC24&gt;預測IC!EC$25,1,0)</f>
        <v>1</v>
      </c>
      <c r="ED24" s="11">
        <f>IF(預測IC!ED24&gt;預測IC!ED$25,1,0)</f>
        <v>0</v>
      </c>
      <c r="EE24" s="11">
        <f>IF(預測IC!EE24&gt;預測IC!EE$25,1,0)</f>
        <v>0</v>
      </c>
      <c r="EF24" s="11">
        <f>IF(預測IC!EF24&gt;預測IC!EF$25,1,0)</f>
        <v>1</v>
      </c>
      <c r="EG24" s="1">
        <f t="shared" si="10"/>
        <v>66</v>
      </c>
      <c r="EH24" s="2">
        <f t="shared" si="11"/>
        <v>0.4925373134328358</v>
      </c>
    </row>
    <row r="25" spans="1:138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8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9"/>
  <sheetViews>
    <sheetView zoomScale="81" workbookViewId="0">
      <selection activeCell="B24" sqref="B24:EE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6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6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6" ht="16">
      <c r="A6" s="74" t="s">
        <v>139</v>
      </c>
      <c r="B6" s="75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4" t="s">
        <v>140</v>
      </c>
      <c r="B10" s="75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8">
      <c r="A11" s="37" t="s">
        <v>150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16</v>
      </c>
      <c r="P11" s="13" t="s">
        <v>17</v>
      </c>
      <c r="Q11" s="13" t="s">
        <v>18</v>
      </c>
      <c r="R11" s="13" t="s">
        <v>19</v>
      </c>
      <c r="S11" s="13" t="s">
        <v>20</v>
      </c>
      <c r="T11" s="13" t="s">
        <v>21</v>
      </c>
      <c r="U11" s="13" t="s">
        <v>22</v>
      </c>
      <c r="V11" s="13" t="s">
        <v>23</v>
      </c>
      <c r="W11" s="13" t="s">
        <v>24</v>
      </c>
      <c r="X11" s="13" t="s">
        <v>25</v>
      </c>
      <c r="Y11" s="13" t="s">
        <v>26</v>
      </c>
      <c r="Z11" s="13" t="s">
        <v>27</v>
      </c>
      <c r="AA11" s="13" t="s">
        <v>28</v>
      </c>
      <c r="AB11" s="13" t="s">
        <v>29</v>
      </c>
      <c r="AC11" s="13" t="s">
        <v>30</v>
      </c>
      <c r="AD11" s="13" t="s">
        <v>31</v>
      </c>
      <c r="AE11" s="13" t="s">
        <v>32</v>
      </c>
      <c r="AF11" s="13" t="s">
        <v>33</v>
      </c>
      <c r="AG11" s="13" t="s">
        <v>34</v>
      </c>
      <c r="AH11" s="13" t="s">
        <v>35</v>
      </c>
      <c r="AI11" s="13" t="s">
        <v>36</v>
      </c>
      <c r="AJ11" s="13" t="s">
        <v>37</v>
      </c>
      <c r="AK11" s="13" t="s">
        <v>38</v>
      </c>
      <c r="AL11" s="13" t="s">
        <v>39</v>
      </c>
      <c r="AM11" s="13" t="s">
        <v>40</v>
      </c>
      <c r="AN11" s="13" t="s">
        <v>41</v>
      </c>
      <c r="AO11" s="13" t="s">
        <v>42</v>
      </c>
      <c r="AP11" s="13" t="s">
        <v>43</v>
      </c>
      <c r="AQ11" s="13" t="s">
        <v>44</v>
      </c>
      <c r="AR11" s="13" t="s">
        <v>45</v>
      </c>
      <c r="AS11" s="13" t="s">
        <v>46</v>
      </c>
      <c r="AT11" s="13" t="s">
        <v>47</v>
      </c>
      <c r="AU11" s="13" t="s">
        <v>48</v>
      </c>
      <c r="AV11" s="13" t="s">
        <v>49</v>
      </c>
      <c r="AW11" s="13" t="s">
        <v>50</v>
      </c>
      <c r="AX11" s="13" t="s">
        <v>51</v>
      </c>
      <c r="AY11" s="13" t="s">
        <v>52</v>
      </c>
      <c r="AZ11" s="13" t="s">
        <v>53</v>
      </c>
      <c r="BA11" s="13" t="s">
        <v>54</v>
      </c>
      <c r="BB11" s="13" t="s">
        <v>55</v>
      </c>
      <c r="BC11" s="13" t="s">
        <v>56</v>
      </c>
      <c r="BD11" s="13" t="s">
        <v>57</v>
      </c>
      <c r="BE11" s="13" t="s">
        <v>58</v>
      </c>
      <c r="BF11" s="13" t="s">
        <v>59</v>
      </c>
      <c r="BG11" s="13" t="s">
        <v>60</v>
      </c>
      <c r="BH11" s="13" t="s">
        <v>61</v>
      </c>
      <c r="BI11" s="13" t="s">
        <v>62</v>
      </c>
      <c r="BJ11" s="13" t="s">
        <v>63</v>
      </c>
      <c r="BK11" s="13" t="s">
        <v>64</v>
      </c>
      <c r="BL11" s="13" t="s">
        <v>65</v>
      </c>
      <c r="BM11" s="13" t="s">
        <v>66</v>
      </c>
      <c r="BN11" s="13" t="s">
        <v>67</v>
      </c>
      <c r="BO11" s="13" t="s">
        <v>68</v>
      </c>
      <c r="BP11" s="13" t="s">
        <v>69</v>
      </c>
      <c r="BQ11" s="13" t="s">
        <v>70</v>
      </c>
      <c r="BR11" s="13" t="s">
        <v>71</v>
      </c>
      <c r="BS11" s="13" t="s">
        <v>72</v>
      </c>
      <c r="BT11" s="13" t="s">
        <v>73</v>
      </c>
      <c r="BU11" s="13" t="s">
        <v>74</v>
      </c>
      <c r="BV11" s="13" t="s">
        <v>75</v>
      </c>
      <c r="BW11" s="13" t="s">
        <v>76</v>
      </c>
      <c r="BX11" s="13" t="s">
        <v>77</v>
      </c>
      <c r="BY11" s="13" t="s">
        <v>78</v>
      </c>
      <c r="BZ11" s="13" t="s">
        <v>79</v>
      </c>
      <c r="CA11" s="13" t="s">
        <v>80</v>
      </c>
      <c r="CB11" s="13" t="s">
        <v>81</v>
      </c>
      <c r="CC11" s="13" t="s">
        <v>82</v>
      </c>
      <c r="CD11" s="13" t="s">
        <v>83</v>
      </c>
      <c r="CE11" s="13" t="s">
        <v>84</v>
      </c>
      <c r="CF11" s="13" t="s">
        <v>85</v>
      </c>
      <c r="CG11" s="13" t="s">
        <v>86</v>
      </c>
      <c r="CH11" s="13" t="s">
        <v>87</v>
      </c>
      <c r="CI11" s="13" t="s">
        <v>88</v>
      </c>
      <c r="CJ11" s="13" t="s">
        <v>89</v>
      </c>
      <c r="CK11" s="13" t="s">
        <v>90</v>
      </c>
      <c r="CL11" s="13" t="s">
        <v>91</v>
      </c>
      <c r="CM11" s="13" t="s">
        <v>92</v>
      </c>
      <c r="CN11" s="13" t="s">
        <v>93</v>
      </c>
      <c r="CO11" s="13" t="s">
        <v>94</v>
      </c>
      <c r="CP11" s="13" t="s">
        <v>95</v>
      </c>
      <c r="CQ11" s="13" t="s">
        <v>96</v>
      </c>
      <c r="CR11" s="13" t="s">
        <v>97</v>
      </c>
      <c r="CS11" s="13" t="s">
        <v>98</v>
      </c>
      <c r="CT11" s="13" t="s">
        <v>99</v>
      </c>
      <c r="CU11" s="13" t="s">
        <v>100</v>
      </c>
      <c r="CV11" s="13" t="s">
        <v>101</v>
      </c>
      <c r="CW11" s="13" t="s">
        <v>102</v>
      </c>
      <c r="CX11" s="13" t="s">
        <v>103</v>
      </c>
      <c r="CY11" s="13" t="s">
        <v>104</v>
      </c>
      <c r="CZ11" s="13" t="s">
        <v>105</v>
      </c>
      <c r="DA11" s="13" t="s">
        <v>106</v>
      </c>
      <c r="DB11" s="13" t="s">
        <v>107</v>
      </c>
      <c r="DC11" s="13" t="s">
        <v>108</v>
      </c>
      <c r="DD11" s="13" t="s">
        <v>109</v>
      </c>
      <c r="DE11" s="13" t="s">
        <v>110</v>
      </c>
      <c r="DF11" s="13" t="s">
        <v>111</v>
      </c>
      <c r="DG11" s="13" t="s">
        <v>112</v>
      </c>
      <c r="DH11" s="13" t="s">
        <v>113</v>
      </c>
      <c r="DI11" s="13" t="s">
        <v>114</v>
      </c>
      <c r="DJ11" s="13" t="s">
        <v>115</v>
      </c>
      <c r="DK11" s="13" t="s">
        <v>116</v>
      </c>
      <c r="DL11" s="13" t="s">
        <v>117</v>
      </c>
      <c r="DM11" s="13" t="s">
        <v>118</v>
      </c>
      <c r="DN11" s="13" t="s">
        <v>119</v>
      </c>
      <c r="DO11" s="13" t="s">
        <v>120</v>
      </c>
      <c r="DP11" s="13" t="s">
        <v>121</v>
      </c>
      <c r="DQ11" s="13" t="s">
        <v>122</v>
      </c>
      <c r="DR11" s="13" t="s">
        <v>123</v>
      </c>
      <c r="DS11" s="13" t="s">
        <v>124</v>
      </c>
      <c r="DT11" s="13" t="s">
        <v>125</v>
      </c>
      <c r="DU11" s="13" t="s">
        <v>126</v>
      </c>
      <c r="DV11" s="13" t="s">
        <v>127</v>
      </c>
      <c r="DW11" s="13" t="s">
        <v>128</v>
      </c>
      <c r="DX11" s="13" t="s">
        <v>129</v>
      </c>
      <c r="DY11" s="13" t="s">
        <v>130</v>
      </c>
      <c r="DZ11" s="13" t="s">
        <v>131</v>
      </c>
      <c r="EA11" s="13" t="s">
        <v>132</v>
      </c>
      <c r="EB11" s="13" t="s">
        <v>133</v>
      </c>
      <c r="EC11" s="13" t="s">
        <v>134</v>
      </c>
      <c r="ED11" s="13" t="s">
        <v>135</v>
      </c>
      <c r="EE11" s="13" t="s">
        <v>144</v>
      </c>
    </row>
    <row r="12" spans="1:136" ht="16">
      <c r="A12" s="6" t="s">
        <v>151</v>
      </c>
      <c r="B12" s="11">
        <v>4.6867682744863907E-2</v>
      </c>
      <c r="C12" s="11">
        <f>B12+預測IC!D12</f>
        <v>6.7497219955264823E-2</v>
      </c>
      <c r="D12" s="11">
        <f>C12+預測IC!E12</f>
        <v>0.11552404334246735</v>
      </c>
      <c r="E12" s="11">
        <f>D12+預測IC!F12</f>
        <v>9.6706327597063046E-2</v>
      </c>
      <c r="F12" s="11">
        <f>E12+預測IC!G12</f>
        <v>0.10530353051021479</v>
      </c>
      <c r="G12" s="11">
        <f>F12+預測IC!H12</f>
        <v>0.14383404276010273</v>
      </c>
      <c r="H12" s="11">
        <f>G12+預測IC!I12</f>
        <v>0.15664383145326821</v>
      </c>
      <c r="I12" s="11">
        <f>H12+預測IC!J12</f>
        <v>0.12723570861427835</v>
      </c>
      <c r="J12" s="11">
        <f>I12+預測IC!K12</f>
        <v>0.14601008875160956</v>
      </c>
      <c r="K12" s="11">
        <f>J12+預測IC!L12</f>
        <v>0.14473028820441605</v>
      </c>
      <c r="L12" s="11">
        <f>K12+預測IC!M12</f>
        <v>0.14433381119649299</v>
      </c>
      <c r="M12" s="11">
        <f>L12+預測IC!N12</f>
        <v>0.21366079797484588</v>
      </c>
      <c r="N12" s="11">
        <f>M12+預測IC!O12</f>
        <v>0.19642005891979331</v>
      </c>
      <c r="O12" s="11">
        <f>N12+預測IC!P12</f>
        <v>0.19605398878930341</v>
      </c>
      <c r="P12" s="11">
        <f>O12+預測IC!Q12</f>
        <v>0.16078410333682502</v>
      </c>
      <c r="Q12" s="11">
        <f>P12+預測IC!R12</f>
        <v>0.16744698713206188</v>
      </c>
      <c r="R12" s="11">
        <f>Q12+預測IC!S12</f>
        <v>0.15097459239012984</v>
      </c>
      <c r="S12" s="11">
        <f>R12+預測IC!T12</f>
        <v>0.14323479232111683</v>
      </c>
      <c r="T12" s="11">
        <f>S12+預測IC!U12</f>
        <v>0.16343560665499968</v>
      </c>
      <c r="U12" s="11">
        <f>T12+預測IC!V12</f>
        <v>0.16964007672434414</v>
      </c>
      <c r="V12" s="11">
        <f>U12+預測IC!W12</f>
        <v>0.23367949170972513</v>
      </c>
      <c r="W12" s="11">
        <f>V12+預測IC!X12</f>
        <v>0.20792986709645273</v>
      </c>
      <c r="X12" s="11">
        <f>W12+預測IC!Y12</f>
        <v>0.2233702355100135</v>
      </c>
      <c r="Y12" s="11">
        <f>X12+預測IC!Z12</f>
        <v>0.22853614311981701</v>
      </c>
      <c r="Z12" s="11">
        <f>Y12+預測IC!AA12</f>
        <v>0.21661930309158128</v>
      </c>
      <c r="AA12" s="11">
        <f>Z12+預測IC!AB12</f>
        <v>0.21290788467624791</v>
      </c>
      <c r="AB12" s="11">
        <f>AA12+預測IC!AC12</f>
        <v>0.21807526443670447</v>
      </c>
      <c r="AC12" s="11">
        <f>AB12+預測IC!AD12</f>
        <v>0.22930606321485347</v>
      </c>
      <c r="AD12" s="11">
        <f>AC12+預測IC!AE12</f>
        <v>0.1709891001437546</v>
      </c>
      <c r="AE12" s="11">
        <f>AD12+預測IC!AF12</f>
        <v>0.12480759122392104</v>
      </c>
      <c r="AF12" s="11">
        <f>AE12+預測IC!AG12</f>
        <v>0.13688671918712245</v>
      </c>
      <c r="AG12" s="11">
        <f>AF12+預測IC!AH12</f>
        <v>0.15698007743839262</v>
      </c>
      <c r="AH12" s="11">
        <f>AG12+預測IC!AI12</f>
        <v>0.17598454260873198</v>
      </c>
      <c r="AI12" s="11">
        <f>AH12+預測IC!AJ12</f>
        <v>0.19704680530240554</v>
      </c>
      <c r="AJ12" s="11">
        <f>AI12+預測IC!AK12</f>
        <v>0.24440146683811909</v>
      </c>
      <c r="AK12" s="11">
        <f>AJ12+預測IC!AL12</f>
        <v>0.2785070880816955</v>
      </c>
      <c r="AL12" s="11">
        <f>AK12+預測IC!AM12</f>
        <v>0.29871340396873186</v>
      </c>
      <c r="AM12" s="11">
        <f>AL12+預測IC!AN12</f>
        <v>0.24158011400909332</v>
      </c>
      <c r="AN12" s="11">
        <f>AM12+預測IC!AO12</f>
        <v>0.25328415712805502</v>
      </c>
      <c r="AO12" s="11">
        <f>AN12+預測IC!AP12</f>
        <v>0.24865022060022587</v>
      </c>
      <c r="AP12" s="11">
        <f>AO12+預測IC!AQ12</f>
        <v>0.24196787781442786</v>
      </c>
      <c r="AQ12" s="11">
        <f>AP12+預測IC!AR12</f>
        <v>0.23446344972566779</v>
      </c>
      <c r="AR12" s="11">
        <f>AQ12+預測IC!AS12</f>
        <v>0.22862023688627733</v>
      </c>
      <c r="AS12" s="11">
        <f>AR12+預測IC!AT12</f>
        <v>0.20632357638493834</v>
      </c>
      <c r="AT12" s="11">
        <f>AS12+預測IC!AU12</f>
        <v>0.26973383843930987</v>
      </c>
      <c r="AU12" s="11">
        <f>AT12+預測IC!AV12</f>
        <v>0.24794394321488336</v>
      </c>
      <c r="AV12" s="11">
        <f>AU12+預測IC!AW12</f>
        <v>0.24558679594446389</v>
      </c>
      <c r="AW12" s="11">
        <f>AV12+預測IC!AX12</f>
        <v>0.23692871070220697</v>
      </c>
      <c r="AX12" s="11">
        <f>AW12+預測IC!AY12</f>
        <v>0.22921456142786367</v>
      </c>
      <c r="AY12" s="11">
        <f>AX12+預測IC!AZ12</f>
        <v>0.29577836460715556</v>
      </c>
      <c r="AZ12" s="11">
        <f>AY12+預測IC!BA12</f>
        <v>0.36705452088809049</v>
      </c>
      <c r="BA12" s="11">
        <f>AZ12+預測IC!BB12</f>
        <v>0.3728399158023657</v>
      </c>
      <c r="BB12" s="11">
        <f>BA12+預測IC!BC12</f>
        <v>0.38582549218981116</v>
      </c>
      <c r="BC12" s="11">
        <f>BB12+預測IC!BD12</f>
        <v>0.39404707233127267</v>
      </c>
      <c r="BD12" s="11">
        <f>BC12+預測IC!BE12</f>
        <v>0.34844852734620563</v>
      </c>
      <c r="BE12" s="11">
        <f>BD12+預測IC!BF12</f>
        <v>0.32484746739760256</v>
      </c>
      <c r="BF12" s="11">
        <f>BE12+預測IC!BG12</f>
        <v>0.33485152605155422</v>
      </c>
      <c r="BG12" s="11">
        <f>BF12+預測IC!BH12</f>
        <v>0.30992938076268078</v>
      </c>
      <c r="BH12" s="11">
        <f>BG12+預測IC!BI12</f>
        <v>0.33076714209859365</v>
      </c>
      <c r="BI12" s="11">
        <f>BH12+預測IC!BJ12</f>
        <v>0.33156313541851146</v>
      </c>
      <c r="BJ12" s="11">
        <f>BI12+預測IC!BK12</f>
        <v>0.31148748341523336</v>
      </c>
      <c r="BK12" s="11">
        <f>BJ12+預測IC!BL12</f>
        <v>0.32254785212627274</v>
      </c>
      <c r="BL12" s="11">
        <f>BK12+預測IC!BM12</f>
        <v>0.2923759435892832</v>
      </c>
      <c r="BM12" s="11">
        <f>BL12+預測IC!BN12</f>
        <v>0.31187848179940286</v>
      </c>
      <c r="BN12" s="11">
        <f>BM12+預測IC!BO12</f>
        <v>0.3287922507987337</v>
      </c>
      <c r="BO12" s="11">
        <f>BN12+預測IC!BP12</f>
        <v>0.3023702934645664</v>
      </c>
      <c r="BP12" s="11">
        <f>BO12+預測IC!BQ12</f>
        <v>0.31079295201044477</v>
      </c>
      <c r="BQ12" s="11">
        <f>BP12+預測IC!BR12</f>
        <v>0.33064652985181059</v>
      </c>
      <c r="BR12" s="11">
        <f>BQ12+預測IC!BS12</f>
        <v>0.35620751114617455</v>
      </c>
      <c r="BS12" s="11">
        <f>BR12+預測IC!BT12</f>
        <v>0.33491941391407581</v>
      </c>
      <c r="BT12" s="11">
        <f>BS12+預測IC!BU12</f>
        <v>0.28683604433790011</v>
      </c>
      <c r="BU12" s="11">
        <f>BT12+預測IC!BV12</f>
        <v>0.31888927050829469</v>
      </c>
      <c r="BV12" s="11">
        <f>BU12+預測IC!BW12</f>
        <v>0.37437683001793032</v>
      </c>
      <c r="BW12" s="11">
        <f>BV12+預測IC!BX12</f>
        <v>0.39036098165866023</v>
      </c>
      <c r="BX12" s="11">
        <f>BW12+預測IC!BY12</f>
        <v>0.34454499542582995</v>
      </c>
      <c r="BY12" s="11">
        <f>BX12+預測IC!BZ12</f>
        <v>0.34832213961771746</v>
      </c>
      <c r="BZ12" s="11">
        <f>BY12+預測IC!CA12</f>
        <v>0.36290269717112028</v>
      </c>
      <c r="CA12" s="11">
        <f>BZ12+預測IC!CB12</f>
        <v>0.43537857324329959</v>
      </c>
      <c r="CB12" s="11">
        <f>CA12+預測IC!CC12</f>
        <v>0.50094518587098946</v>
      </c>
      <c r="CC12" s="11">
        <f>CB12+預測IC!CD12</f>
        <v>0.54520367443493079</v>
      </c>
      <c r="CD12" s="11">
        <f>CC12+預測IC!CE12</f>
        <v>0.69921068732467262</v>
      </c>
      <c r="CE12" s="11">
        <f>CD12+預測IC!CF12</f>
        <v>0.70328858260844751</v>
      </c>
      <c r="CF12" s="11">
        <f>CE12+預測IC!CG12</f>
        <v>0.70359723110579964</v>
      </c>
      <c r="CG12" s="11">
        <f>CF12+預測IC!CH12</f>
        <v>0.69414421506766688</v>
      </c>
      <c r="CH12" s="11">
        <f>CG12+預測IC!CI12</f>
        <v>0.6698027170160531</v>
      </c>
      <c r="CI12" s="11">
        <f>CH12+預測IC!CJ12</f>
        <v>0.67337119718796234</v>
      </c>
      <c r="CJ12" s="11">
        <f>CI12+預測IC!CK12</f>
        <v>0.70788595202526017</v>
      </c>
      <c r="CK12" s="11">
        <f>CJ12+預測IC!CL12</f>
        <v>0.74101996245673574</v>
      </c>
      <c r="CL12" s="11">
        <f>CK12+預測IC!CM12</f>
        <v>0.66931157443952349</v>
      </c>
      <c r="CM12" s="11">
        <f>CL12+預測IC!CN12</f>
        <v>0.64600403340760437</v>
      </c>
      <c r="CN12" s="11">
        <f>CM12+預測IC!CO12</f>
        <v>0.71729627628119608</v>
      </c>
      <c r="CO12" s="11">
        <f>CN12+預測IC!CP12</f>
        <v>0.70450011808879232</v>
      </c>
      <c r="CP12" s="11">
        <f>CO12+預測IC!CQ12</f>
        <v>0.77447686481289757</v>
      </c>
      <c r="CQ12" s="11">
        <f>CP12+預測IC!CR12</f>
        <v>0.8226234901001992</v>
      </c>
      <c r="CR12" s="11">
        <f>CQ12+預測IC!CS12</f>
        <v>0.80811383966172967</v>
      </c>
      <c r="CS12" s="11">
        <f>CR12+預測IC!CT12</f>
        <v>0.80907548586563216</v>
      </c>
      <c r="CT12" s="11">
        <f>CS12+預測IC!CU12</f>
        <v>0.82304311268100683</v>
      </c>
      <c r="CU12" s="11">
        <f>CT12+預測IC!CV12</f>
        <v>0.82736636803579866</v>
      </c>
      <c r="CV12" s="11">
        <f>CU12+預測IC!CW12</f>
        <v>0.85712405746416609</v>
      </c>
      <c r="CW12" s="11">
        <f>CV12+預測IC!CX12</f>
        <v>0.90367151592863471</v>
      </c>
      <c r="CX12" s="11">
        <f>CW12+預測IC!CY12</f>
        <v>0.94974449359408963</v>
      </c>
      <c r="CY12" s="11">
        <f>CX12+預測IC!CZ12</f>
        <v>1.0383062197227846</v>
      </c>
      <c r="CZ12" s="11">
        <f>CY12+預測IC!DA12</f>
        <v>1.0752848810819797</v>
      </c>
      <c r="DA12" s="11">
        <f>CZ12+預測IC!DB12</f>
        <v>1.1642666975800247</v>
      </c>
      <c r="DB12" s="11">
        <f>DA12+預測IC!DC12</f>
        <v>1.1742938807447119</v>
      </c>
      <c r="DC12" s="11">
        <f>DB12+預測IC!DD12</f>
        <v>1.1352018834132047</v>
      </c>
      <c r="DD12" s="11">
        <f>DC12+預測IC!DE12</f>
        <v>1.0979663385859399</v>
      </c>
      <c r="DE12" s="11">
        <f>DD12+預測IC!DF12</f>
        <v>1.1534520726680129</v>
      </c>
      <c r="DF12" s="11">
        <f>DE12+預測IC!DG12</f>
        <v>1.1070422548884882</v>
      </c>
      <c r="DG12" s="11">
        <f>DF12+預測IC!DH12</f>
        <v>1.1017801111136851</v>
      </c>
      <c r="DH12" s="11">
        <f>DG12+預測IC!DI12</f>
        <v>1.0473369381215527</v>
      </c>
      <c r="DI12" s="11">
        <f>DH12+預測IC!DJ12</f>
        <v>1.0553995363763231</v>
      </c>
      <c r="DJ12" s="11">
        <f>DI12+預測IC!DK12</f>
        <v>1.0234713370437276</v>
      </c>
      <c r="DK12" s="11">
        <f>DJ12+預測IC!DL12</f>
        <v>1.026560448553657</v>
      </c>
      <c r="DL12" s="11">
        <f>DK12+預測IC!DM12</f>
        <v>1.0073227549730961</v>
      </c>
      <c r="DM12" s="11">
        <f>DL12+預測IC!DN12</f>
        <v>1.0292394865678585</v>
      </c>
      <c r="DN12" s="11">
        <f>DM12+預測IC!DO12</f>
        <v>1.0597964286693493</v>
      </c>
      <c r="DO12" s="11">
        <f>DN12+預測IC!DP12</f>
        <v>1.1057499766842673</v>
      </c>
      <c r="DP12" s="11">
        <f>DO12+預測IC!DQ12</f>
        <v>1.0718878563312189</v>
      </c>
      <c r="DQ12" s="11">
        <f>DP12+預測IC!DR12</f>
        <v>1.0889528357813369</v>
      </c>
      <c r="DR12" s="11">
        <f>DQ12+預測IC!DS12</f>
        <v>1.1586033878510367</v>
      </c>
      <c r="DS12" s="11">
        <f>DR12+預測IC!DT12</f>
        <v>1.1837210038818728</v>
      </c>
      <c r="DT12" s="11">
        <f>DS12+預測IC!DU12</f>
        <v>1.1264907207375643</v>
      </c>
      <c r="DU12" s="11">
        <f>DT12+預測IC!DV12</f>
        <v>1.1560307815385726</v>
      </c>
      <c r="DV12" s="11">
        <f>DU12+預測IC!DW12</f>
        <v>1.2009986157510981</v>
      </c>
      <c r="DW12" s="11">
        <f>DV12+預測IC!DX12</f>
        <v>1.1513794089478706</v>
      </c>
      <c r="DX12" s="11">
        <f>DW12+預測IC!DY12</f>
        <v>1.1686245568851006</v>
      </c>
      <c r="DY12" s="11">
        <f>DX12+預測IC!DZ12</f>
        <v>1.174810152984004</v>
      </c>
      <c r="DZ12" s="11">
        <f>DY12+預測IC!EA12</f>
        <v>1.2259077855215352</v>
      </c>
      <c r="EA12" s="11">
        <f>DZ12+預測IC!EB12</f>
        <v>1.2316937560819159</v>
      </c>
      <c r="EB12" s="11">
        <f>EA12+預測IC!EC12</f>
        <v>1.2218873747465315</v>
      </c>
      <c r="EC12" s="11">
        <f>EB12+預測IC!ED12</f>
        <v>1.2149298932188073</v>
      </c>
      <c r="ED12" s="11">
        <f>EC12+預測IC!EE12</f>
        <v>1.1884230010576595</v>
      </c>
      <c r="EE12" s="11">
        <f>ED12+[1]預測IC!EF12</f>
        <v>1.2276563490964552</v>
      </c>
    </row>
    <row r="13" spans="1:136" ht="16">
      <c r="A13" s="6" t="s">
        <v>152</v>
      </c>
      <c r="B13" s="9">
        <v>5.420904267159625E-2</v>
      </c>
      <c r="C13" s="11">
        <f>B13+預測IC!D13</f>
        <v>8.2221133504003951E-2</v>
      </c>
      <c r="D13" s="11">
        <f>C13+預測IC!E13</f>
        <v>0.15208268985681039</v>
      </c>
      <c r="E13" s="11">
        <f>D13+預測IC!F13</f>
        <v>0.11716053397415588</v>
      </c>
      <c r="F13" s="11">
        <f>E13+預測IC!G13</f>
        <v>0.10225255421685249</v>
      </c>
      <c r="G13" s="11">
        <f>F13+預測IC!H13</f>
        <v>0.13224218594257375</v>
      </c>
      <c r="H13" s="11">
        <f>G13+預測IC!I13</f>
        <v>0.16137278086627141</v>
      </c>
      <c r="I13" s="11">
        <f>H13+預測IC!J13</f>
        <v>0.11747355378885929</v>
      </c>
      <c r="J13" s="11">
        <f>I13+預測IC!K13</f>
        <v>0.11610624696241183</v>
      </c>
      <c r="K13" s="11">
        <f>J13+預測IC!L13</f>
        <v>8.4811286803500585E-2</v>
      </c>
      <c r="L13" s="11">
        <f>K13+預測IC!M13</f>
        <v>0.1104983889497359</v>
      </c>
      <c r="M13" s="11">
        <f>L13+預測IC!N13</f>
        <v>0.2103053059064065</v>
      </c>
      <c r="N13" s="11">
        <f>M13+預測IC!O13</f>
        <v>0.17051601427977406</v>
      </c>
      <c r="O13" s="11">
        <f>N13+預測IC!P13</f>
        <v>0.18730764201786468</v>
      </c>
      <c r="P13" s="11">
        <f>O13+預測IC!Q13</f>
        <v>0.11408327353030724</v>
      </c>
      <c r="Q13" s="11">
        <f>P13+預測IC!R13</f>
        <v>0.12824321801634378</v>
      </c>
      <c r="R13" s="11">
        <f>Q13+預測IC!S13</f>
        <v>0.11599954680743078</v>
      </c>
      <c r="S13" s="11">
        <f>R13+預測IC!T13</f>
        <v>9.4365948742564376E-2</v>
      </c>
      <c r="T13" s="11">
        <f>S13+預測IC!U13</f>
        <v>0.15032341927330864</v>
      </c>
      <c r="U13" s="11">
        <f>T13+預測IC!V13</f>
        <v>0.13022909125943416</v>
      </c>
      <c r="V13" s="11">
        <f>U13+預測IC!W13</f>
        <v>0.20570565311958439</v>
      </c>
      <c r="W13" s="11">
        <f>V13+預測IC!X13</f>
        <v>0.15242875839364076</v>
      </c>
      <c r="X13" s="11">
        <f>W13+預測IC!Y13</f>
        <v>0.16634975095128943</v>
      </c>
      <c r="Y13" s="11">
        <f>X13+預測IC!Z13</f>
        <v>0.1869335121204177</v>
      </c>
      <c r="Z13" s="11">
        <f>Y13+預測IC!AA13</f>
        <v>0.17049289267009335</v>
      </c>
      <c r="AA13" s="11">
        <f>Z13+預測IC!AB13</f>
        <v>0.15445679398487239</v>
      </c>
      <c r="AB13" s="11">
        <f>AA13+預測IC!AC13</f>
        <v>0.16248823378082278</v>
      </c>
      <c r="AC13" s="11">
        <f>AB13+預測IC!AD13</f>
        <v>0.18403192356609818</v>
      </c>
      <c r="AD13" s="11">
        <f>AC13+預測IC!AE13</f>
        <v>0.11831254153848771</v>
      </c>
      <c r="AE13" s="11">
        <f>AD13+預測IC!AF13</f>
        <v>6.6376983715350793E-2</v>
      </c>
      <c r="AF13" s="11">
        <f>AE13+預測IC!AG13</f>
        <v>6.9659293896303306E-2</v>
      </c>
      <c r="AG13" s="11">
        <f>AF13+預測IC!AH13</f>
        <v>0.10153480882621935</v>
      </c>
      <c r="AH13" s="11">
        <f>AG13+預測IC!AI13</f>
        <v>0.11360235890029216</v>
      </c>
      <c r="AI13" s="11">
        <f>AH13+預測IC!AJ13</f>
        <v>0.13348868293146987</v>
      </c>
      <c r="AJ13" s="11">
        <f>AI13+預測IC!AK13</f>
        <v>0.19947659574212587</v>
      </c>
      <c r="AK13" s="11">
        <f>AJ13+預測IC!AL13</f>
        <v>0.22202695332866271</v>
      </c>
      <c r="AL13" s="11">
        <f>AK13+預測IC!AM13</f>
        <v>0.21974470985033911</v>
      </c>
      <c r="AM13" s="11">
        <f>AL13+預測IC!AN13</f>
        <v>0.14849948978798438</v>
      </c>
      <c r="AN13" s="11">
        <f>AM13+預測IC!AO13</f>
        <v>0.15151989871420246</v>
      </c>
      <c r="AO13" s="11">
        <f>AN13+預測IC!AP13</f>
        <v>0.14493190880655971</v>
      </c>
      <c r="AP13" s="11">
        <f>AO13+預測IC!AQ13</f>
        <v>0.1338489143434369</v>
      </c>
      <c r="AQ13" s="11">
        <f>AP13+預測IC!AR13</f>
        <v>0.14309964682671308</v>
      </c>
      <c r="AR13" s="11">
        <f>AQ13+預測IC!AS13</f>
        <v>0.14116304114552461</v>
      </c>
      <c r="AS13" s="11">
        <f>AR13+預測IC!AT13</f>
        <v>0.1428530040863433</v>
      </c>
      <c r="AT13" s="11">
        <f>AS13+預測IC!AU13</f>
        <v>0.21963733771471766</v>
      </c>
      <c r="AU13" s="11">
        <f>AT13+預測IC!AV13</f>
        <v>0.20867842748441714</v>
      </c>
      <c r="AV13" s="11">
        <f>AU13+預測IC!AW13</f>
        <v>0.23429443665231411</v>
      </c>
      <c r="AW13" s="11">
        <f>AV13+預測IC!AX13</f>
        <v>0.22241346836688147</v>
      </c>
      <c r="AX13" s="11">
        <f>AW13+預測IC!AY13</f>
        <v>0.19874085964351404</v>
      </c>
      <c r="AY13" s="11">
        <f>AX13+預測IC!AZ13</f>
        <v>0.25419063559907912</v>
      </c>
      <c r="AZ13" s="11">
        <f>AY13+預測IC!BA13</f>
        <v>0.33401975594286748</v>
      </c>
      <c r="BA13" s="11">
        <f>AZ13+預測IC!BB13</f>
        <v>0.36006610147576351</v>
      </c>
      <c r="BB13" s="11">
        <f>BA13+預測IC!BC13</f>
        <v>0.37309268172941112</v>
      </c>
      <c r="BC13" s="11">
        <f>BB13+預測IC!BD13</f>
        <v>0.38405499490575085</v>
      </c>
      <c r="BD13" s="11">
        <f>BC13+預測IC!BE13</f>
        <v>0.33800673831827233</v>
      </c>
      <c r="BE13" s="11">
        <f>BD13+預測IC!BF13</f>
        <v>0.3117038415280548</v>
      </c>
      <c r="BF13" s="11">
        <f>BE13+預測IC!BG13</f>
        <v>0.32003490714390248</v>
      </c>
      <c r="BG13" s="11">
        <f>BF13+預測IC!BH13</f>
        <v>0.28609065255653915</v>
      </c>
      <c r="BH13" s="11">
        <f>BG13+預測IC!BI13</f>
        <v>0.31192302243668818</v>
      </c>
      <c r="BI13" s="11">
        <f>BH13+預測IC!BJ13</f>
        <v>0.32957713096285085</v>
      </c>
      <c r="BJ13" s="11">
        <f>BI13+預測IC!BK13</f>
        <v>0.3044513575996588</v>
      </c>
      <c r="BK13" s="11">
        <f>BJ13+預測IC!BL13</f>
        <v>0.31807053595927409</v>
      </c>
      <c r="BL13" s="11">
        <f>BK13+預測IC!BM13</f>
        <v>0.29086666857466337</v>
      </c>
      <c r="BM13" s="11">
        <f>BL13+預測IC!BN13</f>
        <v>0.28676513134909482</v>
      </c>
      <c r="BN13" s="11">
        <f>BM13+預測IC!BO13</f>
        <v>0.29017184585736328</v>
      </c>
      <c r="BO13" s="11">
        <f>BN13+預測IC!BP13</f>
        <v>0.28222069943958866</v>
      </c>
      <c r="BP13" s="11">
        <f>BO13+預測IC!BQ13</f>
        <v>0.32179658845859943</v>
      </c>
      <c r="BQ13" s="11">
        <f>BP13+預測IC!BR13</f>
        <v>0.32706139665631317</v>
      </c>
      <c r="BR13" s="11">
        <f>BQ13+預測IC!BS13</f>
        <v>0.35159967597872382</v>
      </c>
      <c r="BS13" s="11">
        <f>BR13+預測IC!BT13</f>
        <v>0.31793190622080464</v>
      </c>
      <c r="BT13" s="11">
        <f>BS13+預測IC!BU13</f>
        <v>0.24327373821103077</v>
      </c>
      <c r="BU13" s="11">
        <f>BT13+預測IC!BV13</f>
        <v>0.2747144766466435</v>
      </c>
      <c r="BV13" s="11">
        <f>BU13+預測IC!BW13</f>
        <v>0.36094463129793575</v>
      </c>
      <c r="BW13" s="11">
        <f>BV13+預測IC!BX13</f>
        <v>0.36242206607417787</v>
      </c>
      <c r="BX13" s="11">
        <f>BW13+預測IC!BY13</f>
        <v>0.33159430640980464</v>
      </c>
      <c r="BY13" s="11">
        <f>BX13+預測IC!BZ13</f>
        <v>0.31783515953693409</v>
      </c>
      <c r="BZ13" s="11">
        <f>BY13+預測IC!CA13</f>
        <v>0.34184783332905877</v>
      </c>
      <c r="CA13" s="11">
        <f>BZ13+預測IC!CB13</f>
        <v>0.46227480506109397</v>
      </c>
      <c r="CB13" s="11">
        <f>CA13+預測IC!CC13</f>
        <v>0.58239297879932717</v>
      </c>
      <c r="CC13" s="11">
        <f>CB13+預測IC!CD13</f>
        <v>0.63764902682075786</v>
      </c>
      <c r="CD13" s="11">
        <f>CC13+預測IC!CE13</f>
        <v>0.8214768632763666</v>
      </c>
      <c r="CE13" s="11">
        <f>CD13+預測IC!CF13</f>
        <v>0.83970580411299411</v>
      </c>
      <c r="CF13" s="11">
        <f>CE13+預測IC!CG13</f>
        <v>0.84726607278936827</v>
      </c>
      <c r="CG13" s="11">
        <f>CF13+預測IC!CH13</f>
        <v>0.82160829044300165</v>
      </c>
      <c r="CH13" s="11">
        <f>CG13+預測IC!CI13</f>
        <v>0.81371275600709347</v>
      </c>
      <c r="CI13" s="11">
        <f>CH13+預測IC!CJ13</f>
        <v>0.83459408312301964</v>
      </c>
      <c r="CJ13" s="11">
        <f>CI13+預測IC!CK13</f>
        <v>0.86645368015808155</v>
      </c>
      <c r="CK13" s="11">
        <f>CJ13+預測IC!CL13</f>
        <v>0.91045407140547008</v>
      </c>
      <c r="CL13" s="11">
        <f>CK13+預測IC!CM13</f>
        <v>0.80900185269145153</v>
      </c>
      <c r="CM13" s="11">
        <f>CL13+預測IC!CN13</f>
        <v>0.77887082784616091</v>
      </c>
      <c r="CN13" s="11">
        <f>CM13+預測IC!CO13</f>
        <v>0.86443706715423752</v>
      </c>
      <c r="CO13" s="11">
        <f>CN13+預測IC!CP13</f>
        <v>0.83005952797822713</v>
      </c>
      <c r="CP13" s="11">
        <f>CO13+預測IC!CQ13</f>
        <v>0.89717243307237227</v>
      </c>
      <c r="CQ13" s="11">
        <f>CP13+預測IC!CR13</f>
        <v>0.96155308180978449</v>
      </c>
      <c r="CR13" s="11">
        <f>CQ13+預測IC!CS13</f>
        <v>0.96550073247274504</v>
      </c>
      <c r="CS13" s="11">
        <f>CR13+預測IC!CT13</f>
        <v>0.95742993315636638</v>
      </c>
      <c r="CT13" s="11">
        <f>CS13+預測IC!CU13</f>
        <v>0.96846114756303814</v>
      </c>
      <c r="CU13" s="11">
        <f>CT13+預測IC!CV13</f>
        <v>0.99278013058173475</v>
      </c>
      <c r="CV13" s="11">
        <f>CU13+預測IC!CW13</f>
        <v>1.0032370935130535</v>
      </c>
      <c r="CW13" s="11">
        <f>CV13+預測IC!CX13</f>
        <v>1.0082243890641667</v>
      </c>
      <c r="CX13" s="11">
        <f>CW13+預測IC!CY13</f>
        <v>1.0731982138362119</v>
      </c>
      <c r="CY13" s="11">
        <f>CX13+預測IC!CZ13</f>
        <v>1.1634884192732078</v>
      </c>
      <c r="CZ13" s="11">
        <f>CY13+預測IC!DA13</f>
        <v>1.2129344529580868</v>
      </c>
      <c r="DA13" s="11">
        <f>CZ13+預測IC!DB13</f>
        <v>1.3191697742610404</v>
      </c>
      <c r="DB13" s="11">
        <f>DA13+預測IC!DC13</f>
        <v>1.3427107729294789</v>
      </c>
      <c r="DC13" s="11">
        <f>DB13+預測IC!DD13</f>
        <v>1.2913041193266606</v>
      </c>
      <c r="DD13" s="11">
        <f>DC13+預測IC!DE13</f>
        <v>1.2487399403954098</v>
      </c>
      <c r="DE13" s="11">
        <f>DD13+預測IC!DF13</f>
        <v>1.3318621274634401</v>
      </c>
      <c r="DF13" s="11">
        <f>DE13+預測IC!DG13</f>
        <v>1.2841330438569807</v>
      </c>
      <c r="DG13" s="11">
        <f>DF13+預測IC!DH13</f>
        <v>1.2971252889027727</v>
      </c>
      <c r="DH13" s="11">
        <f>DG13+預測IC!DI13</f>
        <v>1.2505638320885391</v>
      </c>
      <c r="DI13" s="11">
        <f>DH13+預測IC!DJ13</f>
        <v>1.2508463120568349</v>
      </c>
      <c r="DJ13" s="11">
        <f>DI13+預測IC!DK13</f>
        <v>1.2314596781929761</v>
      </c>
      <c r="DK13" s="11">
        <f>DJ13+預測IC!DL13</f>
        <v>1.2585816176245166</v>
      </c>
      <c r="DL13" s="11">
        <f>DK13+預測IC!DM13</f>
        <v>1.2591132402349896</v>
      </c>
      <c r="DM13" s="11">
        <f>DL13+預測IC!DN13</f>
        <v>1.2760484751355938</v>
      </c>
      <c r="DN13" s="11">
        <f>DM13+預測IC!DO13</f>
        <v>1.3139119402203867</v>
      </c>
      <c r="DO13" s="11">
        <f>DN13+預測IC!DP13</f>
        <v>1.3589090908824359</v>
      </c>
      <c r="DP13" s="11">
        <f>DO13+預測IC!DQ13</f>
        <v>1.3249426286304733</v>
      </c>
      <c r="DQ13" s="11">
        <f>DP13+預測IC!DR13</f>
        <v>1.3401111787764344</v>
      </c>
      <c r="DR13" s="11">
        <f>DQ13+預測IC!DS13</f>
        <v>1.4087080314168252</v>
      </c>
      <c r="DS13" s="11">
        <f>DR13+預測IC!DT13</f>
        <v>1.4595392913073306</v>
      </c>
      <c r="DT13" s="11">
        <f>DS13+預測IC!DU13</f>
        <v>1.4265331318647121</v>
      </c>
      <c r="DU13" s="11">
        <f>DT13+預測IC!DV13</f>
        <v>1.4697879106503011</v>
      </c>
      <c r="DV13" s="11">
        <f>DU13+預測IC!DW13</f>
        <v>1.5118165963625017</v>
      </c>
      <c r="DW13" s="11">
        <f>DV13+預測IC!DX13</f>
        <v>1.4471746768719704</v>
      </c>
      <c r="DX13" s="11">
        <f>DW13+預測IC!DY13</f>
        <v>1.4824808148128403</v>
      </c>
      <c r="DY13" s="11">
        <f>DX13+預測IC!DZ13</f>
        <v>1.5007829389591421</v>
      </c>
      <c r="DZ13" s="11">
        <f>DY13+預測IC!EA13</f>
        <v>1.5629016161351719</v>
      </c>
      <c r="EA13" s="11">
        <f>DZ13+預測IC!EB13</f>
        <v>1.563102822354097</v>
      </c>
      <c r="EB13" s="11">
        <f>EA13+預測IC!EC13</f>
        <v>1.5443268187587147</v>
      </c>
      <c r="EC13" s="11">
        <f>EB13+預測IC!ED13</f>
        <v>1.5514115387719081</v>
      </c>
      <c r="ED13" s="11">
        <f>EC13+預測IC!EE13</f>
        <v>1.5101771547759966</v>
      </c>
      <c r="EE13" s="11">
        <f>ED13+[1]預測IC!EF13</f>
        <v>1.5774683115174488</v>
      </c>
    </row>
    <row r="14" spans="1:136" ht="16">
      <c r="A14" s="6" t="s">
        <v>153</v>
      </c>
      <c r="B14" s="9">
        <v>-3.0371566279064999E-2</v>
      </c>
      <c r="C14" s="11">
        <f>B14+預測IC!D14</f>
        <v>5.2975745264236415E-2</v>
      </c>
      <c r="D14" s="11">
        <f>C14+預測IC!E14</f>
        <v>0.15174399340645853</v>
      </c>
      <c r="E14" s="11">
        <f>D14+預測IC!F14</f>
        <v>0.10328985060659868</v>
      </c>
      <c r="F14" s="11">
        <f>E14+預測IC!G14</f>
        <v>6.2269934108673229E-2</v>
      </c>
      <c r="G14" s="11">
        <f>F14+預測IC!H14</f>
        <v>0.12185774054411333</v>
      </c>
      <c r="H14" s="11">
        <f>G14+預測IC!I14</f>
        <v>0.19897270297547828</v>
      </c>
      <c r="I14" s="11">
        <f>H14+預測IC!J14</f>
        <v>9.3878316192770081E-2</v>
      </c>
      <c r="J14" s="11">
        <f>I14+預測IC!K14</f>
        <v>0.10632947770856246</v>
      </c>
      <c r="K14" s="11">
        <f>J14+預測IC!L14</f>
        <v>0.11117667489626927</v>
      </c>
      <c r="L14" s="11">
        <f>K14+預測IC!M14</f>
        <v>3.5225131912224497E-2</v>
      </c>
      <c r="M14" s="11">
        <f>L14+預測IC!N14</f>
        <v>0.24005770705345042</v>
      </c>
      <c r="N14" s="11">
        <f>M14+預測IC!O14</f>
        <v>0.20041539898391603</v>
      </c>
      <c r="O14" s="11">
        <f>N14+預測IC!P14</f>
        <v>0.24819516326672328</v>
      </c>
      <c r="P14" s="11">
        <f>O14+預測IC!Q14</f>
        <v>0.18995721711208843</v>
      </c>
      <c r="Q14" s="11">
        <f>P14+預測IC!R14</f>
        <v>0.17580542080656383</v>
      </c>
      <c r="R14" s="11">
        <f>Q14+預測IC!S14</f>
        <v>0.21433952033258155</v>
      </c>
      <c r="S14" s="11">
        <f>R14+預測IC!T14</f>
        <v>0.19697878909802186</v>
      </c>
      <c r="T14" s="11">
        <f>S14+預測IC!U14</f>
        <v>0.30717131745880044</v>
      </c>
      <c r="U14" s="11">
        <f>T14+預測IC!V14</f>
        <v>0.26879577119429587</v>
      </c>
      <c r="V14" s="11">
        <f>U14+預測IC!W14</f>
        <v>0.38496156172619256</v>
      </c>
      <c r="W14" s="11">
        <f>V14+預測IC!X14</f>
        <v>0.3313798532120093</v>
      </c>
      <c r="X14" s="11">
        <f>W14+預測IC!Y14</f>
        <v>0.31461718985531983</v>
      </c>
      <c r="Y14" s="11">
        <f>X14+預測IC!Z14</f>
        <v>0.33586939095877072</v>
      </c>
      <c r="Z14" s="11">
        <f>Y14+預測IC!AA14</f>
        <v>0.33324199119195674</v>
      </c>
      <c r="AA14" s="11">
        <f>Z14+預測IC!AB14</f>
        <v>0.25825907841983653</v>
      </c>
      <c r="AB14" s="11">
        <f>AA14+預測IC!AC14</f>
        <v>0.22896699465427289</v>
      </c>
      <c r="AC14" s="11">
        <f>AB14+預測IC!AD14</f>
        <v>0.2682948868443028</v>
      </c>
      <c r="AD14" s="11">
        <f>AC14+預測IC!AE14</f>
        <v>0.26427598002142233</v>
      </c>
      <c r="AE14" s="11">
        <f>AD14+預測IC!AF14</f>
        <v>0.17995897084474821</v>
      </c>
      <c r="AF14" s="11">
        <f>AE14+預測IC!AG14</f>
        <v>0.18634917185864125</v>
      </c>
      <c r="AG14" s="11">
        <f>AF14+預測IC!AH14</f>
        <v>0.24975955159165331</v>
      </c>
      <c r="AH14" s="11">
        <f>AG14+預測IC!AI14</f>
        <v>0.32183250251877416</v>
      </c>
      <c r="AI14" s="11">
        <f>AH14+預測IC!AJ14</f>
        <v>0.42229593777415947</v>
      </c>
      <c r="AJ14" s="11">
        <f>AI14+預測IC!AK14</f>
        <v>0.48862268393008368</v>
      </c>
      <c r="AK14" s="11">
        <f>AJ14+預測IC!AL14</f>
        <v>0.50718222618829056</v>
      </c>
      <c r="AL14" s="11">
        <f>AK14+預測IC!AM14</f>
        <v>0.51033173255773578</v>
      </c>
      <c r="AM14" s="11">
        <f>AL14+預測IC!AN14</f>
        <v>0.4000080506015033</v>
      </c>
      <c r="AN14" s="11">
        <f>AM14+預測IC!AO14</f>
        <v>0.39000939986009509</v>
      </c>
      <c r="AO14" s="11">
        <f>AN14+預測IC!AP14</f>
        <v>0.39706422839686001</v>
      </c>
      <c r="AP14" s="11">
        <f>AO14+預測IC!AQ14</f>
        <v>0.38893581168903124</v>
      </c>
      <c r="AQ14" s="11">
        <f>AP14+預測IC!AR14</f>
        <v>0.40710663470791647</v>
      </c>
      <c r="AR14" s="11">
        <f>AQ14+預測IC!AS14</f>
        <v>0.4163640475212565</v>
      </c>
      <c r="AS14" s="11">
        <f>AR14+預測IC!AT14</f>
        <v>0.39795662135201409</v>
      </c>
      <c r="AT14" s="11">
        <f>AS14+預測IC!AU14</f>
        <v>0.53580909740474969</v>
      </c>
      <c r="AU14" s="11">
        <f>AT14+預測IC!AV14</f>
        <v>0.54423555070972307</v>
      </c>
      <c r="AV14" s="11">
        <f>AU14+預測IC!AW14</f>
        <v>0.58796485102993146</v>
      </c>
      <c r="AW14" s="11">
        <f>AV14+預測IC!AX14</f>
        <v>0.58878643907705852</v>
      </c>
      <c r="AX14" s="11">
        <f>AW14+預測IC!AY14</f>
        <v>0.5299470627798587</v>
      </c>
      <c r="AY14" s="11">
        <f>AX14+預測IC!AZ14</f>
        <v>0.55557599028932336</v>
      </c>
      <c r="AZ14" s="11">
        <f>AY14+預測IC!BA14</f>
        <v>0.65191331564529731</v>
      </c>
      <c r="BA14" s="11">
        <f>AZ14+預測IC!BB14</f>
        <v>0.75381165590375532</v>
      </c>
      <c r="BB14" s="11">
        <f>BA14+預測IC!BC14</f>
        <v>0.74472773237823708</v>
      </c>
      <c r="BC14" s="11">
        <f>BB14+預測IC!BD14</f>
        <v>0.79881738506451028</v>
      </c>
      <c r="BD14" s="11">
        <f>BC14+預測IC!BE14</f>
        <v>0.77470036656790819</v>
      </c>
      <c r="BE14" s="11">
        <f>BD14+預測IC!BF14</f>
        <v>0.7694574786660251</v>
      </c>
      <c r="BF14" s="11">
        <f>BE14+預測IC!BG14</f>
        <v>0.77995408656716869</v>
      </c>
      <c r="BG14" s="11">
        <f>BF14+預測IC!BH14</f>
        <v>0.68620400232744649</v>
      </c>
      <c r="BH14" s="11">
        <f>BG14+預測IC!BI14</f>
        <v>0.71847413322801401</v>
      </c>
      <c r="BI14" s="11">
        <f>BH14+預測IC!BJ14</f>
        <v>0.73172841204208117</v>
      </c>
      <c r="BJ14" s="11">
        <f>BI14+預測IC!BK14</f>
        <v>0.76496579402041209</v>
      </c>
      <c r="BK14" s="11">
        <f>BJ14+預測IC!BL14</f>
        <v>0.77553762853027408</v>
      </c>
      <c r="BL14" s="11">
        <f>BK14+預測IC!BM14</f>
        <v>0.75416258186821561</v>
      </c>
      <c r="BM14" s="11">
        <f>BL14+預測IC!BN14</f>
        <v>0.70879087555947629</v>
      </c>
      <c r="BN14" s="11">
        <f>BM14+預測IC!BO14</f>
        <v>0.72369445453272518</v>
      </c>
      <c r="BO14" s="11">
        <f>BN14+預測IC!BP14</f>
        <v>0.7740267378604706</v>
      </c>
      <c r="BP14" s="11">
        <f>BO14+預測IC!BQ14</f>
        <v>0.82158787015612866</v>
      </c>
      <c r="BQ14" s="11">
        <f>BP14+預測IC!BR14</f>
        <v>0.78604665571188548</v>
      </c>
      <c r="BR14" s="11">
        <f>BQ14+預測IC!BS14</f>
        <v>0.85460831087096745</v>
      </c>
      <c r="BS14" s="11">
        <f>BR14+預測IC!BT14</f>
        <v>0.8698962387743403</v>
      </c>
      <c r="BT14" s="11">
        <f>BS14+預測IC!BU14</f>
        <v>0.75873678446059567</v>
      </c>
      <c r="BU14" s="11">
        <f>BT14+預測IC!BV14</f>
        <v>0.8000192733184941</v>
      </c>
      <c r="BV14" s="11">
        <f>BU14+預測IC!BW14</f>
        <v>0.91842731529779897</v>
      </c>
      <c r="BW14" s="11">
        <f>BV14+預測IC!BX14</f>
        <v>0.91812018107313254</v>
      </c>
      <c r="BX14" s="11">
        <f>BW14+預測IC!BY14</f>
        <v>0.83772041248937135</v>
      </c>
      <c r="BY14" s="11">
        <f>BX14+預測IC!BZ14</f>
        <v>0.88870565590325445</v>
      </c>
      <c r="BZ14" s="11">
        <f>BY14+預測IC!CA14</f>
        <v>0.92216081414141016</v>
      </c>
      <c r="CA14" s="11">
        <f>BZ14+預測IC!CB14</f>
        <v>1.0866263154633169</v>
      </c>
      <c r="CB14" s="11">
        <f>CA14+預測IC!CC14</f>
        <v>1.2072224740524995</v>
      </c>
      <c r="CC14" s="11">
        <f>CB14+預測IC!CD14</f>
        <v>1.2551443149650841</v>
      </c>
      <c r="CD14" s="11">
        <f>CC14+預測IC!CE14</f>
        <v>1.4256996174536345</v>
      </c>
      <c r="CE14" s="11">
        <f>CD14+預測IC!CF14</f>
        <v>1.4053894005311149</v>
      </c>
      <c r="CF14" s="11">
        <f>CE14+預測IC!CG14</f>
        <v>1.5443160770490549</v>
      </c>
      <c r="CG14" s="11">
        <f>CF14+預測IC!CH14</f>
        <v>1.5483697911543697</v>
      </c>
      <c r="CH14" s="11">
        <f>CG14+預測IC!CI14</f>
        <v>1.5445404350196845</v>
      </c>
      <c r="CI14" s="11">
        <f>CH14+預測IC!CJ14</f>
        <v>1.5646072598157923</v>
      </c>
      <c r="CJ14" s="11">
        <f>CI14+預測IC!CK14</f>
        <v>1.5641434002461116</v>
      </c>
      <c r="CK14" s="11">
        <f>CJ14+預測IC!CL14</f>
        <v>1.6941762673317629</v>
      </c>
      <c r="CL14" s="11">
        <f>CK14+預測IC!CM14</f>
        <v>1.5841072943590533</v>
      </c>
      <c r="CM14" s="11">
        <f>CL14+預測IC!CN14</f>
        <v>1.5647057469655619</v>
      </c>
      <c r="CN14" s="11">
        <f>CM14+預測IC!CO14</f>
        <v>1.7379549009195161</v>
      </c>
      <c r="CO14" s="11">
        <f>CN14+預測IC!CP14</f>
        <v>1.6324751768621748</v>
      </c>
      <c r="CP14" s="11">
        <f>CO14+預測IC!CQ14</f>
        <v>1.7120119181576166</v>
      </c>
      <c r="CQ14" s="11">
        <f>CP14+預測IC!CR14</f>
        <v>1.7746525735340646</v>
      </c>
      <c r="CR14" s="11">
        <f>CQ14+預測IC!CS14</f>
        <v>1.7708364601905446</v>
      </c>
      <c r="CS14" s="11">
        <f>CR14+預測IC!CT14</f>
        <v>1.7517358836398598</v>
      </c>
      <c r="CT14" s="11">
        <f>CS14+預測IC!CU14</f>
        <v>1.8259864993443946</v>
      </c>
      <c r="CU14" s="11">
        <f>CT14+預測IC!CV14</f>
        <v>1.8653859332456144</v>
      </c>
      <c r="CV14" s="11">
        <f>CU14+預測IC!CW14</f>
        <v>1.8736199351259903</v>
      </c>
      <c r="CW14" s="11">
        <f>CV14+預測IC!CX14</f>
        <v>1.8978641916134862</v>
      </c>
      <c r="CX14" s="11">
        <f>CW14+預測IC!CY14</f>
        <v>1.9480019350874351</v>
      </c>
      <c r="CY14" s="11">
        <f>CX14+預測IC!CZ14</f>
        <v>2.0841739819065421</v>
      </c>
      <c r="CZ14" s="11">
        <f>CY14+預測IC!DA14</f>
        <v>2.1495673093310823</v>
      </c>
      <c r="DA14" s="11">
        <f>CZ14+預測IC!DB14</f>
        <v>2.2541747504313121</v>
      </c>
      <c r="DB14" s="11">
        <f>DA14+預測IC!DC14</f>
        <v>2.2689285119283396</v>
      </c>
      <c r="DC14" s="11">
        <f>DB14+預測IC!DD14</f>
        <v>2.2150285451795457</v>
      </c>
      <c r="DD14" s="11">
        <f>DC14+預測IC!DE14</f>
        <v>2.1839708781021696</v>
      </c>
      <c r="DE14" s="11">
        <f>DD14+預測IC!DF14</f>
        <v>2.3855337175692815</v>
      </c>
      <c r="DF14" s="11">
        <f>DE14+預測IC!DG14</f>
        <v>2.3399503218423829</v>
      </c>
      <c r="DG14" s="11">
        <f>DF14+預測IC!DH14</f>
        <v>2.3447251590852947</v>
      </c>
      <c r="DH14" s="11">
        <f>DG14+預測IC!DI14</f>
        <v>2.2915331618406869</v>
      </c>
      <c r="DI14" s="11">
        <f>DH14+預測IC!DJ14</f>
        <v>2.2925568861079841</v>
      </c>
      <c r="DJ14" s="11">
        <f>DI14+預測IC!DK14</f>
        <v>2.2109353366041256</v>
      </c>
      <c r="DK14" s="11">
        <f>DJ14+預測IC!DL14</f>
        <v>2.2016611542468842</v>
      </c>
      <c r="DL14" s="11">
        <f>DK14+預測IC!DM14</f>
        <v>2.2005400045091239</v>
      </c>
      <c r="DM14" s="11">
        <f>DL14+預測IC!DN14</f>
        <v>2.2308388377594404</v>
      </c>
      <c r="DN14" s="11">
        <f>DM14+預測IC!DO14</f>
        <v>2.3334310271226744</v>
      </c>
      <c r="DO14" s="11">
        <f>DN14+預測IC!DP14</f>
        <v>2.3370488853944011</v>
      </c>
      <c r="DP14" s="11">
        <f>DO14+預測IC!DQ14</f>
        <v>2.2810295994082108</v>
      </c>
      <c r="DQ14" s="11">
        <f>DP14+預測IC!DR14</f>
        <v>2.2888240212172963</v>
      </c>
      <c r="DR14" s="11">
        <f>DQ14+預測IC!DS14</f>
        <v>2.3448758411458601</v>
      </c>
      <c r="DS14" s="11">
        <f>DR14+預測IC!DT14</f>
        <v>2.4625483544776166</v>
      </c>
      <c r="DT14" s="11">
        <f>DS14+預測IC!DU14</f>
        <v>2.3937530812854524</v>
      </c>
      <c r="DU14" s="11">
        <f>DT14+預測IC!DV14</f>
        <v>2.4131860251740935</v>
      </c>
      <c r="DV14" s="11">
        <f>DU14+預測IC!DW14</f>
        <v>2.4149953346826094</v>
      </c>
      <c r="DW14" s="11">
        <f>DV14+預測IC!DX14</f>
        <v>2.3128341147967704</v>
      </c>
      <c r="DX14" s="11">
        <f>DW14+預測IC!DY14</f>
        <v>2.3508311947436189</v>
      </c>
      <c r="DY14" s="11">
        <f>DX14+預測IC!DZ14</f>
        <v>2.385862194607399</v>
      </c>
      <c r="DZ14" s="11">
        <f>DY14+預測IC!EA14</f>
        <v>2.4933876778049227</v>
      </c>
      <c r="EA14" s="11">
        <f>DZ14+預測IC!EB14</f>
        <v>2.4682781571866581</v>
      </c>
      <c r="EB14" s="11">
        <f>EA14+預測IC!EC14</f>
        <v>2.4489866975209087</v>
      </c>
      <c r="EC14" s="11">
        <f>EB14+預測IC!ED14</f>
        <v>2.415389409718975</v>
      </c>
      <c r="ED14" s="11">
        <f>EC14+預測IC!EE14</f>
        <v>2.4187886632370477</v>
      </c>
      <c r="EE14" s="11">
        <f>ED14+[1]預測IC!EF14</f>
        <v>2.4854210099664602</v>
      </c>
    </row>
    <row r="15" spans="1:136" ht="16">
      <c r="A15" s="6" t="s">
        <v>154</v>
      </c>
      <c r="B15" s="9">
        <v>-9.6503141994516081E-2</v>
      </c>
      <c r="C15" s="11">
        <f>B15+預測IC!D15</f>
        <v>-8.0554613470164349E-2</v>
      </c>
      <c r="D15" s="11">
        <f>C15+預測IC!E15</f>
        <v>-1.4516126258958664E-2</v>
      </c>
      <c r="E15" s="11">
        <f>D15+預測IC!F15</f>
        <v>-0.12307841963214856</v>
      </c>
      <c r="F15" s="11">
        <f>E15+預測IC!G15</f>
        <v>-0.16850047209604291</v>
      </c>
      <c r="G15" s="11">
        <f>F15+預測IC!H15</f>
        <v>-4.9656768388683603E-2</v>
      </c>
      <c r="H15" s="11">
        <f>G15+預測IC!I15</f>
        <v>7.7071972730828386E-2</v>
      </c>
      <c r="I15" s="11">
        <f>H15+預測IC!J15</f>
        <v>1.2547282621072881E-2</v>
      </c>
      <c r="J15" s="11">
        <f>I15+預測IC!K15</f>
        <v>8.3369162357321003E-3</v>
      </c>
      <c r="K15" s="11">
        <f>J15+預測IC!L15</f>
        <v>4.0895421392916742E-2</v>
      </c>
      <c r="L15" s="11">
        <f>K15+預測IC!M15</f>
        <v>-0.14759662831783976</v>
      </c>
      <c r="M15" s="11">
        <f>L15+預測IC!N15</f>
        <v>0.18271270854696725</v>
      </c>
      <c r="N15" s="11">
        <f>M15+預測IC!O15</f>
        <v>0.13660921529384187</v>
      </c>
      <c r="O15" s="11">
        <f>N15+預測IC!P15</f>
        <v>0.18959249848619741</v>
      </c>
      <c r="P15" s="11">
        <f>O15+預測IC!Q15</f>
        <v>8.9217148902306614E-2</v>
      </c>
      <c r="Q15" s="11">
        <f>P15+預測IC!R15</f>
        <v>0.10597258519292481</v>
      </c>
      <c r="R15" s="11">
        <f>Q15+預測IC!S15</f>
        <v>6.2938651419593497E-2</v>
      </c>
      <c r="S15" s="11">
        <f>R15+預測IC!T15</f>
        <v>1.3599978759078445E-2</v>
      </c>
      <c r="T15" s="11">
        <f>S15+預測IC!U15</f>
        <v>0.15056804042634725</v>
      </c>
      <c r="U15" s="11">
        <f>T15+預測IC!V15</f>
        <v>6.4887158547473817E-2</v>
      </c>
      <c r="V15" s="11">
        <f>U15+預測IC!W15</f>
        <v>0.17182171370540711</v>
      </c>
      <c r="W15" s="11">
        <f>V15+預測IC!X15</f>
        <v>9.3385301259819711E-2</v>
      </c>
      <c r="X15" s="11">
        <f>W15+預測IC!Y15</f>
        <v>6.9196682712664812E-2</v>
      </c>
      <c r="Y15" s="11">
        <f>X15+預測IC!Z15</f>
        <v>4.554026402699405E-2</v>
      </c>
      <c r="Z15" s="11">
        <f>Y15+預測IC!AA15</f>
        <v>9.2126387952787075E-2</v>
      </c>
      <c r="AA15" s="11">
        <f>Z15+預測IC!AB15</f>
        <v>1.8130436168603437E-2</v>
      </c>
      <c r="AB15" s="11">
        <f>AA15+預測IC!AC15</f>
        <v>-2.1924693401512763E-2</v>
      </c>
      <c r="AC15" s="11">
        <f>AB15+預測IC!AD15</f>
        <v>1.7765787726195505E-2</v>
      </c>
      <c r="AD15" s="11">
        <f>AC15+預測IC!AE15</f>
        <v>6.5052263971899005E-2</v>
      </c>
      <c r="AE15" s="11">
        <f>AD15+預測IC!AF15</f>
        <v>1.5280239096784706E-2</v>
      </c>
      <c r="AF15" s="11">
        <f>AE15+預測IC!AG15</f>
        <v>5.5349284948799857E-3</v>
      </c>
      <c r="AG15" s="11">
        <f>AF15+預測IC!AH15</f>
        <v>-8.9657584310517038E-3</v>
      </c>
      <c r="AH15" s="11">
        <f>AG15+預測IC!AI15</f>
        <v>4.1888691154973366E-2</v>
      </c>
      <c r="AI15" s="11">
        <f>AH15+預測IC!AJ15</f>
        <v>4.6073125787306511E-2</v>
      </c>
      <c r="AJ15" s="11">
        <f>AI15+預測IC!AK15</f>
        <v>0.10356870127715959</v>
      </c>
      <c r="AK15" s="11">
        <f>AJ15+預測IC!AL15</f>
        <v>9.6686942165723475E-2</v>
      </c>
      <c r="AL15" s="11">
        <f>AK15+預測IC!AM15</f>
        <v>9.8631653617235512E-2</v>
      </c>
      <c r="AM15" s="11">
        <f>AL15+預測IC!AN15</f>
        <v>3.7896721816548011E-2</v>
      </c>
      <c r="AN15" s="11">
        <f>AM15+預測IC!AO15</f>
        <v>7.3598564470109054E-2</v>
      </c>
      <c r="AO15" s="11">
        <f>AN15+預測IC!AP15</f>
        <v>8.6180509425754837E-2</v>
      </c>
      <c r="AP15" s="11">
        <f>AO15+預測IC!AQ15</f>
        <v>6.6429522197394994E-2</v>
      </c>
      <c r="AQ15" s="11">
        <f>AP15+預測IC!AR15</f>
        <v>9.0980341895673722E-2</v>
      </c>
      <c r="AR15" s="11">
        <f>AQ15+預測IC!AS15</f>
        <v>6.8549395351737569E-2</v>
      </c>
      <c r="AS15" s="11">
        <f>AR15+預測IC!AT15</f>
        <v>7.5405913603585381E-2</v>
      </c>
      <c r="AT15" s="11">
        <f>AS15+預測IC!AU15</f>
        <v>0.24251434467301586</v>
      </c>
      <c r="AU15" s="11">
        <f>AT15+預測IC!AV15</f>
        <v>0.27573964689139446</v>
      </c>
      <c r="AV15" s="11">
        <f>AU15+預測IC!AW15</f>
        <v>0.36429898979226694</v>
      </c>
      <c r="AW15" s="11">
        <f>AV15+預測IC!AX15</f>
        <v>0.36845868150352584</v>
      </c>
      <c r="AX15" s="11">
        <f>AW15+預測IC!AY15</f>
        <v>0.32531518365273293</v>
      </c>
      <c r="AY15" s="11">
        <f>AX15+預測IC!AZ15</f>
        <v>0.3621625354053355</v>
      </c>
      <c r="AZ15" s="11">
        <f>AY15+預測IC!BA15</f>
        <v>0.51985048381367416</v>
      </c>
      <c r="BA15" s="11">
        <f>AZ15+預測IC!BB15</f>
        <v>0.62863958362979688</v>
      </c>
      <c r="BB15" s="11">
        <f>BA15+預測IC!BC15</f>
        <v>0.69079472729762714</v>
      </c>
      <c r="BC15" s="11">
        <f>BB15+預測IC!BD15</f>
        <v>0.70044220843784888</v>
      </c>
      <c r="BD15" s="11">
        <f>BC15+預測IC!BE15</f>
        <v>0.65422509445482657</v>
      </c>
      <c r="BE15" s="11">
        <f>BD15+預測IC!BF15</f>
        <v>0.59724707023391488</v>
      </c>
      <c r="BF15" s="11">
        <f>BE15+預測IC!BG15</f>
        <v>0.61102322063633574</v>
      </c>
      <c r="BG15" s="11">
        <f>BF15+預測IC!BH15</f>
        <v>0.55631399447859575</v>
      </c>
      <c r="BH15" s="11">
        <f>BG15+預測IC!BI15</f>
        <v>0.5826650179114885</v>
      </c>
      <c r="BI15" s="11">
        <f>BH15+預測IC!BJ15</f>
        <v>0.59828412058348035</v>
      </c>
      <c r="BJ15" s="11">
        <f>BI15+預測IC!BK15</f>
        <v>0.67115353946606926</v>
      </c>
      <c r="BK15" s="11">
        <f>BJ15+預測IC!BL15</f>
        <v>0.67123144086981545</v>
      </c>
      <c r="BL15" s="11">
        <f>BK15+預測IC!BM15</f>
        <v>0.60863304629727066</v>
      </c>
      <c r="BM15" s="11">
        <f>BL15+預測IC!BN15</f>
        <v>0.54257901107168882</v>
      </c>
      <c r="BN15" s="11">
        <f>BM15+預測IC!BO15</f>
        <v>0.5591684545978477</v>
      </c>
      <c r="BO15" s="11">
        <f>BN15+預測IC!BP15</f>
        <v>0.61078530906991235</v>
      </c>
      <c r="BP15" s="11">
        <f>BO15+預測IC!BQ15</f>
        <v>0.63545667124606786</v>
      </c>
      <c r="BQ15" s="11">
        <f>BP15+預測IC!BR15</f>
        <v>0.61603464666170316</v>
      </c>
      <c r="BR15" s="11">
        <f>BQ15+預測IC!BS15</f>
        <v>0.69111096100853919</v>
      </c>
      <c r="BS15" s="11">
        <f>BR15+預測IC!BT15</f>
        <v>0.65447729481297923</v>
      </c>
      <c r="BT15" s="11">
        <f>BS15+預測IC!BU15</f>
        <v>0.56893156109153897</v>
      </c>
      <c r="BU15" s="11">
        <f>BT15+預測IC!BV15</f>
        <v>0.66698894651774554</v>
      </c>
      <c r="BV15" s="11">
        <f>BU15+預測IC!BW15</f>
        <v>0.8711347858702303</v>
      </c>
      <c r="BW15" s="11">
        <f>BV15+預測IC!BX15</f>
        <v>0.89508421730757171</v>
      </c>
      <c r="BX15" s="11">
        <f>BW15+預測IC!BY15</f>
        <v>0.8017458248437348</v>
      </c>
      <c r="BY15" s="11">
        <f>BX15+預測IC!BZ15</f>
        <v>0.86910558812524696</v>
      </c>
      <c r="BZ15" s="11">
        <f>BY15+預測IC!CA15</f>
        <v>0.89906959735032443</v>
      </c>
      <c r="CA15" s="11">
        <f>BZ15+預測IC!CB15</f>
        <v>1.0301610001343859</v>
      </c>
      <c r="CB15" s="11">
        <f>CA15+預測IC!CC15</f>
        <v>1.2038127058565058</v>
      </c>
      <c r="CC15" s="11">
        <f>CB15+預測IC!CD15</f>
        <v>1.292907225532326</v>
      </c>
      <c r="CD15" s="11">
        <f>CC15+預測IC!CE15</f>
        <v>1.3662753455807763</v>
      </c>
      <c r="CE15" s="11">
        <f>CD15+預測IC!CF15</f>
        <v>1.3626485286504539</v>
      </c>
      <c r="CF15" s="11">
        <f>CE15+預測IC!CG15</f>
        <v>1.5883797559155812</v>
      </c>
      <c r="CG15" s="11">
        <f>CF15+預測IC!CH15</f>
        <v>1.5484015313743034</v>
      </c>
      <c r="CH15" s="11">
        <f>CG15+預測IC!CI15</f>
        <v>1.4790646866390664</v>
      </c>
      <c r="CI15" s="11">
        <f>CH15+預測IC!CJ15</f>
        <v>1.4864473170364727</v>
      </c>
      <c r="CJ15" s="11">
        <f>CI15+預測IC!CK15</f>
        <v>1.5207275285195394</v>
      </c>
      <c r="CK15" s="11">
        <f>CJ15+預測IC!CL15</f>
        <v>1.7334784160261949</v>
      </c>
      <c r="CL15" s="11">
        <f>CK15+預測IC!CM15</f>
        <v>1.6253586603132721</v>
      </c>
      <c r="CM15" s="11">
        <f>CL15+預測IC!CN15</f>
        <v>1.6255757952233736</v>
      </c>
      <c r="CN15" s="11">
        <f>CM15+預測IC!CO15</f>
        <v>1.798935784462423</v>
      </c>
      <c r="CO15" s="11">
        <f>CN15+預測IC!CP15</f>
        <v>1.7645425696675139</v>
      </c>
      <c r="CP15" s="11">
        <f>CO15+預測IC!CQ15</f>
        <v>1.904146188926503</v>
      </c>
      <c r="CQ15" s="11">
        <f>CP15+預測IC!CR15</f>
        <v>1.9285205076242584</v>
      </c>
      <c r="CR15" s="11">
        <f>CQ15+預測IC!CS15</f>
        <v>1.945431494328514</v>
      </c>
      <c r="CS15" s="11">
        <f>CR15+預測IC!CT15</f>
        <v>1.9380369193530593</v>
      </c>
      <c r="CT15" s="11">
        <f>CS15+預測IC!CU15</f>
        <v>2.0919005948543652</v>
      </c>
      <c r="CU15" s="11">
        <f>CT15+預測IC!CV15</f>
        <v>2.1523450905437551</v>
      </c>
      <c r="CV15" s="11">
        <f>CU15+預測IC!CW15</f>
        <v>2.1250876489982611</v>
      </c>
      <c r="CW15" s="11">
        <f>CV15+預測IC!CX15</f>
        <v>2.1429565408150406</v>
      </c>
      <c r="CX15" s="11">
        <f>CW15+預測IC!CY15</f>
        <v>2.1986892516398684</v>
      </c>
      <c r="CY15" s="11">
        <f>CX15+預測IC!CZ15</f>
        <v>2.3140532967328444</v>
      </c>
      <c r="CZ15" s="11">
        <f>CY15+預測IC!DA15</f>
        <v>2.4029155089302003</v>
      </c>
      <c r="DA15" s="11">
        <f>CZ15+預測IC!DB15</f>
        <v>2.4999637504556653</v>
      </c>
      <c r="DB15" s="11">
        <f>DA15+預測IC!DC15</f>
        <v>2.5766907747886343</v>
      </c>
      <c r="DC15" s="11">
        <f>DB15+預測IC!DD15</f>
        <v>2.5091643657208991</v>
      </c>
      <c r="DD15" s="11">
        <f>DC15+預測IC!DE15</f>
        <v>2.4435562633203052</v>
      </c>
      <c r="DE15" s="11">
        <f>DD15+預測IC!DF15</f>
        <v>2.7462767129630876</v>
      </c>
      <c r="DF15" s="11">
        <f>DE15+預測IC!DG15</f>
        <v>2.6983592279887452</v>
      </c>
      <c r="DG15" s="11">
        <f>DF15+預測IC!DH15</f>
        <v>2.6796502169448533</v>
      </c>
      <c r="DH15" s="11">
        <f>DG15+預測IC!DI15</f>
        <v>2.6679317679353955</v>
      </c>
      <c r="DI15" s="11">
        <f>DH15+預測IC!DJ15</f>
        <v>2.6164089571119913</v>
      </c>
      <c r="DJ15" s="11">
        <f>DI15+預測IC!DK15</f>
        <v>2.5160800302439084</v>
      </c>
      <c r="DK15" s="11">
        <f>DJ15+預測IC!DL15</f>
        <v>2.5238178640220785</v>
      </c>
      <c r="DL15" s="11">
        <f>DK15+預測IC!DM15</f>
        <v>2.5255911287592872</v>
      </c>
      <c r="DM15" s="11">
        <f>DL15+預測IC!DN15</f>
        <v>2.458568559530744</v>
      </c>
      <c r="DN15" s="11">
        <f>DM15+預測IC!DO15</f>
        <v>2.6181139708900161</v>
      </c>
      <c r="DO15" s="11">
        <f>DN15+預測IC!DP15</f>
        <v>2.5777837780987825</v>
      </c>
      <c r="DP15" s="11">
        <f>DO15+預測IC!DQ15</f>
        <v>2.5048456981946394</v>
      </c>
      <c r="DQ15" s="11">
        <f>DP15+預測IC!DR15</f>
        <v>2.4828104331997656</v>
      </c>
      <c r="DR15" s="11">
        <f>DQ15+預測IC!DS15</f>
        <v>2.5203405769777341</v>
      </c>
      <c r="DS15" s="11">
        <f>DR15+預測IC!DT15</f>
        <v>2.5546369758889016</v>
      </c>
      <c r="DT15" s="11">
        <f>DS15+預測IC!DU15</f>
        <v>2.4375093223782538</v>
      </c>
      <c r="DU15" s="11">
        <f>DT15+預測IC!DV15</f>
        <v>2.4886363226230808</v>
      </c>
      <c r="DV15" s="11">
        <f>DU15+預測IC!DW15</f>
        <v>2.4278099962857</v>
      </c>
      <c r="DW15" s="11">
        <f>DV15+預測IC!DX15</f>
        <v>2.3091937456357137</v>
      </c>
      <c r="DX15" s="11">
        <f>DW15+預測IC!DY15</f>
        <v>2.4157329122367233</v>
      </c>
      <c r="DY15" s="11">
        <f>DX15+預測IC!DZ15</f>
        <v>2.4561885655407325</v>
      </c>
      <c r="DZ15" s="11">
        <f>DY15+預測IC!EA15</f>
        <v>2.5653654984506109</v>
      </c>
      <c r="EA15" s="11">
        <f>DZ15+預測IC!EB15</f>
        <v>2.509239018183286</v>
      </c>
      <c r="EB15" s="11">
        <f>EA15+預測IC!EC15</f>
        <v>2.491453499788562</v>
      </c>
      <c r="EC15" s="11">
        <f>EB15+預測IC!ED15</f>
        <v>2.4190701804956332</v>
      </c>
      <c r="ED15" s="11">
        <f>EC15+預測IC!EE15</f>
        <v>2.4158794599941062</v>
      </c>
      <c r="EE15" s="11">
        <f>ED15+[1]預測IC!EF15</f>
        <v>2.4780877652331821</v>
      </c>
    </row>
    <row r="16" spans="1:136" ht="16">
      <c r="A16" s="6" t="s">
        <v>155</v>
      </c>
      <c r="B16" s="9">
        <v>-2.7383644610379052E-2</v>
      </c>
      <c r="C16" s="11">
        <f>B16+預測IC!D16</f>
        <v>-2.8103893277696107E-2</v>
      </c>
      <c r="D16" s="11">
        <f>C16+預測IC!E16</f>
        <v>3.6902683833632113E-2</v>
      </c>
      <c r="E16" s="11">
        <f>D16+預測IC!F16</f>
        <v>-6.2479809021854973E-2</v>
      </c>
      <c r="F16" s="11">
        <f>E16+預測IC!G16</f>
        <v>-0.13617607414877883</v>
      </c>
      <c r="G16" s="11">
        <f>F16+預測IC!H16</f>
        <v>-6.3328017861131347E-2</v>
      </c>
      <c r="H16" s="11">
        <f>G16+預測IC!I16</f>
        <v>4.8464284118775847E-2</v>
      </c>
      <c r="I16" s="11">
        <f>H16+預測IC!J16</f>
        <v>-2.0229749134451844E-2</v>
      </c>
      <c r="J16" s="11">
        <f>I16+預測IC!K16</f>
        <v>-2.3046446161887439E-3</v>
      </c>
      <c r="K16" s="11">
        <f>J16+預測IC!L16</f>
        <v>7.5818899716800538E-3</v>
      </c>
      <c r="L16" s="11">
        <f>K16+預測IC!M16</f>
        <v>-0.18729451497071345</v>
      </c>
      <c r="M16" s="11">
        <f>L16+預測IC!N16</f>
        <v>0.17969309415187293</v>
      </c>
      <c r="N16" s="11">
        <f>M16+預測IC!O16</f>
        <v>0.16407200192656249</v>
      </c>
      <c r="O16" s="11">
        <f>N16+預測IC!P16</f>
        <v>0.22605173720747035</v>
      </c>
      <c r="P16" s="11">
        <f>O16+預測IC!Q16</f>
        <v>0.12943356403256062</v>
      </c>
      <c r="Q16" s="11">
        <f>P16+預測IC!R16</f>
        <v>0.14861632628819568</v>
      </c>
      <c r="R16" s="11">
        <f>Q16+預測IC!S16</f>
        <v>0.10620114307724157</v>
      </c>
      <c r="S16" s="11">
        <f>R16+預測IC!T16</f>
        <v>8.2974358133102055E-2</v>
      </c>
      <c r="T16" s="11">
        <f>S16+預測IC!U16</f>
        <v>0.21303682956284656</v>
      </c>
      <c r="U16" s="11">
        <f>T16+預測IC!V16</f>
        <v>0.10872065396140486</v>
      </c>
      <c r="V16" s="11">
        <f>U16+預測IC!W16</f>
        <v>0.1870941419890427</v>
      </c>
      <c r="W16" s="11">
        <f>V16+預測IC!X16</f>
        <v>0.11341586433157559</v>
      </c>
      <c r="X16" s="11">
        <f>W16+預測IC!Y16</f>
        <v>0.10912841723983918</v>
      </c>
      <c r="Y16" s="11">
        <f>X16+預測IC!Z16</f>
        <v>8.9052622361414382E-2</v>
      </c>
      <c r="Z16" s="11">
        <f>Y16+預測IC!AA16</f>
        <v>0.13927814922732873</v>
      </c>
      <c r="AA16" s="11">
        <f>Z16+預測IC!AB16</f>
        <v>6.8262022809991635E-2</v>
      </c>
      <c r="AB16" s="11">
        <f>AA16+預測IC!AC16</f>
        <v>2.7221500100908562E-2</v>
      </c>
      <c r="AC16" s="11">
        <f>AB16+預測IC!AD16</f>
        <v>6.2032671958160042E-2</v>
      </c>
      <c r="AD16" s="11">
        <f>AC16+預測IC!AE16</f>
        <v>0.11356766384006195</v>
      </c>
      <c r="AE16" s="11">
        <f>AD16+預測IC!AF16</f>
        <v>9.8559040827719074E-2</v>
      </c>
      <c r="AF16" s="11">
        <f>AE16+預測IC!AG16</f>
        <v>9.0257133224833003E-2</v>
      </c>
      <c r="AG16" s="11">
        <f>AF16+預測IC!AH16</f>
        <v>4.6150114201823515E-2</v>
      </c>
      <c r="AH16" s="11">
        <f>AG16+預測IC!AI16</f>
        <v>9.5228157378391548E-2</v>
      </c>
      <c r="AI16" s="11">
        <f>AH16+預測IC!AJ16</f>
        <v>7.7598915655356399E-2</v>
      </c>
      <c r="AJ16" s="11">
        <f>AI16+預測IC!AK16</f>
        <v>0.14202031648772848</v>
      </c>
      <c r="AK16" s="11">
        <f>AJ16+預測IC!AL16</f>
        <v>0.12754780497026988</v>
      </c>
      <c r="AL16" s="11">
        <f>AK16+預測IC!AM16</f>
        <v>0.15128133857003867</v>
      </c>
      <c r="AM16" s="11">
        <f>AL16+預測IC!AN16</f>
        <v>9.8569195075019239E-2</v>
      </c>
      <c r="AN16" s="11">
        <f>AM16+預測IC!AO16</f>
        <v>0.13861186655302288</v>
      </c>
      <c r="AO16" s="11">
        <f>AN16+預測IC!AP16</f>
        <v>0.14385175611636783</v>
      </c>
      <c r="AP16" s="11">
        <f>AO16+預測IC!AQ16</f>
        <v>0.11981570226181548</v>
      </c>
      <c r="AQ16" s="11">
        <f>AP16+預測IC!AR16</f>
        <v>0.15230846198187917</v>
      </c>
      <c r="AR16" s="11">
        <f>AQ16+預測IC!AS16</f>
        <v>0.12422875682951807</v>
      </c>
      <c r="AS16" s="11">
        <f>AR16+預測IC!AT16</f>
        <v>0.12816822620963467</v>
      </c>
      <c r="AT16" s="11">
        <f>AS16+預測IC!AU16</f>
        <v>0.29840411502677466</v>
      </c>
      <c r="AU16" s="11">
        <f>AT16+預測IC!AV16</f>
        <v>0.32201299137483352</v>
      </c>
      <c r="AV16" s="11">
        <f>AU16+預測IC!AW16</f>
        <v>0.4150709839235821</v>
      </c>
      <c r="AW16" s="11">
        <f>AV16+預測IC!AX16</f>
        <v>0.40821312871075577</v>
      </c>
      <c r="AX16" s="11">
        <f>AW16+預測IC!AY16</f>
        <v>0.3735394165278253</v>
      </c>
      <c r="AY16" s="11">
        <f>AX16+預測IC!AZ16</f>
        <v>0.42036629253120206</v>
      </c>
      <c r="AZ16" s="11">
        <f>AY16+預測IC!BA16</f>
        <v>0.58035699270582297</v>
      </c>
      <c r="BA16" s="11">
        <f>AZ16+預測IC!BB16</f>
        <v>0.71283173030239477</v>
      </c>
      <c r="BB16" s="11">
        <f>BA16+預測IC!BC16</f>
        <v>0.77893397540208364</v>
      </c>
      <c r="BC16" s="11">
        <f>BB16+預測IC!BD16</f>
        <v>0.76199775747772425</v>
      </c>
      <c r="BD16" s="11">
        <f>BC16+預測IC!BE16</f>
        <v>0.71785862083765539</v>
      </c>
      <c r="BE16" s="11">
        <f>BD16+預測IC!BF16</f>
        <v>0.66327365763186907</v>
      </c>
      <c r="BF16" s="11">
        <f>BE16+預測IC!BG16</f>
        <v>0.68260486460357139</v>
      </c>
      <c r="BG16" s="11">
        <f>BF16+預測IC!BH16</f>
        <v>0.62056483905200377</v>
      </c>
      <c r="BH16" s="11">
        <f>BG16+預測IC!BI16</f>
        <v>0.64618493297556112</v>
      </c>
      <c r="BI16" s="11">
        <f>BH16+預測IC!BJ16</f>
        <v>0.66668874925876875</v>
      </c>
      <c r="BJ16" s="11">
        <f>BI16+預測IC!BK16</f>
        <v>0.77146195217933744</v>
      </c>
      <c r="BK16" s="11">
        <f>BJ16+預測IC!BL16</f>
        <v>0.76304769478560674</v>
      </c>
      <c r="BL16" s="11">
        <f>BK16+預測IC!BM16</f>
        <v>0.6932418695328062</v>
      </c>
      <c r="BM16" s="11">
        <f>BL16+預測IC!BN16</f>
        <v>0.6260438991281172</v>
      </c>
      <c r="BN16" s="11">
        <f>BM16+預測IC!BO16</f>
        <v>0.64200421812285313</v>
      </c>
      <c r="BO16" s="11">
        <f>BN16+預測IC!BP16</f>
        <v>0.69975427880330898</v>
      </c>
      <c r="BP16" s="11">
        <f>BO16+預測IC!BQ16</f>
        <v>0.72761770152430794</v>
      </c>
      <c r="BQ16" s="11">
        <f>BP16+預測IC!BR16</f>
        <v>0.73987705058795905</v>
      </c>
      <c r="BR16" s="11">
        <f>BQ16+預測IC!BS16</f>
        <v>0.81885923755334833</v>
      </c>
      <c r="BS16" s="11">
        <f>BR16+預測IC!BT16</f>
        <v>0.78079315934110283</v>
      </c>
      <c r="BT16" s="11">
        <f>BS16+預測IC!BU16</f>
        <v>0.67925658511279807</v>
      </c>
      <c r="BU16" s="11">
        <f>BT16+預測IC!BV16</f>
        <v>0.77376705357972342</v>
      </c>
      <c r="BV16" s="11">
        <f>BU16+預測IC!BW16</f>
        <v>0.99771196758138159</v>
      </c>
      <c r="BW16" s="11">
        <f>BV16+預測IC!BX16</f>
        <v>1.0217902394107288</v>
      </c>
      <c r="BX16" s="11">
        <f>BW16+預測IC!BY16</f>
        <v>0.90279553135745028</v>
      </c>
      <c r="BY16" s="11">
        <f>BX16+預測IC!BZ16</f>
        <v>0.99542453849867796</v>
      </c>
      <c r="BZ16" s="11">
        <f>BY16+預測IC!CA16</f>
        <v>1.0228567081503719</v>
      </c>
      <c r="CA16" s="11">
        <f>BZ16+預測IC!CB16</f>
        <v>1.1621654440837059</v>
      </c>
      <c r="CB16" s="11">
        <f>CA16+預測IC!CC16</f>
        <v>1.2065535972539116</v>
      </c>
      <c r="CC16" s="11">
        <f>CB16+預測IC!CD16</f>
        <v>1.2943046875195054</v>
      </c>
      <c r="CD16" s="11">
        <f>CC16+預測IC!CE16</f>
        <v>1.3879189179874212</v>
      </c>
      <c r="CE16" s="11">
        <f>CD16+預測IC!CF16</f>
        <v>1.3732228550209917</v>
      </c>
      <c r="CF16" s="11">
        <f>CE16+預測IC!CG16</f>
        <v>1.5194188950471335</v>
      </c>
      <c r="CG16" s="11">
        <f>CF16+預測IC!CH16</f>
        <v>1.5008986297852418</v>
      </c>
      <c r="CH16" s="11">
        <f>CG16+預測IC!CI16</f>
        <v>1.4425538799407338</v>
      </c>
      <c r="CI16" s="11">
        <f>CH16+預測IC!CJ16</f>
        <v>1.470354303263705</v>
      </c>
      <c r="CJ16" s="11">
        <f>CI16+預測IC!CK16</f>
        <v>1.5410861837803891</v>
      </c>
      <c r="CK16" s="11">
        <f>CJ16+預測IC!CL16</f>
        <v>1.785024340345811</v>
      </c>
      <c r="CL16" s="11">
        <f>CK16+預測IC!CM16</f>
        <v>1.6719685019544364</v>
      </c>
      <c r="CM16" s="11">
        <f>CL16+預測IC!CN16</f>
        <v>1.6815775497384586</v>
      </c>
      <c r="CN16" s="11">
        <f>CM16+預測IC!CO16</f>
        <v>1.8911250681982106</v>
      </c>
      <c r="CO16" s="11">
        <f>CN16+預測IC!CP16</f>
        <v>1.8604406293163087</v>
      </c>
      <c r="CP16" s="11">
        <f>CO16+預測IC!CQ16</f>
        <v>2.0288904139202346</v>
      </c>
      <c r="CQ16" s="11">
        <f>CP16+預測IC!CR16</f>
        <v>2.0541190704323942</v>
      </c>
      <c r="CR16" s="11">
        <f>CQ16+預測IC!CS16</f>
        <v>2.0759260793420165</v>
      </c>
      <c r="CS16" s="11">
        <f>CR16+預測IC!CT16</f>
        <v>2.0708586728411755</v>
      </c>
      <c r="CT16" s="11">
        <f>CS16+預測IC!CU16</f>
        <v>2.224904399447603</v>
      </c>
      <c r="CU16" s="11">
        <f>CT16+預測IC!CV16</f>
        <v>2.2843583922334387</v>
      </c>
      <c r="CV16" s="11">
        <f>CU16+預測IC!CW16</f>
        <v>2.2526852780617559</v>
      </c>
      <c r="CW16" s="11">
        <f>CV16+預測IC!CX16</f>
        <v>2.2593720557399841</v>
      </c>
      <c r="CX16" s="11">
        <f>CW16+預測IC!CY16</f>
        <v>2.3179263619112369</v>
      </c>
      <c r="CY16" s="11">
        <f>CX16+預測IC!CZ16</f>
        <v>2.4841446790936983</v>
      </c>
      <c r="CZ16" s="11">
        <f>CY16+預測IC!DA16</f>
        <v>2.6023260094561476</v>
      </c>
      <c r="DA16" s="11">
        <f>CZ16+預測IC!DB16</f>
        <v>2.7003432923419441</v>
      </c>
      <c r="DB16" s="11">
        <f>DA16+預測IC!DC16</f>
        <v>2.7640839508499893</v>
      </c>
      <c r="DC16" s="11">
        <f>DB16+預測IC!DD16</f>
        <v>2.6897128358473918</v>
      </c>
      <c r="DD16" s="11">
        <f>DC16+預測IC!DE16</f>
        <v>2.6333869227698825</v>
      </c>
      <c r="DE16" s="11">
        <f>DD16+預測IC!DF16</f>
        <v>2.9589664736870351</v>
      </c>
      <c r="DF16" s="11">
        <f>DE16+預測IC!DG16</f>
        <v>2.9132895586581427</v>
      </c>
      <c r="DG16" s="11">
        <f>DF16+預測IC!DH16</f>
        <v>2.8941602152401718</v>
      </c>
      <c r="DH16" s="11">
        <f>DG16+預測IC!DI16</f>
        <v>2.8809267895276496</v>
      </c>
      <c r="DI16" s="11">
        <f>DH16+預測IC!DJ16</f>
        <v>2.8442836467960659</v>
      </c>
      <c r="DJ16" s="11">
        <f>DI16+預測IC!DK16</f>
        <v>2.7480290219968686</v>
      </c>
      <c r="DK16" s="11">
        <f>DJ16+預測IC!DL16</f>
        <v>2.7493949940847915</v>
      </c>
      <c r="DL16" s="11">
        <f>DK16+預測IC!DM16</f>
        <v>2.7875299896453432</v>
      </c>
      <c r="DM16" s="11">
        <f>DL16+預測IC!DN16</f>
        <v>2.7308224127070266</v>
      </c>
      <c r="DN16" s="11">
        <f>DM16+預測IC!DO16</f>
        <v>2.9004133590951011</v>
      </c>
      <c r="DO16" s="11">
        <f>DN16+預測IC!DP16</f>
        <v>2.8756967757173655</v>
      </c>
      <c r="DP16" s="11">
        <f>DO16+預測IC!DQ16</f>
        <v>2.8081362557717293</v>
      </c>
      <c r="DQ16" s="11">
        <f>DP16+預測IC!DR16</f>
        <v>2.7969580881226279</v>
      </c>
      <c r="DR16" s="11">
        <f>DQ16+預測IC!DS16</f>
        <v>2.8183987608351209</v>
      </c>
      <c r="DS16" s="11">
        <f>DR16+預測IC!DT16</f>
        <v>2.8504582529883606</v>
      </c>
      <c r="DT16" s="11">
        <f>DS16+預測IC!DU16</f>
        <v>2.7276862064653966</v>
      </c>
      <c r="DU16" s="11">
        <f>DT16+預測IC!DV16</f>
        <v>2.7728351908747837</v>
      </c>
      <c r="DV16" s="11">
        <f>DU16+預測IC!DW16</f>
        <v>2.7015326167514271</v>
      </c>
      <c r="DW16" s="11">
        <f>DV16+預測IC!DX16</f>
        <v>2.5762479104274498</v>
      </c>
      <c r="DX16" s="11">
        <f>DW16+預測IC!DY16</f>
        <v>2.6926022453377931</v>
      </c>
      <c r="DY16" s="11">
        <f>DX16+預測IC!DZ16</f>
        <v>2.7514129935288389</v>
      </c>
      <c r="DZ16" s="11">
        <f>DY16+預測IC!EA16</f>
        <v>2.8912120122722285</v>
      </c>
      <c r="EA16" s="11">
        <f>DZ16+預測IC!EB16</f>
        <v>2.8203365684926776</v>
      </c>
      <c r="EB16" s="11">
        <f>EA16+預測IC!EC16</f>
        <v>2.7953985719505572</v>
      </c>
      <c r="EC16" s="11">
        <f>EB16+預測IC!ED16</f>
        <v>2.7151136592917235</v>
      </c>
      <c r="ED16" s="11">
        <f>EC16+預測IC!EE16</f>
        <v>2.7107169839849639</v>
      </c>
      <c r="EE16" s="11">
        <f>ED16+[1]預測IC!EF16</f>
        <v>2.7506108906976077</v>
      </c>
    </row>
    <row r="17" spans="1:136" ht="16">
      <c r="A17" s="6" t="s">
        <v>156</v>
      </c>
      <c r="B17" s="9">
        <v>-4.5056429492109057E-2</v>
      </c>
      <c r="C17" s="11">
        <f>B17+預測IC!D17</f>
        <v>-6.2390804225196855E-2</v>
      </c>
      <c r="D17" s="11">
        <f>C17+預測IC!E17</f>
        <v>1.7199045165556162E-2</v>
      </c>
      <c r="E17" s="11">
        <f>D17+預測IC!F17</f>
        <v>-9.5638469951739538E-2</v>
      </c>
      <c r="F17" s="11">
        <f>E17+預測IC!G17</f>
        <v>-0.1737015107803348</v>
      </c>
      <c r="G17" s="11">
        <f>F17+預測IC!H17</f>
        <v>-6.8707457152593798E-2</v>
      </c>
      <c r="H17" s="11">
        <f>G17+預測IC!I17</f>
        <v>-1.2178020662526323E-3</v>
      </c>
      <c r="I17" s="11">
        <f>H17+預測IC!J17</f>
        <v>-0.11651687530820254</v>
      </c>
      <c r="J17" s="11">
        <f>I17+預測IC!K17</f>
        <v>-7.7071883390468665E-2</v>
      </c>
      <c r="K17" s="11">
        <f>J17+預測IC!L17</f>
        <v>-7.1614124460070649E-2</v>
      </c>
      <c r="L17" s="11">
        <f>K17+預測IC!M17</f>
        <v>-0.29855476175239348</v>
      </c>
      <c r="M17" s="11">
        <f>L17+預測IC!N17</f>
        <v>0.10655324718706871</v>
      </c>
      <c r="N17" s="11">
        <f>M17+預測IC!O17</f>
        <v>8.192119197512307E-2</v>
      </c>
      <c r="O17" s="11">
        <f>N17+預測IC!P17</f>
        <v>0.15883679547802401</v>
      </c>
      <c r="P17" s="11">
        <f>O17+預測IC!Q17</f>
        <v>5.2406542191547209E-2</v>
      </c>
      <c r="Q17" s="11">
        <f>P17+預測IC!R17</f>
        <v>5.4381793472216652E-2</v>
      </c>
      <c r="R17" s="11">
        <f>Q17+預測IC!S17</f>
        <v>-7.5023226575574725E-4</v>
      </c>
      <c r="S17" s="11">
        <f>R17+預測IC!T17</f>
        <v>-2.4257820917316736E-2</v>
      </c>
      <c r="T17" s="11">
        <f>S17+預測IC!U17</f>
        <v>0.11749807616584906</v>
      </c>
      <c r="U17" s="11">
        <f>T17+預測IC!V17</f>
        <v>1.1417741404489701E-3</v>
      </c>
      <c r="V17" s="11">
        <f>U17+預測IC!W17</f>
        <v>8.0283762942466252E-2</v>
      </c>
      <c r="W17" s="11">
        <f>V17+預測IC!X17</f>
        <v>-1.9902204061522044E-2</v>
      </c>
      <c r="X17" s="11">
        <f>W17+預測IC!Y17</f>
        <v>-1.8401702734984853E-2</v>
      </c>
      <c r="Y17" s="11">
        <f>X17+預測IC!Z17</f>
        <v>-4.0010192529251233E-2</v>
      </c>
      <c r="Z17" s="11">
        <f>Y17+預測IC!AA17</f>
        <v>2.224400455722049E-2</v>
      </c>
      <c r="AA17" s="11">
        <f>Z17+預測IC!AB17</f>
        <v>-3.6090156133557622E-2</v>
      </c>
      <c r="AB17" s="11">
        <f>AA17+預測IC!AC17</f>
        <v>-7.6889167121239804E-2</v>
      </c>
      <c r="AC17" s="11">
        <f>AB17+預測IC!AD17</f>
        <v>-8.2693438843930156E-3</v>
      </c>
      <c r="AD17" s="11">
        <f>AC17+預測IC!AE17</f>
        <v>5.1174155811299353E-2</v>
      </c>
      <c r="AE17" s="11">
        <f>AD17+預測IC!AF17</f>
        <v>4.2762912562987788E-2</v>
      </c>
      <c r="AF17" s="11">
        <f>AE17+預測IC!AG17</f>
        <v>4.141124175717599E-2</v>
      </c>
      <c r="AG17" s="11">
        <f>AF17+預測IC!AH17</f>
        <v>9.4897915448451178E-3</v>
      </c>
      <c r="AH17" s="11">
        <f>AG17+預測IC!AI17</f>
        <v>4.0077500186358694E-2</v>
      </c>
      <c r="AI17" s="11">
        <f>AH17+預測IC!AJ17</f>
        <v>2.9805051774532992E-2</v>
      </c>
      <c r="AJ17" s="11">
        <f>AI17+預測IC!AK17</f>
        <v>6.161753777435286E-2</v>
      </c>
      <c r="AK17" s="11">
        <f>AJ17+預測IC!AL17</f>
        <v>5.1633804439354107E-2</v>
      </c>
      <c r="AL17" s="11">
        <f>AK17+預測IC!AM17</f>
        <v>7.9503570171131854E-2</v>
      </c>
      <c r="AM17" s="11">
        <f>AL17+預測IC!AN17</f>
        <v>3.0143197752117837E-2</v>
      </c>
      <c r="AN17" s="11">
        <f>AM17+預測IC!AO17</f>
        <v>6.0847226695734398E-2</v>
      </c>
      <c r="AO17" s="11">
        <f>AN17+預測IC!AP17</f>
        <v>6.4605298284584958E-2</v>
      </c>
      <c r="AP17" s="11">
        <f>AO17+預測IC!AQ17</f>
        <v>5.5371304808795527E-2</v>
      </c>
      <c r="AQ17" s="11">
        <f>AP17+預測IC!AR17</f>
        <v>9.0368585843852961E-2</v>
      </c>
      <c r="AR17" s="11">
        <f>AQ17+預測IC!AS17</f>
        <v>6.085165576883305E-2</v>
      </c>
      <c r="AS17" s="11">
        <f>AR17+預測IC!AT17</f>
        <v>6.2284337734868578E-2</v>
      </c>
      <c r="AT17" s="11">
        <f>AS17+預測IC!AU17</f>
        <v>0.23984636348304009</v>
      </c>
      <c r="AU17" s="11">
        <f>AT17+預測IC!AV17</f>
        <v>0.26740941755831754</v>
      </c>
      <c r="AV17" s="11">
        <f>AU17+預測IC!AW17</f>
        <v>0.37941125266479026</v>
      </c>
      <c r="AW17" s="11">
        <f>AV17+預測IC!AX17</f>
        <v>0.39000164101927626</v>
      </c>
      <c r="AX17" s="11">
        <f>AW17+預測IC!AY17</f>
        <v>0.35283063726075836</v>
      </c>
      <c r="AY17" s="11">
        <f>AX17+預測IC!AZ17</f>
        <v>0.4008110710699313</v>
      </c>
      <c r="AZ17" s="11">
        <f>AY17+預測IC!BA17</f>
        <v>0.5636174808796941</v>
      </c>
      <c r="BA17" s="11">
        <f>AZ17+預測IC!BB17</f>
        <v>0.71688876515807887</v>
      </c>
      <c r="BB17" s="11">
        <f>BA17+預測IC!BC17</f>
        <v>0.79960533670188905</v>
      </c>
      <c r="BC17" s="11">
        <f>BB17+預測IC!BD17</f>
        <v>0.81308016652651327</v>
      </c>
      <c r="BD17" s="11">
        <f>BC17+預測IC!BE17</f>
        <v>0.79678277775596906</v>
      </c>
      <c r="BE17" s="11">
        <f>BD17+預測IC!BF17</f>
        <v>0.77844562309227905</v>
      </c>
      <c r="BF17" s="11">
        <f>BE17+預測IC!BG17</f>
        <v>0.76529231230650685</v>
      </c>
      <c r="BG17" s="11">
        <f>BF17+預測IC!BH17</f>
        <v>0.71655431806171865</v>
      </c>
      <c r="BH17" s="11">
        <f>BG17+預測IC!BI17</f>
        <v>0.77400394180015408</v>
      </c>
      <c r="BI17" s="11">
        <f>BH17+預測IC!BJ17</f>
        <v>0.78386200607339052</v>
      </c>
      <c r="BJ17" s="11">
        <f>BI17+預測IC!BK17</f>
        <v>0.89867779807290815</v>
      </c>
      <c r="BK17" s="11">
        <f>BJ17+預測IC!BL17</f>
        <v>0.90625140317985564</v>
      </c>
      <c r="BL17" s="11">
        <f>BK17+預測IC!BM17</f>
        <v>0.82828407739801202</v>
      </c>
      <c r="BM17" s="11">
        <f>BL17+預測IC!BN17</f>
        <v>0.75462730946164613</v>
      </c>
      <c r="BN17" s="11">
        <f>BM17+預測IC!BO17</f>
        <v>0.78597760814502793</v>
      </c>
      <c r="BO17" s="11">
        <f>BN17+預測IC!BP17</f>
        <v>0.84661575505494513</v>
      </c>
      <c r="BP17" s="11">
        <f>BO17+預測IC!BQ17</f>
        <v>0.89525835192122993</v>
      </c>
      <c r="BQ17" s="11">
        <f>BP17+預測IC!BR17</f>
        <v>0.93026216689599295</v>
      </c>
      <c r="BR17" s="11">
        <f>BQ17+預測IC!BS17</f>
        <v>0.99271045068795949</v>
      </c>
      <c r="BS17" s="11">
        <f>BR17+預測IC!BT17</f>
        <v>0.95906287744160112</v>
      </c>
      <c r="BT17" s="11">
        <f>BS17+預測IC!BU17</f>
        <v>0.85453857790874044</v>
      </c>
      <c r="BU17" s="11">
        <f>BT17+預測IC!BV17</f>
        <v>0.96118249554213231</v>
      </c>
      <c r="BV17" s="11">
        <f>BU17+預測IC!BW17</f>
        <v>1.1884165890510954</v>
      </c>
      <c r="BW17" s="11">
        <f>BV17+預測IC!BX17</f>
        <v>1.1956175393315207</v>
      </c>
      <c r="BX17" s="11">
        <f>BW17+預測IC!BY17</f>
        <v>1.0997566674115296</v>
      </c>
      <c r="BY17" s="11">
        <f>BX17+預測IC!BZ17</f>
        <v>1.2067080615773176</v>
      </c>
      <c r="BZ17" s="11">
        <f>BY17+預測IC!CA17</f>
        <v>1.2339048459552322</v>
      </c>
      <c r="CA17" s="11">
        <f>BZ17+預測IC!CB17</f>
        <v>1.3835380036481217</v>
      </c>
      <c r="CB17" s="11">
        <f>CA17+預測IC!CC17</f>
        <v>1.4252982561223573</v>
      </c>
      <c r="CC17" s="11">
        <f>CB17+預測IC!CD17</f>
        <v>1.4894042013876847</v>
      </c>
      <c r="CD17" s="11">
        <f>CC17+預測IC!CE17</f>
        <v>1.5851122750491797</v>
      </c>
      <c r="CE17" s="11">
        <f>CD17+預測IC!CF17</f>
        <v>1.4899889261109758</v>
      </c>
      <c r="CF17" s="11">
        <f>CE17+預測IC!CG17</f>
        <v>1.6670235334343273</v>
      </c>
      <c r="CG17" s="11">
        <f>CF17+預測IC!CH17</f>
        <v>1.6442701945408231</v>
      </c>
      <c r="CH17" s="11">
        <f>CG17+預測IC!CI17</f>
        <v>1.5618172802207659</v>
      </c>
      <c r="CI17" s="11">
        <f>CH17+預測IC!CJ17</f>
        <v>1.6001392217129826</v>
      </c>
      <c r="CJ17" s="11">
        <f>CI17+預測IC!CK17</f>
        <v>1.6758821835197451</v>
      </c>
      <c r="CK17" s="11">
        <f>CJ17+預測IC!CL17</f>
        <v>1.9630612815010986</v>
      </c>
      <c r="CL17" s="11">
        <f>CK17+預測IC!CM17</f>
        <v>1.867567410684545</v>
      </c>
      <c r="CM17" s="11">
        <f>CL17+預測IC!CN17</f>
        <v>1.8811980343985457</v>
      </c>
      <c r="CN17" s="11">
        <f>CM17+預測IC!CO17</f>
        <v>2.0792784542883345</v>
      </c>
      <c r="CO17" s="11">
        <f>CN17+預測IC!CP17</f>
        <v>2.0576689253706237</v>
      </c>
      <c r="CP17" s="11">
        <f>CO17+預測IC!CQ17</f>
        <v>2.2307980837030184</v>
      </c>
      <c r="CQ17" s="11">
        <f>CP17+預測IC!CR17</f>
        <v>2.2538039132410166</v>
      </c>
      <c r="CR17" s="11">
        <f>CQ17+預測IC!CS17</f>
        <v>2.2653494289580216</v>
      </c>
      <c r="CS17" s="11">
        <f>CR17+預測IC!CT17</f>
        <v>2.2160893725688284</v>
      </c>
      <c r="CT17" s="11">
        <f>CS17+預測IC!CU17</f>
        <v>2.2671973353849526</v>
      </c>
      <c r="CU17" s="11">
        <f>CT17+預測IC!CV17</f>
        <v>2.335088352456232</v>
      </c>
      <c r="CV17" s="11">
        <f>CU17+預測IC!CW17</f>
        <v>2.3119325076413841</v>
      </c>
      <c r="CW17" s="11">
        <f>CV17+預測IC!CX17</f>
        <v>2.3369249568469059</v>
      </c>
      <c r="CX17" s="11">
        <f>CW17+預測IC!CY17</f>
        <v>2.3964229087067288</v>
      </c>
      <c r="CY17" s="11">
        <f>CX17+預測IC!CZ17</f>
        <v>2.5805561093328517</v>
      </c>
      <c r="CZ17" s="11">
        <f>CY17+預測IC!DA17</f>
        <v>2.6750525085523424</v>
      </c>
      <c r="DA17" s="11">
        <f>CZ17+預測IC!DB17</f>
        <v>2.7793241344554258</v>
      </c>
      <c r="DB17" s="11">
        <f>DA17+預測IC!DC17</f>
        <v>2.8332124564043082</v>
      </c>
      <c r="DC17" s="11">
        <f>DB17+預測IC!DD17</f>
        <v>2.7850818670657964</v>
      </c>
      <c r="DD17" s="11">
        <f>DC17+預測IC!DE17</f>
        <v>2.7334156039987283</v>
      </c>
      <c r="DE17" s="11">
        <f>DD17+預測IC!DF17</f>
        <v>3.0856411582702004</v>
      </c>
      <c r="DF17" s="11">
        <f>DE17+預測IC!DG17</f>
        <v>3.0384301698416767</v>
      </c>
      <c r="DG17" s="11">
        <f>DF17+預測IC!DH17</f>
        <v>2.9997035189036638</v>
      </c>
      <c r="DH17" s="11">
        <f>DG17+預測IC!DI17</f>
        <v>2.9944102745798813</v>
      </c>
      <c r="DI17" s="11">
        <f>DH17+預測IC!DJ17</f>
        <v>2.9490741170390615</v>
      </c>
      <c r="DJ17" s="11">
        <f>DI17+預測IC!DK17</f>
        <v>2.846292848290755</v>
      </c>
      <c r="DK17" s="11">
        <f>DJ17+預測IC!DL17</f>
        <v>2.8405025025452617</v>
      </c>
      <c r="DL17" s="11">
        <f>DK17+預測IC!DM17</f>
        <v>2.8830661112570137</v>
      </c>
      <c r="DM17" s="11">
        <f>DL17+預測IC!DN17</f>
        <v>2.8224369284644655</v>
      </c>
      <c r="DN17" s="11">
        <f>DM17+預測IC!DO17</f>
        <v>3.0021998545631945</v>
      </c>
      <c r="DO17" s="11">
        <f>DN17+預測IC!DP17</f>
        <v>2.9771024245551398</v>
      </c>
      <c r="DP17" s="11">
        <f>DO17+預測IC!DQ17</f>
        <v>2.9118580764213777</v>
      </c>
      <c r="DQ17" s="11">
        <f>DP17+預測IC!DR17</f>
        <v>2.8861316369551044</v>
      </c>
      <c r="DR17" s="11">
        <f>DQ17+預測IC!DS17</f>
        <v>2.9234857257102069</v>
      </c>
      <c r="DS17" s="11">
        <f>DR17+預測IC!DT17</f>
        <v>2.9402289156293997</v>
      </c>
      <c r="DT17" s="11">
        <f>DS17+預測IC!DU17</f>
        <v>2.8107359593094099</v>
      </c>
      <c r="DU17" s="11">
        <f>DT17+預測IC!DV17</f>
        <v>2.8730057508074576</v>
      </c>
      <c r="DV17" s="11">
        <f>DU17+預測IC!DW17</f>
        <v>2.7964068377714613</v>
      </c>
      <c r="DW17" s="11">
        <f>DV17+預測IC!DX17</f>
        <v>2.6668678551749871</v>
      </c>
      <c r="DX17" s="11">
        <f>DW17+預測IC!DY17</f>
        <v>2.7699885334431413</v>
      </c>
      <c r="DY17" s="11">
        <f>DX17+預測IC!DZ17</f>
        <v>2.8192011626129494</v>
      </c>
      <c r="DZ17" s="11">
        <f>DY17+預測IC!EA17</f>
        <v>2.9837726858450644</v>
      </c>
      <c r="EA17" s="11">
        <f>DZ17+預測IC!EB17</f>
        <v>2.9099917161274114</v>
      </c>
      <c r="EB17" s="11">
        <f>EA17+預測IC!EC17</f>
        <v>2.8896305570336493</v>
      </c>
      <c r="EC17" s="11">
        <f>EB17+預測IC!ED17</f>
        <v>2.8067749346301647</v>
      </c>
      <c r="ED17" s="11">
        <f>EC17+預測IC!EE17</f>
        <v>2.8069684557762442</v>
      </c>
      <c r="EE17" s="11">
        <f>ED17+[1]預測IC!EF17</f>
        <v>2.8546782227860961</v>
      </c>
    </row>
    <row r="18" spans="1:136" ht="16">
      <c r="A18" s="6" t="s">
        <v>157</v>
      </c>
      <c r="B18" s="9">
        <v>-5.3942228163147227E-2</v>
      </c>
      <c r="C18" s="11">
        <f>B18+預測IC!D18</f>
        <v>-3.7227061578284995E-2</v>
      </c>
      <c r="D18" s="11">
        <f>C18+預測IC!E18</f>
        <v>1.6212288689439018E-2</v>
      </c>
      <c r="E18" s="11">
        <f>D18+預測IC!F18</f>
        <v>-0.11820208574394667</v>
      </c>
      <c r="F18" s="11">
        <f>E18+預測IC!G18</f>
        <v>-0.19899633276480652</v>
      </c>
      <c r="G18" s="11">
        <f>F18+預測IC!H18</f>
        <v>-7.0456770990235229E-2</v>
      </c>
      <c r="H18" s="11">
        <f>G18+預測IC!I18</f>
        <v>-1.550410808143364E-2</v>
      </c>
      <c r="I18" s="11">
        <f>H18+預測IC!J18</f>
        <v>-0.14066590116997546</v>
      </c>
      <c r="J18" s="11">
        <f>I18+預測IC!K18</f>
        <v>-0.10907945085906176</v>
      </c>
      <c r="K18" s="11">
        <f>J18+預測IC!L18</f>
        <v>-9.6096964012080149E-2</v>
      </c>
      <c r="L18" s="11">
        <f>K18+預測IC!M18</f>
        <v>-0.3496101580247406</v>
      </c>
      <c r="M18" s="11">
        <f>L18+預測IC!N18</f>
        <v>0.11220986004587258</v>
      </c>
      <c r="N18" s="11">
        <f>M18+預測IC!O18</f>
        <v>8.7885985203052824E-2</v>
      </c>
      <c r="O18" s="11">
        <f>N18+預測IC!P18</f>
        <v>0.14245559831403695</v>
      </c>
      <c r="P18" s="11">
        <f>O18+預測IC!Q18</f>
        <v>2.0719226649401845E-2</v>
      </c>
      <c r="Q18" s="11">
        <f>P18+預測IC!R18</f>
        <v>4.0045425576258217E-2</v>
      </c>
      <c r="R18" s="11">
        <f>Q18+預測IC!S18</f>
        <v>-2.8967914817450466E-2</v>
      </c>
      <c r="S18" s="11">
        <f>R18+預測IC!T18</f>
        <v>-3.3996054990715181E-2</v>
      </c>
      <c r="T18" s="11">
        <f>S18+預測IC!U18</f>
        <v>9.8498969439103828E-2</v>
      </c>
      <c r="U18" s="11">
        <f>T18+預測IC!V18</f>
        <v>-3.2754957500337162E-2</v>
      </c>
      <c r="V18" s="11">
        <f>U18+預測IC!W18</f>
        <v>4.454132255940145E-2</v>
      </c>
      <c r="W18" s="11">
        <f>V18+預測IC!X18</f>
        <v>-8.2581486066088852E-2</v>
      </c>
      <c r="X18" s="11">
        <f>W18+預測IC!Y18</f>
        <v>-5.8367678345507962E-2</v>
      </c>
      <c r="Y18" s="11">
        <f>X18+預測IC!Z18</f>
        <v>-7.5273394532891835E-2</v>
      </c>
      <c r="Z18" s="11">
        <f>Y18+預測IC!AA18</f>
        <v>-2.0468896552676648E-2</v>
      </c>
      <c r="AA18" s="11">
        <f>Z18+預測IC!AB18</f>
        <v>-8.2182747226400094E-2</v>
      </c>
      <c r="AB18" s="11">
        <f>AA18+預測IC!AC18</f>
        <v>-0.15690257060566676</v>
      </c>
      <c r="AC18" s="11">
        <f>AB18+預測IC!AD18</f>
        <v>-6.0616725420247444E-2</v>
      </c>
      <c r="AD18" s="11">
        <f>AC18+預測IC!AE18</f>
        <v>1.6584866198632267E-2</v>
      </c>
      <c r="AE18" s="11">
        <f>AD18+預測IC!AF18</f>
        <v>1.8336358147153391E-2</v>
      </c>
      <c r="AF18" s="11">
        <f>AE18+預測IC!AG18</f>
        <v>9.7179937670096687E-3</v>
      </c>
      <c r="AG18" s="11">
        <f>AF18+預測IC!AH18</f>
        <v>-2.6195236648896811E-2</v>
      </c>
      <c r="AH18" s="11">
        <f>AG18+預測IC!AI18</f>
        <v>2.066030470485922E-2</v>
      </c>
      <c r="AI18" s="11">
        <f>AH18+預測IC!AJ18</f>
        <v>1.3332860815669732E-2</v>
      </c>
      <c r="AJ18" s="11">
        <f>AI18+預測IC!AK18</f>
        <v>1.1145379846995639E-2</v>
      </c>
      <c r="AK18" s="11">
        <f>AJ18+預測IC!AL18</f>
        <v>1.0289824792623454E-2</v>
      </c>
      <c r="AL18" s="11">
        <f>AK18+預測IC!AM18</f>
        <v>2.0149559309535277E-2</v>
      </c>
      <c r="AM18" s="11">
        <f>AL18+預測IC!AN18</f>
        <v>-3.3512018955149124E-2</v>
      </c>
      <c r="AN18" s="11">
        <f>AM18+預測IC!AO18</f>
        <v>1.3156931634383313E-2</v>
      </c>
      <c r="AO18" s="11">
        <f>AN18+預測IC!AP18</f>
        <v>1.5171363082291552E-2</v>
      </c>
      <c r="AP18" s="11">
        <f>AO18+預測IC!AQ18</f>
        <v>3.1956504651407258E-2</v>
      </c>
      <c r="AQ18" s="11">
        <f>AP18+預測IC!AR18</f>
        <v>9.3651028252188823E-2</v>
      </c>
      <c r="AR18" s="11">
        <f>AQ18+預測IC!AS18</f>
        <v>4.8276028121689921E-2</v>
      </c>
      <c r="AS18" s="11">
        <f>AR18+預測IC!AT18</f>
        <v>7.7930353688653836E-2</v>
      </c>
      <c r="AT18" s="11">
        <f>AS18+預測IC!AU18</f>
        <v>0.27459008482733244</v>
      </c>
      <c r="AU18" s="11">
        <f>AT18+預測IC!AV18</f>
        <v>0.30964777240320884</v>
      </c>
      <c r="AV18" s="11">
        <f>AU18+預測IC!AW18</f>
        <v>0.45168972374570693</v>
      </c>
      <c r="AW18" s="11">
        <f>AV18+預測IC!AX18</f>
        <v>0.48529179152119711</v>
      </c>
      <c r="AX18" s="11">
        <f>AW18+預測IC!AY18</f>
        <v>0.44251418361333816</v>
      </c>
      <c r="AY18" s="11">
        <f>AX18+預測IC!AZ18</f>
        <v>0.50885545935075982</v>
      </c>
      <c r="AZ18" s="11">
        <f>AY18+預測IC!BA18</f>
        <v>0.67296159915968579</v>
      </c>
      <c r="BA18" s="11">
        <f>AZ18+預測IC!BB18</f>
        <v>0.84021961764047837</v>
      </c>
      <c r="BB18" s="11">
        <f>BA18+預測IC!BC18</f>
        <v>0.92342119023379898</v>
      </c>
      <c r="BC18" s="11">
        <f>BB18+預測IC!BD18</f>
        <v>0.92727854051292857</v>
      </c>
      <c r="BD18" s="11">
        <f>BC18+預測IC!BE18</f>
        <v>0.90504799925404467</v>
      </c>
      <c r="BE18" s="11">
        <f>BD18+預測IC!BF18</f>
        <v>0.86690484816588032</v>
      </c>
      <c r="BF18" s="11">
        <f>BE18+預測IC!BG18</f>
        <v>0.86459661127637499</v>
      </c>
      <c r="BG18" s="11">
        <f>BF18+預測IC!BH18</f>
        <v>0.80166122745108059</v>
      </c>
      <c r="BH18" s="11">
        <f>BG18+預測IC!BI18</f>
        <v>0.83514880705487282</v>
      </c>
      <c r="BI18" s="11">
        <f>BH18+預測IC!BJ18</f>
        <v>0.82919274300441326</v>
      </c>
      <c r="BJ18" s="11">
        <f>BI18+預測IC!BK18</f>
        <v>0.9026483698284189</v>
      </c>
      <c r="BK18" s="11">
        <f>BJ18+預測IC!BL18</f>
        <v>0.92900114931128774</v>
      </c>
      <c r="BL18" s="11">
        <f>BK18+預測IC!BM18</f>
        <v>0.85921881658180554</v>
      </c>
      <c r="BM18" s="11">
        <f>BL18+預測IC!BN18</f>
        <v>0.78101011709943013</v>
      </c>
      <c r="BN18" s="11">
        <f>BM18+預測IC!BO18</f>
        <v>0.78941684836780424</v>
      </c>
      <c r="BO18" s="11">
        <f>BN18+預測IC!BP18</f>
        <v>0.8518802804042559</v>
      </c>
      <c r="BP18" s="11">
        <f>BO18+預測IC!BQ18</f>
        <v>0.91016465136956926</v>
      </c>
      <c r="BQ18" s="11">
        <f>BP18+預測IC!BR18</f>
        <v>0.93645134764627802</v>
      </c>
      <c r="BR18" s="11">
        <f>BQ18+預測IC!BS18</f>
        <v>1.0181870978109975</v>
      </c>
      <c r="BS18" s="11">
        <f>BR18+預測IC!BT18</f>
        <v>1.0048879470333196</v>
      </c>
      <c r="BT18" s="11">
        <f>BS18+預測IC!BU18</f>
        <v>0.89342640150421704</v>
      </c>
      <c r="BU18" s="11">
        <f>BT18+預測IC!BV18</f>
        <v>1.0089319202168614</v>
      </c>
      <c r="BV18" s="11">
        <f>BU18+預測IC!BW18</f>
        <v>1.2699718505154163</v>
      </c>
      <c r="BW18" s="11">
        <f>BV18+預測IC!BX18</f>
        <v>1.2541599265696237</v>
      </c>
      <c r="BX18" s="11">
        <f>BW18+預測IC!BY18</f>
        <v>1.1914731821195388</v>
      </c>
      <c r="BY18" s="11">
        <f>BX18+預測IC!BZ18</f>
        <v>1.3012877532461453</v>
      </c>
      <c r="BZ18" s="11">
        <f>BY18+預測IC!CA18</f>
        <v>1.3345739181466745</v>
      </c>
      <c r="CA18" s="11">
        <f>BZ18+預測IC!CB18</f>
        <v>1.4414199786167476</v>
      </c>
      <c r="CB18" s="11">
        <f>CA18+預測IC!CC18</f>
        <v>1.5460806024583928</v>
      </c>
      <c r="CC18" s="11">
        <f>CB18+預測IC!CD18</f>
        <v>1.5965263970134311</v>
      </c>
      <c r="CD18" s="11">
        <f>CC18+預測IC!CE18</f>
        <v>1.6737867918916538</v>
      </c>
      <c r="CE18" s="11">
        <f>CD18+預測IC!CF18</f>
        <v>1.5719281763586599</v>
      </c>
      <c r="CF18" s="11">
        <f>CE18+預測IC!CG18</f>
        <v>1.7985695822602799</v>
      </c>
      <c r="CG18" s="11">
        <f>CF18+預測IC!CH18</f>
        <v>1.7731304198556785</v>
      </c>
      <c r="CH18" s="11">
        <f>CG18+預測IC!CI18</f>
        <v>1.6554050099233946</v>
      </c>
      <c r="CI18" s="11">
        <f>CH18+預測IC!CJ18</f>
        <v>1.6840900165978985</v>
      </c>
      <c r="CJ18" s="11">
        <f>CI18+預測IC!CK18</f>
        <v>1.7573100507072248</v>
      </c>
      <c r="CK18" s="11">
        <f>CJ18+預測IC!CL18</f>
        <v>2.0744186636256865</v>
      </c>
      <c r="CL18" s="11">
        <f>CK18+預測IC!CM18</f>
        <v>1.9716490519977357</v>
      </c>
      <c r="CM18" s="11">
        <f>CL18+預測IC!CN18</f>
        <v>1.9430314622332612</v>
      </c>
      <c r="CN18" s="11">
        <f>CM18+預測IC!CO18</f>
        <v>2.1713135481087225</v>
      </c>
      <c r="CO18" s="11">
        <f>CN18+預測IC!CP18</f>
        <v>2.1558158761384152</v>
      </c>
      <c r="CP18" s="11">
        <f>CO18+預測IC!CQ18</f>
        <v>2.365557083561074</v>
      </c>
      <c r="CQ18" s="11">
        <f>CP18+預測IC!CR18</f>
        <v>2.3993003858322663</v>
      </c>
      <c r="CR18" s="11">
        <f>CQ18+預測IC!CS18</f>
        <v>2.427428946246355</v>
      </c>
      <c r="CS18" s="11">
        <f>CR18+預測IC!CT18</f>
        <v>2.3324779171808694</v>
      </c>
      <c r="CT18" s="11">
        <f>CS18+預測IC!CU18</f>
        <v>2.3372190576630527</v>
      </c>
      <c r="CU18" s="11">
        <f>CT18+預測IC!CV18</f>
        <v>2.4058131973100423</v>
      </c>
      <c r="CV18" s="11">
        <f>CU18+預測IC!CW18</f>
        <v>2.3774849407252328</v>
      </c>
      <c r="CW18" s="11">
        <f>CV18+預測IC!CX18</f>
        <v>2.3634061931449506</v>
      </c>
      <c r="CX18" s="11">
        <f>CW18+預測IC!CY18</f>
        <v>2.4348386520573246</v>
      </c>
      <c r="CY18" s="11">
        <f>CX18+預測IC!CZ18</f>
        <v>2.6392489906164398</v>
      </c>
      <c r="CZ18" s="11">
        <f>CY18+預測IC!DA18</f>
        <v>2.7176076215238725</v>
      </c>
      <c r="DA18" s="11">
        <f>CZ18+預測IC!DB18</f>
        <v>2.8357223398090841</v>
      </c>
      <c r="DB18" s="11">
        <f>DA18+預測IC!DC18</f>
        <v>2.8849312072331967</v>
      </c>
      <c r="DC18" s="11">
        <f>DB18+預測IC!DD18</f>
        <v>2.8138599073256336</v>
      </c>
      <c r="DD18" s="11">
        <f>DC18+預測IC!DE18</f>
        <v>2.7745528322791335</v>
      </c>
      <c r="DE18" s="11">
        <f>DD18+預測IC!DF18</f>
        <v>3.1412448418931485</v>
      </c>
      <c r="DF18" s="11">
        <f>DE18+預測IC!DG18</f>
        <v>3.0864743577662748</v>
      </c>
      <c r="DG18" s="11">
        <f>DF18+預測IC!DH18</f>
        <v>3.0584363445176259</v>
      </c>
      <c r="DH18" s="11">
        <f>DG18+預測IC!DI18</f>
        <v>3.0423217152795989</v>
      </c>
      <c r="DI18" s="11">
        <f>DH18+預測IC!DJ18</f>
        <v>2.9971176754943096</v>
      </c>
      <c r="DJ18" s="11">
        <f>DI18+預測IC!DK18</f>
        <v>2.8905904134918758</v>
      </c>
      <c r="DK18" s="11">
        <f>DJ18+預測IC!DL18</f>
        <v>2.8671798853560553</v>
      </c>
      <c r="DL18" s="11">
        <f>DK18+預測IC!DM18</f>
        <v>2.9256370496462312</v>
      </c>
      <c r="DM18" s="11">
        <f>DL18+預測IC!DN18</f>
        <v>2.8687617893043966</v>
      </c>
      <c r="DN18" s="11">
        <f>DM18+預測IC!DO18</f>
        <v>3.089082001095695</v>
      </c>
      <c r="DO18" s="11">
        <f>DN18+預測IC!DP18</f>
        <v>3.0675716663362005</v>
      </c>
      <c r="DP18" s="11">
        <f>DO18+預測IC!DQ18</f>
        <v>3.005616137368833</v>
      </c>
      <c r="DQ18" s="11">
        <f>DP18+預測IC!DR18</f>
        <v>2.9951648885493167</v>
      </c>
      <c r="DR18" s="11">
        <f>DQ18+預測IC!DS18</f>
        <v>3.0064428708049995</v>
      </c>
      <c r="DS18" s="11">
        <f>DR18+預測IC!DT18</f>
        <v>2.9990354808455044</v>
      </c>
      <c r="DT18" s="11">
        <f>DS18+預測IC!DU18</f>
        <v>2.8403206581288267</v>
      </c>
      <c r="DU18" s="11">
        <f>DT18+預測IC!DV18</f>
        <v>2.925723942444229</v>
      </c>
      <c r="DV18" s="11">
        <f>DU18+預測IC!DW18</f>
        <v>2.8570869924921118</v>
      </c>
      <c r="DW18" s="11">
        <f>DV18+預測IC!DX18</f>
        <v>2.70348401502963</v>
      </c>
      <c r="DX18" s="11">
        <f>DW18+預測IC!DY18</f>
        <v>2.8009120520055797</v>
      </c>
      <c r="DY18" s="11">
        <f>DX18+預測IC!DZ18</f>
        <v>2.8555424261621618</v>
      </c>
      <c r="DZ18" s="11">
        <f>DY18+預測IC!EA18</f>
        <v>3.0544881743264991</v>
      </c>
      <c r="EA18" s="11">
        <f>DZ18+預測IC!EB18</f>
        <v>2.9574454847842202</v>
      </c>
      <c r="EB18" s="11">
        <f>EA18+預測IC!EC18</f>
        <v>2.9378449688672585</v>
      </c>
      <c r="EC18" s="11">
        <f>EB18+預測IC!ED18</f>
        <v>2.8575757727397355</v>
      </c>
      <c r="ED18" s="11">
        <f>EC18+預測IC!EE18</f>
        <v>2.8564644850673777</v>
      </c>
      <c r="EE18" s="11">
        <f>ED18+[1]預測IC!EF18</f>
        <v>2.9054195021777942</v>
      </c>
    </row>
    <row r="19" spans="1:136" ht="16">
      <c r="A19" s="6" t="s">
        <v>158</v>
      </c>
      <c r="B19" s="9">
        <v>-7.7959416087486216E-2</v>
      </c>
      <c r="C19" s="11">
        <f>B19+預測IC!D19</f>
        <v>-6.9077142931051189E-2</v>
      </c>
      <c r="D19" s="11">
        <f>C19+預測IC!E19</f>
        <v>-2.4673210964236046E-2</v>
      </c>
      <c r="E19" s="11">
        <f>D19+預測IC!F19</f>
        <v>-6.331989285048012E-2</v>
      </c>
      <c r="F19" s="11">
        <f>E19+預測IC!G19</f>
        <v>-0.16083198341208024</v>
      </c>
      <c r="G19" s="11">
        <f>F19+預測IC!H19</f>
        <v>1.6778335410571749E-2</v>
      </c>
      <c r="H19" s="11">
        <f>G19+預測IC!I19</f>
        <v>6.4241740746971282E-2</v>
      </c>
      <c r="I19" s="11">
        <f>H19+預測IC!J19</f>
        <v>-9.1988612339232612E-2</v>
      </c>
      <c r="J19" s="11">
        <f>I19+預測IC!K19</f>
        <v>-3.5447642777667404E-2</v>
      </c>
      <c r="K19" s="11">
        <f>J19+預測IC!L19</f>
        <v>9.0965721364942229E-3</v>
      </c>
      <c r="L19" s="11">
        <f>K19+預測IC!M19</f>
        <v>-0.25244527017849255</v>
      </c>
      <c r="M19" s="11">
        <f>L19+預測IC!N19</f>
        <v>0.27992876750974865</v>
      </c>
      <c r="N19" s="11">
        <f>M19+預測IC!O19</f>
        <v>0.29972620151113349</v>
      </c>
      <c r="O19" s="11">
        <f>N19+預測IC!P19</f>
        <v>0.32251141462322686</v>
      </c>
      <c r="P19" s="11">
        <f>O19+預測IC!Q19</f>
        <v>0.15204912254320876</v>
      </c>
      <c r="Q19" s="11">
        <f>P19+預測IC!R19</f>
        <v>0.19399175199242474</v>
      </c>
      <c r="R19" s="11">
        <f>Q19+預測IC!S19</f>
        <v>0.11529549067926401</v>
      </c>
      <c r="S19" s="11">
        <f>R19+預測IC!T19</f>
        <v>5.7696291433422114E-3</v>
      </c>
      <c r="T19" s="11">
        <f>S19+預測IC!U19</f>
        <v>0.11953409693979571</v>
      </c>
      <c r="U19" s="11">
        <f>T19+預測IC!V19</f>
        <v>8.4963842087461272E-4</v>
      </c>
      <c r="V19" s="11">
        <f>U19+預測IC!W19</f>
        <v>7.3265207740373581E-2</v>
      </c>
      <c r="W19" s="11">
        <f>V19+預測IC!X19</f>
        <v>-4.9657938505343419E-2</v>
      </c>
      <c r="X19" s="11">
        <f>W19+預測IC!Y19</f>
        <v>-2.5593633160285678E-2</v>
      </c>
      <c r="Y19" s="11">
        <f>X19+預測IC!Z19</f>
        <v>-4.7816872459188059E-2</v>
      </c>
      <c r="Z19" s="11">
        <f>Y19+預測IC!AA19</f>
        <v>-5.1675066015347687E-4</v>
      </c>
      <c r="AA19" s="11">
        <f>Z19+預測IC!AB19</f>
        <v>-6.1279102126707244E-2</v>
      </c>
      <c r="AB19" s="11">
        <f>AA19+預測IC!AC19</f>
        <v>-0.14479196901958588</v>
      </c>
      <c r="AC19" s="11">
        <f>AB19+預測IC!AD19</f>
        <v>-4.8798591221517723E-2</v>
      </c>
      <c r="AD19" s="11">
        <f>AC19+預測IC!AE19</f>
        <v>6.6433278741549071E-2</v>
      </c>
      <c r="AE19" s="11">
        <f>AD19+預測IC!AF19</f>
        <v>6.6170710023192206E-2</v>
      </c>
      <c r="AF19" s="11">
        <f>AE19+預測IC!AG19</f>
        <v>8.546825524722701E-2</v>
      </c>
      <c r="AG19" s="11">
        <f>AF19+預測IC!AH19</f>
        <v>6.9378767472286218E-2</v>
      </c>
      <c r="AH19" s="11">
        <f>AG19+預測IC!AI19</f>
        <v>0.15114889226178274</v>
      </c>
      <c r="AI19" s="11">
        <f>AH19+預測IC!AJ19</f>
        <v>0.16331608383776325</v>
      </c>
      <c r="AJ19" s="11">
        <f>AI19+預測IC!AK19</f>
        <v>0.17086812634371595</v>
      </c>
      <c r="AK19" s="11">
        <f>AJ19+預測IC!AL19</f>
        <v>0.16973186416236333</v>
      </c>
      <c r="AL19" s="11">
        <f>AK19+預測IC!AM19</f>
        <v>0.18026510727460671</v>
      </c>
      <c r="AM19" s="11">
        <f>AL19+預測IC!AN19</f>
        <v>0.11815372302011987</v>
      </c>
      <c r="AN19" s="11">
        <f>AM19+預測IC!AO19</f>
        <v>0.17590013055503725</v>
      </c>
      <c r="AO19" s="11">
        <f>AN19+預測IC!AP19</f>
        <v>0.18561225149663732</v>
      </c>
      <c r="AP19" s="11">
        <f>AO19+預測IC!AQ19</f>
        <v>0.24053774387025051</v>
      </c>
      <c r="AQ19" s="11">
        <f>AP19+預測IC!AR19</f>
        <v>0.31515464150490935</v>
      </c>
      <c r="AR19" s="11">
        <f>AQ19+預測IC!AS19</f>
        <v>0.31146641017071769</v>
      </c>
      <c r="AS19" s="11">
        <f>AR19+預測IC!AT19</f>
        <v>0.32265100312644163</v>
      </c>
      <c r="AT19" s="11">
        <f>AS19+預測IC!AU19</f>
        <v>0.56149524152545593</v>
      </c>
      <c r="AU19" s="11">
        <f>AT19+預測IC!AV19</f>
        <v>0.60417253724979314</v>
      </c>
      <c r="AV19" s="11">
        <f>AU19+預測IC!AW19</f>
        <v>0.72903440414387666</v>
      </c>
      <c r="AW19" s="11">
        <f>AV19+預測IC!AX19</f>
        <v>0.79309651437467088</v>
      </c>
      <c r="AX19" s="11">
        <f>AW19+預測IC!AY19</f>
        <v>0.7322432790133</v>
      </c>
      <c r="AY19" s="11">
        <f>AX19+預測IC!AZ19</f>
        <v>0.81627575128693963</v>
      </c>
      <c r="AZ19" s="11">
        <f>AY19+預測IC!BA19</f>
        <v>1.0032725288417201</v>
      </c>
      <c r="BA19" s="11">
        <f>AZ19+預測IC!BB19</f>
        <v>1.205074439504928</v>
      </c>
      <c r="BB19" s="11">
        <f>BA19+預測IC!BC19</f>
        <v>1.2691299258511137</v>
      </c>
      <c r="BC19" s="11">
        <f>BB19+預測IC!BD19</f>
        <v>1.2548098790752711</v>
      </c>
      <c r="BD19" s="11">
        <f>BC19+預測IC!BE19</f>
        <v>1.2244192080069678</v>
      </c>
      <c r="BE19" s="11">
        <f>BD19+預測IC!BF19</f>
        <v>1.1749826907881256</v>
      </c>
      <c r="BF19" s="11">
        <f>BE19+預測IC!BG19</f>
        <v>1.1759459108964669</v>
      </c>
      <c r="BG19" s="11">
        <f>BF19+預測IC!BH19</f>
        <v>1.1188114495699344</v>
      </c>
      <c r="BH19" s="11">
        <f>BG19+預測IC!BI19</f>
        <v>1.144748244576387</v>
      </c>
      <c r="BI19" s="11">
        <f>BH19+預測IC!BJ19</f>
        <v>1.1230409430378079</v>
      </c>
      <c r="BJ19" s="11">
        <f>BI19+預測IC!BK19</f>
        <v>1.2200793659831937</v>
      </c>
      <c r="BK19" s="11">
        <f>BJ19+預測IC!BL19</f>
        <v>1.246075830773816</v>
      </c>
      <c r="BL19" s="11">
        <f>BK19+預測IC!BM19</f>
        <v>1.1579190340620342</v>
      </c>
      <c r="BM19" s="11">
        <f>BL19+預測IC!BN19</f>
        <v>1.0765057738618664</v>
      </c>
      <c r="BN19" s="11">
        <f>BM19+預測IC!BO19</f>
        <v>1.0579434594215122</v>
      </c>
      <c r="BO19" s="11">
        <f>BN19+預測IC!BP19</f>
        <v>1.0703538006991131</v>
      </c>
      <c r="BP19" s="11">
        <f>BO19+預測IC!BQ19</f>
        <v>1.0493441322322372</v>
      </c>
      <c r="BQ19" s="11">
        <f>BP19+預測IC!BR19</f>
        <v>1.0734039841677507</v>
      </c>
      <c r="BR19" s="11">
        <f>BQ19+預測IC!BS19</f>
        <v>1.1776686164242054</v>
      </c>
      <c r="BS19" s="11">
        <f>BR19+預測IC!BT19</f>
        <v>1.1908622856273428</v>
      </c>
      <c r="BT19" s="11">
        <f>BS19+預測IC!BU19</f>
        <v>1.0666757928154165</v>
      </c>
      <c r="BU19" s="11">
        <f>BT19+預測IC!BV19</f>
        <v>1.1667610583970318</v>
      </c>
      <c r="BV19" s="11">
        <f>BU19+預測IC!BW19</f>
        <v>1.4627373542300632</v>
      </c>
      <c r="BW19" s="11">
        <f>BV19+預測IC!BX19</f>
        <v>1.4263384646712696</v>
      </c>
      <c r="BX19" s="11">
        <f>BW19+預測IC!BY19</f>
        <v>1.3986629722596091</v>
      </c>
      <c r="BY19" s="11">
        <f>BX19+預測IC!BZ19</f>
        <v>1.5434049940880512</v>
      </c>
      <c r="BZ19" s="11">
        <f>BY19+預測IC!CA19</f>
        <v>1.5790147893774498</v>
      </c>
      <c r="CA19" s="11">
        <f>BZ19+預測IC!CB19</f>
        <v>1.7068529984783469</v>
      </c>
      <c r="CB19" s="11">
        <f>CA19+預測IC!CC19</f>
        <v>1.7293592313768644</v>
      </c>
      <c r="CC19" s="11">
        <f>CB19+預測IC!CD19</f>
        <v>1.8170241797381808</v>
      </c>
      <c r="CD19" s="11">
        <f>CC19+預測IC!CE19</f>
        <v>1.9054990386758486</v>
      </c>
      <c r="CE19" s="11">
        <f>CD19+預測IC!CF19</f>
        <v>1.7938005512108317</v>
      </c>
      <c r="CF19" s="11">
        <f>CE19+預測IC!CG19</f>
        <v>2.0576936847763703</v>
      </c>
      <c r="CG19" s="11">
        <f>CF19+預測IC!CH19</f>
        <v>2.0501348991186941</v>
      </c>
      <c r="CH19" s="11">
        <f>CG19+預測IC!CI19</f>
        <v>1.8849324868477815</v>
      </c>
      <c r="CI19" s="11">
        <f>CH19+預測IC!CJ19</f>
        <v>1.8838942997289816</v>
      </c>
      <c r="CJ19" s="11">
        <f>CI19+預測IC!CK19</f>
        <v>1.9584802884011239</v>
      </c>
      <c r="CK19" s="11">
        <f>CJ19+預測IC!CL19</f>
        <v>2.2696319920053538</v>
      </c>
      <c r="CL19" s="11">
        <f>CK19+預測IC!CM19</f>
        <v>2.1593961132679862</v>
      </c>
      <c r="CM19" s="11">
        <f>CL19+預測IC!CN19</f>
        <v>2.1434524227216492</v>
      </c>
      <c r="CN19" s="11">
        <f>CM19+預測IC!CO19</f>
        <v>2.3946880539419642</v>
      </c>
      <c r="CO19" s="11">
        <f>CN19+預測IC!CP19</f>
        <v>2.3656515322919378</v>
      </c>
      <c r="CP19" s="11">
        <f>CO19+預測IC!CQ19</f>
        <v>2.5876651036338787</v>
      </c>
      <c r="CQ19" s="11">
        <f>CP19+預測IC!CR19</f>
        <v>2.6119643060976054</v>
      </c>
      <c r="CR19" s="11">
        <f>CQ19+預測IC!CS19</f>
        <v>2.6557392930759098</v>
      </c>
      <c r="CS19" s="11">
        <f>CR19+預測IC!CT19</f>
        <v>2.533118866445879</v>
      </c>
      <c r="CT19" s="11">
        <f>CS19+預測IC!CU19</f>
        <v>2.5402754322050884</v>
      </c>
      <c r="CU19" s="11">
        <f>CT19+預測IC!CV19</f>
        <v>2.6164179266841856</v>
      </c>
      <c r="CV19" s="11">
        <f>CU19+預測IC!CW19</f>
        <v>2.5842257932963699</v>
      </c>
      <c r="CW19" s="11">
        <f>CV19+預測IC!CX19</f>
        <v>2.5853533879137642</v>
      </c>
      <c r="CX19" s="11">
        <f>CW19+預測IC!CY19</f>
        <v>2.6585047252217269</v>
      </c>
      <c r="CY19" s="11">
        <f>CX19+預測IC!CZ19</f>
        <v>2.8165167259335453</v>
      </c>
      <c r="CZ19" s="11">
        <f>CY19+預測IC!DA19</f>
        <v>2.8916992030372253</v>
      </c>
      <c r="DA19" s="11">
        <f>CZ19+預測IC!DB19</f>
        <v>3.0396610498068415</v>
      </c>
      <c r="DB19" s="11">
        <f>DA19+預測IC!DC19</f>
        <v>3.0699375069849948</v>
      </c>
      <c r="DC19" s="11">
        <f>DB19+預測IC!DD19</f>
        <v>3.0063900428324923</v>
      </c>
      <c r="DD19" s="11">
        <f>DC19+預測IC!DE19</f>
        <v>3.0003843325829216</v>
      </c>
      <c r="DE19" s="11">
        <f>DD19+預測IC!DF19</f>
        <v>3.205886078177218</v>
      </c>
      <c r="DF19" s="11">
        <f>DE19+預測IC!DG19</f>
        <v>3.1395118131827817</v>
      </c>
      <c r="DG19" s="11">
        <f>DF19+預測IC!DH19</f>
        <v>3.1393548300533771</v>
      </c>
      <c r="DH19" s="11">
        <f>DG19+預測IC!DI19</f>
        <v>3.1430212544957983</v>
      </c>
      <c r="DI19" s="11">
        <f>DH19+預測IC!DJ19</f>
        <v>3.0945069037728219</v>
      </c>
      <c r="DJ19" s="11">
        <f>DI19+預測IC!DK19</f>
        <v>2.9730645942623712</v>
      </c>
      <c r="DK19" s="11">
        <f>DJ19+預測IC!DL19</f>
        <v>2.9497510492277841</v>
      </c>
      <c r="DL19" s="11">
        <f>DK19+預測IC!DM19</f>
        <v>3.0070514804661146</v>
      </c>
      <c r="DM19" s="11">
        <f>DL19+預測IC!DN19</f>
        <v>2.9427570861311967</v>
      </c>
      <c r="DN19" s="11">
        <f>DM19+預測IC!DO19</f>
        <v>3.1920190378409412</v>
      </c>
      <c r="DO19" s="11">
        <f>DN19+預測IC!DP19</f>
        <v>3.1880165769096491</v>
      </c>
      <c r="DP19" s="11">
        <f>DO19+預測IC!DQ19</f>
        <v>3.1373934054599162</v>
      </c>
      <c r="DQ19" s="11">
        <f>DP19+預測IC!DR19</f>
        <v>3.119848606184108</v>
      </c>
      <c r="DR19" s="11">
        <f>DQ19+預測IC!DS19</f>
        <v>3.1141712926651168</v>
      </c>
      <c r="DS19" s="11">
        <f>DR19+預測IC!DT19</f>
        <v>3.111095165472888</v>
      </c>
      <c r="DT19" s="11">
        <f>DS19+預測IC!DU19</f>
        <v>2.9605132435165755</v>
      </c>
      <c r="DU19" s="11">
        <f>DT19+預測IC!DV19</f>
        <v>2.9986373745975197</v>
      </c>
      <c r="DV19" s="11">
        <f>DU19+預測IC!DW19</f>
        <v>2.8973414056488549</v>
      </c>
      <c r="DW19" s="11">
        <f>DV19+預測IC!DX19</f>
        <v>2.7589762714106771</v>
      </c>
      <c r="DX19" s="11">
        <f>DW19+預測IC!DY19</f>
        <v>2.8290858490986004</v>
      </c>
      <c r="DY19" s="11">
        <f>DX19+預測IC!DZ19</f>
        <v>2.9076237967211336</v>
      </c>
      <c r="DZ19" s="11">
        <f>DY19+預測IC!EA19</f>
        <v>3.1406696270264138</v>
      </c>
      <c r="EA19" s="11">
        <f>DZ19+預測IC!EB19</f>
        <v>3.034423769000969</v>
      </c>
      <c r="EB19" s="11">
        <f>EA19+預測IC!EC19</f>
        <v>3.0030986591149889</v>
      </c>
      <c r="EC19" s="11">
        <f>EB19+預測IC!ED19</f>
        <v>2.9169391083168144</v>
      </c>
      <c r="ED19" s="11">
        <f>EC19+預測IC!EE19</f>
        <v>2.9242456349939419</v>
      </c>
      <c r="EE19" s="11">
        <f>ED19+[1]預測IC!EF19</f>
        <v>2.9412235898687111</v>
      </c>
    </row>
    <row r="20" spans="1:136" ht="16">
      <c r="A20" s="6" t="s">
        <v>159</v>
      </c>
      <c r="B20" s="9">
        <v>-0.13932460396499161</v>
      </c>
      <c r="C20" s="11">
        <f>B20+預測IC!D20</f>
        <v>-0.13897288570124605</v>
      </c>
      <c r="D20" s="11">
        <f>C20+預測IC!E20</f>
        <v>-8.1636535374465455E-2</v>
      </c>
      <c r="E20" s="11">
        <f>D20+預測IC!F20</f>
        <v>-0.17285495754651142</v>
      </c>
      <c r="F20" s="11">
        <f>E20+預測IC!G20</f>
        <v>-0.28445943071382629</v>
      </c>
      <c r="G20" s="11">
        <f>F20+預測IC!H20</f>
        <v>-0.1405271484581509</v>
      </c>
      <c r="H20" s="11">
        <f>G20+預測IC!I20</f>
        <v>-0.11259160681374797</v>
      </c>
      <c r="I20" s="11">
        <f>H20+預測IC!J20</f>
        <v>-0.24579889989077516</v>
      </c>
      <c r="J20" s="11">
        <f>I20+預測IC!K20</f>
        <v>-0.20839421503866357</v>
      </c>
      <c r="K20" s="11">
        <f>J20+預測IC!L20</f>
        <v>-0.11268557953412785</v>
      </c>
      <c r="L20" s="11">
        <f>K20+預測IC!M20</f>
        <v>-0.38137940467210413</v>
      </c>
      <c r="M20" s="11">
        <f>L20+預測IC!N20</f>
        <v>0.11863207333736997</v>
      </c>
      <c r="N20" s="11">
        <f>M20+預測IC!O20</f>
        <v>0.22874659844067718</v>
      </c>
      <c r="O20" s="11">
        <f>N20+預測IC!P20</f>
        <v>0.2687750931924473</v>
      </c>
      <c r="P20" s="11">
        <f>O20+預測IC!Q20</f>
        <v>4.3950282200052204E-2</v>
      </c>
      <c r="Q20" s="11">
        <f>P20+預測IC!R20</f>
        <v>0.11041991528890874</v>
      </c>
      <c r="R20" s="11">
        <f>Q20+預測IC!S20</f>
        <v>5.3078832716107527E-2</v>
      </c>
      <c r="S20" s="11">
        <f>R20+預測IC!T20</f>
        <v>-4.7766700327365172E-2</v>
      </c>
      <c r="T20" s="11">
        <f>S20+預測IC!U20</f>
        <v>7.4562334787846032E-2</v>
      </c>
      <c r="U20" s="11">
        <f>T20+預測IC!V20</f>
        <v>-6.1725728579730674E-2</v>
      </c>
      <c r="V20" s="11">
        <f>U20+預測IC!W20</f>
        <v>2.9359140852814145E-2</v>
      </c>
      <c r="W20" s="11">
        <f>V20+預測IC!X20</f>
        <v>-0.12068317077472444</v>
      </c>
      <c r="X20" s="11">
        <f>W20+預測IC!Y20</f>
        <v>-0.12553892863504007</v>
      </c>
      <c r="Y20" s="11">
        <f>X20+預測IC!Z20</f>
        <v>-9.6381578580693628E-2</v>
      </c>
      <c r="Z20" s="11">
        <f>Y20+預測IC!AA20</f>
        <v>-2.9419599798453516E-2</v>
      </c>
      <c r="AA20" s="11">
        <f>Z20+預測IC!AB20</f>
        <v>-8.9843224086483459E-2</v>
      </c>
      <c r="AB20" s="11">
        <f>AA20+預測IC!AC20</f>
        <v>-0.18615226691178244</v>
      </c>
      <c r="AC20" s="11">
        <f>AB20+預測IC!AD20</f>
        <v>-5.6308848198118044E-2</v>
      </c>
      <c r="AD20" s="11">
        <f>AC20+預測IC!AE20</f>
        <v>-3.8997698571080652E-2</v>
      </c>
      <c r="AE20" s="11">
        <f>AD20+預測IC!AF20</f>
        <v>-3.2528417087785505E-2</v>
      </c>
      <c r="AF20" s="11">
        <f>AE20+預測IC!AG20</f>
        <v>-3.8770157459933452E-2</v>
      </c>
      <c r="AG20" s="11">
        <f>AF20+預測IC!AH20</f>
        <v>-6.6576859735849939E-2</v>
      </c>
      <c r="AH20" s="11">
        <f>AG20+預測IC!AI20</f>
        <v>1.1577685185318543E-2</v>
      </c>
      <c r="AI20" s="11">
        <f>AH20+預測IC!AJ20</f>
        <v>2.8819400901419791E-2</v>
      </c>
      <c r="AJ20" s="11">
        <f>AI20+預測IC!AK20</f>
        <v>1.5224285405416942E-2</v>
      </c>
      <c r="AK20" s="11">
        <f>AJ20+預測IC!AL20</f>
        <v>9.607659043676043E-3</v>
      </c>
      <c r="AL20" s="11">
        <f>AK20+預測IC!AM20</f>
        <v>4.2346248342060952E-2</v>
      </c>
      <c r="AM20" s="11">
        <f>AL20+預測IC!AN20</f>
        <v>7.5262931738055913E-2</v>
      </c>
      <c r="AN20" s="11">
        <f>AM20+預測IC!AO20</f>
        <v>0.14334838844064529</v>
      </c>
      <c r="AO20" s="11">
        <f>AN20+預測IC!AP20</f>
        <v>0.15595290440381179</v>
      </c>
      <c r="AP20" s="11">
        <f>AO20+預測IC!AQ20</f>
        <v>8.3052158263590484E-2</v>
      </c>
      <c r="AQ20" s="11">
        <f>AP20+預測IC!AR20</f>
        <v>9.6341431353424614E-2</v>
      </c>
      <c r="AR20" s="11">
        <f>AQ20+預測IC!AS20</f>
        <v>7.9197602018531835E-2</v>
      </c>
      <c r="AS20" s="11">
        <f>AR20+預測IC!AT20</f>
        <v>7.6348062902742125E-2</v>
      </c>
      <c r="AT20" s="11">
        <f>AS20+預測IC!AU20</f>
        <v>0.35804593548594321</v>
      </c>
      <c r="AU20" s="11">
        <f>AT20+預測IC!AV20</f>
        <v>0.42951912113987661</v>
      </c>
      <c r="AV20" s="11">
        <f>AU20+預測IC!AW20</f>
        <v>0.57582996547292664</v>
      </c>
      <c r="AW20" s="11">
        <f>AV20+預測IC!AX20</f>
        <v>0.66171614066053719</v>
      </c>
      <c r="AX20" s="11">
        <f>AW20+預測IC!AY20</f>
        <v>0.59943054685746633</v>
      </c>
      <c r="AY20" s="11">
        <f>AX20+預測IC!AZ20</f>
        <v>0.69923485012978981</v>
      </c>
      <c r="AZ20" s="11">
        <f>AY20+預測IC!BA20</f>
        <v>0.85057257563570254</v>
      </c>
      <c r="BA20" s="11">
        <f>AZ20+預測IC!BB20</f>
        <v>1.0817862018237792</v>
      </c>
      <c r="BB20" s="11">
        <f>BA20+預測IC!BC20</f>
        <v>1.1523917695015193</v>
      </c>
      <c r="BC20" s="11">
        <f>BB20+預測IC!BD20</f>
        <v>1.1410834741152811</v>
      </c>
      <c r="BD20" s="11">
        <f>BC20+預測IC!BE20</f>
        <v>1.1026166416698446</v>
      </c>
      <c r="BE20" s="11">
        <f>BD20+預測IC!BF20</f>
        <v>1.0473997414955756</v>
      </c>
      <c r="BF20" s="11">
        <f>BE20+預測IC!BG20</f>
        <v>0.99567254817743689</v>
      </c>
      <c r="BG20" s="11">
        <f>BF20+預測IC!BH20</f>
        <v>0.94377327085183793</v>
      </c>
      <c r="BH20" s="11">
        <f>BG20+預測IC!BI20</f>
        <v>0.96694485749220749</v>
      </c>
      <c r="BI20" s="11">
        <f>BH20+預測IC!BJ20</f>
        <v>0.94531534565902087</v>
      </c>
      <c r="BJ20" s="11">
        <f>BI20+預測IC!BK20</f>
        <v>1.0629657180640428</v>
      </c>
      <c r="BK20" s="11">
        <f>BJ20+預測IC!BL20</f>
        <v>1.0827490595682669</v>
      </c>
      <c r="BL20" s="11">
        <f>BK20+預測IC!BM20</f>
        <v>1.0281931492398446</v>
      </c>
      <c r="BM20" s="11">
        <f>BL20+預測IC!BN20</f>
        <v>1.0468311764930109</v>
      </c>
      <c r="BN20" s="11">
        <f>BM20+預測IC!BO20</f>
        <v>1.0392206315472281</v>
      </c>
      <c r="BO20" s="11">
        <f>BN20+預測IC!BP20</f>
        <v>1.0319383840409035</v>
      </c>
      <c r="BP20" s="11">
        <f>BO20+預測IC!BQ20</f>
        <v>1.0194712925462026</v>
      </c>
      <c r="BQ20" s="11">
        <f>BP20+預測IC!BR20</f>
        <v>1.0376594137698789</v>
      </c>
      <c r="BR20" s="11">
        <f>BQ20+預測IC!BS20</f>
        <v>1.1425195344235863</v>
      </c>
      <c r="BS20" s="11">
        <f>BR20+預測IC!BT20</f>
        <v>1.194987157705492</v>
      </c>
      <c r="BT20" s="11">
        <f>BS20+預測IC!BU20</f>
        <v>1.0455461536601698</v>
      </c>
      <c r="BU20" s="11">
        <f>BT20+預測IC!BV20</f>
        <v>1.1792560781371764</v>
      </c>
      <c r="BV20" s="11">
        <f>BU20+預測IC!BW20</f>
        <v>1.5212987570164611</v>
      </c>
      <c r="BW20" s="11">
        <f>BV20+預測IC!BX20</f>
        <v>1.4684373352859357</v>
      </c>
      <c r="BX20" s="11">
        <f>BW20+預測IC!BY20</f>
        <v>1.4252538525986995</v>
      </c>
      <c r="BY20" s="11">
        <f>BX20+預測IC!BZ20</f>
        <v>1.6099789400880518</v>
      </c>
      <c r="BZ20" s="11">
        <f>BY20+預測IC!CA20</f>
        <v>1.6601957661791256</v>
      </c>
      <c r="CA20" s="11">
        <f>BZ20+預測IC!CB20</f>
        <v>1.7866908119491447</v>
      </c>
      <c r="CB20" s="11">
        <f>CA20+預測IC!CC20</f>
        <v>1.7996059594272253</v>
      </c>
      <c r="CC20" s="11">
        <f>CB20+預測IC!CD20</f>
        <v>1.8956706070698206</v>
      </c>
      <c r="CD20" s="11">
        <f>CC20+預測IC!CE20</f>
        <v>1.9814487796722611</v>
      </c>
      <c r="CE20" s="11">
        <f>CD20+預測IC!CF20</f>
        <v>1.8502402239074462</v>
      </c>
      <c r="CF20" s="11">
        <f>CE20+預測IC!CG20</f>
        <v>2.1721787462068307</v>
      </c>
      <c r="CG20" s="11">
        <f>CF20+預測IC!CH20</f>
        <v>2.2213739699741453</v>
      </c>
      <c r="CH20" s="11">
        <f>CG20+預測IC!CI20</f>
        <v>2.0898882355624981</v>
      </c>
      <c r="CI20" s="11">
        <f>CH20+預測IC!CJ20</f>
        <v>2.0775643976632967</v>
      </c>
      <c r="CJ20" s="11">
        <f>CI20+預測IC!CK20</f>
        <v>2.1398411492049512</v>
      </c>
      <c r="CK20" s="11">
        <f>CJ20+預測IC!CL20</f>
        <v>2.4377760595691091</v>
      </c>
      <c r="CL20" s="11">
        <f>CK20+預測IC!CM20</f>
        <v>2.3410002537198711</v>
      </c>
      <c r="CM20" s="11">
        <f>CL20+預測IC!CN20</f>
        <v>2.3216522761284959</v>
      </c>
      <c r="CN20" s="11">
        <f>CM20+預測IC!CO20</f>
        <v>2.6182255812335251</v>
      </c>
      <c r="CO20" s="11">
        <f>CN20+預測IC!CP20</f>
        <v>2.6256499230925048</v>
      </c>
      <c r="CP20" s="11">
        <f>CO20+預測IC!CQ20</f>
        <v>2.7081697294678553</v>
      </c>
      <c r="CQ20" s="11">
        <f>CP20+預測IC!CR20</f>
        <v>2.7335322822418693</v>
      </c>
      <c r="CR20" s="11">
        <f>CQ20+預測IC!CS20</f>
        <v>2.7558253204012289</v>
      </c>
      <c r="CS20" s="11">
        <f>CR20+預測IC!CT20</f>
        <v>2.6653512829869626</v>
      </c>
      <c r="CT20" s="11">
        <f>CS20+預測IC!CU20</f>
        <v>2.6755741794194026</v>
      </c>
      <c r="CU20" s="11">
        <f>CT20+預測IC!CV20</f>
        <v>2.7725781337411228</v>
      </c>
      <c r="CV20" s="11">
        <f>CU20+預測IC!CW20</f>
        <v>2.7467617311696459</v>
      </c>
      <c r="CW20" s="11">
        <f>CV20+預測IC!CX20</f>
        <v>2.7561478749229482</v>
      </c>
      <c r="CX20" s="11">
        <f>CW20+預測IC!CY20</f>
        <v>2.8648807133250203</v>
      </c>
      <c r="CY20" s="11">
        <f>CX20+預測IC!CZ20</f>
        <v>2.9931814149274043</v>
      </c>
      <c r="CZ20" s="11">
        <f>CY20+預測IC!DA20</f>
        <v>3.0702631115809536</v>
      </c>
      <c r="DA20" s="11">
        <f>CZ20+預測IC!DB20</f>
        <v>3.1472311813517377</v>
      </c>
      <c r="DB20" s="11">
        <f>DA20+預測IC!DC20</f>
        <v>3.1761323420543413</v>
      </c>
      <c r="DC20" s="11">
        <f>DB20+預測IC!DD20</f>
        <v>3.1079693297405568</v>
      </c>
      <c r="DD20" s="11">
        <f>DC20+預測IC!DE20</f>
        <v>3.0775027606142746</v>
      </c>
      <c r="DE20" s="11">
        <f>DD20+預測IC!DF20</f>
        <v>3.3230769658918589</v>
      </c>
      <c r="DF20" s="11">
        <f>DE20+預測IC!DG20</f>
        <v>3.2707321525920396</v>
      </c>
      <c r="DG20" s="11">
        <f>DF20+預測IC!DH20</f>
        <v>3.2597567408495127</v>
      </c>
      <c r="DH20" s="11">
        <f>DG20+預測IC!DI20</f>
        <v>3.2519991728355202</v>
      </c>
      <c r="DI20" s="11">
        <f>DH20+預測IC!DJ20</f>
        <v>3.2125392265666326</v>
      </c>
      <c r="DJ20" s="11">
        <f>DI20+預測IC!DK20</f>
        <v>3.1273516865461288</v>
      </c>
      <c r="DK20" s="11">
        <f>DJ20+預測IC!DL20</f>
        <v>3.1375386552294331</v>
      </c>
      <c r="DL20" s="11">
        <f>DK20+預測IC!DM20</f>
        <v>3.2068747619045501</v>
      </c>
      <c r="DM20" s="11">
        <f>DL20+預測IC!DN20</f>
        <v>3.1424135594860934</v>
      </c>
      <c r="DN20" s="11">
        <f>DM20+預測IC!DO20</f>
        <v>3.4004149229451048</v>
      </c>
      <c r="DO20" s="11">
        <f>DN20+預測IC!DP20</f>
        <v>3.3787436611800001</v>
      </c>
      <c r="DP20" s="11">
        <f>DO20+預測IC!DQ20</f>
        <v>3.3402033500956319</v>
      </c>
      <c r="DQ20" s="11">
        <f>DP20+預測IC!DR20</f>
        <v>3.2846453578689006</v>
      </c>
      <c r="DR20" s="11">
        <f>DQ20+預測IC!DS20</f>
        <v>3.2771546621151413</v>
      </c>
      <c r="DS20" s="11">
        <f>DR20+預測IC!DT20</f>
        <v>3.2819840062991239</v>
      </c>
      <c r="DT20" s="11">
        <f>DS20+預測IC!DU20</f>
        <v>3.1056088373687274</v>
      </c>
      <c r="DU20" s="11">
        <f>DT20+預測IC!DV20</f>
        <v>3.0754159409891231</v>
      </c>
      <c r="DV20" s="11">
        <f>DU20+預測IC!DW20</f>
        <v>2.9718697728493177</v>
      </c>
      <c r="DW20" s="11">
        <f>DV20+預測IC!DX20</f>
        <v>2.8180034432430032</v>
      </c>
      <c r="DX20" s="11">
        <f>DW20+預測IC!DY20</f>
        <v>2.8716220525946521</v>
      </c>
      <c r="DY20" s="11">
        <f>DX20+預測IC!DZ20</f>
        <v>2.9618216987536266</v>
      </c>
      <c r="DZ20" s="11">
        <f>DY20+預測IC!EA20</f>
        <v>3.2555116827177977</v>
      </c>
      <c r="EA20" s="11">
        <f>DZ20+預測IC!EB20</f>
        <v>3.1491994158675105</v>
      </c>
      <c r="EB20" s="11">
        <f>EA20+預測IC!EC20</f>
        <v>3.1721758279757228</v>
      </c>
      <c r="EC20" s="11">
        <f>EB20+預測IC!ED20</f>
        <v>3.0975501699783954</v>
      </c>
      <c r="ED20" s="11">
        <f>EC20+預測IC!EE20</f>
        <v>3.09929114973025</v>
      </c>
      <c r="EE20" s="11">
        <f>ED20+[1]預測IC!EF20</f>
        <v>3.1195725663461573</v>
      </c>
    </row>
    <row r="21" spans="1:136" ht="16">
      <c r="A21" s="6" t="s">
        <v>160</v>
      </c>
      <c r="B21" s="9">
        <v>-0.19764916434148611</v>
      </c>
      <c r="C21" s="11">
        <f>B21+預測IC!D21</f>
        <v>-0.19801687373664528</v>
      </c>
      <c r="D21" s="11">
        <f>C21+預測IC!E21</f>
        <v>-0.21170704402243587</v>
      </c>
      <c r="E21" s="11">
        <f>D21+預測IC!F21</f>
        <v>-0.26280452786884406</v>
      </c>
      <c r="F21" s="11">
        <f>E21+預測IC!G21</f>
        <v>-0.27010066589669551</v>
      </c>
      <c r="G21" s="11">
        <f>F21+預測IC!H21</f>
        <v>-0.10793657810285762</v>
      </c>
      <c r="H21" s="11">
        <f>G21+預測IC!I21</f>
        <v>-9.3825299621875663E-2</v>
      </c>
      <c r="I21" s="11">
        <f>H21+預測IC!J21</f>
        <v>-0.23056821496173227</v>
      </c>
      <c r="J21" s="11">
        <f>I21+預測IC!K21</f>
        <v>-0.22909791900159635</v>
      </c>
      <c r="K21" s="11">
        <f>J21+預測IC!L21</f>
        <v>-0.11941831154736644</v>
      </c>
      <c r="L21" s="11">
        <f>K21+預測IC!M21</f>
        <v>-0.31930328623788207</v>
      </c>
      <c r="M21" s="11">
        <f>L21+預測IC!N21</f>
        <v>0.2655879783828432</v>
      </c>
      <c r="N21" s="11">
        <f>M21+預測IC!O21</f>
        <v>0.4048654718298324</v>
      </c>
      <c r="O21" s="11">
        <f>N21+預測IC!P21</f>
        <v>0.45029266484733549</v>
      </c>
      <c r="P21" s="11">
        <f>O21+預測IC!Q21</f>
        <v>0.17620921957664581</v>
      </c>
      <c r="Q21" s="11">
        <f>P21+預測IC!R21</f>
        <v>0.26111445076998641</v>
      </c>
      <c r="R21" s="11">
        <f>Q21+預測IC!S21</f>
        <v>0.22455115911328949</v>
      </c>
      <c r="S21" s="11">
        <f>R21+預測IC!T21</f>
        <v>9.3430798174862301E-2</v>
      </c>
      <c r="T21" s="11">
        <f>S21+預測IC!U21</f>
        <v>0.1797092157866203</v>
      </c>
      <c r="U21" s="11">
        <f>T21+預測IC!V21</f>
        <v>4.795872713411789E-2</v>
      </c>
      <c r="V21" s="11">
        <f>U21+預測IC!W21</f>
        <v>0.17245734596262591</v>
      </c>
      <c r="W21" s="11">
        <f>V21+預測IC!X21</f>
        <v>-3.534392139071188E-2</v>
      </c>
      <c r="X21" s="11">
        <f>W21+預測IC!Y21</f>
        <v>-4.5487581763914438E-2</v>
      </c>
      <c r="Y21" s="11">
        <f>X21+預測IC!Z21</f>
        <v>-6.0298660839573845E-3</v>
      </c>
      <c r="Z21" s="11">
        <f>Y21+預測IC!AA21</f>
        <v>2.2003590108251127E-2</v>
      </c>
      <c r="AA21" s="11">
        <f>Z21+預測IC!AB21</f>
        <v>-4.3284004922614715E-2</v>
      </c>
      <c r="AB21" s="11">
        <f>AA21+預測IC!AC21</f>
        <v>-0.20282627738681641</v>
      </c>
      <c r="AC21" s="11">
        <f>AB21+預測IC!AD21</f>
        <v>-7.400161173925851E-2</v>
      </c>
      <c r="AD21" s="11">
        <f>AC21+預測IC!AE21</f>
        <v>-6.3690001045198494E-2</v>
      </c>
      <c r="AE21" s="11">
        <f>AD21+預測IC!AF21</f>
        <v>-3.0123175661217937E-2</v>
      </c>
      <c r="AF21" s="11">
        <f>AE21+預測IC!AG21</f>
        <v>-4.0693928701176309E-2</v>
      </c>
      <c r="AG21" s="11">
        <f>AF21+預測IC!AH21</f>
        <v>-8.4100311205615286E-2</v>
      </c>
      <c r="AH21" s="11">
        <f>AG21+預測IC!AI21</f>
        <v>-4.5061018723242252E-3</v>
      </c>
      <c r="AI21" s="11">
        <f>AH21+預測IC!AJ21</f>
        <v>6.7982377337685862E-4</v>
      </c>
      <c r="AJ21" s="11">
        <f>AI21+預測IC!AK21</f>
        <v>-2.9963609964054411E-2</v>
      </c>
      <c r="AK21" s="11">
        <f>AJ21+預測IC!AL21</f>
        <v>-1.018279640420287E-2</v>
      </c>
      <c r="AL21" s="11">
        <f>AK21+預測IC!AM21</f>
        <v>2.652817353021027E-2</v>
      </c>
      <c r="AM21" s="11">
        <f>AL21+預測IC!AN21</f>
        <v>4.5223706122454577E-2</v>
      </c>
      <c r="AN21" s="11">
        <f>AM21+預測IC!AO21</f>
        <v>0.140208857898654</v>
      </c>
      <c r="AO21" s="11">
        <f>AN21+預測IC!AP21</f>
        <v>0.15915123681482696</v>
      </c>
      <c r="AP21" s="11">
        <f>AO21+預測IC!AQ21</f>
        <v>9.1951270717361713E-2</v>
      </c>
      <c r="AQ21" s="11">
        <f>AP21+預測IC!AR21</f>
        <v>4.3963129314051573E-2</v>
      </c>
      <c r="AR21" s="11">
        <f>AQ21+預測IC!AS21</f>
        <v>6.1009149278636765E-2</v>
      </c>
      <c r="AS21" s="11">
        <f>AR21+預測IC!AT21</f>
        <v>-2.4348991333248693E-3</v>
      </c>
      <c r="AT21" s="11">
        <f>AS21+預測IC!AU21</f>
        <v>0.34404636483010209</v>
      </c>
      <c r="AU21" s="11">
        <f>AT21+預測IC!AV21</f>
        <v>0.39494393280154438</v>
      </c>
      <c r="AV21" s="11">
        <f>AU21+預測IC!AW21</f>
        <v>0.5678904655103767</v>
      </c>
      <c r="AW21" s="11">
        <f>AV21+預測IC!AX21</f>
        <v>0.6338965177278606</v>
      </c>
      <c r="AX21" s="11">
        <f>AW21+預測IC!AY21</f>
        <v>0.51502032290286681</v>
      </c>
      <c r="AY21" s="11">
        <f>AX21+預測IC!AZ21</f>
        <v>0.62352268131747302</v>
      </c>
      <c r="AZ21" s="11">
        <f>AY21+預測IC!BA21</f>
        <v>0.76311536347879971</v>
      </c>
      <c r="BA21" s="11">
        <f>AZ21+預測IC!BB21</f>
        <v>1.0576280004561216</v>
      </c>
      <c r="BB21" s="11">
        <f>BA21+預測IC!BC21</f>
        <v>1.0959491481813155</v>
      </c>
      <c r="BC21" s="11">
        <f>BB21+預測IC!BD21</f>
        <v>1.0656611688734021</v>
      </c>
      <c r="BD21" s="11">
        <f>BC21+預測IC!BE21</f>
        <v>1.0250728363695902</v>
      </c>
      <c r="BE21" s="11">
        <f>BD21+預測IC!BF21</f>
        <v>0.96278288699440195</v>
      </c>
      <c r="BF21" s="11">
        <f>BE21+預測IC!BG21</f>
        <v>0.8842578275324473</v>
      </c>
      <c r="BG21" s="11">
        <f>BF21+預測IC!BH21</f>
        <v>0.81634109697038471</v>
      </c>
      <c r="BH21" s="11">
        <f>BG21+預測IC!BI21</f>
        <v>0.86261486560207468</v>
      </c>
      <c r="BI21" s="11">
        <f>BH21+預測IC!BJ21</f>
        <v>0.83903583942035698</v>
      </c>
      <c r="BJ21" s="11">
        <f>BI21+預測IC!BK21</f>
        <v>0.91175895416907093</v>
      </c>
      <c r="BK21" s="11">
        <f>BJ21+預測IC!BL21</f>
        <v>0.91551175267711615</v>
      </c>
      <c r="BL21" s="11">
        <f>BK21+預測IC!BM21</f>
        <v>0.82054139768381407</v>
      </c>
      <c r="BM21" s="11">
        <f>BL21+預測IC!BN21</f>
        <v>0.84633216413226098</v>
      </c>
      <c r="BN21" s="11">
        <f>BM21+預測IC!BO21</f>
        <v>0.86133626684214737</v>
      </c>
      <c r="BO21" s="11">
        <f>BN21+預測IC!BP21</f>
        <v>0.86551706917374027</v>
      </c>
      <c r="BP21" s="11">
        <f>BO21+預測IC!BQ21</f>
        <v>0.8222126324367337</v>
      </c>
      <c r="BQ21" s="11">
        <f>BP21+預測IC!BR21</f>
        <v>0.8334980304160472</v>
      </c>
      <c r="BR21" s="11">
        <f>BQ21+預測IC!BS21</f>
        <v>0.87960958777730414</v>
      </c>
      <c r="BS21" s="11">
        <f>BR21+預測IC!BT21</f>
        <v>0.94043033031982892</v>
      </c>
      <c r="BT21" s="11">
        <f>BS21+預測IC!BU21</f>
        <v>0.76969181976941115</v>
      </c>
      <c r="BU21" s="11">
        <f>BT21+預測IC!BV21</f>
        <v>0.78893230792165048</v>
      </c>
      <c r="BV21" s="11">
        <f>BU21+預測IC!BW21</f>
        <v>1.1910632237607097</v>
      </c>
      <c r="BW21" s="11">
        <f>BV21+預測IC!BX21</f>
        <v>1.1138982212401127</v>
      </c>
      <c r="BX21" s="11">
        <f>BW21+預測IC!BY21</f>
        <v>1.0989818423232758</v>
      </c>
      <c r="BY21" s="11">
        <f>BX21+預測IC!BZ21</f>
        <v>1.3503836202058621</v>
      </c>
      <c r="BZ21" s="11">
        <f>BY21+預測IC!CA21</f>
        <v>1.4454430540534215</v>
      </c>
      <c r="CA21" s="11">
        <f>BZ21+預測IC!CB21</f>
        <v>1.6533129019550095</v>
      </c>
      <c r="CB21" s="11">
        <f>CA21+預測IC!CC21</f>
        <v>1.6452939476840431</v>
      </c>
      <c r="CC21" s="11">
        <f>CB21+預測IC!CD21</f>
        <v>1.7297174986765587</v>
      </c>
      <c r="CD21" s="11">
        <f>CC21+預測IC!CE21</f>
        <v>1.7912323810307129</v>
      </c>
      <c r="CE21" s="11">
        <f>CD21+預測IC!CF21</f>
        <v>1.6640619049391048</v>
      </c>
      <c r="CF21" s="11">
        <f>CE21+預測IC!CG21</f>
        <v>1.9842286883195812</v>
      </c>
      <c r="CG21" s="11">
        <f>CF21+預測IC!CH21</f>
        <v>1.9128918844362475</v>
      </c>
      <c r="CH21" s="11">
        <f>CG21+預測IC!CI21</f>
        <v>1.7895985380247004</v>
      </c>
      <c r="CI21" s="11">
        <f>CH21+預測IC!CJ21</f>
        <v>1.7776420711837828</v>
      </c>
      <c r="CJ21" s="11">
        <f>CI21+預測IC!CK21</f>
        <v>1.7862057014999646</v>
      </c>
      <c r="CK21" s="11">
        <f>CJ21+預測IC!CL21</f>
        <v>2.1482894523981608</v>
      </c>
      <c r="CL21" s="11">
        <f>CK21+預測IC!CM21</f>
        <v>2.0320576332176019</v>
      </c>
      <c r="CM21" s="11">
        <f>CL21+預測IC!CN21</f>
        <v>2.0207757140271427</v>
      </c>
      <c r="CN21" s="11">
        <f>CM21+預測IC!CO21</f>
        <v>2.3562594722220225</v>
      </c>
      <c r="CO21" s="11">
        <f>CN21+預測IC!CP21</f>
        <v>2.2600061838186303</v>
      </c>
      <c r="CP21" s="11">
        <f>CO21+預測IC!CQ21</f>
        <v>2.2006025668005953</v>
      </c>
      <c r="CQ21" s="11">
        <f>CP21+預測IC!CR21</f>
        <v>2.2122183556606982</v>
      </c>
      <c r="CR21" s="11">
        <f>CQ21+預測IC!CS21</f>
        <v>2.2431261013431958</v>
      </c>
      <c r="CS21" s="11">
        <f>CR21+預測IC!CT21</f>
        <v>2.1608332284888569</v>
      </c>
      <c r="CT21" s="11">
        <f>CS21+預測IC!CU21</f>
        <v>2.1628306115379416</v>
      </c>
      <c r="CU21" s="11">
        <f>CT21+預測IC!CV21</f>
        <v>2.2944581426998982</v>
      </c>
      <c r="CV21" s="11">
        <f>CU21+預測IC!CW21</f>
        <v>2.2637056613918594</v>
      </c>
      <c r="CW21" s="11">
        <f>CV21+預測IC!CX21</f>
        <v>2.2771011853529184</v>
      </c>
      <c r="CX21" s="11">
        <f>CW21+預測IC!CY21</f>
        <v>2.3796063464344814</v>
      </c>
      <c r="CY21" s="11">
        <f>CX21+預測IC!CZ21</f>
        <v>2.5698997330776239</v>
      </c>
      <c r="CZ21" s="11">
        <f>CY21+預測IC!DA21</f>
        <v>2.6116087971415496</v>
      </c>
      <c r="DA21" s="11">
        <f>CZ21+預測IC!DB21</f>
        <v>2.6830700109155479</v>
      </c>
      <c r="DB21" s="11">
        <f>DA21+預測IC!DC21</f>
        <v>2.7313791582810545</v>
      </c>
      <c r="DC21" s="11">
        <f>DB21+預測IC!DD21</f>
        <v>2.6643516620803127</v>
      </c>
      <c r="DD21" s="11">
        <f>DC21+預測IC!DE21</f>
        <v>2.6096323940859008</v>
      </c>
      <c r="DE21" s="11">
        <f>DD21+預測IC!DF21</f>
        <v>2.9107826057679445</v>
      </c>
      <c r="DF21" s="11">
        <f>DE21+預測IC!DG21</f>
        <v>2.8513730869230307</v>
      </c>
      <c r="DG21" s="11">
        <f>DF21+預測IC!DH21</f>
        <v>2.8654499071354853</v>
      </c>
      <c r="DH21" s="11">
        <f>DG21+預測IC!DI21</f>
        <v>2.8998573854156646</v>
      </c>
      <c r="DI21" s="11">
        <f>DH21+預測IC!DJ21</f>
        <v>2.8619460722251047</v>
      </c>
      <c r="DJ21" s="11">
        <f>DI21+預測IC!DK21</f>
        <v>2.7710504813181589</v>
      </c>
      <c r="DK21" s="11">
        <f>DJ21+預測IC!DL21</f>
        <v>2.8032586845677194</v>
      </c>
      <c r="DL21" s="11">
        <f>DK21+預測IC!DM21</f>
        <v>2.8282474870098651</v>
      </c>
      <c r="DM21" s="11">
        <f>DL21+預測IC!DN21</f>
        <v>2.7813726516432298</v>
      </c>
      <c r="DN21" s="11">
        <f>DM21+預測IC!DO21</f>
        <v>3.1129994565218757</v>
      </c>
      <c r="DO21" s="11">
        <f>DN21+預測IC!DP21</f>
        <v>3.0758908234236424</v>
      </c>
      <c r="DP21" s="11">
        <f>DO21+預測IC!DQ21</f>
        <v>3.0476747713712453</v>
      </c>
      <c r="DQ21" s="11">
        <f>DP21+預測IC!DR21</f>
        <v>2.994117781564551</v>
      </c>
      <c r="DR21" s="11">
        <f>DQ21+預測IC!DS21</f>
        <v>2.9924456868852296</v>
      </c>
      <c r="DS21" s="11">
        <f>DR21+預測IC!DT21</f>
        <v>2.9827370439429663</v>
      </c>
      <c r="DT21" s="11">
        <f>DS21+預測IC!DU21</f>
        <v>2.834122327304553</v>
      </c>
      <c r="DU21" s="11">
        <f>DT21+預測IC!DV21</f>
        <v>2.7844579231551871</v>
      </c>
      <c r="DV21" s="11">
        <f>DU21+預測IC!DW21</f>
        <v>2.6809234305588845</v>
      </c>
      <c r="DW21" s="11">
        <f>DV21+預測IC!DX21</f>
        <v>2.494957216527701</v>
      </c>
      <c r="DX21" s="11">
        <f>DW21+預測IC!DY21</f>
        <v>2.5195532120657171</v>
      </c>
      <c r="DY21" s="11">
        <f>DX21+預測IC!DZ21</f>
        <v>2.6184837857256227</v>
      </c>
      <c r="DZ21" s="11">
        <f>DY21+預測IC!EA21</f>
        <v>2.8845406180049689</v>
      </c>
      <c r="EA21" s="11">
        <f>DZ21+預測IC!EB21</f>
        <v>2.7812450589809612</v>
      </c>
      <c r="EB21" s="11">
        <f>EA21+預測IC!EC21</f>
        <v>2.8084339905907272</v>
      </c>
      <c r="EC21" s="11">
        <f>EB21+預測IC!ED21</f>
        <v>2.7257039430875158</v>
      </c>
      <c r="ED21" s="11">
        <f>EC21+預測IC!EE21</f>
        <v>2.7043933507796485</v>
      </c>
      <c r="EE21" s="11">
        <f>ED21+[1]預測IC!EF21</f>
        <v>2.6964017479236166</v>
      </c>
    </row>
    <row r="22" spans="1:136" ht="16">
      <c r="A22" s="6" t="s">
        <v>161</v>
      </c>
      <c r="B22" s="9">
        <v>6.4235717628454689E-2</v>
      </c>
      <c r="C22" s="11">
        <f>B22+預測IC!D22</f>
        <v>1.9554820724968169E-2</v>
      </c>
      <c r="D22" s="11">
        <f>C22+預測IC!E22</f>
        <v>2.1997218085091884E-3</v>
      </c>
      <c r="E22" s="11">
        <f>D22+預測IC!F22</f>
        <v>-9.523427377047726E-2</v>
      </c>
      <c r="F22" s="11">
        <f>E22+預測IC!G22</f>
        <v>-0.12818909802027587</v>
      </c>
      <c r="G22" s="11">
        <f>F22+預測IC!H22</f>
        <v>-4.0110350596295613E-3</v>
      </c>
      <c r="H22" s="11">
        <f>G22+預測IC!I22</f>
        <v>1.3426308146660609E-2</v>
      </c>
      <c r="I22" s="11">
        <f>H22+預測IC!J22</f>
        <v>-9.0827194589968893E-2</v>
      </c>
      <c r="J22" s="11">
        <f>I22+預測IC!K22</f>
        <v>-6.2170414473574895E-2</v>
      </c>
      <c r="K22" s="11">
        <f>J22+預測IC!L22</f>
        <v>0.10901294495232632</v>
      </c>
      <c r="L22" s="11">
        <f>K22+預測IC!M22</f>
        <v>-7.5649842390623792E-2</v>
      </c>
      <c r="M22" s="11">
        <f>L22+預測IC!N22</f>
        <v>0.68049360072671516</v>
      </c>
      <c r="N22" s="11">
        <f>M22+預測IC!O22</f>
        <v>0.74693593289166937</v>
      </c>
      <c r="O22" s="11">
        <f>N22+預測IC!P22</f>
        <v>0.83756680731830369</v>
      </c>
      <c r="P22" s="11">
        <f>O22+預測IC!Q22</f>
        <v>0.71029591708691342</v>
      </c>
      <c r="Q22" s="11">
        <f>P22+預測IC!R22</f>
        <v>0.77699420969324506</v>
      </c>
      <c r="R22" s="11">
        <f>Q22+預測IC!S22</f>
        <v>0.73776006615606593</v>
      </c>
      <c r="S22" s="11">
        <f>R22+預測IC!T22</f>
        <v>0.63291109899943598</v>
      </c>
      <c r="T22" s="11">
        <f>S22+預測IC!U22</f>
        <v>0.74350112240194022</v>
      </c>
      <c r="U22" s="11">
        <f>T22+預測IC!V22</f>
        <v>0.56787621993152781</v>
      </c>
      <c r="V22" s="11">
        <f>U22+預測IC!W22</f>
        <v>0.72592397309547851</v>
      </c>
      <c r="W22" s="11">
        <f>V22+預測IC!X22</f>
        <v>0.46872162188198152</v>
      </c>
      <c r="X22" s="11">
        <f>W22+預測IC!Y22</f>
        <v>0.39886829017918068</v>
      </c>
      <c r="Y22" s="11">
        <f>X22+預測IC!Z22</f>
        <v>0.42273441196953709</v>
      </c>
      <c r="Z22" s="11">
        <f>Y22+預測IC!AA22</f>
        <v>0.54085502633941995</v>
      </c>
      <c r="AA22" s="11">
        <f>Z22+預測IC!AB22</f>
        <v>0.50258097191784867</v>
      </c>
      <c r="AB22" s="11">
        <f>AA22+預測IC!AC22</f>
        <v>0.32536789376898601</v>
      </c>
      <c r="AC22" s="11">
        <f>AB22+預測IC!AD22</f>
        <v>0.33894068254134735</v>
      </c>
      <c r="AD22" s="11">
        <f>AC22+預測IC!AE22</f>
        <v>0.25379299658364018</v>
      </c>
      <c r="AE22" s="11">
        <f>AD22+預測IC!AF22</f>
        <v>0.34019723562606374</v>
      </c>
      <c r="AF22" s="11">
        <f>AE22+預測IC!AG22</f>
        <v>0.29422342261837464</v>
      </c>
      <c r="AG22" s="11">
        <f>AF22+預測IC!AH22</f>
        <v>0.29471236861239675</v>
      </c>
      <c r="AH22" s="11">
        <f>AG22+預測IC!AI22</f>
        <v>0.38885362926978279</v>
      </c>
      <c r="AI22" s="11">
        <f>AH22+預測IC!AJ22</f>
        <v>0.40193517090713976</v>
      </c>
      <c r="AJ22" s="11">
        <f>AI22+預測IC!AK22</f>
        <v>0.50322373164753542</v>
      </c>
      <c r="AK22" s="11">
        <f>AJ22+預測IC!AL22</f>
        <v>0.49378399317382515</v>
      </c>
      <c r="AL22" s="11">
        <f>AK22+預測IC!AM22</f>
        <v>0.53525777329926894</v>
      </c>
      <c r="AM22" s="11">
        <f>AL22+預測IC!AN22</f>
        <v>0.5705218956697814</v>
      </c>
      <c r="AN22" s="11">
        <f>AM22+預測IC!AO22</f>
        <v>0.76119467528448714</v>
      </c>
      <c r="AO22" s="11">
        <f>AN22+預測IC!AP22</f>
        <v>0.78168740380246571</v>
      </c>
      <c r="AP22" s="11">
        <f>AO22+預測IC!AQ22</f>
        <v>0.67155569151118721</v>
      </c>
      <c r="AQ22" s="11">
        <f>AP22+預測IC!AR22</f>
        <v>0.60363120380758384</v>
      </c>
      <c r="AR22" s="11">
        <f>AQ22+預測IC!AS22</f>
        <v>0.76822064415476965</v>
      </c>
      <c r="AS22" s="11">
        <f>AR22+預測IC!AT22</f>
        <v>0.76929433888503251</v>
      </c>
      <c r="AT22" s="11">
        <f>AS22+預測IC!AU22</f>
        <v>1.1986481235633786</v>
      </c>
      <c r="AU22" s="11">
        <f>AT22+預測IC!AV22</f>
        <v>1.258294263737044</v>
      </c>
      <c r="AV22" s="11">
        <f>AU22+預測IC!AW22</f>
        <v>1.4905038488407496</v>
      </c>
      <c r="AW22" s="11">
        <f>AV22+預測IC!AX22</f>
        <v>1.3827432130661852</v>
      </c>
      <c r="AX22" s="11">
        <f>AW22+預測IC!AY22</f>
        <v>1.2190188817206182</v>
      </c>
      <c r="AY22" s="11">
        <f>AX22+預測IC!AZ22</f>
        <v>1.3742072857641519</v>
      </c>
      <c r="AZ22" s="11">
        <f>AY22+預測IC!BA22</f>
        <v>1.4239822433483389</v>
      </c>
      <c r="BA22" s="11">
        <f>AZ22+預測IC!BB22</f>
        <v>1.7935328266448267</v>
      </c>
      <c r="BB22" s="11">
        <f>BA22+預測IC!BC22</f>
        <v>1.6626958885218714</v>
      </c>
      <c r="BC22" s="11">
        <f>BB22+預測IC!BD22</f>
        <v>1.6043595338803107</v>
      </c>
      <c r="BD22" s="11">
        <f>BC22+預測IC!BE22</f>
        <v>1.5358764970122101</v>
      </c>
      <c r="BE22" s="11">
        <f>BD22+預測IC!BF22</f>
        <v>1.4809904832574039</v>
      </c>
      <c r="BF22" s="11">
        <f>BE22+預測IC!BG22</f>
        <v>1.3848119541277659</v>
      </c>
      <c r="BG22" s="11">
        <f>BF22+預測IC!BH22</f>
        <v>1.3768185420642156</v>
      </c>
      <c r="BH22" s="11">
        <f>BG22+預測IC!BI22</f>
        <v>1.4591640095368898</v>
      </c>
      <c r="BI22" s="11">
        <f>BH22+預測IC!BJ22</f>
        <v>1.4041675943861689</v>
      </c>
      <c r="BJ22" s="11">
        <f>BI22+預測IC!BK22</f>
        <v>1.4524828354378332</v>
      </c>
      <c r="BK22" s="11">
        <f>BJ22+預測IC!BL22</f>
        <v>1.4703467175721145</v>
      </c>
      <c r="BL22" s="11">
        <f>BK22+預測IC!BM22</f>
        <v>1.349407082244539</v>
      </c>
      <c r="BM22" s="11">
        <f>BL22+預測IC!BN22</f>
        <v>1.4323449814448614</v>
      </c>
      <c r="BN22" s="11">
        <f>BM22+預測IC!BO22</f>
        <v>1.4706950444087044</v>
      </c>
      <c r="BO22" s="11">
        <f>BN22+預測IC!BP22</f>
        <v>1.471236044533236</v>
      </c>
      <c r="BP22" s="11">
        <f>BO22+預測IC!BQ22</f>
        <v>1.3890866476737183</v>
      </c>
      <c r="BQ22" s="11">
        <f>BP22+預測IC!BR22</f>
        <v>1.4087269785339169</v>
      </c>
      <c r="BR22" s="11">
        <f>BQ22+預測IC!BS22</f>
        <v>1.4606419660770396</v>
      </c>
      <c r="BS22" s="11">
        <f>BR22+預測IC!BT22</f>
        <v>1.3719157717442561</v>
      </c>
      <c r="BT22" s="11">
        <f>BS22+預測IC!BU22</f>
        <v>1.2675651886618911</v>
      </c>
      <c r="BU22" s="11">
        <f>BT22+預測IC!BV22</f>
        <v>1.2682469488294483</v>
      </c>
      <c r="BV22" s="11">
        <f>BU22+預測IC!BW22</f>
        <v>1.6959634452938246</v>
      </c>
      <c r="BW22" s="11">
        <f>BV22+預測IC!BX22</f>
        <v>1.5829345463894593</v>
      </c>
      <c r="BX22" s="11">
        <f>BW22+預測IC!BY22</f>
        <v>1.6152874219099587</v>
      </c>
      <c r="BY22" s="11">
        <f>BX22+預測IC!BZ22</f>
        <v>1.8949167607571131</v>
      </c>
      <c r="BZ22" s="11">
        <f>BY22+預測IC!CA22</f>
        <v>2.0389954967913684</v>
      </c>
      <c r="CA22" s="11">
        <f>BZ22+預測IC!CB22</f>
        <v>2.2937347525062295</v>
      </c>
      <c r="CB22" s="11">
        <f>CA22+預測IC!CC22</f>
        <v>2.1686307571861967</v>
      </c>
      <c r="CC22" s="11">
        <f>CB22+預測IC!CD22</f>
        <v>2.264149300051193</v>
      </c>
      <c r="CD22" s="11">
        <f>CC22+預測IC!CE22</f>
        <v>2.3309894456880107</v>
      </c>
      <c r="CE22" s="11">
        <f>CD22+預測IC!CF22</f>
        <v>2.175416877265544</v>
      </c>
      <c r="CF22" s="11">
        <f>CE22+預測IC!CG22</f>
        <v>2.6192176923199542</v>
      </c>
      <c r="CG22" s="11">
        <f>CF22+預測IC!CH22</f>
        <v>2.5924565747972212</v>
      </c>
      <c r="CH22" s="11">
        <f>CG22+預測IC!CI22</f>
        <v>2.3620074077590369</v>
      </c>
      <c r="CI22" s="11">
        <f>CH22+預測IC!CJ22</f>
        <v>2.3457645599159149</v>
      </c>
      <c r="CJ22" s="11">
        <f>CI22+預測IC!CK22</f>
        <v>2.3186120633449776</v>
      </c>
      <c r="CK22" s="11">
        <f>CJ22+預測IC!CL22</f>
        <v>2.8725664287474957</v>
      </c>
      <c r="CL22" s="11">
        <f>CK22+預測IC!CM22</f>
        <v>2.6527339435500323</v>
      </c>
      <c r="CM22" s="11">
        <f>CL22+預測IC!CN22</f>
        <v>2.6745842503356201</v>
      </c>
      <c r="CN22" s="11">
        <f>CM22+預測IC!CO22</f>
        <v>2.946643748482495</v>
      </c>
      <c r="CO22" s="11">
        <f>CN22+預測IC!CP22</f>
        <v>2.865320642461108</v>
      </c>
      <c r="CP22" s="11">
        <f>CO22+預測IC!CQ22</f>
        <v>2.7908536321870798</v>
      </c>
      <c r="CQ22" s="11">
        <f>CP22+預測IC!CR22</f>
        <v>2.7624314271079191</v>
      </c>
      <c r="CR22" s="11">
        <f>CQ22+預測IC!CS22</f>
        <v>2.786871013939952</v>
      </c>
      <c r="CS22" s="11">
        <f>CR22+預測IC!CT22</f>
        <v>2.7286384925839666</v>
      </c>
      <c r="CT22" s="11">
        <f>CS22+預測IC!CU22</f>
        <v>2.755219497631002</v>
      </c>
      <c r="CU22" s="11">
        <f>CT22+預測IC!CV22</f>
        <v>2.8848369963998852</v>
      </c>
      <c r="CV22" s="11">
        <f>CU22+預測IC!CW22</f>
        <v>2.8713371978639235</v>
      </c>
      <c r="CW22" s="11">
        <f>CV22+預測IC!CX22</f>
        <v>2.918622651122714</v>
      </c>
      <c r="CX22" s="11">
        <f>CW22+預測IC!CY22</f>
        <v>3.0231334771907754</v>
      </c>
      <c r="CY22" s="11">
        <f>CX22+預測IC!CZ22</f>
        <v>3.2298273392765338</v>
      </c>
      <c r="CZ22" s="11">
        <f>CY22+預測IC!DA22</f>
        <v>3.2622813340866723</v>
      </c>
      <c r="DA22" s="11">
        <f>CZ22+預測IC!DB22</f>
        <v>3.3163229557971943</v>
      </c>
      <c r="DB22" s="11">
        <f>DA22+預測IC!DC22</f>
        <v>3.3886649895301382</v>
      </c>
      <c r="DC22" s="11">
        <f>DB22+預測IC!DD22</f>
        <v>3.3727024117145756</v>
      </c>
      <c r="DD22" s="11">
        <f>DC22+預測IC!DE22</f>
        <v>3.2393462684691463</v>
      </c>
      <c r="DE22" s="11">
        <f>DD22+預測IC!DF22</f>
        <v>3.6290139021632699</v>
      </c>
      <c r="DF22" s="11">
        <f>DE22+預測IC!DG22</f>
        <v>3.557124402746267</v>
      </c>
      <c r="DG22" s="11">
        <f>DF22+預測IC!DH22</f>
        <v>3.5710697489297711</v>
      </c>
      <c r="DH22" s="11">
        <f>DG22+預測IC!DI22</f>
        <v>3.6346307481920204</v>
      </c>
      <c r="DI22" s="11">
        <f>DH22+預測IC!DJ22</f>
        <v>3.5843847423589246</v>
      </c>
      <c r="DJ22" s="11">
        <f>DI22+預測IC!DK22</f>
        <v>3.4929563372994132</v>
      </c>
      <c r="DK22" s="11">
        <f>DJ22+預測IC!DL22</f>
        <v>3.5146366634573036</v>
      </c>
      <c r="DL22" s="11">
        <f>DK22+預測IC!DM22</f>
        <v>3.5465213727470344</v>
      </c>
      <c r="DM22" s="11">
        <f>DL22+預測IC!DN22</f>
        <v>3.4633476656694757</v>
      </c>
      <c r="DN22" s="11">
        <f>DM22+預測IC!DO22</f>
        <v>3.5390634817243818</v>
      </c>
      <c r="DO22" s="11">
        <f>DN22+預測IC!DP22</f>
        <v>3.4339644219239029</v>
      </c>
      <c r="DP22" s="11">
        <f>DO22+預測IC!DQ22</f>
        <v>3.3821142200862817</v>
      </c>
      <c r="DQ22" s="11">
        <f>DP22+預測IC!DR22</f>
        <v>3.3108779204131462</v>
      </c>
      <c r="DR22" s="11">
        <f>DQ22+預測IC!DS22</f>
        <v>3.2745316581636104</v>
      </c>
      <c r="DS22" s="11">
        <f>DR22+預測IC!DT22</f>
        <v>3.2308502118395221</v>
      </c>
      <c r="DT22" s="11">
        <f>DS22+預測IC!DU22</f>
        <v>3.069303300956792</v>
      </c>
      <c r="DU22" s="11">
        <f>DT22+預測IC!DV22</f>
        <v>3.1226734677850341</v>
      </c>
      <c r="DV22" s="11">
        <f>DU22+預測IC!DW22</f>
        <v>3.0412580544051107</v>
      </c>
      <c r="DW22" s="11">
        <f>DV22+預測IC!DX22</f>
        <v>2.8188154459568158</v>
      </c>
      <c r="DX22" s="11">
        <f>DW22+預測IC!DY22</f>
        <v>2.8106683293312757</v>
      </c>
      <c r="DY22" s="11">
        <f>DX22+預測IC!DZ22</f>
        <v>2.921502834118987</v>
      </c>
      <c r="DZ22" s="11">
        <f>DY22+預測IC!EA22</f>
        <v>3.0618589961196805</v>
      </c>
      <c r="EA22" s="11">
        <f>DZ22+預測IC!EB22</f>
        <v>2.9189319200673531</v>
      </c>
      <c r="EB22" s="11">
        <f>EA22+預測IC!EC22</f>
        <v>3.0070173674937775</v>
      </c>
      <c r="EC22" s="11">
        <f>EB22+預測IC!ED22</f>
        <v>2.9495181488849673</v>
      </c>
      <c r="ED22" s="11">
        <f>EC22+預測IC!EE22</f>
        <v>2.9018814895002683</v>
      </c>
      <c r="EE22" s="11">
        <f>ED22+[1]預測IC!EF22</f>
        <v>2.8670912431280957</v>
      </c>
    </row>
    <row r="23" spans="1:136" ht="16">
      <c r="A23" s="6" t="s">
        <v>162</v>
      </c>
      <c r="B23" s="9">
        <v>-3.4987009286289193E-2</v>
      </c>
      <c r="C23" s="11">
        <f>B23+預測IC!D23</f>
        <v>-6.4797676971711279E-2</v>
      </c>
      <c r="D23" s="11">
        <f>C23+預測IC!E23</f>
        <v>6.8207517084459726E-2</v>
      </c>
      <c r="E23" s="11">
        <f>D23+預測IC!F23</f>
        <v>-7.3457391967441985E-2</v>
      </c>
      <c r="F23" s="11">
        <f>E23+預測IC!G23</f>
        <v>-0.12568156581394035</v>
      </c>
      <c r="G23" s="11">
        <f>F23+預測IC!H23</f>
        <v>-0.14387003665542503</v>
      </c>
      <c r="H23" s="11">
        <f>G23+預測IC!I23</f>
        <v>-0.18025652552183213</v>
      </c>
      <c r="I23" s="11">
        <f>H23+預測IC!J23</f>
        <v>-0.29513403145227723</v>
      </c>
      <c r="J23" s="11">
        <f>I23+預測IC!K23</f>
        <v>-0.35505191596034014</v>
      </c>
      <c r="K23" s="11">
        <f>J23+預測IC!L23</f>
        <v>-0.30100838618474152</v>
      </c>
      <c r="L23" s="11">
        <f>K23+預測IC!M23</f>
        <v>-0.44829535421223843</v>
      </c>
      <c r="M23" s="11">
        <f>L23+預測IC!N23</f>
        <v>0.52760608905904161</v>
      </c>
      <c r="N23" s="11">
        <f>M23+預測IC!O23</f>
        <v>0.65050579636620998</v>
      </c>
      <c r="O23" s="11">
        <f>N23+預測IC!P23</f>
        <v>0.70518732240075788</v>
      </c>
      <c r="P23" s="11">
        <f>O23+預測IC!Q23</f>
        <v>0.41401382893405325</v>
      </c>
      <c r="Q23" s="11">
        <f>P23+預測IC!R23</f>
        <v>0.47683580690381494</v>
      </c>
      <c r="R23" s="11">
        <f>Q23+預測IC!S23</f>
        <v>0.40426314245375267</v>
      </c>
      <c r="S23" s="11">
        <f>R23+預測IC!T23</f>
        <v>0.31958696668502401</v>
      </c>
      <c r="T23" s="11">
        <f>S23+預測IC!U23</f>
        <v>0.41334438912581839</v>
      </c>
      <c r="U23" s="11">
        <f>T23+預測IC!V23</f>
        <v>0.18086718575489369</v>
      </c>
      <c r="V23" s="11">
        <f>U23+預測IC!W23</f>
        <v>0.44041450943195287</v>
      </c>
      <c r="W23" s="11">
        <f>V23+預測IC!X23</f>
        <v>0.24585804797430857</v>
      </c>
      <c r="X23" s="11">
        <f>W23+預測IC!Y23</f>
        <v>0.17790812638295778</v>
      </c>
      <c r="Y23" s="11">
        <f>X23+預測IC!Z23</f>
        <v>0.21896009290320914</v>
      </c>
      <c r="Z23" s="11">
        <f>Y23+預測IC!AA23</f>
        <v>0.37060942474925523</v>
      </c>
      <c r="AA23" s="11">
        <f>Z23+預測IC!AB23</f>
        <v>0.32286047953009978</v>
      </c>
      <c r="AB23" s="11">
        <f>AA23+預測IC!AC23</f>
        <v>8.8851858583654963E-2</v>
      </c>
      <c r="AC23" s="11">
        <f>AB23+預測IC!AD23</f>
        <v>0.160480726669329</v>
      </c>
      <c r="AD23" s="11">
        <f>AC23+預測IC!AE23</f>
        <v>-6.1232509152320092E-2</v>
      </c>
      <c r="AE23" s="11">
        <f>AD23+預測IC!AF23</f>
        <v>-3.593201678577284E-2</v>
      </c>
      <c r="AF23" s="11">
        <f>AE23+預測IC!AG23</f>
        <v>-3.7989693836200204E-2</v>
      </c>
      <c r="AG23" s="11">
        <f>AF23+預測IC!AH23</f>
        <v>-7.1020346553050256E-4</v>
      </c>
      <c r="AH23" s="11">
        <f>AG23+預測IC!AI23</f>
        <v>1.6495713847936768E-2</v>
      </c>
      <c r="AI23" s="11">
        <f>AH23+預測IC!AJ23</f>
        <v>4.0083154141960939E-2</v>
      </c>
      <c r="AJ23" s="11">
        <f>AI23+預測IC!AK23</f>
        <v>0.15419425348915194</v>
      </c>
      <c r="AK23" s="11">
        <f>AJ23+預測IC!AL23</f>
        <v>0.14012766038214758</v>
      </c>
      <c r="AL23" s="11">
        <f>AK23+預測IC!AM23</f>
        <v>0.22682048809843763</v>
      </c>
      <c r="AM23" s="11">
        <f>AL23+預測IC!AN23</f>
        <v>0.35445008691162228</v>
      </c>
      <c r="AN23" s="11">
        <f>AM23+預測IC!AO23</f>
        <v>0.70093440172553101</v>
      </c>
      <c r="AO23" s="11">
        <f>AN23+預測IC!AP23</f>
        <v>0.53566802939203895</v>
      </c>
      <c r="AP23" s="11">
        <f>AO23+預測IC!AQ23</f>
        <v>0.43628739037928671</v>
      </c>
      <c r="AQ23" s="11">
        <f>AP23+預測IC!AR23</f>
        <v>0.29015122603991961</v>
      </c>
      <c r="AR23" s="11">
        <f>AQ23+預測IC!AS23</f>
        <v>0.32231823745011806</v>
      </c>
      <c r="AS23" s="11">
        <f>AR23+預測IC!AT23</f>
        <v>0.33926946826584903</v>
      </c>
      <c r="AT23" s="11">
        <f>AS23+預測IC!AU23</f>
        <v>0.94760151251532565</v>
      </c>
      <c r="AU23" s="11">
        <f>AT23+預測IC!AV23</f>
        <v>0.85084426211519215</v>
      </c>
      <c r="AV23" s="11">
        <f>AU23+預測IC!AW23</f>
        <v>1.1772725348203066</v>
      </c>
      <c r="AW23" s="11">
        <f>AV23+預測IC!AX23</f>
        <v>1.242409689146009</v>
      </c>
      <c r="AX23" s="11">
        <f>AW23+預測IC!AY23</f>
        <v>1.0792617780652987</v>
      </c>
      <c r="AY23" s="11">
        <f>AX23+預測IC!AZ23</f>
        <v>1.1573333545865057</v>
      </c>
      <c r="AZ23" s="11">
        <f>AY23+預測IC!BA23</f>
        <v>1.2113316932163631</v>
      </c>
      <c r="BA23" s="11">
        <f>AZ23+預測IC!BB23</f>
        <v>1.7781582192638035</v>
      </c>
      <c r="BB23" s="11">
        <f>BA23+預測IC!BC23</f>
        <v>1.4773299700907376</v>
      </c>
      <c r="BC23" s="11">
        <f>BB23+預測IC!BD23</f>
        <v>1.4619793008663033</v>
      </c>
      <c r="BD23" s="11">
        <f>BC23+預測IC!BE23</f>
        <v>1.3754469060763004</v>
      </c>
      <c r="BE23" s="11">
        <f>BD23+預測IC!BF23</f>
        <v>1.3154339624544751</v>
      </c>
      <c r="BF23" s="11">
        <f>BE23+預測IC!BG23</f>
        <v>1.2705252877602085</v>
      </c>
      <c r="BG23" s="11">
        <f>BF23+預測IC!BH23</f>
        <v>1.3241221516951986</v>
      </c>
      <c r="BH23" s="11">
        <f>BG23+預測IC!BI23</f>
        <v>1.4453276753306088</v>
      </c>
      <c r="BI23" s="11">
        <f>BH23+預測IC!BJ23</f>
        <v>1.3413243600626819</v>
      </c>
      <c r="BJ23" s="11">
        <f>BI23+預測IC!BK23</f>
        <v>1.3891736833638699</v>
      </c>
      <c r="BK23" s="11">
        <f>BJ23+預測IC!BL23</f>
        <v>1.3357414634191971</v>
      </c>
      <c r="BL23" s="11">
        <f>BK23+預測IC!BM23</f>
        <v>1.1515936561613285</v>
      </c>
      <c r="BM23" s="11">
        <f>BL23+預測IC!BN23</f>
        <v>1.1900468934016017</v>
      </c>
      <c r="BN23" s="11">
        <f>BM23+預測IC!BO23</f>
        <v>1.2518623733694683</v>
      </c>
      <c r="BO23" s="11">
        <f>BN23+預測IC!BP23</f>
        <v>1.2743380947621501</v>
      </c>
      <c r="BP23" s="11">
        <f>BO23+預測IC!BQ23</f>
        <v>1.1521173640307949</v>
      </c>
      <c r="BQ23" s="11">
        <f>BP23+預測IC!BR23</f>
        <v>1.160469550283673</v>
      </c>
      <c r="BR23" s="11">
        <f>BQ23+預測IC!BS23</f>
        <v>1.2861397080209487</v>
      </c>
      <c r="BS23" s="11">
        <f>BR23+預測IC!BT23</f>
        <v>1.0679530318880446</v>
      </c>
      <c r="BT23" s="11">
        <f>BS23+預測IC!BU23</f>
        <v>0.96226775809464138</v>
      </c>
      <c r="BU23" s="11">
        <f>BT23+預測IC!BV23</f>
        <v>0.94524880721871352</v>
      </c>
      <c r="BV23" s="11">
        <f>BU23+預測IC!BW23</f>
        <v>1.5462463336521646</v>
      </c>
      <c r="BW23" s="11">
        <f>BV23+預測IC!BX23</f>
        <v>1.4775112443213667</v>
      </c>
      <c r="BX23" s="11">
        <f>BW23+預測IC!BY23</f>
        <v>1.5174506931974971</v>
      </c>
      <c r="BY23" s="11">
        <f>BX23+預測IC!BZ23</f>
        <v>1.8698485602625199</v>
      </c>
      <c r="BZ23" s="11">
        <f>BY23+預測IC!CA23</f>
        <v>2.0762212826500068</v>
      </c>
      <c r="CA23" s="11">
        <f>BZ23+預測IC!CB23</f>
        <v>2.3923880444087571</v>
      </c>
      <c r="CB23" s="11">
        <f>CA23+預測IC!CC23</f>
        <v>2.3078434296929817</v>
      </c>
      <c r="CC23" s="11">
        <f>CB23+預測IC!CD23</f>
        <v>2.4490853738545306</v>
      </c>
      <c r="CD23" s="11">
        <f>CC23+預測IC!CE23</f>
        <v>2.508687675692248</v>
      </c>
      <c r="CE23" s="11">
        <f>CD23+預測IC!CF23</f>
        <v>2.3252544394066885</v>
      </c>
      <c r="CF23" s="11">
        <f>CE23+預測IC!CG23</f>
        <v>2.6181583775244257</v>
      </c>
      <c r="CG23" s="11">
        <f>CF23+預測IC!CH23</f>
        <v>2.6401089417500363</v>
      </c>
      <c r="CH23" s="11">
        <f>CG23+預測IC!CI23</f>
        <v>2.5809864678365124</v>
      </c>
      <c r="CI23" s="11">
        <f>CH23+預測IC!CJ23</f>
        <v>2.6192417167727893</v>
      </c>
      <c r="CJ23" s="11">
        <f>CI23+預測IC!CK23</f>
        <v>2.5626473913932841</v>
      </c>
      <c r="CK23" s="11">
        <f>CJ23+預測IC!CL23</f>
        <v>3.3837962181588157</v>
      </c>
      <c r="CL23" s="11">
        <f>CK23+預測IC!CM23</f>
        <v>3.1490912455427167</v>
      </c>
      <c r="CM23" s="11">
        <f>CL23+預測IC!CN23</f>
        <v>3.1990603011069592</v>
      </c>
      <c r="CN23" s="11">
        <f>CM23+預測IC!CO23</f>
        <v>3.4652188388340606</v>
      </c>
      <c r="CO23" s="11">
        <f>CN23+預測IC!CP23</f>
        <v>3.3455005251549683</v>
      </c>
      <c r="CP23" s="11">
        <f>CO23+預測IC!CQ23</f>
        <v>3.278185427006596</v>
      </c>
      <c r="CQ23" s="11">
        <f>CP23+預測IC!CR23</f>
        <v>3.2399525878353761</v>
      </c>
      <c r="CR23" s="11">
        <f>CQ23+預測IC!CS23</f>
        <v>3.3089679586922811</v>
      </c>
      <c r="CS23" s="11">
        <f>CR23+預測IC!CT23</f>
        <v>3.2633054169810274</v>
      </c>
      <c r="CT23" s="11">
        <f>CS23+預測IC!CU23</f>
        <v>3.2545311269100341</v>
      </c>
      <c r="CU23" s="11">
        <f>CT23+預測IC!CV23</f>
        <v>3.4563825897969127</v>
      </c>
      <c r="CV23" s="11">
        <f>CU23+預測IC!CW23</f>
        <v>3.5205477019127542</v>
      </c>
      <c r="CW23" s="11">
        <f>CV23+預測IC!CX23</f>
        <v>3.4762936223632193</v>
      </c>
      <c r="CX23" s="11">
        <f>CW23+預測IC!CY23</f>
        <v>3.6300439560347582</v>
      </c>
      <c r="CY23" s="11">
        <f>CX23+預測IC!CZ23</f>
        <v>3.7960484052520975</v>
      </c>
      <c r="CZ23" s="11">
        <f>CY23+預測IC!DA23</f>
        <v>3.8606932877004865</v>
      </c>
      <c r="DA23" s="11">
        <f>CZ23+預測IC!DB23</f>
        <v>3.8794403541437061</v>
      </c>
      <c r="DB23" s="11">
        <f>DA23+預測IC!DC23</f>
        <v>3.9518563878001323</v>
      </c>
      <c r="DC23" s="11">
        <f>DB23+預測IC!DD23</f>
        <v>3.9334485615271308</v>
      </c>
      <c r="DD23" s="11">
        <f>DC23+預測IC!DE23</f>
        <v>3.7920032616675718</v>
      </c>
      <c r="DE23" s="11">
        <f>DD23+預測IC!DF23</f>
        <v>4.2007981822284925</v>
      </c>
      <c r="DF23" s="11">
        <f>DE23+預測IC!DG23</f>
        <v>4.1331777548220829</v>
      </c>
      <c r="DG23" s="11">
        <f>DF23+預測IC!DH23</f>
        <v>4.1885912021308256</v>
      </c>
      <c r="DH23" s="11">
        <f>DG23+預測IC!DI23</f>
        <v>4.2420707990468465</v>
      </c>
      <c r="DI23" s="11">
        <f>DH23+預測IC!DJ23</f>
        <v>4.1550127908744985</v>
      </c>
      <c r="DJ23" s="11">
        <f>DI23+預測IC!DK23</f>
        <v>4.0637678021336718</v>
      </c>
      <c r="DK23" s="11">
        <f>DJ23+預測IC!DL23</f>
        <v>4.0071604678025965</v>
      </c>
      <c r="DL23" s="11">
        <f>DK23+預測IC!DM23</f>
        <v>4.0536377837918387</v>
      </c>
      <c r="DM23" s="11">
        <f>DL23+預測IC!DN23</f>
        <v>3.9354330293644693</v>
      </c>
      <c r="DN23" s="11">
        <f>DM23+預測IC!DO23</f>
        <v>4.0595014713521982</v>
      </c>
      <c r="DO23" s="11">
        <f>DN23+預測IC!DP23</f>
        <v>4.0210970755141995</v>
      </c>
      <c r="DP23" s="11">
        <f>DO23+預測IC!DQ23</f>
        <v>3.8999650342567418</v>
      </c>
      <c r="DQ23" s="11">
        <f>DP23+預測IC!DR23</f>
        <v>3.7975392390217406</v>
      </c>
      <c r="DR23" s="11">
        <f>DQ23+預測IC!DS23</f>
        <v>3.6809632473548013</v>
      </c>
      <c r="DS23" s="11">
        <f>DR23+預測IC!DT23</f>
        <v>3.6267127866861886</v>
      </c>
      <c r="DT23" s="11">
        <f>DS23+預測IC!DU23</f>
        <v>3.5710733079779065</v>
      </c>
      <c r="DU23" s="11">
        <f>DT23+預測IC!DV23</f>
        <v>3.579206561593181</v>
      </c>
      <c r="DV23" s="11">
        <f>DU23+預測IC!DW23</f>
        <v>3.6022583823482428</v>
      </c>
      <c r="DW23" s="11">
        <f>DV23+預測IC!DX23</f>
        <v>3.2887651759692766</v>
      </c>
      <c r="DX23" s="11">
        <f>DW23+預測IC!DY23</f>
        <v>3.4586420046215309</v>
      </c>
      <c r="DY23" s="11">
        <f>DX23+預測IC!DZ23</f>
        <v>3.2414680168690895</v>
      </c>
      <c r="DZ23" s="11">
        <f>DY23+預測IC!EA23</f>
        <v>3.2127092370926844</v>
      </c>
      <c r="EA23" s="11">
        <f>DZ23+預測IC!EB23</f>
        <v>3.0744837419694822</v>
      </c>
      <c r="EB23" s="11">
        <f>EA23+預測IC!EC23</f>
        <v>3.1681282751300022</v>
      </c>
      <c r="EC23" s="11">
        <f>EB23+預測IC!ED23</f>
        <v>3.2070286976997262</v>
      </c>
      <c r="ED23" s="11">
        <f>EC23+預測IC!EE23</f>
        <v>3.1378166217147334</v>
      </c>
      <c r="EE23" s="11">
        <f>ED23+[1]預測IC!EF23</f>
        <v>3.0900343431230737</v>
      </c>
    </row>
    <row r="24" spans="1:136" ht="16">
      <c r="A24" s="6" t="s">
        <v>163</v>
      </c>
      <c r="B24" s="9">
        <v>0.162993136931085</v>
      </c>
      <c r="C24" s="11">
        <f>B24+預測IC!D24</f>
        <v>5.89441269586721E-2</v>
      </c>
      <c r="D24" s="11">
        <f>C24+預測IC!E24</f>
        <v>0.34345662464917404</v>
      </c>
      <c r="E24" s="11">
        <f>D24+預測IC!F24</f>
        <v>0.11629707801242523</v>
      </c>
      <c r="F24" s="11">
        <f>E24+預測IC!G24</f>
        <v>0.34205710106999765</v>
      </c>
      <c r="G24" s="11">
        <f>F24+預測IC!H24</f>
        <v>0.37791289772495429</v>
      </c>
      <c r="H24" s="11">
        <f>G24+預測IC!I24</f>
        <v>0.39483998690569805</v>
      </c>
      <c r="I24" s="11">
        <f>H24+預測IC!J24</f>
        <v>0.27937718869167555</v>
      </c>
      <c r="J24" s="11">
        <f>I24+預測IC!K24</f>
        <v>0.33311018535990955</v>
      </c>
      <c r="K24" s="11">
        <f>J24+預測IC!L24</f>
        <v>0.42873343586859169</v>
      </c>
      <c r="L24" s="11">
        <f>K24+預測IC!M24</f>
        <v>0.21094776283085021</v>
      </c>
      <c r="M24" s="11">
        <f>L24+預測IC!N24</f>
        <v>1.9799791319434192</v>
      </c>
      <c r="N24" s="11">
        <f>M24+預測IC!O24</f>
        <v>2.2242569953316025</v>
      </c>
      <c r="O24" s="11">
        <f>N24+預測IC!P24</f>
        <v>2.2259932841959498</v>
      </c>
      <c r="P24" s="11">
        <f>O24+預測IC!Q24</f>
        <v>2.2288404197983471</v>
      </c>
      <c r="Q24" s="11">
        <f>P24+預測IC!R24</f>
        <v>2.201017595913259</v>
      </c>
      <c r="R24" s="11">
        <f>Q24+預測IC!S24</f>
        <v>2.1899631357058102</v>
      </c>
      <c r="S24" s="11">
        <f>R24+預測IC!T24</f>
        <v>1.9021465321863225</v>
      </c>
      <c r="T24" s="11">
        <f>S24+預測IC!U24</f>
        <v>2.0506652064102404</v>
      </c>
      <c r="U24" s="11">
        <f>T24+預測IC!V24</f>
        <v>1.9519866951509104</v>
      </c>
      <c r="V24" s="11">
        <f>U24+預測IC!W24</f>
        <v>1.7874221775640302</v>
      </c>
      <c r="W24" s="11">
        <f>V24+預測IC!X24</f>
        <v>1.7883210540290475</v>
      </c>
      <c r="X24" s="11">
        <f>W24+預測IC!Y24</f>
        <v>1.668003560964517</v>
      </c>
      <c r="Y24" s="11">
        <f>X24+預測IC!Z24</f>
        <v>1.6436090122149407</v>
      </c>
      <c r="Z24" s="11">
        <f>Y24+預測IC!AA24</f>
        <v>1.7379685950287351</v>
      </c>
      <c r="AA24" s="11">
        <f>Z24+預測IC!AB24</f>
        <v>1.5537171723599568</v>
      </c>
      <c r="AB24" s="11">
        <f>AA24+預測IC!AC24</f>
        <v>1.3075482135752572</v>
      </c>
      <c r="AC24" s="11">
        <f>AB24+預測IC!AD24</f>
        <v>1.4087235128319802</v>
      </c>
      <c r="AD24" s="11">
        <f>AC24+預測IC!AE24</f>
        <v>1.2334546978246381</v>
      </c>
      <c r="AE24" s="11">
        <f>AD24+預測IC!AF24</f>
        <v>1.3991584774711805</v>
      </c>
      <c r="AF24" s="11">
        <f>AE24+預測IC!AG24</f>
        <v>1.5050589499455811</v>
      </c>
      <c r="AG24" s="11">
        <f>AF24+預測IC!AH24</f>
        <v>1.4364451504841835</v>
      </c>
      <c r="AH24" s="11">
        <f>AG24+預測IC!AI24</f>
        <v>1.4276368193857563</v>
      </c>
      <c r="AI24" s="11">
        <f>AH24+預測IC!AJ24</f>
        <v>1.5130720211766204</v>
      </c>
      <c r="AJ24" s="11">
        <f>AI24+預測IC!AK24</f>
        <v>1.5979559742448126</v>
      </c>
      <c r="AK24" s="11">
        <f>AJ24+預測IC!AL24</f>
        <v>1.6851296757214476</v>
      </c>
      <c r="AL24" s="11">
        <f>AK24+預測IC!AM24</f>
        <v>1.7637281736945607</v>
      </c>
      <c r="AM24" s="11">
        <f>AL24+預測IC!AN24</f>
        <v>1.9266699155512601</v>
      </c>
      <c r="AN24" s="11">
        <f>AM24+預測IC!AO24</f>
        <v>2.0093616313963736</v>
      </c>
      <c r="AO24" s="11">
        <f>AN24+預測IC!AP24</f>
        <v>1.8448749422384534</v>
      </c>
      <c r="AP24" s="11">
        <f>AO24+預測IC!AQ24</f>
        <v>1.6277477391103892</v>
      </c>
      <c r="AQ24" s="11">
        <f>AP24+預測IC!AR24</f>
        <v>1.4569143329395635</v>
      </c>
      <c r="AR24" s="11">
        <f>AQ24+預測IC!AS24</f>
        <v>1.6947466765850046</v>
      </c>
      <c r="AS24" s="11">
        <f>AR24+預測IC!AT24</f>
        <v>1.7006752861740604</v>
      </c>
      <c r="AT24" s="11">
        <f>AS24+預測IC!AU24</f>
        <v>2.1777294734164627</v>
      </c>
      <c r="AU24" s="11">
        <f>AT24+預測IC!AV24</f>
        <v>2.1582072589939387</v>
      </c>
      <c r="AV24" s="11">
        <f>AU24+預測IC!AW24</f>
        <v>2.2785101824007867</v>
      </c>
      <c r="AW24" s="11">
        <f>AV24+預測IC!AX24</f>
        <v>2.2529483839829298</v>
      </c>
      <c r="AX24" s="11">
        <f>AW24+預測IC!AY24</f>
        <v>1.8094749422464307</v>
      </c>
      <c r="AY24" s="11">
        <f>AX24+預測IC!AZ24</f>
        <v>1.9280986673176073</v>
      </c>
      <c r="AZ24" s="11">
        <f>AY24+預測IC!BA24</f>
        <v>1.9785899727296195</v>
      </c>
      <c r="BA24" s="11">
        <f>AZ24+預測IC!BB24</f>
        <v>2.6693665041102914</v>
      </c>
      <c r="BB24" s="11">
        <f>BA24+預測IC!BC24</f>
        <v>2.0699448630863997</v>
      </c>
      <c r="BC24" s="11">
        <f>BB24+預測IC!BD24</f>
        <v>2.2425150017997399</v>
      </c>
      <c r="BD24" s="11">
        <f>BC24+預測IC!BE24</f>
        <v>2.1383838789490555</v>
      </c>
      <c r="BE24" s="11">
        <f>BD24+預測IC!BF24</f>
        <v>2.0381521735676489</v>
      </c>
      <c r="BF24" s="11">
        <f>BE24+預測IC!BG24</f>
        <v>1.861528637888332</v>
      </c>
      <c r="BG24" s="11">
        <f>BF24+預測IC!BH24</f>
        <v>1.8710980889044828</v>
      </c>
      <c r="BH24" s="11">
        <f>BG24+預測IC!BI24</f>
        <v>2.0403670138972019</v>
      </c>
      <c r="BI24" s="11">
        <f>BH24+預測IC!BJ24</f>
        <v>2.0370186981423175</v>
      </c>
      <c r="BJ24" s="11">
        <f>BI24+預測IC!BK24</f>
        <v>2.0718463453150915</v>
      </c>
      <c r="BK24" s="11">
        <f>BJ24+預測IC!BL24</f>
        <v>2.0409477337959174</v>
      </c>
      <c r="BL24" s="11">
        <f>BK24+預測IC!BM24</f>
        <v>1.6640313762362733</v>
      </c>
      <c r="BM24" s="11">
        <f>BL24+預測IC!BN24</f>
        <v>1.7729446365528208</v>
      </c>
      <c r="BN24" s="11">
        <f>BM24+預測IC!BO24</f>
        <v>1.7673202149943543</v>
      </c>
      <c r="BO24" s="11">
        <f>BN24+預測IC!BP24</f>
        <v>1.7355261106644646</v>
      </c>
      <c r="BP24" s="11">
        <f>BO24+預測IC!BQ24</f>
        <v>1.443668666802203</v>
      </c>
      <c r="BQ24" s="11">
        <f>BP24+預測IC!BR24</f>
        <v>1.4339692697134894</v>
      </c>
      <c r="BR24" s="11">
        <f>BQ24+預測IC!BS24</f>
        <v>1.4726562036754551</v>
      </c>
      <c r="BS24" s="11">
        <f>BR24+預測IC!BT24</f>
        <v>1.1959371875352467</v>
      </c>
      <c r="BT24" s="11">
        <f>BS24+預測IC!BU24</f>
        <v>1.1871886952204012</v>
      </c>
      <c r="BU24" s="11">
        <f>BT24+預測IC!BV24</f>
        <v>0.98388454338995079</v>
      </c>
      <c r="BV24" s="11">
        <f>BU24+預測IC!BW24</f>
        <v>2.092896613427313</v>
      </c>
      <c r="BW24" s="11">
        <f>BV24+預測IC!BX24</f>
        <v>1.9889415793782217</v>
      </c>
      <c r="BX24" s="11">
        <f>BW24+預測IC!BY24</f>
        <v>1.6986047044328048</v>
      </c>
      <c r="BY24" s="11">
        <f>BX24+預測IC!BZ24</f>
        <v>2.5125627311753265</v>
      </c>
      <c r="BZ24" s="11">
        <f>BY24+預測IC!CA24</f>
        <v>2.6125876468642772</v>
      </c>
      <c r="CA24" s="11">
        <f>BZ24+預測IC!CB24</f>
        <v>3.2522857804987924</v>
      </c>
      <c r="CB24" s="11">
        <f>CA24+預測IC!CC24</f>
        <v>3.0698159006112307</v>
      </c>
      <c r="CC24" s="11">
        <f>CB24+預測IC!CD24</f>
        <v>3.099769426481247</v>
      </c>
      <c r="CD24" s="11">
        <f>CC24+預測IC!CE24</f>
        <v>3.2653343004723614</v>
      </c>
      <c r="CE24" s="11">
        <f>CD24+預測IC!CF24</f>
        <v>3.1002029474629653</v>
      </c>
      <c r="CF24" s="11">
        <f>CE24+預測IC!CG24</f>
        <v>3.3374807823228907</v>
      </c>
      <c r="CG24" s="11">
        <f>CF24+預測IC!CH24</f>
        <v>3.4831241146167096</v>
      </c>
      <c r="CH24" s="11">
        <f>CG24+預測IC!CI24</f>
        <v>3.4246159573836708</v>
      </c>
      <c r="CI24" s="11">
        <f>CH24+預測IC!CJ24</f>
        <v>3.4817900869574263</v>
      </c>
      <c r="CJ24" s="11">
        <f>CI24+預測IC!CK24</f>
        <v>3.5136452531986442</v>
      </c>
      <c r="CK24" s="11">
        <f>CJ24+預測IC!CL24</f>
        <v>4.6622652880689905</v>
      </c>
      <c r="CL24" s="11">
        <f>CK24+預測IC!CM24</f>
        <v>4.02583202370948</v>
      </c>
      <c r="CM24" s="11">
        <f>CL24+預測IC!CN24</f>
        <v>4.0407485539575285</v>
      </c>
      <c r="CN24" s="11">
        <f>CM24+預測IC!CO24</f>
        <v>4.4932259957479816</v>
      </c>
      <c r="CO24" s="11">
        <f>CN24+預測IC!CP24</f>
        <v>4.2438872784938484</v>
      </c>
      <c r="CP24" s="11">
        <f>CO24+預測IC!CQ24</f>
        <v>4.0662818559626936</v>
      </c>
      <c r="CQ24" s="11">
        <f>CP24+預測IC!CR24</f>
        <v>3.969463948771355</v>
      </c>
      <c r="CR24" s="11">
        <f>CQ24+預測IC!CS24</f>
        <v>3.9426090262502465</v>
      </c>
      <c r="CS24" s="11">
        <f>CR24+預測IC!CT24</f>
        <v>3.8461900181028508</v>
      </c>
      <c r="CT24" s="11">
        <f>CS24+預測IC!CU24</f>
        <v>3.8398881404889056</v>
      </c>
      <c r="CU24" s="11">
        <f>CT24+預測IC!CV24</f>
        <v>4.2013684358403154</v>
      </c>
      <c r="CV24" s="11">
        <f>CU24+預測IC!CW24</f>
        <v>4.1997802936325073</v>
      </c>
      <c r="CW24" s="11">
        <f>CV24+預測IC!CX24</f>
        <v>4.252545552475774</v>
      </c>
      <c r="CX24" s="11">
        <f>CW24+預測IC!CY24</f>
        <v>4.5736933046825143</v>
      </c>
      <c r="CY24" s="11">
        <f>CX24+預測IC!CZ24</f>
        <v>4.8962831820394239</v>
      </c>
      <c r="CZ24" s="11">
        <f>CY24+預測IC!DA24</f>
        <v>4.9302627671318771</v>
      </c>
      <c r="DA24" s="11">
        <f>CZ24+預測IC!DB24</f>
        <v>4.9137609012828811</v>
      </c>
      <c r="DB24" s="11">
        <f>DA24+預測IC!DC24</f>
        <v>5.0933140165222293</v>
      </c>
      <c r="DC24" s="11">
        <f>DB24+預測IC!DD24</f>
        <v>5.1426137891930042</v>
      </c>
      <c r="DD24" s="11">
        <f>DC24+預測IC!DE24</f>
        <v>4.8359777088575484</v>
      </c>
      <c r="DE24" s="11">
        <f>DD24+預測IC!DF24</f>
        <v>5.3615627150020462</v>
      </c>
      <c r="DF24" s="11">
        <f>DE24+預測IC!DG24</f>
        <v>5.2420174286019137</v>
      </c>
      <c r="DG24" s="11">
        <f>DF24+預測IC!DH24</f>
        <v>5.3413844091018525</v>
      </c>
      <c r="DH24" s="11">
        <f>DG24+預測IC!DI24</f>
        <v>5.4832598680401219</v>
      </c>
      <c r="DI24" s="11">
        <f>DH24+預測IC!DJ24</f>
        <v>5.3507712575308819</v>
      </c>
      <c r="DJ24" s="11">
        <f>DI24+預測IC!DK24</f>
        <v>5.2310910763226923</v>
      </c>
      <c r="DK24" s="11">
        <f>DJ24+預測IC!DL24</f>
        <v>5.1993423780081116</v>
      </c>
      <c r="DL24" s="11">
        <f>DK24+預測IC!DM24</f>
        <v>5.1997558232531791</v>
      </c>
      <c r="DM24" s="11">
        <f>DL24+預測IC!DN24</f>
        <v>5.0507225674236977</v>
      </c>
      <c r="DN24" s="11">
        <f>DM24+預測IC!DO24</f>
        <v>5.1663345224471779</v>
      </c>
      <c r="DO24" s="11">
        <f>DN24+預測IC!DP24</f>
        <v>5.0220038800668219</v>
      </c>
      <c r="DP24" s="11">
        <f>DO24+預測IC!DQ24</f>
        <v>4.9715176895878965</v>
      </c>
      <c r="DQ24" s="11">
        <f>DP24+預測IC!DR24</f>
        <v>4.9481259583143675</v>
      </c>
      <c r="DR24" s="11">
        <f>DQ24+預測IC!DS24</f>
        <v>4.8807634126004231</v>
      </c>
      <c r="DS24" s="11">
        <f>DR24+預測IC!DT24</f>
        <v>4.8060300673344187</v>
      </c>
      <c r="DT24" s="11">
        <f>DS24+預測IC!DU24</f>
        <v>4.8278114626956485</v>
      </c>
      <c r="DU24" s="11">
        <f>DT24+預測IC!DV24</f>
        <v>4.9258582974982748</v>
      </c>
      <c r="DV24" s="11">
        <f>DU24+預測IC!DW24</f>
        <v>5.0270407941535185</v>
      </c>
      <c r="DW24" s="11">
        <f>DV24+預測IC!DX24</f>
        <v>4.7154476663610145</v>
      </c>
      <c r="DX24" s="11">
        <f>DW24+預測IC!DY24</f>
        <v>5.0592519531592233</v>
      </c>
      <c r="DY24" s="11">
        <f>DX24+預測IC!DZ24</f>
        <v>4.6257453744225314</v>
      </c>
      <c r="DZ24" s="11">
        <f>DY24+預測IC!EA24</f>
        <v>4.5708251905810284</v>
      </c>
      <c r="EA24" s="11">
        <f>DZ24+預測IC!EB24</f>
        <v>4.4615964182082219</v>
      </c>
      <c r="EB24" s="11">
        <f>EA24+預測IC!EC24</f>
        <v>4.6052398917679316</v>
      </c>
      <c r="EC24" s="11">
        <f>EB24+預測IC!ED24</f>
        <v>4.5354047381013149</v>
      </c>
      <c r="ED24" s="11">
        <f>EC24+預測IC!EE24</f>
        <v>4.4279240808668971</v>
      </c>
      <c r="EE24" s="11">
        <f>ED24+[1]預測IC!EF24</f>
        <v>4.4952007579108653</v>
      </c>
    </row>
    <row r="25" spans="1:136" ht="16">
      <c r="A25" s="6" t="s">
        <v>145</v>
      </c>
      <c r="B25" s="26">
        <v>-1.7446770539390338E-2</v>
      </c>
      <c r="C25" s="40">
        <f>B25+預測IC!D25</f>
        <v>3.2542899924252917E-3</v>
      </c>
      <c r="D25" s="40">
        <f>C25+預測IC!E25</f>
        <v>2.7236419247192001E-2</v>
      </c>
      <c r="E25" s="40">
        <f>D25+預測IC!F25</f>
        <v>2.0678840274368924E-2</v>
      </c>
      <c r="F25" s="40">
        <f>E25+預測IC!G25</f>
        <v>5.2523970074888612E-2</v>
      </c>
      <c r="G25" s="40">
        <f>F25+預測IC!H25</f>
        <v>8.6872502811879138E-2</v>
      </c>
      <c r="H25" s="40">
        <f>G25+預測IC!I25</f>
        <v>7.8617570030553904E-2</v>
      </c>
      <c r="I25" s="40">
        <f>H25+預測IC!J25</f>
        <v>9.1461094424606662E-2</v>
      </c>
      <c r="J25" s="40">
        <f>I25+預測IC!K25</f>
        <v>4.0442569797815839E-2</v>
      </c>
      <c r="K25" s="40">
        <f>J25+預測IC!L25</f>
        <v>4.1316512538852428E-2</v>
      </c>
      <c r="L25" s="40">
        <f>K25+預測IC!M25</f>
        <v>6.4706088044348353E-2</v>
      </c>
      <c r="M25" s="40">
        <f>L25+預測IC!N25</f>
        <v>7.7695060244681202E-2</v>
      </c>
      <c r="N25" s="40">
        <f>M25+預測IC!O25</f>
        <v>8.3549648970316082E-2</v>
      </c>
      <c r="O25" s="40">
        <f>N25+預測IC!P25</f>
        <v>0.11096285554210664</v>
      </c>
      <c r="P25" s="40">
        <f>O25+預測IC!Q25</f>
        <v>0.10724991942441378</v>
      </c>
      <c r="Q25" s="40">
        <f>P25+預測IC!R25</f>
        <v>0.13132653347223711</v>
      </c>
      <c r="R25" s="40">
        <f>Q25+預測IC!S25</f>
        <v>0.11913650817319715</v>
      </c>
      <c r="S25" s="40">
        <f>R25+預測IC!T25</f>
        <v>7.9386930013607554E-2</v>
      </c>
      <c r="T25" s="40">
        <f>S25+預測IC!U25</f>
        <v>6.2314801819580018E-3</v>
      </c>
      <c r="U25" s="40">
        <f>T25+預測IC!V25</f>
        <v>-5.2028749728156659E-2</v>
      </c>
      <c r="V25" s="40">
        <f>U25+預測IC!W25</f>
        <v>-5.1255952162648284E-2</v>
      </c>
      <c r="W25" s="40">
        <f>V25+預測IC!X25</f>
        <v>-6.6644310274293142E-3</v>
      </c>
      <c r="X25" s="40">
        <f>W25+預測IC!Y25</f>
        <v>-3.4364111077642409E-2</v>
      </c>
      <c r="Y25" s="40">
        <f>X25+預測IC!Z25</f>
        <v>-3.226910512789876E-2</v>
      </c>
      <c r="Z25" s="40">
        <f>Y25+預測IC!AA25</f>
        <v>-5.5669656120462874E-2</v>
      </c>
      <c r="AA25" s="40">
        <f>Z25+預測IC!AB25</f>
        <v>-2.3540285023140685E-2</v>
      </c>
      <c r="AB25" s="40">
        <f>AA25+預測IC!AC25</f>
        <v>1.5362988070925745E-2</v>
      </c>
      <c r="AC25" s="40">
        <f>AB25+預測IC!AD25</f>
        <v>-2.7502394100178525E-2</v>
      </c>
      <c r="AD25" s="40">
        <f>AC25+預測IC!AE25</f>
        <v>-8.8551995500263658E-3</v>
      </c>
      <c r="AE25" s="40">
        <f>AD25+預測IC!AF25</f>
        <v>6.3745687725025833E-3</v>
      </c>
      <c r="AF25" s="40">
        <f>AE25+預測IC!AG25</f>
        <v>4.2391172551395004E-2</v>
      </c>
      <c r="AG25" s="40">
        <f>AF25+預測IC!AH25</f>
        <v>5.174578393671117E-2</v>
      </c>
      <c r="AH25" s="40">
        <f>AG25+預測IC!AI25</f>
        <v>6.2494035273549312E-2</v>
      </c>
      <c r="AI25" s="40">
        <f>AH25+預測IC!AJ25</f>
        <v>7.5851789326630281E-2</v>
      </c>
      <c r="AJ25" s="40">
        <f>AI25+預測IC!AK25</f>
        <v>7.0519041997534893E-2</v>
      </c>
      <c r="AK25" s="40">
        <f>AJ25+預測IC!AL25</f>
        <v>7.1902177804796574E-2</v>
      </c>
      <c r="AL25" s="40">
        <f>AK25+預測IC!AM25</f>
        <v>9.2698106224871041E-2</v>
      </c>
      <c r="AM25" s="40">
        <f>AL25+預測IC!AN25</f>
        <v>0.12421580844526167</v>
      </c>
      <c r="AN25" s="40">
        <f>AM25+預測IC!AO25</f>
        <v>0.13045752497859112</v>
      </c>
      <c r="AO25" s="40">
        <f>AN25+預測IC!AP25</f>
        <v>0.13660278663216249</v>
      </c>
      <c r="AP25" s="40">
        <f>AO25+預測IC!AQ25</f>
        <v>0.15354914430885899</v>
      </c>
      <c r="AQ25" s="40">
        <f>AP25+預測IC!AR25</f>
        <v>0.18823197476316722</v>
      </c>
      <c r="AR25" s="40">
        <f>AQ25+預測IC!AS25</f>
        <v>0.19133056338036419</v>
      </c>
      <c r="AS25" s="40">
        <f>AR25+預測IC!AT25</f>
        <v>0.2064119105238503</v>
      </c>
      <c r="AT25" s="40">
        <f>AS25+預測IC!AU25</f>
        <v>0.18716070129398632</v>
      </c>
      <c r="AU25" s="40">
        <f>AT25+預測IC!AV25</f>
        <v>0.22587221468161775</v>
      </c>
      <c r="AV25" s="40">
        <f>AU25+預測IC!AW25</f>
        <v>0.20401526354588115</v>
      </c>
      <c r="AW25" s="40">
        <f>AV25+預測IC!AX25</f>
        <v>0.21178956425567083</v>
      </c>
      <c r="AX25" s="40">
        <f>AW25+預測IC!AY25</f>
        <v>0.25418681095099677</v>
      </c>
      <c r="AY25" s="40">
        <f>AX25+預測IC!AZ25</f>
        <v>0.22787783608983703</v>
      </c>
      <c r="AZ25" s="40">
        <f>AY25+預測IC!BA25</f>
        <v>0.23744958539855326</v>
      </c>
      <c r="BA25" s="40">
        <f>AZ25+預測IC!BB25</f>
        <v>0.21319984413227844</v>
      </c>
      <c r="BB25" s="40">
        <f>BA25+預測IC!BC25</f>
        <v>0.23336321827619427</v>
      </c>
      <c r="BC25" s="40">
        <f>BB25+預測IC!BD25</f>
        <v>0.22985821949407825</v>
      </c>
      <c r="BD25" s="40">
        <f>BC25+預測IC!BE25</f>
        <v>0.25001015459262055</v>
      </c>
      <c r="BE25" s="40">
        <f>BD25+預測IC!BF25</f>
        <v>0.25059149082339083</v>
      </c>
      <c r="BF25" s="40">
        <f>BE25+預測IC!BG25</f>
        <v>0.24537178987013822</v>
      </c>
      <c r="BG25" s="40">
        <f>BF25+預測IC!BH25</f>
        <v>0.12950002846800823</v>
      </c>
      <c r="BH25" s="40">
        <f>BG25+預測IC!BI25</f>
        <v>0.13822525416044559</v>
      </c>
      <c r="BI25" s="40">
        <f>BH25+預測IC!BJ25</f>
        <v>0.12184799318262345</v>
      </c>
      <c r="BJ25" s="40">
        <f>BI25+預測IC!BK25</f>
        <v>0.14268836478288388</v>
      </c>
      <c r="BK25" s="40">
        <f>BJ25+預測IC!BL25</f>
        <v>0.18766423688499859</v>
      </c>
      <c r="BL25" s="40">
        <f>BK25+預測IC!BM25</f>
        <v>0.21161854296686244</v>
      </c>
      <c r="BM25" s="40">
        <f>BL25+預測IC!BN25</f>
        <v>0.24185764435830504</v>
      </c>
      <c r="BN25" s="40">
        <f>BM25+預測IC!BO25</f>
        <v>0.19813175676721753</v>
      </c>
      <c r="BO25" s="40">
        <f>BN25+預測IC!BP25</f>
        <v>0.22002122633541615</v>
      </c>
      <c r="BP25" s="40">
        <f>BO25+預測IC!BQ25</f>
        <v>0.22864865659892455</v>
      </c>
      <c r="BQ25" s="40">
        <f>BP25+預測IC!BR25</f>
        <v>0.20945570260426577</v>
      </c>
      <c r="BR25" s="40">
        <f>BQ25+預測IC!BS25</f>
        <v>0.22919083249239883</v>
      </c>
      <c r="BS25" s="40">
        <f>BR25+預測IC!BT25</f>
        <v>0.27688516997609824</v>
      </c>
      <c r="BT25" s="40">
        <f>BS25+預測IC!BU25</f>
        <v>0.28833998678268163</v>
      </c>
      <c r="BU25" s="40">
        <f>BT25+預測IC!BV25</f>
        <v>0.33156860751789485</v>
      </c>
      <c r="BV25" s="40">
        <f>BU25+預測IC!BW25</f>
        <v>0.28882117708097205</v>
      </c>
      <c r="BW25" s="40">
        <f>BV25+預測IC!BX25</f>
        <v>0.27100988465317749</v>
      </c>
      <c r="BX25" s="40">
        <f>BW25+預測IC!BY25</f>
        <v>0.11985678778410189</v>
      </c>
      <c r="BY25" s="40">
        <f>BX25+預測IC!BZ25</f>
        <v>0.24408079140367717</v>
      </c>
      <c r="BZ25" s="40">
        <f>BY25+預測IC!CA25</f>
        <v>0.23952353755914751</v>
      </c>
      <c r="CA25" s="40">
        <f>BZ25+預測IC!CB25</f>
        <v>0.29973477776405871</v>
      </c>
      <c r="CB25" s="40">
        <f>CA25+預測IC!CC25</f>
        <v>0.385726811246561</v>
      </c>
      <c r="CC25" s="40">
        <f>CB25+預測IC!CD25</f>
        <v>0.37991833166419492</v>
      </c>
      <c r="CD25" s="40">
        <f>CC25+預測IC!CE25</f>
        <v>0.37387698467522684</v>
      </c>
      <c r="CE25" s="40">
        <f>CD25+預測IC!CF25</f>
        <v>0.37632930904747891</v>
      </c>
      <c r="CF25" s="40">
        <f>CE25+預測IC!CG25</f>
        <v>0.46596556098450181</v>
      </c>
      <c r="CG25" s="40">
        <f>CF25+預測IC!CH25</f>
        <v>0.53695829351125968</v>
      </c>
      <c r="CH25" s="40">
        <f>CG25+預測IC!CI25</f>
        <v>0.56412893641304307</v>
      </c>
      <c r="CI25" s="40">
        <f>CH25+預測IC!CJ25</f>
        <v>0.61659736483837313</v>
      </c>
      <c r="CJ25" s="40">
        <f>CI25+預測IC!CK25</f>
        <v>0.64607802578142259</v>
      </c>
      <c r="CK25" s="40">
        <f>CJ25+預測IC!CL25</f>
        <v>0.71290310684162383</v>
      </c>
      <c r="CL25" s="40">
        <f>CK25+預測IC!CM25</f>
        <v>0.68413087782180682</v>
      </c>
      <c r="CM25" s="40">
        <f>CL25+預測IC!CN25</f>
        <v>0.72359339372344467</v>
      </c>
      <c r="CN25" s="40">
        <f>CM25+預測IC!CO25</f>
        <v>0.69456230674608477</v>
      </c>
      <c r="CO25" s="40">
        <f>CN25+預測IC!CP25</f>
        <v>0.70854618926555268</v>
      </c>
      <c r="CP25" s="40">
        <f>CO25+預測IC!CQ25</f>
        <v>0.67626922430621883</v>
      </c>
      <c r="CQ25" s="40">
        <f>CP25+預測IC!CR25</f>
        <v>0.6793728009191129</v>
      </c>
      <c r="CR25" s="40">
        <f>CQ25+預測IC!CS25</f>
        <v>0.70496465668619601</v>
      </c>
      <c r="CS25" s="40">
        <f>CR25+預測IC!CT25</f>
        <v>0.74935654297338927</v>
      </c>
      <c r="CT25" s="40">
        <f>CS25+預測IC!CU25</f>
        <v>0.71901758442381181</v>
      </c>
      <c r="CU25" s="40">
        <f>CT25+預測IC!CV25</f>
        <v>0.7177596079692401</v>
      </c>
      <c r="CV25" s="40">
        <f>CU25+預測IC!CW25</f>
        <v>0.72009596442509805</v>
      </c>
      <c r="CW25" s="40">
        <f>CV25+預測IC!CX25</f>
        <v>0.655831819499192</v>
      </c>
      <c r="CX25" s="40">
        <f>CW25+預測IC!CY25</f>
        <v>0.66874159895818441</v>
      </c>
      <c r="CY25" s="40">
        <f>CX25+預測IC!CZ25</f>
        <v>0.54326450428732564</v>
      </c>
      <c r="CZ25" s="40">
        <f>CY25+預測IC!DA25</f>
        <v>0.55495518722711823</v>
      </c>
      <c r="DA25" s="40">
        <f>CZ25+預測IC!DB25</f>
        <v>0.56129303092785998</v>
      </c>
      <c r="DB25" s="40">
        <f>DA25+預測IC!DC25</f>
        <v>0.44398767445847448</v>
      </c>
      <c r="DC25" s="40">
        <f>DB25+預測IC!DD25</f>
        <v>0.40797680240902789</v>
      </c>
      <c r="DD25" s="40">
        <f>DC25+預測IC!DE25</f>
        <v>0.54688810648129582</v>
      </c>
      <c r="DE25" s="40">
        <f>DD25+預測IC!DF25</f>
        <v>0.49574460025519007</v>
      </c>
      <c r="DF25" s="40">
        <f>DE25+預測IC!DG25</f>
        <v>0.57247604743715907</v>
      </c>
      <c r="DG25" s="40">
        <f>DF25+預測IC!DH25</f>
        <v>0.58798482963416721</v>
      </c>
      <c r="DH25" s="40">
        <f>DG25+預測IC!DI25</f>
        <v>0.61120860330892302</v>
      </c>
      <c r="DI25" s="40">
        <f>DH25+預測IC!DJ25</f>
        <v>0.59283572694769515</v>
      </c>
      <c r="DJ25" s="40">
        <f>DI25+預測IC!DK25</f>
        <v>0.65503474103279458</v>
      </c>
      <c r="DK25" s="40">
        <f>DJ25+預測IC!DL25</f>
        <v>0.67513304551975173</v>
      </c>
      <c r="DL25" s="40">
        <f>DK25+預測IC!DM25</f>
        <v>0.68863198526781977</v>
      </c>
      <c r="DM25" s="40">
        <f>DL25+預測IC!DN25</f>
        <v>0.65837977253939894</v>
      </c>
      <c r="DN25" s="40">
        <f>DM25+預測IC!DO25</f>
        <v>0.64135693683134509</v>
      </c>
      <c r="DO25" s="40">
        <f>DN25+預測IC!DP25</f>
        <v>0.61956841355888315</v>
      </c>
      <c r="DP25" s="40">
        <f>DO25+預測IC!DQ25</f>
        <v>0.70531403814402038</v>
      </c>
      <c r="DQ25" s="40">
        <f>DP25+預測IC!DR25</f>
        <v>0.73342078174899417</v>
      </c>
      <c r="DR25" s="40">
        <f>DQ25+預測IC!DS25</f>
        <v>0.73111762194163477</v>
      </c>
      <c r="DS25" s="40">
        <f>DR25+預測IC!DT25</f>
        <v>0.78958882007312226</v>
      </c>
      <c r="DT25" s="40">
        <f>DS25+預測IC!DU25</f>
        <v>0.85724776912176992</v>
      </c>
      <c r="DU25" s="40">
        <f>DT25+預測IC!DV25</f>
        <v>0.86226853976220219</v>
      </c>
      <c r="DV25" s="40">
        <f>DU25+預測IC!DW25</f>
        <v>0.89968472343740924</v>
      </c>
      <c r="DW25" s="40">
        <f>DV25+預測IC!DX25</f>
        <v>0.98379572718345132</v>
      </c>
      <c r="DX25" s="40">
        <f>DW25+預測IC!DY25</f>
        <v>0.94696332863943844</v>
      </c>
      <c r="DY25" s="40">
        <f>DX25+預測IC!DZ25</f>
        <v>0.95005503145637549</v>
      </c>
      <c r="DZ25" s="40">
        <f>DY25+預測IC!EA25</f>
        <v>0.94809740324208092</v>
      </c>
      <c r="EA25" s="40">
        <f>DZ25+預測IC!EB25</f>
        <v>0.97455650684560069</v>
      </c>
      <c r="EB25" s="40">
        <f>EA25+預測IC!EC25</f>
        <v>0.94980396808491041</v>
      </c>
      <c r="EC25" s="40">
        <f>EB25+預測IC!ED25</f>
        <v>0.98391945906747036</v>
      </c>
      <c r="ED25" s="40">
        <f>EC25+預測IC!EE25</f>
        <v>1.0049814330565034</v>
      </c>
      <c r="EE25" s="26">
        <v>-1.7446770539390338E-2</v>
      </c>
      <c r="EF25" s="3"/>
    </row>
    <row r="28" spans="1:136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  <row r="29" spans="1:136" ht="16">
      <c r="DX29" s="4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C5FF-2A10-46C9-9354-5F8CDA59D083}">
  <dimension ref="A3:EH29"/>
  <sheetViews>
    <sheetView tabSelected="1" zoomScale="65" zoomScaleNormal="65" workbookViewId="0">
      <selection activeCell="D5" sqref="D5:EG18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140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38" t="s">
        <v>142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16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16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16" t="s">
        <v>144</v>
      </c>
    </row>
    <row r="5" spans="3:137" ht="16">
      <c r="C5" s="6">
        <v>10</v>
      </c>
      <c r="D5" s="62" cm="1">
        <f t="array" ref="D5">PRODUCT(1 + 預測IC!$C12:C12) -1</f>
        <v>4.686768274486397E-2</v>
      </c>
      <c r="E5" s="62" cm="1">
        <f t="array" ref="E5">PRODUCT(1 + 預測IC!$C12:D12) -1</f>
        <v>6.8464078560415143E-2</v>
      </c>
      <c r="F5" s="62" cm="1">
        <f t="array" ref="F5">PRODUCT(1 + 預測IC!$C12:E12) -1</f>
        <v>0.11977901415700631</v>
      </c>
      <c r="G5" s="62" cm="1">
        <f t="array" ref="G5">PRODUCT(1 + 預測IC!$C12:F12) -1</f>
        <v>9.8707330970930762E-2</v>
      </c>
      <c r="H5" s="62" cm="1">
        <f t="array" ref="H5">PRODUCT(1 + 預測IC!$C12:G12) -1</f>
        <v>0.1081531408374552</v>
      </c>
      <c r="I5" s="62" cm="1">
        <f t="array" ref="I5">PRODUCT(1 + 預測IC!$C12:H12) -1</f>
        <v>0.1508508490052447</v>
      </c>
      <c r="J5" s="62" cm="1">
        <f t="array" ref="J5">PRODUCT(1 + 預測IC!$C12:I12) -1</f>
        <v>0.16559300519835207</v>
      </c>
      <c r="K5" s="62" cm="1">
        <f t="array" ref="K5">PRODUCT(1 + 預測IC!$C12:J12) -1</f>
        <v>0.13131510292121162</v>
      </c>
      <c r="L5" s="62" cm="1">
        <f t="array" ref="L5">PRODUCT(1 + 預測IC!$C12:K12) -1</f>
        <v>0.15255484271855857</v>
      </c>
      <c r="M5" s="62" cm="1">
        <f t="array" ref="M5">PRODUCT(1 + 預測IC!$C12:L12) -1</f>
        <v>0.15107980240017693</v>
      </c>
      <c r="N5" s="62" cm="1">
        <f t="array" ref="N5">PRODUCT(1 + 預測IC!$C12:M12) -1</f>
        <v>0.1506234257242407</v>
      </c>
      <c r="O5" s="62" cm="1">
        <f t="array" ref="O5">PRODUCT(1 + 預測IC!$C12:N12) -1</f>
        <v>0.23039268074628816</v>
      </c>
      <c r="P5" s="62" cm="1">
        <f t="array" ref="P5">PRODUCT(1 + 預測IC!$C12:O12) -1</f>
        <v>0.20917980160229477</v>
      </c>
      <c r="Q5" s="62" cm="1">
        <f t="array" ref="Q5">PRODUCT(1 + 預測IC!$C12:P12) -1</f>
        <v>0.20873715699453643</v>
      </c>
      <c r="R5" s="62" cm="1">
        <f t="array" ref="R5">PRODUCT(1 + 預測IC!$C12:Q12) -1</f>
        <v>0.16610513592518461</v>
      </c>
      <c r="S5" s="62" cm="1">
        <f t="array" ref="S5">PRODUCT(1 + 預測IC!$C12:R12) -1</f>
        <v>0.17387475893888316</v>
      </c>
      <c r="T5" s="62" cm="1">
        <f t="array" ref="T5">PRODUCT(1 + 預測IC!$C12:S12) -1</f>
        <v>0.15453823053205151</v>
      </c>
      <c r="U5" s="62" cm="1">
        <f t="array" ref="U5">PRODUCT(1 + 預測IC!$C12:T12) -1</f>
        <v>0.14560233545570145</v>
      </c>
      <c r="V5" s="62" cm="1">
        <f t="array" ref="V5">PRODUCT(1 + 預測IC!$C12:U12) -1</f>
        <v>0.16874443553470453</v>
      </c>
      <c r="W5" s="62" cm="1">
        <f t="array" ref="W5">PRODUCT(1 + 預測IC!$C12:V12) -1</f>
        <v>0.17599587540369255</v>
      </c>
      <c r="X5" s="62" cm="1">
        <f t="array" ref="X5">PRODUCT(1 + 預測IC!$C12:W12) -1</f>
        <v>0.25130596328976584</v>
      </c>
      <c r="Y5" s="62" cm="1">
        <f t="array" ref="Y5">PRODUCT(1 + 預測IC!$C12:X12) -1</f>
        <v>0.21908530445870533</v>
      </c>
      <c r="Z5" s="62" cm="1">
        <f t="array" ref="Z5">PRODUCT(1 + 預測IC!$C12:Y12) -1</f>
        <v>0.23790843068710554</v>
      </c>
      <c r="AA5" s="62" cm="1">
        <f t="array" ref="AA5">PRODUCT(1 + 預測IC!$C12:Z12) -1</f>
        <v>0.24430335126943215</v>
      </c>
      <c r="AB5" s="62" cm="1">
        <f t="array" ref="AB5">PRODUCT(1 + 預測IC!$C12:AA12) -1</f>
        <v>0.22947518728575655</v>
      </c>
      <c r="AC5" s="62" cm="1">
        <f t="array" ref="AC5">PRODUCT(1 + 預測IC!$C12:AB12) -1</f>
        <v>0.2249120904344688</v>
      </c>
      <c r="AD5" s="62" cm="1">
        <f t="array" ref="AD5">PRODUCT(1 + 預測IC!$C12:AC12) -1</f>
        <v>0.23124167637891846</v>
      </c>
      <c r="AE5" s="62" cm="1">
        <f t="array" ref="AE5">PRODUCT(1 + 預測IC!$C12:AD12) -1</f>
        <v>0.24506950389360105</v>
      </c>
      <c r="AF5" s="62" cm="1">
        <f t="array" ref="AF5">PRODUCT(1 + 預測IC!$C12:AE12) -1</f>
        <v>0.17246083161408654</v>
      </c>
      <c r="AG5" s="62" cm="1">
        <f t="array" ref="AG5">PRODUCT(1 + 預測IC!$C12:AF12) -1</f>
        <v>0.11831482126074522</v>
      </c>
      <c r="AH5" s="62" cm="1">
        <f t="array" ref="AH5">PRODUCT(1 + 預測IC!$C12:AG12) -1</f>
        <v>0.13182308908989837</v>
      </c>
      <c r="AI5" s="62" cm="1">
        <f t="array" ref="AI5">PRODUCT(1 + 預測IC!$C12:AH12) -1</f>
        <v>0.15456521589604089</v>
      </c>
      <c r="AJ5" s="62" cm="1">
        <f t="array" ref="AJ5">PRODUCT(1 + 預測IC!$C12:AI12) -1</f>
        <v>0.17650711032842259</v>
      </c>
      <c r="AK5" s="62" cm="1">
        <f t="array" ref="AK5">PRODUCT(1 + 預測IC!$C12:AJ12) -1</f>
        <v>0.20128701214713463</v>
      </c>
      <c r="AL5" s="62" cm="1">
        <f t="array" ref="AL5">PRODUCT(1 + 預測IC!$C12:AK12) -1</f>
        <v>0.25817355201461067</v>
      </c>
      <c r="AM5" s="62" cm="1">
        <f t="array" ref="AM5">PRODUCT(1 + 預測IC!$C12:AL12) -1</f>
        <v>0.30108434263830608</v>
      </c>
      <c r="AN5" s="62" cm="1">
        <f t="array" ref="AN5">PRODUCT(1 + 預測IC!$C12:AM12) -1</f>
        <v>0.32737446386133295</v>
      </c>
      <c r="AO5" s="62" cm="1">
        <f t="array" ref="AO5">PRODUCT(1 + 預測IC!$C12:AN12) -1</f>
        <v>0.2515371937325237</v>
      </c>
      <c r="AP5" s="62" cm="1">
        <f t="array" ref="AP5">PRODUCT(1 + 預測IC!$C12:AO12) -1</f>
        <v>0.26618523901295355</v>
      </c>
      <c r="AQ5" s="62" cm="1">
        <f t="array" ref="AQ5">PRODUCT(1 + 預測IC!$C12:AP12) -1</f>
        <v>0.26031781698289325</v>
      </c>
      <c r="AR5" s="62" cm="1">
        <f t="array" ref="AR5">PRODUCT(1 + 預測IC!$C12:AQ12) -1</f>
        <v>0.25189594131076487</v>
      </c>
      <c r="AS5" s="62" cm="1">
        <f t="array" ref="AS5">PRODUCT(1 + 預測IC!$C12:AR12) -1</f>
        <v>0.24250117824458761</v>
      </c>
      <c r="AT5" s="62" cm="1">
        <f t="array" ref="AT5">PRODUCT(1 + 預測IC!$C12:AS12) -1</f>
        <v>0.23524097940691102</v>
      </c>
      <c r="AU5" s="62" cm="1">
        <f t="array" ref="AU5">PRODUCT(1 + 預測IC!$C12:AT12) -1</f>
        <v>0.20769923065173379</v>
      </c>
      <c r="AV5" s="62" cm="1">
        <f t="array" ref="AV5">PRODUCT(1 + 預測IC!$C12:AU12) -1</f>
        <v>0.28427975535022298</v>
      </c>
      <c r="AW5" s="62" cm="1">
        <f t="array" ref="AW5">PRODUCT(1 + 預測IC!$C12:AV12) -1</f>
        <v>0.25629543404228938</v>
      </c>
      <c r="AX5" s="62" cm="1">
        <f t="array" ref="AX5">PRODUCT(1 + 預測IC!$C12:AW12) -1</f>
        <v>0.2533341606890962</v>
      </c>
      <c r="AY5" s="62" cm="1">
        <f t="array" ref="AY5">PRODUCT(1 + 預測IC!$C12:AX12) -1</f>
        <v>0.24248268668881745</v>
      </c>
      <c r="AZ5" s="62" cm="1">
        <f t="array" ref="AZ5">PRODUCT(1 + 預測IC!$C12:AY12) -1</f>
        <v>0.23289798977291265</v>
      </c>
      <c r="BA5" s="62" cm="1">
        <f t="array" ref="BA5">PRODUCT(1 + 預測IC!$C12:AZ12) -1</f>
        <v>0.31496436890430135</v>
      </c>
      <c r="BB5" s="62" cm="1">
        <f t="array" ref="BB5">PRODUCT(1 + 預測IC!$C12:BA12) -1</f>
        <v>0.4086899747661854</v>
      </c>
      <c r="BC5" s="62" cm="1">
        <f t="array" ref="BC5">PRODUCT(1 + 預測IC!$C12:BB12) -1</f>
        <v>0.41683980258198816</v>
      </c>
      <c r="BD5" s="62" cm="1">
        <f t="array" ref="BD5">PRODUCT(1 + 預測IC!$C12:BC12) -1</f>
        <v>0.43523828406718956</v>
      </c>
      <c r="BE5" s="62" cm="1">
        <f t="array" ref="BE5">PRODUCT(1 + 預測IC!$C12:BD12) -1</f>
        <v>0.44703821064174165</v>
      </c>
      <c r="BF5" s="62" cm="1">
        <f t="array" ref="BF5">PRODUCT(1 + 預測IC!$C12:BE12) -1</f>
        <v>0.38105537369868325</v>
      </c>
      <c r="BG5" s="62" cm="1">
        <f t="array" ref="BG5">PRODUCT(1 + 預測IC!$C12:BF12) -1</f>
        <v>0.34846100303168015</v>
      </c>
      <c r="BH5" s="62" cm="1">
        <f t="array" ref="BH5">PRODUCT(1 + 預測IC!$C12:BG12) -1</f>
        <v>0.36195108599857551</v>
      </c>
      <c r="BI5" s="62" cm="1">
        <f t="array" ref="BI5">PRODUCT(1 + 預測IC!$C12:BH12) -1</f>
        <v>0.32800834315698002</v>
      </c>
      <c r="BJ5" s="62" cm="1">
        <f t="array" ref="BJ5">PRODUCT(1 + 預測IC!$C12:BI12) -1</f>
        <v>0.35568106406378641</v>
      </c>
      <c r="BK5" s="62" cm="1">
        <f t="array" ref="BK5">PRODUCT(1 + 預測IC!$C12:BJ12) -1</f>
        <v>0.35676017713472019</v>
      </c>
      <c r="BL5" s="62" cm="1">
        <f t="array" ref="BL5">PRODUCT(1 + 預測IC!$C12:BK12) -1</f>
        <v>0.32952233196665759</v>
      </c>
      <c r="BM5" s="62" cm="1">
        <f t="array" ref="BM5">PRODUCT(1 + 預測IC!$C12:BL12) -1</f>
        <v>0.34422733916776971</v>
      </c>
      <c r="BN5" s="62" cm="1">
        <f t="array" ref="BN5">PRODUCT(1 + 預測IC!$C12:BM12) -1</f>
        <v>0.3036694348374791</v>
      </c>
      <c r="BO5" s="62" cm="1">
        <f t="array" ref="BO5">PRODUCT(1 + 預測IC!$C12:BN12) -1</f>
        <v>0.32909429780376231</v>
      </c>
      <c r="BP5" s="62" cm="1">
        <f t="array" ref="BP5">PRODUCT(1 + 預測IC!$C12:BO12) -1</f>
        <v>0.35157429173514299</v>
      </c>
      <c r="BQ5" s="62" cm="1">
        <f t="array" ref="BQ5">PRODUCT(1 + 預測IC!$C12:BP12) -1</f>
        <v>0.31586305346495958</v>
      </c>
      <c r="BR5" s="62" cm="1">
        <f t="array" ref="BR5">PRODUCT(1 + 預測IC!$C12:BQ12) -1</f>
        <v>0.32694611865743184</v>
      </c>
      <c r="BS5" s="62" cm="1">
        <f t="array" ref="BS5">PRODUCT(1 + 預測IC!$C12:BR12) -1</f>
        <v>0.35329074671549532</v>
      </c>
      <c r="BT5" s="62" cm="1">
        <f t="array" ref="BT5">PRODUCT(1 + 預測IC!$C12:BS12) -1</f>
        <v>0.38788218617812609</v>
      </c>
      <c r="BU5" s="62" cm="1">
        <f t="array" ref="BU5">PRODUCT(1 + 預測IC!$C12:BT12) -1</f>
        <v>0.35833681525206851</v>
      </c>
      <c r="BV5" s="62" cm="1">
        <f t="array" ref="BV5">PRODUCT(1 + 預測IC!$C12:BU12) -1</f>
        <v>0.29302340415537786</v>
      </c>
      <c r="BW5" s="62" cm="1">
        <f t="array" ref="BW5">PRODUCT(1 + 預測IC!$C12:BV12) -1</f>
        <v>0.33446897577238355</v>
      </c>
      <c r="BX5" s="62" cm="1">
        <f t="array" ref="BX5">PRODUCT(1 + 預測IC!$C12:BW12) -1</f>
        <v>0.40851540247931606</v>
      </c>
      <c r="BY5" s="62" cm="1">
        <f t="array" ref="BY5">PRODUCT(1 + 預測IC!$C12:BX12) -1</f>
        <v>0.43102932626084933</v>
      </c>
      <c r="BZ5" s="62" cm="1">
        <f t="array" ref="BZ5">PRODUCT(1 + 預測IC!$C12:BY12) -1</f>
        <v>0.36546530635010588</v>
      </c>
      <c r="CA5" s="62" cm="1">
        <f t="array" ref="CA5">PRODUCT(1 + 預測IC!$C12:BZ12) -1</f>
        <v>0.37062286570121006</v>
      </c>
      <c r="CB5" s="62" cm="1">
        <f t="array" ref="CB5">PRODUCT(1 + 預測IC!$C12:CA12) -1</f>
        <v>0.3906073112785764</v>
      </c>
      <c r="CC5" s="62" cm="1">
        <f t="array" ref="CC5">PRODUCT(1 + 預測IC!$C12:CB12) -1</f>
        <v>0.49139279443586892</v>
      </c>
      <c r="CD5" s="62" cm="1">
        <f t="array" ref="CD5">PRODUCT(1 + 預測IC!$C12:CC12) -1</f>
        <v>0.58917836806437363</v>
      </c>
      <c r="CE5" s="62" cm="1">
        <f t="array" ref="CE5">PRODUCT(1 + 預測IC!$C12:CD12) -1</f>
        <v>0.65951300069341356</v>
      </c>
      <c r="CF5" s="62" cm="1">
        <f t="array" ref="CF5">PRODUCT(1 + 預測IC!$C12:CE12) -1</f>
        <v>0.91508964078189847</v>
      </c>
      <c r="CG5" s="62" cm="1">
        <f t="array" ref="CG5">PRODUCT(1 + 預測IC!$C12:CF12) -1</f>
        <v>0.92289917579604897</v>
      </c>
      <c r="CH5" s="62" cm="1">
        <f t="array" ref="CH5">PRODUCT(1 + 預測IC!$C12:CG12) -1</f>
        <v>0.92349267573721794</v>
      </c>
      <c r="CI5" s="62" cm="1">
        <f t="array" ref="CI5">PRODUCT(1 + 預測IC!$C12:CH12) -1</f>
        <v>0.90530986862424312</v>
      </c>
      <c r="CJ5" s="62" cm="1">
        <f t="array" ref="CJ5">PRODUCT(1 + 預測IC!$C12:CI12) -1</f>
        <v>0.85893177216940564</v>
      </c>
      <c r="CK5" s="62" cm="1">
        <f t="array" ref="CK5">PRODUCT(1 + 預測IC!$C12:CJ12) -1</f>
        <v>0.86556533333932451</v>
      </c>
      <c r="CL5" s="62" cm="1">
        <f t="array" ref="CL5">PRODUCT(1 + 預測IC!$C12:CK12) -1</f>
        <v>0.92995486345249279</v>
      </c>
      <c r="CM5" s="62" cm="1">
        <f t="array" ref="CM5">PRODUCT(1 + 預測IC!$C12:CL12) -1</f>
        <v>0.99390200803040485</v>
      </c>
      <c r="CN5" s="62" cm="1">
        <f t="array" ref="CN5">PRODUCT(1 + 預測IC!$C12:CM12) -1</f>
        <v>0.85092250917026191</v>
      </c>
      <c r="CO5" s="62" cm="1">
        <f t="array" ref="CO5">PRODUCT(1 + 預測IC!$C12:CN12) -1</f>
        <v>0.80778205684087334</v>
      </c>
      <c r="CP5" s="62" cm="1">
        <f t="array" ref="CP5">PRODUCT(1 + 預測IC!$C12:CO12) -1</f>
        <v>0.93666289429969418</v>
      </c>
      <c r="CQ5" s="62" cm="1">
        <f t="array" ref="CQ5">PRODUCT(1 + 預測IC!$C12:CP12) -1</f>
        <v>0.91188104953887672</v>
      </c>
      <c r="CR5" s="62" cm="1">
        <f t="array" ref="CR5">PRODUCT(1 + 預測IC!$C12:CQ12) -1</f>
        <v>1.0456682655090752</v>
      </c>
      <c r="CS5" s="62" cm="1">
        <f t="array" ref="CS5">PRODUCT(1 + 預測IC!$C12:CR12) -1</f>
        <v>1.144160288950665</v>
      </c>
      <c r="CT5" s="62" cm="1">
        <f t="array" ref="CT5">PRODUCT(1 + 預測IC!$C12:CS12) -1</f>
        <v>1.1130492726739432</v>
      </c>
      <c r="CU5" s="62" cm="1">
        <f t="array" ref="CU5">PRODUCT(1 + 預測IC!$C12:CT12) -1</f>
        <v>1.1150812784856687</v>
      </c>
      <c r="CV5" s="62" cm="1">
        <f t="array" ref="CV5">PRODUCT(1 + 預測IC!$C12:CU12) -1</f>
        <v>1.1446239444677424</v>
      </c>
      <c r="CW5" s="62" cm="1">
        <f t="array" ref="CW5">PRODUCT(1 + 預測IC!$C12:CV12) -1</f>
        <v>1.1538957014196773</v>
      </c>
      <c r="CX5" s="62" cm="1">
        <f t="array" ref="CX5">PRODUCT(1 + 預測IC!$C12:CW12) -1</f>
        <v>1.2179906607636202</v>
      </c>
      <c r="CY5" s="62" cm="1">
        <f t="array" ref="CY5">PRODUCT(1 + 預測IC!$C12:CX12) -1</f>
        <v>1.3212324889200944</v>
      </c>
      <c r="CZ5" s="62" cm="1">
        <f t="array" ref="CZ5">PRODUCT(1 + 預測IC!$C12:CY12) -1</f>
        <v>1.4281785815384382</v>
      </c>
      <c r="DA5" s="62" cm="1">
        <f t="array" ref="DA5">PRODUCT(1 + 預測IC!$C12:CZ12) -1</f>
        <v>1.6432222680682083</v>
      </c>
      <c r="DB5" s="62" cm="1">
        <f t="array" ref="DB5">PRODUCT(1 + 預測IC!$C12:DA12) -1</f>
        <v>1.7409650892161861</v>
      </c>
      <c r="DC5" s="62" cm="1">
        <f t="array" ref="DC5">PRODUCT(1 + 預測IC!$C12:DB12) -1</f>
        <v>1.9848611418123681</v>
      </c>
      <c r="DD5" s="62" cm="1">
        <f t="array" ref="DD5">PRODUCT(1 + 預測IC!$C12:DC12) -1</f>
        <v>2.0147908912024781</v>
      </c>
      <c r="DE5" s="62" cm="1">
        <f t="array" ref="DE5">PRODUCT(1 + 預測IC!$C12:DD12) -1</f>
        <v>1.8969366937285388</v>
      </c>
      <c r="DF5" s="62" cm="1">
        <f t="array" ref="DF5">PRODUCT(1 + 預測IC!$C12:DE12) -1</f>
        <v>1.7890676776074614</v>
      </c>
      <c r="DG5" s="62" cm="1">
        <f t="array" ref="DG5">PRODUCT(1 + 預測IC!$C12:DF12) -1</f>
        <v>1.9438211451040939</v>
      </c>
      <c r="DH5" s="62" cm="1">
        <f t="array" ref="DH5">PRODUCT(1 + 預測IC!$C12:DG12) -1</f>
        <v>1.8071989421843013</v>
      </c>
      <c r="DI5" s="62" cm="1">
        <f t="array" ref="DI5">PRODUCT(1 + 預測IC!$C12:DH12) -1</f>
        <v>1.7924270577460524</v>
      </c>
      <c r="DJ5" s="62" cm="1">
        <f t="array" ref="DJ5">PRODUCT(1 + 預測IC!$C12:DI12) -1</f>
        <v>1.6403984683732729</v>
      </c>
      <c r="DK5" s="62" cm="1">
        <f t="array" ref="DK5">PRODUCT(1 + 預測IC!$C12:DJ12) -1</f>
        <v>1.6616869404562777</v>
      </c>
      <c r="DL5" s="62" cm="1">
        <f t="array" ref="DL5">PRODUCT(1 + 預測IC!$C12:DK12) -1</f>
        <v>1.5767040692604231</v>
      </c>
      <c r="DM5" s="62" cm="1">
        <f t="array" ref="DM5">PRODUCT(1 + 預測IC!$C12:DL12) -1</f>
        <v>1.5846637954584573</v>
      </c>
      <c r="DN5" s="62" cm="1">
        <f t="array" ref="DN5">PRODUCT(1 + 預測IC!$C12:DM12) -1</f>
        <v>1.534940825352658</v>
      </c>
      <c r="DO5" s="62" cm="1">
        <f t="array" ref="DO5">PRODUCT(1 + 預測IC!$C12:DN12) -1</f>
        <v>1.5904984430305178</v>
      </c>
      <c r="DP5" s="62" cm="1">
        <f t="array" ref="DP5">PRODUCT(1 + 預測IC!$C12:DO12) -1</f>
        <v>1.6696561539682033</v>
      </c>
      <c r="DQ5" s="62" cm="1">
        <f t="array" ref="DQ5">PRODUCT(1 + 預測IC!$C12:DP12) -1</f>
        <v>1.7923363262229026</v>
      </c>
      <c r="DR5" s="62" cm="1">
        <f t="array" ref="DR5">PRODUCT(1 + 預測IC!$C12:DQ12) -1</f>
        <v>1.6977818974781536</v>
      </c>
      <c r="DS5" s="62" cm="1">
        <f t="array" ref="DS5">PRODUCT(1 + 預測IC!$C12:DR12) -1</f>
        <v>1.743819490119519</v>
      </c>
      <c r="DT5" s="62" cm="1">
        <f t="array" ref="DT5">PRODUCT(1 + 預測IC!$C12:DS12) -1</f>
        <v>1.9349280323859457</v>
      </c>
      <c r="DU5" s="62" cm="1">
        <f t="array" ref="DU5">PRODUCT(1 + 預測IC!$C12:DT12) -1</f>
        <v>2.0086464277815534</v>
      </c>
      <c r="DV5" s="62" cm="1">
        <f t="array" ref="DV5">PRODUCT(1 + 預測IC!$C12:DU12) -1</f>
        <v>1.8364607408385023</v>
      </c>
      <c r="DW5" s="62" cm="1">
        <f t="array" ref="DW5">PRODUCT(1 + 預測IC!$C12:DV12) -1</f>
        <v>1.920249963582545</v>
      </c>
      <c r="DX5" s="62" cm="1">
        <f t="array" ref="DX5">PRODUCT(1 + 預測IC!$C12:DW12) -1</f>
        <v>2.0515672798040585</v>
      </c>
      <c r="DY5" s="62" cm="1">
        <f t="array" ref="DY5">PRODUCT(1 + 預測IC!$C12:DX12) -1</f>
        <v>1.9001509318734984</v>
      </c>
      <c r="DZ5" s="62" cm="1">
        <f t="array" ref="DZ5">PRODUCT(1 + 預測IC!$C12:DY12) -1</f>
        <v>1.9501644637339521</v>
      </c>
      <c r="EA5" s="62" cm="1">
        <f t="array" ref="EA5">PRODUCT(1 + 預測IC!$C12:DZ12) -1</f>
        <v>1.9684129895319487</v>
      </c>
      <c r="EB5" s="62" cm="1">
        <f t="array" ref="EB5">PRODUCT(1 + 預測IC!$C12:EA12) -1</f>
        <v>2.1200918656906866</v>
      </c>
      <c r="EC5" s="62" cm="1">
        <f t="array" ref="EC5">PRODUCT(1 + 預測IC!$C12:EB12) -1</f>
        <v>2.1381446253712562</v>
      </c>
      <c r="ED5" s="62" cm="1">
        <f t="array" ref="ED5">PRODUCT(1 + 預測IC!$C12:EC12) -1</f>
        <v>2.1073707824892782</v>
      </c>
      <c r="EE5" s="62" cm="1">
        <f t="array" ref="EE5">PRODUCT(1 + 預測IC!$C12:ED12) -1</f>
        <v>2.0857513076703191</v>
      </c>
      <c r="EF5" s="62" cm="1">
        <f t="array" ref="EF5">PRODUCT(1 + 預測IC!$C12:EE12) -1</f>
        <v>2.0039576305217817</v>
      </c>
      <c r="EG5" s="62" cm="1">
        <f t="array" ref="EG5">PRODUCT(1 + 預測IC!$C12:EF12) -1</f>
        <v>2.1218129457338386</v>
      </c>
    </row>
    <row r="6" spans="3:137" ht="16">
      <c r="C6" s="6">
        <v>20</v>
      </c>
      <c r="D6" s="62" cm="1">
        <f t="array" ref="D6">PRODUCT(1 + 預測IC!$C13:C13) -1</f>
        <v>5.4209042671596208E-2</v>
      </c>
      <c r="E6" s="62" cm="1">
        <f t="array" ref="E6">PRODUCT(1 + 預測IC!$C13:D13) -1</f>
        <v>8.3739642131258618E-2</v>
      </c>
      <c r="F6" s="62" cm="1">
        <f t="array" ref="F6">PRODUCT(1 + 預測IC!$C13:E13) -1</f>
        <v>0.15945138021178185</v>
      </c>
      <c r="G6" s="62" cm="1">
        <f t="array" ref="G6">PRODUCT(1 + 預測IC!$C13:F13) -1</f>
        <v>0.11896083837366711</v>
      </c>
      <c r="H6" s="62" cm="1">
        <f t="array" ref="H6">PRODUCT(1 + 預測IC!$C13:G13) -1</f>
        <v>0.10227939284597731</v>
      </c>
      <c r="I6" s="62" cm="1">
        <f t="array" ref="I6">PRODUCT(1 + 預測IC!$C13:H13) -1</f>
        <v>0.13533634589627996</v>
      </c>
      <c r="J6" s="62" cm="1">
        <f t="array" ref="J6">PRODUCT(1 + 預測IC!$C13:I13) -1</f>
        <v>0.16840936909073578</v>
      </c>
      <c r="K6" s="62" cm="1">
        <f t="array" ref="K6">PRODUCT(1 + 預測IC!$C13:J13) -1</f>
        <v>0.11711710087764571</v>
      </c>
      <c r="L6" s="62" cm="1">
        <f t="array" ref="L6">PRODUCT(1 + 預測IC!$C13:K13) -1</f>
        <v>0.11558965903967455</v>
      </c>
      <c r="M6" s="62" cm="1">
        <f t="array" ref="M6">PRODUCT(1 + 預測IC!$C13:L13) -1</f>
        <v>8.067732510633463E-2</v>
      </c>
      <c r="N6" s="62" cm="1">
        <f t="array" ref="N6">PRODUCT(1 + 預測IC!$C13:M13) -1</f>
        <v>0.1084367939434614</v>
      </c>
      <c r="O6" s="62" cm="1">
        <f t="array" ref="O6">PRODUCT(1 + 預測IC!$C13:N13) -1</f>
        <v>0.21906645298829464</v>
      </c>
      <c r="P6" s="62" cm="1">
        <f t="array" ref="P6">PRODUCT(1 + 預測IC!$C13:O13) -1</f>
        <v>0.17056066237809886</v>
      </c>
      <c r="Q6" s="62" cm="1">
        <f t="array" ref="Q6">PRODUCT(1 + 預測IC!$C13:P13) -1</f>
        <v>0.19021628126560475</v>
      </c>
      <c r="R6" s="62" cm="1">
        <f t="array" ref="R6">PRODUCT(1 + 預測IC!$C13:Q13) -1</f>
        <v>0.10306344570632175</v>
      </c>
      <c r="S6" s="62" cm="1">
        <f t="array" ref="S6">PRODUCT(1 + 預測IC!$C13:R13) -1</f>
        <v>0.11868276286209944</v>
      </c>
      <c r="T6" s="62" cm="1">
        <f t="array" ref="T6">PRODUCT(1 + 預測IC!$C13:S13) -1</f>
        <v>0.10498597892653749</v>
      </c>
      <c r="U6" s="62" cm="1">
        <f t="array" ref="U6">PRODUCT(1 + 預測IC!$C13:T13) -1</f>
        <v>8.1081156391127784E-2</v>
      </c>
      <c r="V6" s="62" cm="1">
        <f t="array" ref="V6">PRODUCT(1 + 預測IC!$C13:U13) -1</f>
        <v>0.14157572334122714</v>
      </c>
      <c r="W6" s="62" cm="1">
        <f t="array" ref="W6">PRODUCT(1 + 預測IC!$C13:V13) -1</f>
        <v>0.11863652630373256</v>
      </c>
      <c r="X6" s="62" cm="1">
        <f t="array" ref="X6">PRODUCT(1 + 預測IC!$C13:W13) -1</f>
        <v>0.20306736528031988</v>
      </c>
      <c r="Y6" s="62" cm="1">
        <f t="array" ref="Y6">PRODUCT(1 + 預測IC!$C13:X13) -1</f>
        <v>0.13897167191206194</v>
      </c>
      <c r="Z6" s="62" cm="1">
        <f t="array" ref="Z6">PRODUCT(1 + 預測IC!$C13:Y13) -1</f>
        <v>0.15482728808012247</v>
      </c>
      <c r="AA6" s="62" cm="1">
        <f t="array" ref="AA6">PRODUCT(1 + 預測IC!$C13:Z13) -1</f>
        <v>0.17859797716955561</v>
      </c>
      <c r="AB6" s="62" cm="1">
        <f t="array" ref="AB6">PRODUCT(1 + 預測IC!$C13:AA13) -1</f>
        <v>0.15922109634198889</v>
      </c>
      <c r="AC6" s="62" cm="1">
        <f t="array" ref="AC6">PRODUCT(1 + 預測IC!$C13:AB13) -1</f>
        <v>0.14063171244305872</v>
      </c>
      <c r="AD6" s="62" cm="1">
        <f t="array" ref="AD6">PRODUCT(1 + 預測IC!$C13:AC13) -1</f>
        <v>0.14979262737089694</v>
      </c>
      <c r="AE6" s="62" cm="1">
        <f t="array" ref="AE6">PRODUCT(1 + 預測IC!$C13:AD13) -1</f>
        <v>0.17456340305237239</v>
      </c>
      <c r="AF6" s="62" cm="1">
        <f t="array" ref="AF6">PRODUCT(1 + 預測IC!$C13:AE13) -1</f>
        <v>9.7371822051523171E-2</v>
      </c>
      <c r="AG6" s="62" cm="1">
        <f t="array" ref="AG6">PRODUCT(1 + 預測IC!$C13:AF13) -1</f>
        <v>4.037920433388531E-2</v>
      </c>
      <c r="AH6" s="62" cm="1">
        <f t="array" ref="AH6">PRODUCT(1 + 預測IC!$C13:AG13) -1</f>
        <v>4.3794051588321725E-2</v>
      </c>
      <c r="AI6" s="62" cm="1">
        <f t="array" ref="AI6">PRODUCT(1 + 預測IC!$C13:AH13) -1</f>
        <v>7.7065524463483026E-2</v>
      </c>
      <c r="AJ6" s="62" cm="1">
        <f t="array" ref="AJ6">PRODUCT(1 + 預測IC!$C13:AI13) -1</f>
        <v>9.0063066613003562E-2</v>
      </c>
      <c r="AK6" s="62" cm="1">
        <f t="array" ref="AK6">PRODUCT(1 + 預測IC!$C13:AJ13) -1</f>
        <v>0.11174041397008905</v>
      </c>
      <c r="AL6" s="62" cm="1">
        <f t="array" ref="AL6">PRODUCT(1 + 預測IC!$C13:AK13) -1</f>
        <v>0.18510184347522984</v>
      </c>
      <c r="AM6" s="62" cm="1">
        <f t="array" ref="AM6">PRODUCT(1 + 預測IC!$C13:AL13) -1</f>
        <v>0.21182631382206041</v>
      </c>
      <c r="AN6" s="62" cm="1">
        <f t="array" ref="AN6">PRODUCT(1 + 預測IC!$C13:AM13) -1</f>
        <v>0.20906063112047901</v>
      </c>
      <c r="AO6" s="62" cm="1">
        <f t="array" ref="AO6">PRODUCT(1 + 預測IC!$C13:AN13) -1</f>
        <v>0.12292084038757101</v>
      </c>
      <c r="AP6" s="62" cm="1">
        <f t="array" ref="AP6">PRODUCT(1 + 預測IC!$C13:AO13) -1</f>
        <v>0.1263125205173139</v>
      </c>
      <c r="AQ6" s="62" cm="1">
        <f t="array" ref="AQ6">PRODUCT(1 + 預測IC!$C13:AP13) -1</f>
        <v>0.11889238499929422</v>
      </c>
      <c r="AR6" s="62" cm="1">
        <f t="array" ref="AR6">PRODUCT(1 + 預測IC!$C13:AQ13) -1</f>
        <v>0.10649170689151677</v>
      </c>
      <c r="AS6" s="62" cm="1">
        <f t="array" ref="AS6">PRODUCT(1 + 預測IC!$C13:AR13) -1</f>
        <v>0.11672756566693399</v>
      </c>
      <c r="AT6" s="62" cm="1">
        <f t="array" ref="AT6">PRODUCT(1 + 預測IC!$C13:AS13) -1</f>
        <v>0.11456490471892367</v>
      </c>
      <c r="AU6" s="62" cm="1">
        <f t="array" ref="AU6">PRODUCT(1 + 預測IC!$C13:AT13) -1</f>
        <v>0.11644847810303571</v>
      </c>
      <c r="AV6" s="62" cm="1">
        <f t="array" ref="AV6">PRODUCT(1 + 預測IC!$C13:AU13) -1</f>
        <v>0.20217423052459016</v>
      </c>
      <c r="AW6" s="62" cm="1">
        <f t="array" ref="AW6">PRODUCT(1 + 預測IC!$C13:AV13) -1</f>
        <v>0.18899971105109059</v>
      </c>
      <c r="AX6" s="62" cm="1">
        <f t="array" ref="AX6">PRODUCT(1 + 預測IC!$C13:AW13) -1</f>
        <v>0.21945713855000215</v>
      </c>
      <c r="AY6" s="62" cm="1">
        <f t="array" ref="AY6">PRODUCT(1 + 預測IC!$C13:AX13) -1</f>
        <v>0.20496880696144526</v>
      </c>
      <c r="AZ6" s="62" cm="1">
        <f t="array" ref="AZ6">PRODUCT(1 + 預測IC!$C13:AY13) -1</f>
        <v>0.17644405187038403</v>
      </c>
      <c r="BA6" s="62" cm="1">
        <f t="array" ref="BA6">PRODUCT(1 + 預測IC!$C13:AZ13) -1</f>
        <v>0.24167761097085383</v>
      </c>
      <c r="BB6" s="62" cm="1">
        <f t="array" ref="BB6">PRODUCT(1 + 預測IC!$C13:BA13) -1</f>
        <v>0.34079964240523375</v>
      </c>
      <c r="BC6" s="62" cm="1">
        <f t="array" ref="BC6">PRODUCT(1 + 預測IC!$C13:BB13) -1</f>
        <v>0.37572257318170399</v>
      </c>
      <c r="BD6" s="62" cm="1">
        <f t="array" ref="BD6">PRODUCT(1 + 預測IC!$C13:BC13) -1</f>
        <v>0.39364353368800997</v>
      </c>
      <c r="BE6" s="62" cm="1">
        <f t="array" ref="BE6">PRODUCT(1 + 預測IC!$C13:BD13) -1</f>
        <v>0.40892109056047854</v>
      </c>
      <c r="BF6" s="62" cm="1">
        <f t="array" ref="BF6">PRODUCT(1 + 預測IC!$C13:BE13) -1</f>
        <v>0.34404273067083957</v>
      </c>
      <c r="BG6" s="62" cm="1">
        <f t="array" ref="BG6">PRODUCT(1 + 預測IC!$C13:BF13) -1</f>
        <v>0.30869051344436249</v>
      </c>
      <c r="BH6" s="62" cm="1">
        <f t="array" ref="BH6">PRODUCT(1 + 預測IC!$C13:BG13) -1</f>
        <v>0.31959329998270491</v>
      </c>
      <c r="BI6" s="62" cm="1">
        <f t="array" ref="BI6">PRODUCT(1 + 預測IC!$C13:BH13) -1</f>
        <v>0.27480068905631305</v>
      </c>
      <c r="BJ6" s="62" cm="1">
        <f t="array" ref="BJ6">PRODUCT(1 + 預測IC!$C13:BI13) -1</f>
        <v>0.30773181197948452</v>
      </c>
      <c r="BK6" s="62" cm="1">
        <f t="array" ref="BK6">PRODUCT(1 + 預測IC!$C13:BJ13) -1</f>
        <v>0.33081865131128563</v>
      </c>
      <c r="BL6" s="62" cm="1">
        <f t="array" ref="BL6">PRODUCT(1 + 預測IC!$C13:BK13) -1</f>
        <v>0.29738080349092932</v>
      </c>
      <c r="BM6" s="62" cm="1">
        <f t="array" ref="BM6">PRODUCT(1 + 預測IC!$C13:BL13) -1</f>
        <v>0.31505006405401326</v>
      </c>
      <c r="BN6" s="62" cm="1">
        <f t="array" ref="BN6">PRODUCT(1 + 預測IC!$C13:BM13) -1</f>
        <v>0.27927561650736421</v>
      </c>
      <c r="BO6" s="62" cm="1">
        <f t="array" ref="BO6">PRODUCT(1 + 預測IC!$C13:BN13) -1</f>
        <v>0.27402861994449701</v>
      </c>
      <c r="BP6" s="62" cm="1">
        <f t="array" ref="BP6">PRODUCT(1 + 預測IC!$C13:BO13) -1</f>
        <v>0.27836887172801106</v>
      </c>
      <c r="BQ6" s="62" cm="1">
        <f t="array" ref="BQ6">PRODUCT(1 + 預測IC!$C13:BP13) -1</f>
        <v>0.26820437365297622</v>
      </c>
      <c r="BR6" s="62" cm="1">
        <f t="array" ref="BR6">PRODUCT(1 + 預測IC!$C13:BQ13) -1</f>
        <v>0.31839468919809044</v>
      </c>
      <c r="BS6" s="62" cm="1">
        <f t="array" ref="BS6">PRODUCT(1 + 預測IC!$C13:BR13) -1</f>
        <v>0.32533578436560284</v>
      </c>
      <c r="BT6" s="62" cm="1">
        <f t="array" ref="BT6">PRODUCT(1 + 預測IC!$C13:BS13) -1</f>
        <v>0.35785724403835228</v>
      </c>
      <c r="BU6" s="62" cm="1">
        <f t="array" ref="BU6">PRODUCT(1 + 預測IC!$C13:BT13) -1</f>
        <v>0.31214121898194636</v>
      </c>
      <c r="BV6" s="62" cm="1">
        <f t="array" ref="BV6">PRODUCT(1 + 預測IC!$C13:BU13) -1</f>
        <v>0.21417915940264276</v>
      </c>
      <c r="BW6" s="62" cm="1">
        <f t="array" ref="BW6">PRODUCT(1 + 預測IC!$C13:BV13) -1</f>
        <v>0.25235384876739353</v>
      </c>
      <c r="BX6" s="62" cm="1">
        <f t="array" ref="BX6">PRODUCT(1 + 預測IC!$C13:BW13) -1</f>
        <v>0.36034451482474683</v>
      </c>
      <c r="BY6" s="62" cm="1">
        <f t="array" ref="BY6">PRODUCT(1 + 預測IC!$C13:BX13) -1</f>
        <v>0.36235433511861914</v>
      </c>
      <c r="BZ6" s="62" cm="1">
        <f t="array" ref="BZ6">PRODUCT(1 + 預測IC!$C13:BY13) -1</f>
        <v>0.32035600309786538</v>
      </c>
      <c r="CA6" s="62" cm="1">
        <f t="array" ref="CA6">PRODUCT(1 + 預測IC!$C13:BZ13) -1</f>
        <v>0.30218903092676541</v>
      </c>
      <c r="CB6" s="62" cm="1">
        <f t="array" ref="CB6">PRODUCT(1 + 預測IC!$C13:CA13) -1</f>
        <v>0.33345807134209271</v>
      </c>
      <c r="CC6" s="62" cm="1">
        <f t="array" ref="CC6">PRODUCT(1 + 預測IC!$C13:CB13) -1</f>
        <v>0.49404238880546103</v>
      </c>
      <c r="CD6" s="62" cm="1">
        <f t="array" ref="CD6">PRODUCT(1 + 預測IC!$C13:CC13) -1</f>
        <v>0.6735040320362804</v>
      </c>
      <c r="CE6" s="62" cm="1">
        <f t="array" ref="CE6">PRODUCT(1 + 預測IC!$C13:CD13) -1</f>
        <v>0.76597525119453524</v>
      </c>
      <c r="CF6" s="62" cm="1">
        <f t="array" ref="CF6">PRODUCT(1 + 預測IC!$C13:CE13) -1</f>
        <v>1.0906106608557766</v>
      </c>
      <c r="CG6" s="62" cm="1">
        <f t="array" ref="CG6">PRODUCT(1 + 預測IC!$C13:CF13) -1</f>
        <v>1.1287202789049391</v>
      </c>
      <c r="CH6" s="62" cm="1">
        <f t="array" ref="CH6">PRODUCT(1 + 預測IC!$C13:CG13) -1</f>
        <v>1.1448139761503069</v>
      </c>
      <c r="CI6" s="62" cm="1">
        <f t="array" ref="CI6">PRODUCT(1 + 預測IC!$C13:CH13) -1</f>
        <v>1.0897828059767973</v>
      </c>
      <c r="CJ6" s="62" cm="1">
        <f t="array" ref="CJ6">PRODUCT(1 + 預測IC!$C13:CI13) -1</f>
        <v>1.0732828538686388</v>
      </c>
      <c r="CK6" s="62" cm="1">
        <f t="array" ref="CK6">PRODUCT(1 + 預測IC!$C13:CJ13) -1</f>
        <v>1.1165757513441106</v>
      </c>
      <c r="CL6" s="62" cm="1">
        <f t="array" ref="CL6">PRODUCT(1 + 預測IC!$C13:CK13) -1</f>
        <v>1.1840090018761171</v>
      </c>
      <c r="CM6" s="62" cm="1">
        <f t="array" ref="CM6">PRODUCT(1 + 預測IC!$C13:CL13) -1</f>
        <v>1.2801062524464846</v>
      </c>
      <c r="CN6" s="62" cm="1">
        <f t="array" ref="CN6">PRODUCT(1 + 預測IC!$C13:CM13) -1</f>
        <v>1.0487844142320828</v>
      </c>
      <c r="CO6" s="62" cm="1">
        <f t="array" ref="CO6">PRODUCT(1 + 預測IC!$C13:CN13) -1</f>
        <v>0.98705244014421178</v>
      </c>
      <c r="CP6" s="62" cm="1">
        <f t="array" ref="CP6">PRODUCT(1 + 預測IC!$C13:CO13) -1</f>
        <v>1.1570770447552889</v>
      </c>
      <c r="CQ6" s="62" cm="1">
        <f t="array" ref="CQ6">PRODUCT(1 + 預測IC!$C13:CP13) -1</f>
        <v>1.0829220441435412</v>
      </c>
      <c r="CR6" s="62" cm="1">
        <f t="array" ref="CR6">PRODUCT(1 + 預測IC!$C13:CQ13) -1</f>
        <v>1.2227129936106493</v>
      </c>
      <c r="CS6" s="62" cm="1">
        <f t="array" ref="CS6">PRODUCT(1 + 預測IC!$C13:CR13) -1</f>
        <v>1.365812698096379</v>
      </c>
      <c r="CT6" s="62" cm="1">
        <f t="array" ref="CT6">PRODUCT(1 + 預測IC!$C13:CS13) -1</f>
        <v>1.3751521001624596</v>
      </c>
      <c r="CU6" s="62" cm="1">
        <f t="array" ref="CU6">PRODUCT(1 + 預測IC!$C13:CT13) -1</f>
        <v>1.3559827242161733</v>
      </c>
      <c r="CV6" s="62" cm="1">
        <f t="array" ref="CV6">PRODUCT(1 + 預測IC!$C13:CU13) -1</f>
        <v>1.3819720747854167</v>
      </c>
      <c r="CW6" s="62" cm="1">
        <f t="array" ref="CW6">PRODUCT(1 + 預測IC!$C13:CV13) -1</f>
        <v>1.439899213223133</v>
      </c>
      <c r="CX6" s="62" cm="1">
        <f t="array" ref="CX6">PRODUCT(1 + 預測IC!$C13:CW13) -1</f>
        <v>1.4654131488519608</v>
      </c>
      <c r="CY6" s="62" cm="1">
        <f t="array" ref="CY6">PRODUCT(1 + 預測IC!$C13:CX13) -1</f>
        <v>1.4777088928808864</v>
      </c>
      <c r="CZ6" s="62" cm="1">
        <f t="array" ref="CZ6">PRODUCT(1 + 預測IC!$C13:CY13) -1</f>
        <v>1.6386951163230674</v>
      </c>
      <c r="DA6" s="62" cm="1">
        <f t="array" ref="DA6">PRODUCT(1 + 預測IC!$C13:CZ13) -1</f>
        <v>1.8769434404614747</v>
      </c>
      <c r="DB6" s="62" cm="1">
        <f t="array" ref="DB6">PRODUCT(1 + 預測IC!$C13:DA13) -1</f>
        <v>2.0191968827280244</v>
      </c>
      <c r="DC6" s="62" cm="1">
        <f t="array" ref="DC6">PRODUCT(1 + 預測IC!$C13:DB13) -1</f>
        <v>2.3399422336415121</v>
      </c>
      <c r="DD6" s="62" cm="1">
        <f t="array" ref="DD6">PRODUCT(1 + 預測IC!$C13:DC13) -1</f>
        <v>2.4185678093163285</v>
      </c>
      <c r="DE6" s="62" cm="1">
        <f t="array" ref="DE6">PRODUCT(1 + 預測IC!$C13:DD13) -1</f>
        <v>2.242830678125058</v>
      </c>
      <c r="DF6" s="62" cm="1">
        <f t="array" ref="DF6">PRODUCT(1 + 預測IC!$C13:DE13) -1</f>
        <v>2.1048022528975938</v>
      </c>
      <c r="DG6" s="62" cm="1">
        <f t="array" ref="DG6">PRODUCT(1 + 預測IC!$C13:DF13) -1</f>
        <v>2.3628802065721897</v>
      </c>
      <c r="DH6" s="62" cm="1">
        <f t="array" ref="DH6">PRODUCT(1 + 預測IC!$C13:DG13) -1</f>
        <v>2.2023730160341981</v>
      </c>
      <c r="DI6" s="62" cm="1">
        <f t="array" ref="DI6">PRODUCT(1 + 預測IC!$C13:DH13) -1</f>
        <v>2.2439790309865462</v>
      </c>
      <c r="DJ6" s="62" cm="1">
        <f t="array" ref="DJ6">PRODUCT(1 + 預測IC!$C13:DI13) -1</f>
        <v>2.0929346414289869</v>
      </c>
      <c r="DK6" s="62" cm="1">
        <f t="array" ref="DK6">PRODUCT(1 + 預測IC!$C13:DJ13) -1</f>
        <v>2.0938083335084392</v>
      </c>
      <c r="DL6" s="62" cm="1">
        <f t="array" ref="DL6">PRODUCT(1 + 預測IC!$C13:DK13) -1</f>
        <v>2.0338298041017553</v>
      </c>
      <c r="DM6" s="62" cm="1">
        <f t="array" ref="DM6">PRODUCT(1 + 預測IC!$C13:DL13) -1</f>
        <v>2.1161131522942056</v>
      </c>
      <c r="DN6" s="62" cm="1">
        <f t="array" ref="DN6">PRODUCT(1 + 預測IC!$C13:DM13) -1</f>
        <v>2.1177697485027576</v>
      </c>
      <c r="DO6" s="62" cm="1">
        <f t="array" ref="DO6">PRODUCT(1 + 預測IC!$C13:DN13) -1</f>
        <v>2.1705699115596495</v>
      </c>
      <c r="DP6" s="62" cm="1">
        <f t="array" ref="DP6">PRODUCT(1 + 預測IC!$C13:DO13) -1</f>
        <v>2.2906186747048833</v>
      </c>
      <c r="DQ6" s="62" cm="1">
        <f t="array" ref="DQ6">PRODUCT(1 + 預測IC!$C13:DP13) -1</f>
        <v>2.4386871389819316</v>
      </c>
      <c r="DR6" s="62" cm="1">
        <f t="array" ref="DR6">PRODUCT(1 + 預測IC!$C13:DQ13) -1</f>
        <v>2.3218871020793923</v>
      </c>
      <c r="DS6" s="62" cm="1">
        <f t="array" ref="DS6">PRODUCT(1 + 預測IC!$C13:DR13) -1</f>
        <v>2.3722753131665049</v>
      </c>
      <c r="DT6" s="62" cm="1">
        <f t="array" ref="DT6">PRODUCT(1 + 預測IC!$C13:DS13) -1</f>
        <v>2.6036027858866153</v>
      </c>
      <c r="DU6" s="62" cm="1">
        <f t="array" ref="DU6">PRODUCT(1 + 預測IC!$C13:DT13) -1</f>
        <v>2.7867784556381672</v>
      </c>
      <c r="DV6" s="62" cm="1">
        <f t="array" ref="DV6">PRODUCT(1 + 預測IC!$C13:DU13) -1</f>
        <v>2.6617914421575013</v>
      </c>
      <c r="DW6" s="62" cm="1">
        <f t="array" ref="DW6">PRODUCT(1 + 預測IC!$C13:DV13) -1</f>
        <v>2.8201814209469869</v>
      </c>
      <c r="DX6" s="62" cm="1">
        <f t="array" ref="DX6">PRODUCT(1 + 預測IC!$C13:DW13) -1</f>
        <v>2.9807386252515555</v>
      </c>
      <c r="DY6" s="62" cm="1">
        <f t="array" ref="DY6">PRODUCT(1 + 預測IC!$C13:DX13) -1</f>
        <v>2.7234160395251972</v>
      </c>
      <c r="DZ6" s="62" cm="1">
        <f t="array" ref="DZ6">PRODUCT(1 + 預測IC!$C13:DY13) -1</f>
        <v>2.8548754798279212</v>
      </c>
      <c r="EA6" s="62" cm="1">
        <f t="array" ref="EA6">PRODUCT(1 + 預測IC!$C13:DZ13) -1</f>
        <v>2.9254278894282661</v>
      </c>
      <c r="EB6" s="62" cm="1">
        <f t="array" ref="EB6">PRODUCT(1 + 預測IC!$C13:EA13) -1</f>
        <v>3.1692702772694448</v>
      </c>
      <c r="EC6" s="62" cm="1">
        <f t="array" ref="EC6">PRODUCT(1 + 預測IC!$C13:EB13) -1</f>
        <v>3.1701091603776108</v>
      </c>
      <c r="ED6" s="62" cm="1">
        <f t="array" ref="ED6">PRODUCT(1 + 預測IC!$C13:EC13) -1</f>
        <v>3.0918111757892248</v>
      </c>
      <c r="EE6" s="62" cm="1">
        <f t="array" ref="EE6">PRODUCT(1 + 預測IC!$C13:ED13) -1</f>
        <v>3.1208005123165474</v>
      </c>
      <c r="EF6" s="62" cm="1">
        <f t="array" ref="EF6">PRODUCT(1 + 預測IC!$C13:EE13) -1</f>
        <v>2.9508818416211375</v>
      </c>
      <c r="EG6" s="62" cm="1">
        <f t="array" ref="EG6">PRODUCT(1 + 預測IC!$C13:EF13) -1</f>
        <v>3.216741250892623</v>
      </c>
    </row>
    <row r="7" spans="3:137" ht="16">
      <c r="C7" s="6">
        <v>50</v>
      </c>
      <c r="D7" s="62" cm="1">
        <f t="array" ref="D7">PRODUCT(1 + 預測IC!$C14:C14) -1</f>
        <v>-3.037156627906501E-2</v>
      </c>
      <c r="E7" s="62" cm="1">
        <f t="array" ref="E7">PRODUCT(1 + 預測IC!$C14:D14) -1</f>
        <v>5.0444356867517248E-2</v>
      </c>
      <c r="F7" s="62" cm="1">
        <f t="array" ref="F7">PRODUCT(1 + 預測IC!$C14:E14) -1</f>
        <v>0.15419490576620509</v>
      </c>
      <c r="G7" s="62" cm="1">
        <f t="array" ref="G7">PRODUCT(1 + 預測IC!$C14:F14) -1</f>
        <v>9.8269380983338595E-2</v>
      </c>
      <c r="H7" s="62" cm="1">
        <f t="array" ref="H7">PRODUCT(1 + 預測IC!$C14:G14) -1</f>
        <v>5.3218462683173762E-2</v>
      </c>
      <c r="I7" s="62" cm="1">
        <f t="array" ref="I7">PRODUCT(1 + 預測IC!$C14:H14) -1</f>
        <v>0.1159774405717704</v>
      </c>
      <c r="J7" s="62" cm="1">
        <f t="array" ref="J7">PRODUCT(1 + 預測IC!$C14:I14) -1</f>
        <v>0.20203599897571323</v>
      </c>
      <c r="K7" s="62" cm="1">
        <f t="array" ref="K7">PRODUCT(1 + 預測IC!$C14:J14) -1</f>
        <v>7.5708762772620508E-2</v>
      </c>
      <c r="L7" s="62" cm="1">
        <f t="array" ref="L7">PRODUCT(1 + 預測IC!$C14:K14) -1</f>
        <v>8.9102586321855526E-2</v>
      </c>
      <c r="M7" s="62" cm="1">
        <f t="array" ref="M7">PRODUCT(1 + 預測IC!$C14:L14) -1</f>
        <v>9.4381681315399035E-2</v>
      </c>
      <c r="N7" s="62" cm="1">
        <f t="array" ref="N7">PRODUCT(1 + 預測IC!$C14:M14) -1</f>
        <v>1.1261704006021445E-2</v>
      </c>
      <c r="O7" s="62" cm="1">
        <f t="array" ref="O7">PRODUCT(1 + 預測IC!$C14:N14) -1</f>
        <v>0.21840104297927887</v>
      </c>
      <c r="P7" s="62" cm="1">
        <f t="array" ref="P7">PRODUCT(1 + 預測IC!$C14:O14) -1</f>
        <v>0.17010081348125228</v>
      </c>
      <c r="Q7" s="62" cm="1">
        <f t="array" ref="Q7">PRODUCT(1 + 預測IC!$C14:P14) -1</f>
        <v>0.22600795453650746</v>
      </c>
      <c r="R7" s="62" cm="1">
        <f t="array" ref="R7">PRODUCT(1 + 預測IC!$C14:Q14) -1</f>
        <v>0.15460776929505626</v>
      </c>
      <c r="S7" s="62" cm="1">
        <f t="array" ref="S7">PRODUCT(1 + 預測IC!$C14:R14) -1</f>
        <v>0.13826799533121648</v>
      </c>
      <c r="T7" s="62" cm="1">
        <f t="array" ref="T7">PRODUCT(1 + 預測IC!$C14:S14) -1</f>
        <v>0.18213012755059022</v>
      </c>
      <c r="U7" s="62" cm="1">
        <f t="array" ref="U7">PRODUCT(1 + 預測IC!$C14:T14) -1</f>
        <v>0.16160748412190862</v>
      </c>
      <c r="V7" s="62" cm="1">
        <f t="array" ref="V7">PRODUCT(1 + 預測IC!$C14:U14) -1</f>
        <v>0.28960794976010473</v>
      </c>
      <c r="W7" s="62" cm="1">
        <f t="array" ref="W7">PRODUCT(1 + 預測IC!$C14:V14) -1</f>
        <v>0.24011854022101287</v>
      </c>
      <c r="X7" s="62" cm="1">
        <f t="array" ref="X7">PRODUCT(1 + 預測IC!$C14:W14) -1</f>
        <v>0.38417789079904852</v>
      </c>
      <c r="Y7" s="62" cm="1">
        <f t="array" ref="Y7">PRODUCT(1 + 預測IC!$C14:X14) -1</f>
        <v>0.31001127452247701</v>
      </c>
      <c r="Z7" s="62" cm="1">
        <f t="array" ref="Z7">PRODUCT(1 + 預測IC!$C14:Y14) -1</f>
        <v>0.288051996534189</v>
      </c>
      <c r="AA7" s="62" cm="1">
        <f t="array" ref="AA7">PRODUCT(1 + 預測IC!$C14:Z14) -1</f>
        <v>0.31542593659623486</v>
      </c>
      <c r="AB7" s="62" cm="1">
        <f t="array" ref="AB7">PRODUCT(1 + 預測IC!$C14:AA14) -1</f>
        <v>0.3119697867971607</v>
      </c>
      <c r="AC7" s="62" cm="1">
        <f t="array" ref="AC7">PRODUCT(1 + 預測IC!$C14:AB14) -1</f>
        <v>0.21359447071409199</v>
      </c>
      <c r="AD7" s="62" cm="1">
        <f t="array" ref="AD7">PRODUCT(1 + 預測IC!$C14:AC14) -1</f>
        <v>0.17804575982050985</v>
      </c>
      <c r="AE7" s="62" cm="1">
        <f t="array" ref="AE7">PRODUCT(1 + 預測IC!$C14:AD14) -1</f>
        <v>0.22437581645765281</v>
      </c>
      <c r="AF7" s="62" cm="1">
        <f t="array" ref="AF7">PRODUCT(1 + 預測IC!$C14:AE14) -1</f>
        <v>0.21945516413512123</v>
      </c>
      <c r="AG7" s="62" cm="1">
        <f t="array" ref="AG7">PRODUCT(1 + 預測IC!$C14:AF14) -1</f>
        <v>0.11663435187019755</v>
      </c>
      <c r="AH7" s="62" cm="1">
        <f t="array" ref="AH7">PRODUCT(1 + 預測IC!$C14:AG14) -1</f>
        <v>0.12376986983766614</v>
      </c>
      <c r="AI7" s="62" cm="1">
        <f t="array" ref="AI7">PRODUCT(1 + 預測IC!$C14:AH14) -1</f>
        <v>0.1950285440165902</v>
      </c>
      <c r="AJ7" s="62" cm="1">
        <f t="array" ref="AJ7">PRODUCT(1 + 預測IC!$C14:AI14) -1</f>
        <v>0.2811577776260068</v>
      </c>
      <c r="AK7" s="62" cm="1">
        <f t="array" ref="AK7">PRODUCT(1 + 預測IC!$C14:AJ14) -1</f>
        <v>0.40986728907047043</v>
      </c>
      <c r="AL7" s="62" cm="1">
        <f t="array" ref="AL7">PRODUCT(1 + 預測IC!$C14:AK14) -1</f>
        <v>0.50337919886618865</v>
      </c>
      <c r="AM7" s="62" cm="1">
        <f t="array" ref="AM7">PRODUCT(1 + 預測IC!$C14:AL14) -1</f>
        <v>0.5312812286376547</v>
      </c>
      <c r="AN7" s="62" cm="1">
        <f t="array" ref="AN7">PRODUCT(1 + 預測IC!$C14:AM14) -1</f>
        <v>0.53610400862066099</v>
      </c>
      <c r="AO7" s="62" cm="1">
        <f t="array" ref="AO7">PRODUCT(1 + 預測IC!$C14:AN14) -1</f>
        <v>0.36663535852190132</v>
      </c>
      <c r="AP7" s="62" cm="1">
        <f t="array" ref="AP7">PRODUCT(1 + 預測IC!$C14:AO14) -1</f>
        <v>0.35297084888118158</v>
      </c>
      <c r="AQ7" s="62" cm="1">
        <f t="array" ref="AQ7">PRODUCT(1 + 預測IC!$C14:AP14) -1</f>
        <v>0.36251582623527945</v>
      </c>
      <c r="AR7" s="62" cm="1">
        <f t="array" ref="AR7">PRODUCT(1 + 預測IC!$C14:AQ14) -1</f>
        <v>0.35144072982862751</v>
      </c>
      <c r="AS7" s="62" cm="1">
        <f t="array" ref="AS7">PRODUCT(1 + 預測IC!$C14:AR14) -1</f>
        <v>0.37599752015085675</v>
      </c>
      <c r="AT7" s="62" cm="1">
        <f t="array" ref="AT7">PRODUCT(1 + 預測IC!$C14:AS14) -1</f>
        <v>0.38873569722502532</v>
      </c>
      <c r="AU7" s="62" cm="1">
        <f t="array" ref="AU7">PRODUCT(1 + 預測IC!$C14:AT14) -1</f>
        <v>0.36317264740976429</v>
      </c>
      <c r="AV7" s="62" cm="1">
        <f t="array" ref="AV7">PRODUCT(1 + 預測IC!$C14:AU14) -1</f>
        <v>0.55108937214256293</v>
      </c>
      <c r="AW7" s="62" cm="1">
        <f t="array" ref="AW7">PRODUCT(1 + 預測IC!$C14:AV14) -1</f>
        <v>0.56415955430876275</v>
      </c>
      <c r="AX7" s="62" cm="1">
        <f t="array" ref="AX7">PRODUCT(1 + 預測IC!$C14:AW14) -1</f>
        <v>0.63255915720785394</v>
      </c>
      <c r="AY7" s="62" cm="1">
        <f t="array" ref="AY7">PRODUCT(1 + 預測IC!$C14:AX14) -1</f>
        <v>0.63390044829764358</v>
      </c>
      <c r="AZ7" s="62" cm="1">
        <f t="array" ref="AZ7">PRODUCT(1 + 預測IC!$C14:AY14) -1</f>
        <v>0.53776276498809494</v>
      </c>
      <c r="BA7" s="62" cm="1">
        <f t="array" ref="BA7">PRODUCT(1 + 預測IC!$C14:AZ14) -1</f>
        <v>0.57717397541872861</v>
      </c>
      <c r="BB7" s="62" cm="1">
        <f t="array" ref="BB7">PRODUCT(1 + 預測IC!$C14:BA14) -1</f>
        <v>0.72911469783161764</v>
      </c>
      <c r="BC7" s="62" cm="1">
        <f t="array" ref="BC7">PRODUCT(1 + 預測IC!$C14:BB14) -1</f>
        <v>0.90530861565716436</v>
      </c>
      <c r="BD7" s="62" cm="1">
        <f t="array" ref="BD7">PRODUCT(1 + 預測IC!$C14:BC14) -1</f>
        <v>0.88800093790002377</v>
      </c>
      <c r="BE7" s="62" cm="1">
        <f t="array" ref="BE7">PRODUCT(1 + 預測IC!$C14:BD14) -1</f>
        <v>0.99012225290239431</v>
      </c>
      <c r="BF7" s="62" cm="1">
        <f t="array" ref="BF7">PRODUCT(1 + 預測IC!$C14:BE14) -1</f>
        <v>0.94212643771864779</v>
      </c>
      <c r="BG7" s="62" cm="1">
        <f t="array" ref="BG7">PRODUCT(1 + 預測IC!$C14:BF14) -1</f>
        <v>0.9319440865144053</v>
      </c>
      <c r="BH7" s="62" cm="1">
        <f t="array" ref="BH7">PRODUCT(1 + 預測IC!$C14:BG14) -1</f>
        <v>0.95222294607747981</v>
      </c>
      <c r="BI7" s="62" cm="1">
        <f t="array" ref="BI7">PRODUCT(1 + 預測IC!$C14:BH14) -1</f>
        <v>0.76920188042799742</v>
      </c>
      <c r="BJ7" s="62" cm="1">
        <f t="array" ref="BJ7">PRODUCT(1 + 預測IC!$C14:BI14) -1</f>
        <v>0.82629425669893908</v>
      </c>
      <c r="BK7" s="62" cm="1">
        <f t="array" ref="BK7">PRODUCT(1 + 預測IC!$C14:BJ14) -1</f>
        <v>0.85050046997375661</v>
      </c>
      <c r="BL7" s="62" cm="1">
        <f t="array" ref="BL7">PRODUCT(1 + 預測IC!$C14:BK14) -1</f>
        <v>0.9120062609453552</v>
      </c>
      <c r="BM7" s="62" cm="1">
        <f t="array" ref="BM7">PRODUCT(1 + 預測IC!$C14:BL14) -1</f>
        <v>0.93221967471788947</v>
      </c>
      <c r="BN7" s="62" cm="1">
        <f t="array" ref="BN7">PRODUCT(1 + 預測IC!$C14:BM14) -1</f>
        <v>0.8909183890094472</v>
      </c>
      <c r="BO7" s="62" cm="1">
        <f t="array" ref="BO7">PRODUCT(1 + 預測IC!$C14:BN14) -1</f>
        <v>0.80512419520951606</v>
      </c>
      <c r="BP7" s="62" cm="1">
        <f t="array" ref="BP7">PRODUCT(1 + 預測IC!$C14:BO14) -1</f>
        <v>0.83202700620934333</v>
      </c>
      <c r="BQ7" s="62" cm="1">
        <f t="array" ref="BQ7">PRODUCT(1 + 預測IC!$C14:BP14) -1</f>
        <v>0.924237108549953</v>
      </c>
      <c r="BR7" s="62" cm="1">
        <f t="array" ref="BR7">PRODUCT(1 + 預測IC!$C14:BQ14) -1</f>
        <v>1.0157560042379115</v>
      </c>
      <c r="BS7" s="62" cm="1">
        <f t="array" ref="BS7">PRODUCT(1 + 預測IC!$C14:BR14) -1</f>
        <v>0.94411358782402099</v>
      </c>
      <c r="BT7" s="62" cm="1">
        <f t="array" ref="BT7">PRODUCT(1 + 預測IC!$C14:BS14) -1</f>
        <v>1.077405233222497</v>
      </c>
      <c r="BU7" s="62" cm="1">
        <f t="array" ref="BU7">PRODUCT(1 + 預測IC!$C14:BT14) -1</f>
        <v>1.109164454654092</v>
      </c>
      <c r="BV7" s="62" cm="1">
        <f t="array" ref="BV7">PRODUCT(1 + 預測IC!$C14:BU14) -1</f>
        <v>0.87471088481679637</v>
      </c>
      <c r="BW7" s="62" cm="1">
        <f t="array" ref="BW7">PRODUCT(1 + 預測IC!$C14:BV14) -1</f>
        <v>0.95210361603102678</v>
      </c>
      <c r="BX7" s="62" cm="1">
        <f t="array" ref="BX7">PRODUCT(1 + 預測IC!$C14:BW14) -1</f>
        <v>1.1832483829459814</v>
      </c>
      <c r="BY7" s="62" cm="1">
        <f t="array" ref="BY7">PRODUCT(1 + 預測IC!$C14:BX14) -1</f>
        <v>1.182577832646631</v>
      </c>
      <c r="BZ7" s="62" cm="1">
        <f t="array" ref="BZ7">PRODUCT(1 + 預測IC!$C14:BY14) -1</f>
        <v>1.0070990799857946</v>
      </c>
      <c r="CA7" s="62" cm="1">
        <f t="array" ref="CA7">PRODUCT(1 + 預測IC!$C14:BZ14) -1</f>
        <v>1.1094315151346512</v>
      </c>
      <c r="CB7" s="62" cm="1">
        <f t="array" ref="CB7">PRODUCT(1 + 預測IC!$C14:CA14) -1</f>
        <v>1.1800028802660334</v>
      </c>
      <c r="CC7" s="62" cm="1">
        <f t="array" ref="CC7">PRODUCT(1 + 預測IC!$C14:CB14) -1</f>
        <v>1.5385381468521873</v>
      </c>
      <c r="CD7" s="62" cm="1">
        <f t="array" ref="CD7">PRODUCT(1 + 預測IC!$C14:CC14) -1</f>
        <v>1.8446760957946635</v>
      </c>
      <c r="CE7" s="62" cm="1">
        <f t="array" ref="CE7">PRODUCT(1 + 預測IC!$C14:CD14) -1</f>
        <v>1.9809982111051676</v>
      </c>
      <c r="CF7" s="62" cm="1">
        <f t="array" ref="CF7">PRODUCT(1 + 預測IC!$C14:CE14) -1</f>
        <v>2.489423262718037</v>
      </c>
      <c r="CG7" s="62" cm="1">
        <f t="array" ref="CG7">PRODUCT(1 + 預測IC!$C14:CF14) -1</f>
        <v>2.4185523193177478</v>
      </c>
      <c r="CH7" s="62" cm="1">
        <f t="array" ref="CH7">PRODUCT(1 + 預測IC!$C14:CG14) -1</f>
        <v>2.8934804315432583</v>
      </c>
      <c r="CI7" s="62" cm="1">
        <f t="array" ref="CI7">PRODUCT(1 + 預測IC!$C14:CH14) -1</f>
        <v>2.909263488087372</v>
      </c>
      <c r="CJ7" s="62" cm="1">
        <f t="array" ref="CJ7">PRODUCT(1 + 預測IC!$C14:CI14) -1</f>
        <v>2.8942935259671638</v>
      </c>
      <c r="CK7" s="62" cm="1">
        <f t="array" ref="CK7">PRODUCT(1 + 預測IC!$C14:CJ14) -1</f>
        <v>2.9724396318573638</v>
      </c>
      <c r="CL7" s="62" cm="1">
        <f t="array" ref="CL7">PRODUCT(1 + 預測IC!$C14:CK14) -1</f>
        <v>2.9705969777191483</v>
      </c>
      <c r="CM7" s="62" cm="1">
        <f t="array" ref="CM7">PRODUCT(1 + 預測IC!$C14:CL14) -1</f>
        <v>3.4869050867735911</v>
      </c>
      <c r="CN7" s="62" cm="1">
        <f t="array" ref="CN7">PRODUCT(1 + 預測IC!$C14:CM14) -1</f>
        <v>2.9930360520463957</v>
      </c>
      <c r="CO7" s="62" cm="1">
        <f t="array" ref="CO7">PRODUCT(1 + 預測IC!$C14:CN14) -1</f>
        <v>2.9155649738386979</v>
      </c>
      <c r="CP7" s="62" cm="1">
        <f t="array" ref="CP7">PRODUCT(1 + 預測IC!$C14:CO14) -1</f>
        <v>3.5939332928079892</v>
      </c>
      <c r="CQ7" s="62" cm="1">
        <f t="array" ref="CQ7">PRODUCT(1 + 預測IC!$C14:CP14) -1</f>
        <v>3.1093664767447695</v>
      </c>
      <c r="CR7" s="62" cm="1">
        <f t="array" ref="CR7">PRODUCT(1 + 預測IC!$C14:CQ14) -1</f>
        <v>3.4362120950937793</v>
      </c>
      <c r="CS7" s="62" cm="1">
        <f t="array" ref="CS7">PRODUCT(1 + 預測IC!$C14:CR14) -1</f>
        <v>3.7140993281193797</v>
      </c>
      <c r="CT7" s="62" cm="1">
        <f t="array" ref="CT7">PRODUCT(1 + 預測IC!$C14:CS14) -1</f>
        <v>3.6961097907706648</v>
      </c>
      <c r="CU7" s="62" cm="1">
        <f t="array" ref="CU7">PRODUCT(1 + 預測IC!$C14:CT14) -1</f>
        <v>3.6064113862216294</v>
      </c>
      <c r="CV7" s="62" cm="1">
        <f t="array" ref="CV7">PRODUCT(1 + 預測IC!$C14:CU14) -1</f>
        <v>3.9484402678369648</v>
      </c>
      <c r="CW7" s="62" cm="1">
        <f t="array" ref="CW7">PRODUCT(1 + 預測IC!$C14:CV14) -1</f>
        <v>4.1434060130837418</v>
      </c>
      <c r="CX7" s="62" cm="1">
        <f t="array" ref="CX7">PRODUCT(1 + 預測IC!$C14:CW14) -1</f>
        <v>4.1857568278670101</v>
      </c>
      <c r="CY7" s="62" cm="1">
        <f t="array" ref="CY7">PRODUCT(1 + 預測IC!$C14:CX14) -1</f>
        <v>4.3114816464836005</v>
      </c>
      <c r="CZ7" s="62" cm="1">
        <f t="array" ref="CZ7">PRODUCT(1 + 預測IC!$C14:CY14) -1</f>
        <v>4.5777873507415832</v>
      </c>
      <c r="DA7" s="62" cm="1">
        <f t="array" ref="DA7">PRODUCT(1 + 預測IC!$C14:CZ14) -1</f>
        <v>5.3373260710137886</v>
      </c>
      <c r="DB7" s="62" cm="1">
        <f t="array" ref="DB7">PRODUCT(1 + 預測IC!$C14:DA14) -1</f>
        <v>5.7517449097716682</v>
      </c>
      <c r="DC7" s="62" cm="1">
        <f t="array" ref="DC7">PRODUCT(1 + 預測IC!$C14:DB14) -1</f>
        <v>6.4580276677443846</v>
      </c>
      <c r="DD7" s="62" cm="1">
        <f t="array" ref="DD7">PRODUCT(1 + 預測IC!$C14:DC14) -1</f>
        <v>6.5680616291925187</v>
      </c>
      <c r="DE7" s="62" cm="1">
        <f t="array" ref="DE7">PRODUCT(1 + 預測IC!$C14:DD14) -1</f>
        <v>6.16014335902622</v>
      </c>
      <c r="DF7" s="62" cm="1">
        <f t="array" ref="DF7">PRODUCT(1 + 預測IC!$C14:DE14) -1</f>
        <v>5.9377660103552987</v>
      </c>
      <c r="DG7" s="62" cm="1">
        <f t="array" ref="DG7">PRODUCT(1 + 預測IC!$C14:DF14) -1</f>
        <v>7.3361618269609306</v>
      </c>
      <c r="DH7" s="62" cm="1">
        <f t="array" ref="DH7">PRODUCT(1 + 預測IC!$C14:DG14) -1</f>
        <v>6.9561712635591064</v>
      </c>
      <c r="DI7" s="62" cm="1">
        <f t="array" ref="DI7">PRODUCT(1 + 預測IC!$C14:DH14) -1</f>
        <v>6.9941606864193311</v>
      </c>
      <c r="DJ7" s="62" cm="1">
        <f t="array" ref="DJ7">PRODUCT(1 + 預測IC!$C14:DI14) -1</f>
        <v>6.5689353132143626</v>
      </c>
      <c r="DK7" s="62" cm="1">
        <f t="array" ref="DK7">PRODUCT(1 + 預測IC!$C14:DJ14) -1</f>
        <v>6.5766838159721051</v>
      </c>
      <c r="DL7" s="62" cm="1">
        <f t="array" ref="DL7">PRODUCT(1 + 預測IC!$C14:DK14) -1</f>
        <v>5.9582631428116528</v>
      </c>
      <c r="DM7" s="62" cm="1">
        <f t="array" ref="DM7">PRODUCT(1 + 預測IC!$C14:DL14) -1</f>
        <v>5.893730941535547</v>
      </c>
      <c r="DN7" s="62" cm="1">
        <f t="array" ref="DN7">PRODUCT(1 + 預測IC!$C14:DM14) -1</f>
        <v>5.8860020368982537</v>
      </c>
      <c r="DO7" s="62" cm="1">
        <f t="array" ref="DO7">PRODUCT(1 + 預測IC!$C14:DN14) -1</f>
        <v>6.0946398643755737</v>
      </c>
      <c r="DP7" s="62" cm="1">
        <f t="array" ref="DP7">PRODUCT(1 + 預測IC!$C14:DO14) -1</f>
        <v>6.82249450080554</v>
      </c>
      <c r="DQ7" s="62" cm="1">
        <f t="array" ref="DQ7">PRODUCT(1 + 預測IC!$C14:DP14) -1</f>
        <v>6.8507951772408164</v>
      </c>
      <c r="DR7" s="62" cm="1">
        <f t="array" ref="DR7">PRODUCT(1 + 預測IC!$C14:DQ14) -1</f>
        <v>6.4109992369879585</v>
      </c>
      <c r="DS7" s="62" cm="1">
        <f t="array" ref="DS7">PRODUCT(1 + 預測IC!$C14:DR14) -1</f>
        <v>6.4687636910678519</v>
      </c>
      <c r="DT7" s="62" cm="1">
        <f t="array" ref="DT7">PRODUCT(1 + 預測IC!$C14:DS14) -1</f>
        <v>6.8874014885685808</v>
      </c>
      <c r="DU7" s="62" cm="1">
        <f t="array" ref="DU7">PRODUCT(1 + 預測IC!$C14:DT14) -1</f>
        <v>7.8155318453850828</v>
      </c>
      <c r="DV7" s="62" cm="1">
        <f t="array" ref="DV7">PRODUCT(1 + 預測IC!$C14:DU14) -1</f>
        <v>7.2090649237475919</v>
      </c>
      <c r="DW7" s="62" cm="1">
        <f t="array" ref="DW7">PRODUCT(1 + 預測IC!$C14:DV14) -1</f>
        <v>7.3685912217889893</v>
      </c>
      <c r="DX7" s="62" cm="1">
        <f t="array" ref="DX7">PRODUCT(1 + 預測IC!$C14:DW14) -1</f>
        <v>7.383732593459456</v>
      </c>
      <c r="DY7" s="62" cm="1">
        <f t="array" ref="DY7">PRODUCT(1 + 預測IC!$C14:DX14) -1</f>
        <v>6.5272402445149673</v>
      </c>
      <c r="DZ7" s="62" cm="1">
        <f t="array" ref="DZ7">PRODUCT(1 + 預測IC!$C14:DY14) -1</f>
        <v>6.8132533938649384</v>
      </c>
      <c r="EA7" s="62" cm="1">
        <f t="array" ref="EA7">PRODUCT(1 + 預測IC!$C14:DZ14) -1</f>
        <v>7.0869594724410998</v>
      </c>
      <c r="EB7" s="62" cm="1">
        <f t="array" ref="EB7">PRODUCT(1 + 預測IC!$C14:EA14) -1</f>
        <v>7.9565136973141222</v>
      </c>
      <c r="EC7" s="62" cm="1">
        <f t="array" ref="EC7">PRODUCT(1 + 預測IC!$C14:EB14) -1</f>
        <v>7.7316199319636443</v>
      </c>
      <c r="ED7" s="62" cm="1">
        <f t="array" ref="ED7">PRODUCT(1 + 預測IC!$C14:EC14) -1</f>
        <v>7.5631742382295144</v>
      </c>
      <c r="EE7" s="62" cm="1">
        <f t="array" ref="EE7">PRODUCT(1 + 預測IC!$C14:ED14) -1</f>
        <v>7.2754748088496122</v>
      </c>
      <c r="EF7" s="62" cm="1">
        <f t="array" ref="EF7">PRODUCT(1 + 預測IC!$C14:EE14) -1</f>
        <v>7.3036052457073151</v>
      </c>
      <c r="EG7" s="62" cm="1">
        <f t="array" ref="EG7">PRODUCT(1 + 預測IC!$C14:EF14) -1</f>
        <v>7.8568939495434531</v>
      </c>
    </row>
    <row r="8" spans="3:137" ht="16">
      <c r="C8" s="6">
        <v>100</v>
      </c>
      <c r="D8" s="62" cm="1">
        <f t="array" ref="D8">PRODUCT(1 + 預測IC!$C15:C15) -1</f>
        <v>-9.650314199451604E-2</v>
      </c>
      <c r="E8" s="62" cm="1">
        <f t="array" ref="E8">PRODUCT(1 + 預測IC!$C15:D15) -1</f>
        <v>-8.2093696582953402E-2</v>
      </c>
      <c r="F8" s="62" cm="1">
        <f t="array" ref="F8">PRODUCT(1 + 預測IC!$C15:E15) -1</f>
        <v>-2.1476552903661683E-2</v>
      </c>
      <c r="G8" s="62" cm="1">
        <f t="array" ref="G8">PRODUCT(1 + 預測IC!$C15:F15) -1</f>
        <v>-0.12770730243987938</v>
      </c>
      <c r="H8" s="62" cm="1">
        <f t="array" ref="H8">PRODUCT(1 + 預測IC!$C15:G15) -1</f>
        <v>-0.1673286271123271</v>
      </c>
      <c r="I8" s="62" cm="1">
        <f t="array" ref="I8">PRODUCT(1 + 預測IC!$C15:H15) -1</f>
        <v>-6.8370877187264423E-2</v>
      </c>
      <c r="J8" s="62" cm="1">
        <f t="array" ref="J8">PRODUCT(1 + 預測IC!$C15:I15) -1</f>
        <v>4.9693308737068786E-2</v>
      </c>
      <c r="K8" s="62" cm="1">
        <f t="array" ref="K8">PRODUCT(1 + 預測IC!$C15:J15) -1</f>
        <v>-1.8037826719474515E-2</v>
      </c>
      <c r="L8" s="62" cm="1">
        <f t="array" ref="L8">PRODUCT(1 + 預測IC!$C15:K15) -1</f>
        <v>-2.2172247245531018E-2</v>
      </c>
      <c r="M8" s="62" cm="1">
        <f t="array" ref="M8">PRODUCT(1 + 預測IC!$C15:L15) -1</f>
        <v>9.6643626853636366E-3</v>
      </c>
      <c r="N8" s="62" cm="1">
        <f t="array" ref="N8">PRODUCT(1 + 預測IC!$C15:M15) -1</f>
        <v>-0.18064934255710519</v>
      </c>
      <c r="O8" s="62" cm="1">
        <f t="array" ref="O8">PRODUCT(1 + 預測IC!$C15:N15) -1</f>
        <v>8.9989829762600948E-2</v>
      </c>
      <c r="P8" s="62" cm="1">
        <f t="array" ref="P8">PRODUCT(1 + 預測IC!$C15:O15) -1</f>
        <v>3.9737491000165548E-2</v>
      </c>
      <c r="Q8" s="62" cm="1">
        <f t="array" ref="Q8">PRODUCT(1 + 預測IC!$C15:P15) -1</f>
        <v>9.4826196931536488E-2</v>
      </c>
      <c r="R8" s="62" cm="1">
        <f t="array" ref="R8">PRODUCT(1 + 預測IC!$C15:Q15) -1</f>
        <v>-1.506736531906816E-2</v>
      </c>
      <c r="S8" s="62" cm="1">
        <f t="array" ref="S8">PRODUCT(1 + 預測IC!$C15:R15) -1</f>
        <v>1.4356106918789191E-3</v>
      </c>
      <c r="T8" s="62" cm="1">
        <f t="array" ref="T8">PRODUCT(1 + 預測IC!$C15:S15) -1</f>
        <v>-4.1660103056891051E-2</v>
      </c>
      <c r="U8" s="62" cm="1">
        <f t="array" ref="U8">PRODUCT(1 + 預測IC!$C15:T15) -1</f>
        <v>-8.8943321529678876E-2</v>
      </c>
      <c r="V8" s="62" cm="1">
        <f t="array" ref="V8">PRODUCT(1 + 預測IC!$C15:U15) -1</f>
        <v>3.5842345789421248E-2</v>
      </c>
      <c r="W8" s="62" cm="1">
        <f t="array" ref="W8">PRODUCT(1 + 預測IC!$C15:V15) -1</f>
        <v>-5.2909539885297341E-2</v>
      </c>
      <c r="X8" s="62" cm="1">
        <f t="array" ref="X8">PRODUCT(1 + 預測IC!$C15:W15) -1</f>
        <v>4.8367157161390617E-2</v>
      </c>
      <c r="Y8" s="62" cm="1">
        <f t="array" ref="Y8">PRODUCT(1 + 預測IC!$C15:X15) -1</f>
        <v>-3.3863001572128182E-2</v>
      </c>
      <c r="Z8" s="62" cm="1">
        <f t="array" ref="Z8">PRODUCT(1 + 預測IC!$C15:Y15) -1</f>
        <v>-5.723252089139319E-2</v>
      </c>
      <c r="AA8" s="62" cm="1">
        <f t="array" ref="AA8">PRODUCT(1 + 預測IC!$C15:Z15) -1</f>
        <v>-7.9535023100420821E-2</v>
      </c>
      <c r="AB8" s="62" cm="1">
        <f t="array" ref="AB8">PRODUCT(1 + 預測IC!$C15:AA15) -1</f>
        <v>-3.6654127617224863E-2</v>
      </c>
      <c r="AC8" s="62" cm="1">
        <f t="array" ref="AC8">PRODUCT(1 + 預測IC!$C15:AB15) -1</f>
        <v>-0.10793782234155302</v>
      </c>
      <c r="AD8" s="62" cm="1">
        <f t="array" ref="AD8">PRODUCT(1 + 預測IC!$C15:AC15) -1</f>
        <v>-0.14366948845226213</v>
      </c>
      <c r="AE8" s="62" cm="1">
        <f t="array" ref="AE8">PRODUCT(1 + 預測IC!$C15:AD15) -1</f>
        <v>-0.10968131844459583</v>
      </c>
      <c r="AF8" s="62" cm="1">
        <f t="array" ref="AF8">PRODUCT(1 + 預測IC!$C15:AE15) -1</f>
        <v>-6.7581285258120127E-2</v>
      </c>
      <c r="AG8" s="62" cm="1">
        <f t="array" ref="AG8">PRODUCT(1 + 預測IC!$C15:AF15) -1</f>
        <v>-0.11398965272227513</v>
      </c>
      <c r="AH8" s="62" cm="1">
        <f t="array" ref="AH8">PRODUCT(1 + 預測IC!$C15:AG15) -1</f>
        <v>-0.12262409875299807</v>
      </c>
      <c r="AI8" s="62" cm="1">
        <f t="array" ref="AI8">PRODUCT(1 + 預測IC!$C15:AH15) -1</f>
        <v>-0.13534665201333795</v>
      </c>
      <c r="AJ8" s="62" cm="1">
        <f t="array" ref="AJ8">PRODUCT(1 + 預測IC!$C15:AI15) -1</f>
        <v>-9.1375181918762483E-2</v>
      </c>
      <c r="AK8" s="62" cm="1">
        <f t="array" ref="AK8">PRODUCT(1 + 預測IC!$C15:AJ15) -1</f>
        <v>-8.757310076218594E-2</v>
      </c>
      <c r="AL8" s="62" cm="1">
        <f t="array" ref="AL8">PRODUCT(1 + 預測IC!$C15:AK15) -1</f>
        <v>-3.5112591098085733E-2</v>
      </c>
      <c r="AM8" s="62" cm="1">
        <f t="array" ref="AM8">PRODUCT(1 + 預測IC!$C15:AL15) -1</f>
        <v>-4.1752713815806475E-2</v>
      </c>
      <c r="AN8" s="62" cm="1">
        <f t="array" ref="AN8">PRODUCT(1 + 預測IC!$C15:AM15) -1</f>
        <v>-3.9889199344983695E-2</v>
      </c>
      <c r="AO8" s="62" cm="1">
        <f t="array" ref="AO8">PRODUCT(1 + 預測IC!$C15:AN15) -1</f>
        <v>-9.8201463343869588E-2</v>
      </c>
      <c r="AP8" s="62" cm="1">
        <f t="array" ref="AP8">PRODUCT(1 + 預測IC!$C15:AO15) -1</f>
        <v>-6.6005593882960789E-2</v>
      </c>
      <c r="AQ8" s="62" cm="1">
        <f t="array" ref="AQ8">PRODUCT(1 + 預測IC!$C15:AP15) -1</f>
        <v>-5.4254127676315211E-2</v>
      </c>
      <c r="AR8" s="62" cm="1">
        <f t="array" ref="AR8">PRODUCT(1 + 預測IC!$C15:AQ15) -1</f>
        <v>-7.2933542321854339E-2</v>
      </c>
      <c r="AS8" s="62" cm="1">
        <f t="array" ref="AS8">PRODUCT(1 + 預測IC!$C15:AR15) -1</f>
        <v>-5.0173300871076298E-2</v>
      </c>
      <c r="AT8" s="62" cm="1">
        <f t="array" ref="AT8">PRODUCT(1 + 預測IC!$C15:AS15) -1</f>
        <v>-7.1478812785240486E-2</v>
      </c>
      <c r="AU8" s="62" cm="1">
        <f t="array" ref="AU8">PRODUCT(1 + 預測IC!$C15:AT15) -1</f>
        <v>-6.511239031787508E-2</v>
      </c>
      <c r="AV8" s="62" cm="1">
        <f t="array" ref="AV8">PRODUCT(1 + 預測IC!$C15:AU15) -1</f>
        <v>9.1115211362354787E-2</v>
      </c>
      <c r="AW8" s="62" cm="1">
        <f t="array" ref="AW8">PRODUCT(1 + 預測IC!$C15:AV15) -1</f>
        <v>0.12736784401493906</v>
      </c>
      <c r="AX8" s="62" cm="1">
        <f t="array" ref="AX8">PRODUCT(1 + 預測IC!$C15:AW15) -1</f>
        <v>0.22720679948847522</v>
      </c>
      <c r="AY8" s="62" cm="1">
        <f t="array" ref="AY8">PRODUCT(1 + 預測IC!$C15:AX15) -1</f>
        <v>0.23231160144030816</v>
      </c>
      <c r="AZ8" s="62" cm="1">
        <f t="array" ref="AZ8">PRODUCT(1 + 預測IC!$C15:AY15) -1</f>
        <v>0.17914536851206098</v>
      </c>
      <c r="BA8" s="62" cm="1">
        <f t="array" ref="BA8">PRODUCT(1 + 預測IC!$C15:AZ15) -1</f>
        <v>0.22259375267307724</v>
      </c>
      <c r="BB8" s="62" cm="1">
        <f t="array" ref="BB8">PRODUCT(1 + 預測IC!$C15:BA15) -1</f>
        <v>0.41538205326894651</v>
      </c>
      <c r="BC8" s="62" cm="1">
        <f t="array" ref="BC8">PRODUCT(1 + 預測IC!$C15:BB15) -1</f>
        <v>0.56936019273997074</v>
      </c>
      <c r="BD8" s="62" cm="1">
        <f t="array" ref="BD8">PRODUCT(1 + 預測IC!$C15:BC15) -1</f>
        <v>0.66690400098629743</v>
      </c>
      <c r="BE8" s="62" cm="1">
        <f t="array" ref="BE8">PRODUCT(1 + 預測IC!$C15:BD15) -1</f>
        <v>0.68298542589837274</v>
      </c>
      <c r="BF8" s="62" cm="1">
        <f t="array" ref="BF8">PRODUCT(1 + 預測IC!$C15:BE15) -1</f>
        <v>0.6052026966378623</v>
      </c>
      <c r="BG8" s="62" cm="1">
        <f t="array" ref="BG8">PRODUCT(1 + 預測IC!$C15:BF15) -1</f>
        <v>0.51374141850935739</v>
      </c>
      <c r="BH8" s="62" cm="1">
        <f t="array" ref="BH8">PRODUCT(1 + 預測IC!$C15:BG15) -1</f>
        <v>0.53459494796111606</v>
      </c>
      <c r="BI8" s="62" cm="1">
        <f t="array" ref="BI8">PRODUCT(1 + 預測IC!$C15:BH15) -1</f>
        <v>0.45063844589258606</v>
      </c>
      <c r="BJ8" s="62" cm="1">
        <f t="array" ref="BJ8">PRODUCT(1 + 預測IC!$C15:BI15) -1</f>
        <v>0.48886425357295682</v>
      </c>
      <c r="BK8" s="62" cm="1">
        <f t="array" ref="BK8">PRODUCT(1 + 預測IC!$C15:BJ15) -1</f>
        <v>0.51211897721417143</v>
      </c>
      <c r="BL8" s="62" cm="1">
        <f t="array" ref="BL8">PRODUCT(1 + 預測IC!$C15:BK15) -1</f>
        <v>0.62230620836510275</v>
      </c>
      <c r="BM8" s="62" cm="1">
        <f t="array" ref="BM8">PRODUCT(1 + 預測IC!$C15:BL15) -1</f>
        <v>0.62243258829604065</v>
      </c>
      <c r="BN8" s="62" cm="1">
        <f t="array" ref="BN8">PRODUCT(1 + 預測IC!$C15:BM15) -1</f>
        <v>0.52087091296652988</v>
      </c>
      <c r="BO8" s="62" cm="1">
        <f t="array" ref="BO8">PRODUCT(1 + 預測IC!$C15:BN15) -1</f>
        <v>0.420411252107876</v>
      </c>
      <c r="BP8" s="62" cm="1">
        <f t="array" ref="BP8">PRODUCT(1 + 預測IC!$C15:BO15) -1</f>
        <v>0.4439750843586403</v>
      </c>
      <c r="BQ8" s="62" cm="1">
        <f t="array" ref="BQ8">PRODUCT(1 + 預測IC!$C15:BP15) -1</f>
        <v>0.5185085361492674</v>
      </c>
      <c r="BR8" s="62" cm="1">
        <f t="array" ref="BR8">PRODUCT(1 + 預測IC!$C15:BQ15) -1</f>
        <v>0.55597221021218957</v>
      </c>
      <c r="BS8" s="62" cm="1">
        <f t="array" ref="BS8">PRODUCT(1 + 預測IC!$C15:BR15) -1</f>
        <v>0.52575207969286009</v>
      </c>
      <c r="BT8" s="62" cm="1">
        <f t="array" ref="BT8">PRODUCT(1 + 預測IC!$C15:BS15) -1</f>
        <v>0.64029992244321998</v>
      </c>
      <c r="BU8" s="62" cm="1">
        <f t="array" ref="BU8">PRODUCT(1 + 預測IC!$C15:BT15) -1</f>
        <v>0.58020972262383208</v>
      </c>
      <c r="BV8" s="62" cm="1">
        <f t="array" ref="BV8">PRODUCT(1 + 預測IC!$C15:BU15) -1</f>
        <v>0.4450295224682228</v>
      </c>
      <c r="BW8" s="62" cm="1">
        <f t="array" ref="BW8">PRODUCT(1 + 預測IC!$C15:BV15) -1</f>
        <v>0.5867253393051366</v>
      </c>
      <c r="BX8" s="62" cm="1">
        <f t="array" ref="BX8">PRODUCT(1 + 預測IC!$C15:BW15) -1</f>
        <v>0.91064871551944004</v>
      </c>
      <c r="BY8" s="62" cm="1">
        <f t="array" ref="BY8">PRODUCT(1 + 預測IC!$C15:BX15) -1</f>
        <v>0.95640766593261728</v>
      </c>
      <c r="BZ8" s="62" cm="1">
        <f t="array" ref="BZ8">PRODUCT(1 + 預測IC!$C15:BY15) -1</f>
        <v>0.77379971939053949</v>
      </c>
      <c r="CA8" s="62" cm="1">
        <f t="array" ref="CA8">PRODUCT(1 + 預測IC!$C15:BZ15) -1</f>
        <v>0.89328244859749883</v>
      </c>
      <c r="CB8" s="62" cm="1">
        <f t="array" ref="CB8">PRODUCT(1 + 預測IC!$C15:CA15) -1</f>
        <v>0.95001278135295153</v>
      </c>
      <c r="CC8" s="62" cm="1">
        <f t="array" ref="CC8">PRODUCT(1 + 預測IC!$C15:CB15) -1</f>
        <v>1.2056426923073591</v>
      </c>
      <c r="CD8" s="62" cm="1">
        <f t="array" ref="CD8">PRODUCT(1 + 預測IC!$C15:CC15) -1</f>
        <v>1.5886563080400609</v>
      </c>
      <c r="CE8" s="62" cm="1">
        <f t="array" ref="CE8">PRODUCT(1 + 預測IC!$C15:CD15) -1</f>
        <v>1.8192913984106722</v>
      </c>
      <c r="CF8" s="62" cm="1">
        <f t="array" ref="CF8">PRODUCT(1 + 預測IC!$C15:CE15) -1</f>
        <v>2.0261375081808306</v>
      </c>
      <c r="CG8" s="62" cm="1">
        <f t="array" ref="CG8">PRODUCT(1 + 預測IC!$C15:CF15) -1</f>
        <v>2.0151622614326765</v>
      </c>
      <c r="CH8" s="62" cm="1">
        <f t="array" ref="CH8">PRODUCT(1 + 預測IC!$C15:CG15) -1</f>
        <v>2.6957785391093712</v>
      </c>
      <c r="CI8" s="62" cm="1">
        <f t="array" ref="CI8">PRODUCT(1 + 預測IC!$C15:CH15) -1</f>
        <v>2.5480278748180205</v>
      </c>
      <c r="CJ8" s="62" cm="1">
        <f t="array" ref="CJ8">PRODUCT(1 + 預測IC!$C15:CI15) -1</f>
        <v>2.3020188169454707</v>
      </c>
      <c r="CK8" s="62" cm="1">
        <f t="array" ref="CK8">PRODUCT(1 + 預測IC!$C15:CJ15) -1</f>
        <v>2.3263964014362606</v>
      </c>
      <c r="CL8" s="62" cm="1">
        <f t="array" ref="CL8">PRODUCT(1 + 預測IC!$C15:CK15) -1</f>
        <v>2.4404259735540075</v>
      </c>
      <c r="CM8" s="62" cm="1">
        <f t="array" ref="CM8">PRODUCT(1 + 預測IC!$C15:CL15) -1</f>
        <v>3.1723796528285719</v>
      </c>
      <c r="CN8" s="62" cm="1">
        <f t="array" ref="CN8">PRODUCT(1 + 預測IC!$C15:CM15) -1</f>
        <v>2.7212629840231775</v>
      </c>
      <c r="CO8" s="62" cm="1">
        <f t="array" ref="CO8">PRODUCT(1 + 預測IC!$C15:CN15) -1</f>
        <v>2.722071000126677</v>
      </c>
      <c r="CP8" s="62" cm="1">
        <f t="array" ref="CP8">PRODUCT(1 + 預測IC!$C15:CO15) -1</f>
        <v>3.3673291886556154</v>
      </c>
      <c r="CQ8" s="62" cm="1">
        <f t="array" ref="CQ8">PRODUCT(1 + 預測IC!$C15:CP15) -1</f>
        <v>3.2171226977901064</v>
      </c>
      <c r="CR8" s="62" cm="1">
        <f t="array" ref="CR8">PRODUCT(1 + 預測IC!$C15:CQ15) -1</f>
        <v>3.8058482892608376</v>
      </c>
      <c r="CS8" s="62" cm="1">
        <f t="array" ref="CS8">PRODUCT(1 + 預測IC!$C15:CR15) -1</f>
        <v>3.9229875670763441</v>
      </c>
      <c r="CT8" s="62" cm="1">
        <f t="array" ref="CT8">PRODUCT(1 + 預測IC!$C15:CS15) -1</f>
        <v>4.0062401443683875</v>
      </c>
      <c r="CU8" s="62" cm="1">
        <f t="array" ref="CU8">PRODUCT(1 + 預測IC!$C15:CT15) -1</f>
        <v>3.9692211262757233</v>
      </c>
      <c r="CV8" s="62" cm="1">
        <f t="array" ref="CV8">PRODUCT(1 + 預測IC!$C15:CU15) -1</f>
        <v>4.7338037531432455</v>
      </c>
      <c r="CW8" s="62" cm="1">
        <f t="array" ref="CW8">PRODUCT(1 + 預測IC!$C15:CV15) -1</f>
        <v>5.08038062938392</v>
      </c>
      <c r="CX8" s="62" cm="1">
        <f t="array" ref="CX8">PRODUCT(1 + 預測IC!$C15:CW15) -1</f>
        <v>4.9146450098041345</v>
      </c>
      <c r="CY8" s="62" cm="1">
        <f t="array" ref="CY8">PRODUCT(1 + 預測IC!$C15:CX15) -1</f>
        <v>5.0203331616189795</v>
      </c>
      <c r="CZ8" s="62" cm="1">
        <f t="array" ref="CZ8">PRODUCT(1 + 預測IC!$C15:CY15) -1</f>
        <v>5.3558626487846128</v>
      </c>
      <c r="DA8" s="62" cm="1">
        <f t="array" ref="DA8">PRODUCT(1 + 預測IC!$C15:CZ15) -1</f>
        <v>6.0891006740037614</v>
      </c>
      <c r="DB8" s="62" cm="1">
        <f t="array" ref="DB8">PRODUCT(1 + 預測IC!$C15:DA15) -1</f>
        <v>6.7190538423855024</v>
      </c>
      <c r="DC8" s="62" cm="1">
        <f t="array" ref="DC8">PRODUCT(1 + 預測IC!$C15:DB15) -1</f>
        <v>7.4681744440294011</v>
      </c>
      <c r="DD8" s="62" cm="1">
        <f t="array" ref="DD8">PRODUCT(1 + 預測IC!$C15:DC15) -1</f>
        <v>8.1179122706522726</v>
      </c>
      <c r="DE8" s="62" cm="1">
        <f t="array" ref="DE8">PRODUCT(1 + 預測IC!$C15:DD15) -1</f>
        <v>7.5022123968204841</v>
      </c>
      <c r="DF8" s="62" cm="1">
        <f t="array" ref="DF8">PRODUCT(1 + 預測IC!$C15:DE15) -1</f>
        <v>6.9443983752582872</v>
      </c>
      <c r="DG8" s="62" cm="1">
        <f t="array" ref="DG8">PRODUCT(1 + 預測IC!$C15:DF15) -1</f>
        <v>9.3493302235578639</v>
      </c>
      <c r="DH8" s="62" cm="1">
        <f t="array" ref="DH8">PRODUCT(1 + 預測IC!$C15:DG15) -1</f>
        <v>8.8534163480760224</v>
      </c>
      <c r="DI8" s="62" cm="1">
        <f t="array" ref="DI8">PRODUCT(1 + 預測IC!$C15:DH15) -1</f>
        <v>8.669068672799801</v>
      </c>
      <c r="DJ8" s="62" cm="1">
        <f t="array" ref="DJ8">PRODUCT(1 + 預測IC!$C15:DI15) -1</f>
        <v>8.5557621845886516</v>
      </c>
      <c r="DK8" s="62" cm="1">
        <f t="array" ref="DK8">PRODUCT(1 + 預測IC!$C15:DJ15) -1</f>
        <v>8.0634224572786497</v>
      </c>
      <c r="DL8" s="62" cm="1">
        <f t="array" ref="DL8">PRODUCT(1 + 預測IC!$C15:DK15) -1</f>
        <v>7.1540990083877993</v>
      </c>
      <c r="DM8" s="62" cm="1">
        <f t="array" ref="DM8">PRODUCT(1 + 預測IC!$C15:DL15) -1</f>
        <v>7.2171940711254479</v>
      </c>
      <c r="DN8" s="62" cm="1">
        <f t="array" ref="DN8">PRODUCT(1 + 預測IC!$C15:DM15) -1</f>
        <v>7.231765331610573</v>
      </c>
      <c r="DO8" s="62" cm="1">
        <f t="array" ref="DO8">PRODUCT(1 + 預測IC!$C15:DN15) -1</f>
        <v>6.6800512697995833</v>
      </c>
      <c r="DP8" s="62" cm="1">
        <f t="array" ref="DP8">PRODUCT(1 + 預測IC!$C15:DO15) -1</f>
        <v>7.9053682089000592</v>
      </c>
      <c r="DQ8" s="62" cm="1">
        <f t="array" ref="DQ8">PRODUCT(1 + 預測IC!$C15:DP15) -1</f>
        <v>7.546212992158198</v>
      </c>
      <c r="DR8" s="62" cm="1">
        <f t="array" ref="DR8">PRODUCT(1 + 預測IC!$C15:DQ15) -1</f>
        <v>6.9228686260583396</v>
      </c>
      <c r="DS8" s="62" cm="1">
        <f t="array" ref="DS8">PRODUCT(1 + 預測IC!$C15:DR15) -1</f>
        <v>6.7482861163635715</v>
      </c>
      <c r="DT8" s="62" cm="1">
        <f t="array" ref="DT8">PRODUCT(1 + 預測IC!$C15:DS15) -1</f>
        <v>7.0390804083435317</v>
      </c>
      <c r="DU8" s="62" cm="1">
        <f t="array" ref="DU8">PRODUCT(1 + 預測IC!$C15:DT15) -1</f>
        <v>7.3147919169070317</v>
      </c>
      <c r="DV8" s="62" cm="1">
        <f t="array" ref="DV8">PRODUCT(1 + 預測IC!$C15:DU15) -1</f>
        <v>6.340899850250409</v>
      </c>
      <c r="DW8" s="62" cm="1">
        <f t="array" ref="DW8">PRODUCT(1 + 預測IC!$C15:DV15) -1</f>
        <v>6.7162180386914132</v>
      </c>
      <c r="DX8" s="62" cm="1">
        <f t="array" ref="DX8">PRODUCT(1 + 預測IC!$C15:DW15) -1</f>
        <v>6.2468688421795848</v>
      </c>
      <c r="DY8" s="62" cm="1">
        <f t="array" ref="DY8">PRODUCT(1 + 預測IC!$C15:DX15) -1</f>
        <v>5.3872724311680349</v>
      </c>
      <c r="DZ8" s="62" cm="1">
        <f t="array" ref="DZ8">PRODUCT(1 + 預測IC!$C15:DY15) -1</f>
        <v>6.0677671128382817</v>
      </c>
      <c r="EA8" s="62" cm="1">
        <f t="array" ref="EA8">PRODUCT(1 + 預測IC!$C15:DZ15) -1</f>
        <v>6.3536982487887457</v>
      </c>
      <c r="EB8" s="62" cm="1">
        <f t="array" ref="EB8">PRODUCT(1 + 預測IC!$C15:EA15) -1</f>
        <v>7.1565524691362459</v>
      </c>
      <c r="EC8" s="62" cm="1">
        <f t="array" ref="EC8">PRODUCT(1 + 預測IC!$C15:EB15) -1</f>
        <v>6.6987538879278716</v>
      </c>
      <c r="ED8" s="62" cm="1">
        <f t="array" ref="ED8">PRODUCT(1 + 預測IC!$C15:EC15) -1</f>
        <v>6.5618275590376767</v>
      </c>
      <c r="EE8" s="62" cm="1">
        <f t="array" ref="EE8">PRODUCT(1 + 預測IC!$C15:ED15) -1</f>
        <v>6.0144773803937825</v>
      </c>
      <c r="EF8" s="62" cm="1">
        <f t="array" ref="EF8">PRODUCT(1 + 預測IC!$C15:EE15) -1</f>
        <v>5.9920961436086637</v>
      </c>
      <c r="EG8" s="62" cm="1">
        <f t="array" ref="EG8">PRODUCT(1 + 預測IC!$C15:EF15) -1</f>
        <v>6.4270625947712379</v>
      </c>
    </row>
    <row r="9" spans="3:137" ht="16">
      <c r="C9" s="6">
        <v>107</v>
      </c>
      <c r="D9" s="62" cm="1">
        <f t="array" ref="D9">PRODUCT(1 + 預測IC!$C16:C16) -1</f>
        <v>-2.738364461037901E-2</v>
      </c>
      <c r="E9" s="62" cm="1">
        <f t="array" ref="E9">PRODUCT(1 + 預測IC!$C16:D16) -1</f>
        <v>-2.8084170244159101E-2</v>
      </c>
      <c r="F9" s="62" cm="1">
        <f t="array" ref="F9">PRODUCT(1 + 預測IC!$C16:E16) -1</f>
        <v>3.5096751088584455E-2</v>
      </c>
      <c r="G9" s="62" cm="1">
        <f t="array" ref="G9">PRODUCT(1 + 預測IC!$C16:F16) -1</f>
        <v>-6.777374438121464E-2</v>
      </c>
      <c r="H9" s="62" cm="1">
        <f t="array" ref="H9">PRODUCT(1 + 預測IC!$C16:G16) -1</f>
        <v>-0.13647533767357611</v>
      </c>
      <c r="I9" s="62" cm="1">
        <f t="array" ref="I9">PRODUCT(1 + 預測IC!$C16:H16) -1</f>
        <v>-7.3569244466649031E-2</v>
      </c>
      <c r="J9" s="62" cm="1">
        <f t="array" ref="J9">PRODUCT(1 + 預測IC!$C16:I16) -1</f>
        <v>2.9998582319408884E-2</v>
      </c>
      <c r="K9" s="62" cm="1">
        <f t="array" ref="K9">PRODUCT(1 + 預測IC!$C16:J16) -1</f>
        <v>-4.075617454521796E-2</v>
      </c>
      <c r="L9" s="62" cm="1">
        <f t="array" ref="L9">PRODUCT(1 + 預測IC!$C16:K16) -1</f>
        <v>-2.3561628715442429E-2</v>
      </c>
      <c r="M9" s="62" cm="1">
        <f t="array" ref="M9">PRODUCT(1 + 預測IC!$C16:L16) -1</f>
        <v>-1.3908036984815464E-2</v>
      </c>
      <c r="N9" s="62" cm="1">
        <f t="array" ref="N9">PRODUCT(1 + 預測IC!$C16:M16) -1</f>
        <v>-0.20607409367980223</v>
      </c>
      <c r="O9" s="62" cm="1">
        <f t="array" ref="O9">PRODUCT(1 + 預測IC!$C16:N16) -1</f>
        <v>8.5286876501129649E-2</v>
      </c>
      <c r="P9" s="62" cm="1">
        <f t="array" ref="P9">PRODUCT(1 + 預測IC!$C16:O16) -1</f>
        <v>6.8333510112386531E-2</v>
      </c>
      <c r="Q9" s="62" cm="1">
        <f t="array" ref="Q9">PRODUCT(1 + 預測IC!$C16:P16) -1</f>
        <v>0.13454853826087554</v>
      </c>
      <c r="R9" s="62" cm="1">
        <f t="array" ref="R9">PRODUCT(1 + 預測IC!$C16:Q16) -1</f>
        <v>2.4930531115845644E-2</v>
      </c>
      <c r="S9" s="62" cm="1">
        <f t="array" ref="S9">PRODUCT(1 + 預測IC!$C16:R16) -1</f>
        <v>4.4591529822782805E-2</v>
      </c>
      <c r="T9" s="62" cm="1">
        <f t="array" ref="T9">PRODUCT(1 + 預測IC!$C16:S16) -1</f>
        <v>2.8498870473869786E-4</v>
      </c>
      <c r="U9" s="62" cm="1">
        <f t="array" ref="U9">PRODUCT(1 + 預測IC!$C16:T16) -1</f>
        <v>-2.2948415610757333E-2</v>
      </c>
      <c r="V9" s="62" cm="1">
        <f t="array" ref="V9">PRODUCT(1 + 預測IC!$C16:U16) -1</f>
        <v>0.10412932816925502</v>
      </c>
      <c r="W9" s="62" cm="1">
        <f t="array" ref="W9">PRODUCT(1 + 預測IC!$C16:V16) -1</f>
        <v>-1.1049220714750785E-2</v>
      </c>
      <c r="X9" s="62" cm="1">
        <f t="array" ref="X9">PRODUCT(1 + 預測IC!$C16:W16) -1</f>
        <v>6.6458301345484916E-2</v>
      </c>
      <c r="Y9" s="62" cm="1">
        <f t="array" ref="Y9">PRODUCT(1 + 預測IC!$C16:X16) -1</f>
        <v>-1.21165094911585E-2</v>
      </c>
      <c r="Z9" s="62" cm="1">
        <f t="array" ref="Z9">PRODUCT(1 + 預測IC!$C16:Y16) -1</f>
        <v>-1.6352007689515058E-2</v>
      </c>
      <c r="AA9" s="62" cm="1">
        <f t="array" ref="AA9">PRODUCT(1 + 預測IC!$C16:Z16) -1</f>
        <v>-3.609952301571473E-2</v>
      </c>
      <c r="AB9" s="62" cm="1">
        <f t="array" ref="AB9">PRODUCT(1 + 預測IC!$C16:AA16) -1</f>
        <v>1.2312886287127123E-2</v>
      </c>
      <c r="AC9" s="62" cm="1">
        <f t="array" ref="AC9">PRODUCT(1 + 預測IC!$C16:AB16) -1</f>
        <v>-5.9577653619338866E-2</v>
      </c>
      <c r="AD9" s="62" cm="1">
        <f t="array" ref="AD9">PRODUCT(1 + 預測IC!$C16:AC16) -1</f>
        <v>-9.8173078282103643E-2</v>
      </c>
      <c r="AE9" s="62" cm="1">
        <f t="array" ref="AE9">PRODUCT(1 + 預測IC!$C16:AD16) -1</f>
        <v>-6.677942632468592E-2</v>
      </c>
      <c r="AF9" s="62" cm="1">
        <f t="array" ref="AF9">PRODUCT(1 + 預測IC!$C16:AE16) -1</f>
        <v>-1.8685911636304731E-2</v>
      </c>
      <c r="AG9" s="62" cm="1">
        <f t="array" ref="AG9">PRODUCT(1 + 預測IC!$C16:AF16) -1</f>
        <v>-3.341408484525632E-2</v>
      </c>
      <c r="AH9" s="62" cm="1">
        <f t="array" ref="AH9">PRODUCT(1 + 預測IC!$C16:AG16) -1</f>
        <v>-4.1438591803122038E-2</v>
      </c>
      <c r="AI9" s="62" cm="1">
        <f t="array" ref="AI9">PRODUCT(1 + 預測IC!$C16:AH16) -1</f>
        <v>-8.3717878069184515E-2</v>
      </c>
      <c r="AJ9" s="62" cm="1">
        <f t="array" ref="AJ9">PRODUCT(1 + 預測IC!$C16:AI16) -1</f>
        <v>-3.87485445271466E-2</v>
      </c>
      <c r="AK9" s="62" cm="1">
        <f t="array" ref="AK9">PRODUCT(1 + 預測IC!$C16:AJ16) -1</f>
        <v>-5.5694678792296837E-2</v>
      </c>
      <c r="AL9" s="62" cm="1">
        <f t="array" ref="AL9">PRODUCT(1 + 預測IC!$C16:AK16) -1</f>
        <v>5.1387928133663774E-3</v>
      </c>
      <c r="AM9" s="62" cm="1">
        <f t="array" ref="AM9">PRODUCT(1 + 預測IC!$C16:AL16) -1</f>
        <v>-9.408089942269604E-3</v>
      </c>
      <c r="AN9" s="62" cm="1">
        <f t="array" ref="AN9">PRODUCT(1 + 預測IC!$C16:AM16) -1</f>
        <v>1.4102156438744684E-2</v>
      </c>
      <c r="AO9" s="62" cm="1">
        <f t="array" ref="AO9">PRODUCT(1 + 預測IC!$C16:AN16) -1</f>
        <v>-3.9353341950063014E-2</v>
      </c>
      <c r="AP9" s="62" cm="1">
        <f t="array" ref="AP9">PRODUCT(1 + 預測IC!$C16:AO16) -1</f>
        <v>-8.8648341532737707E-4</v>
      </c>
      <c r="AQ9" s="62" cm="1">
        <f t="array" ref="AQ9">PRODUCT(1 + 預測IC!$C16:AP16) -1</f>
        <v>4.3487610728214499E-3</v>
      </c>
      <c r="AR9" s="62" cm="1">
        <f t="array" ref="AR9">PRODUCT(1 + 預測IC!$C16:AQ16) -1</f>
        <v>-1.9791819837077784E-2</v>
      </c>
      <c r="AS9" s="62" cm="1">
        <f t="array" ref="AS9">PRODUCT(1 + 預測IC!$C16:AR16) -1</f>
        <v>1.2057849036597013E-2</v>
      </c>
      <c r="AT9" s="62" cm="1">
        <f t="array" ref="AT9">PRODUCT(1 + 預測IC!$C16:AS16) -1</f>
        <v>-1.6360436961483482E-2</v>
      </c>
      <c r="AU9" s="62" cm="1">
        <f t="array" ref="AU9">PRODUCT(1 + 預測IC!$C16:AT16) -1</f>
        <v>-1.2485419021821875E-2</v>
      </c>
      <c r="AV9" s="62" cm="1">
        <f t="array" ref="AV9">PRODUCT(1 + 預測IC!$C16:AU16) -1</f>
        <v>0.15562500339088392</v>
      </c>
      <c r="AW9" s="62" cm="1">
        <f t="array" ref="AW9">PRODUCT(1 + 預測IC!$C16:AV16) -1</f>
        <v>0.18290801120066447</v>
      </c>
      <c r="AX9" s="62" cm="1">
        <f t="array" ref="AX9">PRODUCT(1 + 預測IC!$C16:AW16) -1</f>
        <v>0.29298705609283093</v>
      </c>
      <c r="AY9" s="62" cm="1">
        <f t="array" ref="AY9">PRODUCT(1 + 預測IC!$C16:AX16) -1</f>
        <v>0.28411993807008784</v>
      </c>
      <c r="AZ9" s="62" cm="1">
        <f t="array" ref="AZ9">PRODUCT(1 + 預測IC!$C16:AY16) -1</f>
        <v>0.23959473292908307</v>
      </c>
      <c r="BA9" s="62" cm="1">
        <f t="array" ref="BA9">PRODUCT(1 + 預測IC!$C16:AZ16) -1</f>
        <v>0.29764108178239224</v>
      </c>
      <c r="BB9" s="62" cm="1">
        <f t="array" ref="BB9">PRODUCT(1 + 預測IC!$C16:BA16) -1</f>
        <v>0.50525158703210948</v>
      </c>
      <c r="BC9" s="62" cm="1">
        <f t="array" ref="BC9">PRODUCT(1 + 預測IC!$C16:BB16) -1</f>
        <v>0.70465939604101147</v>
      </c>
      <c r="BD9" s="62" cm="1">
        <f t="array" ref="BD9">PRODUCT(1 + 預測IC!$C16:BC16) -1</f>
        <v>0.81734120924960196</v>
      </c>
      <c r="BE9" s="62" cm="1">
        <f t="array" ref="BE9">PRODUCT(1 + 預測IC!$C16:BD16) -1</f>
        <v>0.78656232248683189</v>
      </c>
      <c r="BF9" s="62" cm="1">
        <f t="array" ref="BF9">PRODUCT(1 + 預測IC!$C16:BE16) -1</f>
        <v>0.70770500401858683</v>
      </c>
      <c r="BG9" s="62" cm="1">
        <f t="array" ref="BG9">PRODUCT(1 + 預測IC!$C16:BF16) -1</f>
        <v>0.61448998920789499</v>
      </c>
      <c r="BH9" s="62" cm="1">
        <f t="array" ref="BH9">PRODUCT(1 + 預測IC!$C16:BG16) -1</f>
        <v>0.6457000293430144</v>
      </c>
      <c r="BI9" s="62" cm="1">
        <f t="array" ref="BI9">PRODUCT(1 + 預測IC!$C16:BH16) -1</f>
        <v>0.54360075747235825</v>
      </c>
      <c r="BJ9" s="62" cm="1">
        <f t="array" ref="BJ9">PRODUCT(1 + 預測IC!$C16:BI16) -1</f>
        <v>0.58314795385927432</v>
      </c>
      <c r="BK9" s="62" cm="1">
        <f t="array" ref="BK9">PRODUCT(1 + 預測IC!$C16:BJ16) -1</f>
        <v>0.6156085286543409</v>
      </c>
      <c r="BL9" s="62" cm="1">
        <f t="array" ref="BL9">PRODUCT(1 + 預測IC!$C16:BK16) -1</f>
        <v>0.78488100886724377</v>
      </c>
      <c r="BM9" s="62" cm="1">
        <f t="array" ref="BM9">PRODUCT(1 + 預測IC!$C16:BL16) -1</f>
        <v>0.76986256064145309</v>
      </c>
      <c r="BN9" s="62" cm="1">
        <f t="array" ref="BN9">PRODUCT(1 + 預測IC!$C16:BM16) -1</f>
        <v>0.64631584401184172</v>
      </c>
      <c r="BO9" s="62" cm="1">
        <f t="array" ref="BO9">PRODUCT(1 + 預測IC!$C16:BN16) -1</f>
        <v>0.53568676064916332</v>
      </c>
      <c r="BP9" s="62" cm="1">
        <f t="array" ref="BP9">PRODUCT(1 + 預測IC!$C16:BO16) -1</f>
        <v>0.56019681122511655</v>
      </c>
      <c r="BQ9" s="62" cm="1">
        <f t="array" ref="BQ9">PRODUCT(1 + 預測IC!$C16:BP16) -1</f>
        <v>0.65029827174682064</v>
      </c>
      <c r="BR9" s="62" cm="1">
        <f t="array" ref="BR9">PRODUCT(1 + 預測IC!$C16:BQ16) -1</f>
        <v>0.69628123010823617</v>
      </c>
      <c r="BS9" s="62" cm="1">
        <f t="array" ref="BS9">PRODUCT(1 + 預測IC!$C16:BR16) -1</f>
        <v>0.71707653381825254</v>
      </c>
      <c r="BT9" s="62" cm="1">
        <f t="array" ref="BT9">PRODUCT(1 + 預測IC!$C16:BS16) -1</f>
        <v>0.8526949936461683</v>
      </c>
      <c r="BU9" s="62" cm="1">
        <f t="array" ref="BU9">PRODUCT(1 + 預測IC!$C16:BT16) -1</f>
        <v>0.78217016111459747</v>
      </c>
      <c r="BV9" s="62" cm="1">
        <f t="array" ref="BV9">PRODUCT(1 + 預測IC!$C16:BU16) -1</f>
        <v>0.6012147082631154</v>
      </c>
      <c r="BW9" s="62" cm="1">
        <f t="array" ref="BW9">PRODUCT(1 + 預測IC!$C16:BV16) -1</f>
        <v>0.75254626045719375</v>
      </c>
      <c r="BX9" s="62" cm="1">
        <f t="array" ref="BX9">PRODUCT(1 + 預測IC!$C16:BW16) -1</f>
        <v>1.145020082039208</v>
      </c>
      <c r="BY9" s="62" cm="1">
        <f t="array" ref="BY9">PRODUCT(1 + 預測IC!$C16:BX16) -1</f>
        <v>1.1966684586539569</v>
      </c>
      <c r="BZ9" s="62" cm="1">
        <f t="array" ref="BZ9">PRODUCT(1 + 預測IC!$C16:BY16) -1</f>
        <v>0.93527653672658406</v>
      </c>
      <c r="CA9" s="62" cm="1">
        <f t="array" ref="CA9">PRODUCT(1 + 預測IC!$C16:BZ16) -1</f>
        <v>1.1145392808672812</v>
      </c>
      <c r="CB9" s="62" cm="1">
        <f t="array" ref="CB9">PRODUCT(1 + 預測IC!$C16:CA16) -1</f>
        <v>1.1725456811552033</v>
      </c>
      <c r="CC9" s="62" cm="1">
        <f t="array" ref="CC9">PRODUCT(1 + 預測IC!$C16:CB16) -1</f>
        <v>1.4752002737543588</v>
      </c>
      <c r="CD9" s="62" cm="1">
        <f t="array" ref="CD9">PRODUCT(1 + 預測IC!$C16:CC16) -1</f>
        <v>1.5850698426327026</v>
      </c>
      <c r="CE9" s="62" cm="1">
        <f t="array" ref="CE9">PRODUCT(1 + 預測IC!$C16:CD16) -1</f>
        <v>1.8119125397364293</v>
      </c>
      <c r="CF9" s="62" cm="1">
        <f t="array" ref="CF9">PRODUCT(1 + 預測IC!$C16:CE16) -1</f>
        <v>2.0751475682869378</v>
      </c>
      <c r="CG9" s="62" cm="1">
        <f t="array" ref="CG9">PRODUCT(1 + 預測IC!$C16:CF16) -1</f>
        <v>2.0299550059923304</v>
      </c>
      <c r="CH9" s="62" cm="1">
        <f t="array" ref="CH9">PRODUCT(1 + 預測IC!$C16:CG16) -1</f>
        <v>2.4729224293257936</v>
      </c>
      <c r="CI9" s="62" cm="1">
        <f t="array" ref="CI9">PRODUCT(1 + 預測IC!$C16:CH16) -1</f>
        <v>2.4086029847007069</v>
      </c>
      <c r="CJ9" s="62" cm="1">
        <f t="array" ref="CJ9">PRODUCT(1 + 預測IC!$C16:CI16) -1</f>
        <v>2.2097288962391008</v>
      </c>
      <c r="CK9" s="62" cm="1">
        <f t="array" ref="CK9">PRODUCT(1 + 預測IC!$C16:CJ16) -1</f>
        <v>2.298960718306521</v>
      </c>
      <c r="CL9" s="62" cm="1">
        <f t="array" ref="CL9">PRODUCT(1 + 預測IC!$C16:CK16) -1</f>
        <v>2.5323024136630123</v>
      </c>
      <c r="CM9" s="62" cm="1">
        <f t="array" ref="CM9">PRODUCT(1 + 預測IC!$C16:CL16) -1</f>
        <v>3.3939657528835578</v>
      </c>
      <c r="CN9" s="62" cm="1">
        <f t="array" ref="CN9">PRODUCT(1 + 預測IC!$C16:CM16) -1</f>
        <v>2.8972022708283198</v>
      </c>
      <c r="CO9" s="62" cm="1">
        <f t="array" ref="CO9">PRODUCT(1 + 預測IC!$C16:CN16) -1</f>
        <v>2.9346506736727092</v>
      </c>
      <c r="CP9" s="62" cm="1">
        <f t="array" ref="CP9">PRODUCT(1 + 預測IC!$C16:CO16) -1</f>
        <v>3.7591469583468164</v>
      </c>
      <c r="CQ9" s="62" cm="1">
        <f t="array" ref="CQ9">PRODUCT(1 + 預測IC!$C16:CP16) -1</f>
        <v>3.6131152043734343</v>
      </c>
      <c r="CR9" s="62" cm="1">
        <f t="array" ref="CR9">PRODUCT(1 + 預測IC!$C16:CQ16) -1</f>
        <v>4.3901934669032361</v>
      </c>
      <c r="CS9" s="62" cm="1">
        <f t="array" ref="CS9">PRODUCT(1 + 預測IC!$C16:CR16) -1</f>
        <v>4.5261808064138247</v>
      </c>
      <c r="CT9" s="62" cm="1">
        <f t="array" ref="CT9">PRODUCT(1 + 預測IC!$C16:CS16) -1</f>
        <v>4.6466902804954735</v>
      </c>
      <c r="CU9" s="62" cm="1">
        <f t="array" ref="CU9">PRODUCT(1 + 預測IC!$C16:CT16) -1</f>
        <v>4.6180762054598556</v>
      </c>
      <c r="CV9" s="62" cm="1">
        <f t="array" ref="CV9">PRODUCT(1 + 預測IC!$C16:CU16) -1</f>
        <v>5.4835168366601996</v>
      </c>
      <c r="CW9" s="62" cm="1">
        <f t="array" ref="CW9">PRODUCT(1 + 預測IC!$C16:CV16) -1</f>
        <v>5.8689877998938416</v>
      </c>
      <c r="CX9" s="62" cm="1">
        <f t="array" ref="CX9">PRODUCT(1 + 預測IC!$C16:CW16) -1</f>
        <v>5.6514255650639083</v>
      </c>
      <c r="CY9" s="62" cm="1">
        <f t="array" ref="CY9">PRODUCT(1 + 預測IC!$C16:CX16) -1</f>
        <v>5.6959021690607745</v>
      </c>
      <c r="CZ9" s="62" cm="1">
        <f t="array" ref="CZ9">PRODUCT(1 + 預測IC!$C16:CY16) -1</f>
        <v>6.0879760747607143</v>
      </c>
      <c r="DA9" s="62" cm="1">
        <f t="array" ref="DA9">PRODUCT(1 + 預測IC!$C16:CZ16) -1</f>
        <v>7.2661275301369894</v>
      </c>
      <c r="DB9" s="62" cm="1">
        <f t="array" ref="DB9">PRODUCT(1 + 預測IC!$C16:DA16) -1</f>
        <v>8.2430294785942468</v>
      </c>
      <c r="DC9" s="62" cm="1">
        <f t="array" ref="DC9">PRODUCT(1 + 預測IC!$C16:DB16) -1</f>
        <v>9.1490061137193752</v>
      </c>
      <c r="DD9" s="62" cm="1">
        <f t="array" ref="DD9">PRODUCT(1 + 預測IC!$C16:DC16) -1</f>
        <v>9.7959104466100211</v>
      </c>
      <c r="DE9" s="62" cm="1">
        <f t="array" ref="DE9">PRODUCT(1 + 預測IC!$C16:DD16) -1</f>
        <v>8.9930065492274469</v>
      </c>
      <c r="DF9" s="62" cm="1">
        <f t="array" ref="DF9">PRODUCT(1 + 預測IC!$C16:DE16) -1</f>
        <v>8.4301413309526776</v>
      </c>
      <c r="DG9" s="62" cm="1">
        <f t="array" ref="DG9">PRODUCT(1 + 預測IC!$C16:DF16) -1</f>
        <v>11.500402510569531</v>
      </c>
      <c r="DH9" s="62" cm="1">
        <f t="array" ref="DH9">PRODUCT(1 + 預測IC!$C16:DG16) -1</f>
        <v>10.929422687267293</v>
      </c>
      <c r="DI9" s="62" cm="1">
        <f t="array" ref="DI9">PRODUCT(1 + 預測IC!$C16:DH16) -1</f>
        <v>10.701220663904421</v>
      </c>
      <c r="DJ9" s="62" cm="1">
        <f t="array" ref="DJ9">PRODUCT(1 + 預測IC!$C16:DI16) -1</f>
        <v>10.546373429502811</v>
      </c>
      <c r="DK9" s="62" cm="1">
        <f t="array" ref="DK9">PRODUCT(1 + 預測IC!$C16:DJ16) -1</f>
        <v>10.123278019893375</v>
      </c>
      <c r="DL9" s="62" cm="1">
        <f t="array" ref="DL9">PRODUCT(1 + 預測IC!$C16:DK16) -1</f>
        <v>9.0526110675513785</v>
      </c>
      <c r="DM9" s="62" cm="1">
        <f t="array" ref="DM9">PRODUCT(1 + 預測IC!$C16:DL16) -1</f>
        <v>9.0663426536803957</v>
      </c>
      <c r="DN9" s="62" cm="1">
        <f t="array" ref="DN9">PRODUCT(1 + 預測IC!$C16:DM16) -1</f>
        <v>9.45022258608949</v>
      </c>
      <c r="DO9" s="62" cm="1">
        <f t="array" ref="DO9">PRODUCT(1 + 預測IC!$C16:DN16) -1</f>
        <v>8.8576157847662849</v>
      </c>
      <c r="DP9" s="62" cm="1">
        <f t="array" ref="DP9">PRODUCT(1 + 預測IC!$C16:DO16) -1</f>
        <v>10.529378174834818</v>
      </c>
      <c r="DQ9" s="62" cm="1">
        <f t="array" ref="DQ9">PRODUCT(1 + 預測IC!$C16:DP16) -1</f>
        <v>10.244411337883069</v>
      </c>
      <c r="DR9" s="62" cm="1">
        <f t="array" ref="DR9">PRODUCT(1 + 預測IC!$C16:DQ16) -1</f>
        <v>9.4847330614130847</v>
      </c>
      <c r="DS9" s="62" cm="1">
        <f t="array" ref="DS9">PRODUCT(1 + 預測IC!$C16:DR16) -1</f>
        <v>9.3675329574965343</v>
      </c>
      <c r="DT9" s="62" cm="1">
        <f t="array" ref="DT9">PRODUCT(1 + 預測IC!$C16:DS16) -1</f>
        <v>9.5898198384742024</v>
      </c>
      <c r="DU9" s="62" cm="1">
        <f t="array" ref="DU9">PRODUCT(1 + 預測IC!$C16:DT16) -1</f>
        <v>9.9293240844899895</v>
      </c>
      <c r="DV9" s="62" cm="1">
        <f t="array" ref="DV9">PRODUCT(1 + 預測IC!$C16:DU16) -1</f>
        <v>8.5875085995244316</v>
      </c>
      <c r="DW9" s="62" cm="1">
        <f t="array" ref="DW9">PRODUCT(1 + 預測IC!$C16:DV16) -1</f>
        <v>9.0203748758092264</v>
      </c>
      <c r="DX9" s="62" cm="1">
        <f t="array" ref="DX9">PRODUCT(1 + 預測IC!$C16:DW16) -1</f>
        <v>8.3058963534830212</v>
      </c>
      <c r="DY9" s="62" cm="1">
        <f t="array" ref="DY9">PRODUCT(1 + 預測IC!$C16:DX16) -1</f>
        <v>7.1400098617555283</v>
      </c>
      <c r="DZ9" s="62" cm="1">
        <f t="array" ref="DZ9">PRODUCT(1 + 預測IC!$C16:DY16) -1</f>
        <v>8.0871352953837281</v>
      </c>
      <c r="EA9" s="62" cm="1">
        <f t="array" ref="EA9">PRODUCT(1 + 預測IC!$C16:DZ16) -1</f>
        <v>8.6215565210185066</v>
      </c>
      <c r="EB9" s="62" cm="1">
        <f t="array" ref="EB9">PRODUCT(1 + 預測IC!$C16:EA16) -1</f>
        <v>9.9666406814409569</v>
      </c>
      <c r="EC9" s="62" cm="1">
        <f t="array" ref="EC9">PRODUCT(1 + 預測IC!$C16:EB16) -1</f>
        <v>9.1893751563729502</v>
      </c>
      <c r="ED9" s="62" cm="1">
        <f t="array" ref="ED9">PRODUCT(1 + 預測IC!$C16:EC16) -1</f>
        <v>8.9352725539569544</v>
      </c>
      <c r="EE9" s="62" cm="1">
        <f t="array" ref="EE9">PRODUCT(1 + 預測IC!$C16:ED16) -1</f>
        <v>8.1376200647208154</v>
      </c>
      <c r="EF9" s="62" cm="1">
        <f t="array" ref="EF9">PRODUCT(1 + 預測IC!$C16:EE16) -1</f>
        <v>8.0974449162197057</v>
      </c>
      <c r="EG9" s="62" cm="1">
        <f t="array" ref="EG9">PRODUCT(1 + 預測IC!$C16:EF16) -1</f>
        <v>8.4603775350307906</v>
      </c>
    </row>
    <row r="10" spans="3:137" ht="16">
      <c r="C10" s="6">
        <v>120</v>
      </c>
      <c r="D10" s="62" cm="1">
        <f t="array" ref="D10">PRODUCT(1 + 預測IC!$C17:C17) -1</f>
        <v>-4.5056429492109085E-2</v>
      </c>
      <c r="E10" s="62" cm="1">
        <f t="array" ref="E10">PRODUCT(1 + 預測IC!$C17:D17) -1</f>
        <v>-6.1609779192245751E-2</v>
      </c>
      <c r="F10" s="62" cm="1">
        <f t="array" ref="F10">PRODUCT(1 + 預測IC!$C17:E17) -1</f>
        <v>1.3076557151598944E-2</v>
      </c>
      <c r="G10" s="62" cm="1">
        <f t="array" ref="G10">PRODUCT(1 + 預測IC!$C17:F17) -1</f>
        <v>-0.10123648418097242</v>
      </c>
      <c r="H10" s="62" cm="1">
        <f t="array" ref="H10">PRODUCT(1 + 預測IC!$C17:G17) -1</f>
        <v>-0.171396697211605</v>
      </c>
      <c r="I10" s="62" cm="1">
        <f t="array" ref="I10">PRODUCT(1 + 預測IC!$C17:H17) -1</f>
        <v>-8.4398277602516947E-2</v>
      </c>
      <c r="J10" s="62" cm="1">
        <f t="array" ref="J10">PRODUCT(1 + 預測IC!$C17:I17) -1</f>
        <v>-2.2604633161451004E-2</v>
      </c>
      <c r="K10" s="62" cm="1">
        <f t="array" ref="K10">PRODUCT(1 + 預測IC!$C17:J17) -1</f>
        <v>-0.13529741314891131</v>
      </c>
      <c r="L10" s="62" cm="1">
        <f t="array" ref="L10">PRODUCT(1 + 預測IC!$C17:K17) -1</f>
        <v>-0.10118922659932639</v>
      </c>
      <c r="M10" s="62" cm="1">
        <f t="array" ref="M10">PRODUCT(1 + 預測IC!$C17:L17) -1</f>
        <v>-9.6283734074060989E-2</v>
      </c>
      <c r="N10" s="62" cm="1">
        <f t="array" ref="N10">PRODUCT(1 + 預測IC!$C17:M17) -1</f>
        <v>-0.30137367939473192</v>
      </c>
      <c r="O10" s="62" cm="1">
        <f t="array" ref="O10">PRODUCT(1 + 預測IC!$C17:N17) -1</f>
        <v>-1.8354561661629298E-2</v>
      </c>
      <c r="P10" s="62" cm="1">
        <f t="array" ref="P10">PRODUCT(1 + 預測IC!$C17:O17) -1</f>
        <v>-4.2534506297334684E-2</v>
      </c>
      <c r="Q10" s="62" cm="1">
        <f t="array" ref="Q10">PRODUCT(1 + 預測IC!$C17:P17) -1</f>
        <v>3.1109529984008955E-2</v>
      </c>
      <c r="R10" s="62" cm="1">
        <f t="array" ref="R10">PRODUCT(1 + 預測IC!$C17:Q17) -1</f>
        <v>-7.8631718458289201E-2</v>
      </c>
      <c r="S10" s="62" cm="1">
        <f t="array" ref="S10">PRODUCT(1 + 預測IC!$C17:R17) -1</f>
        <v>-7.6811784580205766E-2</v>
      </c>
      <c r="T10" s="62" cm="1">
        <f t="array" ref="T10">PRODUCT(1 + 預測IC!$C17:S17) -1</f>
        <v>-0.12770902103372261</v>
      </c>
      <c r="U10" s="62" cm="1">
        <f t="array" ref="U10">PRODUCT(1 + 預測IC!$C17:T17) -1</f>
        <v>-0.14821447855172931</v>
      </c>
      <c r="V10" s="62" cm="1">
        <f t="array" ref="V10">PRODUCT(1 + 預測IC!$C17:U17) -1</f>
        <v>-2.7468857836377536E-2</v>
      </c>
      <c r="W10" s="62" cm="1">
        <f t="array" ref="W10">PRODUCT(1 + 預測IC!$C17:V17) -1</f>
        <v>-0.14062898514307531</v>
      </c>
      <c r="X10" s="62" cm="1">
        <f t="array" ref="X10">PRODUCT(1 + 預測IC!$C17:W17) -1</f>
        <v>-7.2616653908490369E-2</v>
      </c>
      <c r="Y10" s="62" cm="1">
        <f t="array" ref="Y10">PRODUCT(1 + 預測IC!$C17:X17) -1</f>
        <v>-0.16552745122006263</v>
      </c>
      <c r="Z10" s="62" cm="1">
        <f t="array" ref="Z10">PRODUCT(1 + 預測IC!$C17:Y17) -1</f>
        <v>-0.16427532405365941</v>
      </c>
      <c r="AA10" s="62" cm="1">
        <f t="array" ref="AA10">PRODUCT(1 + 預測IC!$C17:Z17) -1</f>
        <v>-0.18233407218466247</v>
      </c>
      <c r="AB10" s="62" cm="1">
        <f t="array" ref="AB10">PRODUCT(1 + 預測IC!$C17:AA17) -1</f>
        <v>-0.13143093636355374</v>
      </c>
      <c r="AC10" s="62" cm="1">
        <f t="array" ref="AC10">PRODUCT(1 + 預測IC!$C17:AB17) -1</f>
        <v>-0.18209818369276087</v>
      </c>
      <c r="AD10" s="62" cm="1">
        <f t="array" ref="AD10">PRODUCT(1 + 預測IC!$C17:AC17) -1</f>
        <v>-0.21546776888312513</v>
      </c>
      <c r="AE10" s="62" cm="1">
        <f t="array" ref="AE10">PRODUCT(1 + 預測IC!$C17:AD17) -1</f>
        <v>-0.16163330586027624</v>
      </c>
      <c r="AF10" s="62" cm="1">
        <f t="array" ref="AF10">PRODUCT(1 + 預測IC!$C17:AE17) -1</f>
        <v>-0.11179785553230304</v>
      </c>
      <c r="AG10" s="62" cm="1">
        <f t="array" ref="AG10">PRODUCT(1 + 預測IC!$C17:AF17) -1</f>
        <v>-0.11926873982309283</v>
      </c>
      <c r="AH10" s="62" cm="1">
        <f t="array" ref="AH10">PRODUCT(1 + 預測IC!$C17:AG17) -1</f>
        <v>-0.12045919855523979</v>
      </c>
      <c r="AI10" s="62" cm="1">
        <f t="array" ref="AI10">PRODUCT(1 + 預測IC!$C17:AH17) -1</f>
        <v>-0.14853541645827228</v>
      </c>
      <c r="AJ10" s="62" cm="1">
        <f t="array" ref="AJ10">PRODUCT(1 + 預測IC!$C17:AI17) -1</f>
        <v>-0.12249106585833014</v>
      </c>
      <c r="AK10" s="62" cm="1">
        <f t="array" ref="AK10">PRODUCT(1 + 預測IC!$C17:AJ17) -1</f>
        <v>-0.13150523111521661</v>
      </c>
      <c r="AL10" s="62" cm="1">
        <f t="array" ref="AL10">PRODUCT(1 + 預測IC!$C17:AK17) -1</f>
        <v>-0.10387625343915263</v>
      </c>
      <c r="AM10" s="62" cm="1">
        <f t="array" ref="AM10">PRODUCT(1 + 預測IC!$C17:AL17) -1</f>
        <v>-0.11282291395997623</v>
      </c>
      <c r="AN10" s="62" cm="1">
        <f t="array" ref="AN10">PRODUCT(1 + 預測IC!$C17:AM17) -1</f>
        <v>-8.8097496409439646E-2</v>
      </c>
      <c r="AO10" s="62" cm="1">
        <f t="array" ref="AO10">PRODUCT(1 + 預測IC!$C17:AN17) -1</f>
        <v>-0.13310934359650095</v>
      </c>
      <c r="AP10" s="62" cm="1">
        <f t="array" ref="AP10">PRODUCT(1 + 預測IC!$C17:AO17) -1</f>
        <v>-0.10649230779133723</v>
      </c>
      <c r="AQ10" s="62" cm="1">
        <f t="array" ref="AQ10">PRODUCT(1 + 預測IC!$C17:AP17) -1</f>
        <v>-0.10313444191882848</v>
      </c>
      <c r="AR10" s="62" cm="1">
        <f t="array" ref="AR10">PRODUCT(1 + 預測IC!$C17:AQ17) -1</f>
        <v>-0.11141609263081032</v>
      </c>
      <c r="AS10" s="62" cm="1">
        <f t="array" ref="AS10">PRODUCT(1 + 預測IC!$C17:AR17) -1</f>
        <v>-8.0318071901381405E-2</v>
      </c>
      <c r="AT10" s="62" cm="1">
        <f t="array" ref="AT10">PRODUCT(1 + 預測IC!$C17:AS17) -1</f>
        <v>-0.10746425906432777</v>
      </c>
      <c r="AU10" s="62" cm="1">
        <f t="array" ref="AU10">PRODUCT(1 + 預測IC!$C17:AT17) -1</f>
        <v>-0.10618553920424711</v>
      </c>
      <c r="AV10" s="62" cm="1">
        <f t="array" ref="AV10">PRODUCT(1 + 預測IC!$C17:AU17) -1</f>
        <v>5.2521967097656441E-2</v>
      </c>
      <c r="AW10" s="62" cm="1">
        <f t="array" ref="AW10">PRODUCT(1 + 預測IC!$C17:AV17) -1</f>
        <v>8.1532686992186409E-2</v>
      </c>
      <c r="AX10" s="62" cm="1">
        <f t="array" ref="AX10">PRODUCT(1 + 預測IC!$C17:AW17) -1</f>
        <v>0.20266633266294565</v>
      </c>
      <c r="AY10" s="62" cm="1">
        <f t="array" ref="AY10">PRODUCT(1 + 預測IC!$C17:AX17) -1</f>
        <v>0.21540303618671164</v>
      </c>
      <c r="AZ10" s="62" cm="1">
        <f t="array" ref="AZ10">PRODUCT(1 + 預測IC!$C17:AY17) -1</f>
        <v>0.1702252853605013</v>
      </c>
      <c r="BA10" s="62" cm="1">
        <f t="array" ref="BA10">PRODUCT(1 + 預測IC!$C17:AZ17) -1</f>
        <v>0.22637320220656143</v>
      </c>
      <c r="BB10" s="62" cm="1">
        <f t="array" ref="BB10">PRODUCT(1 + 預測IC!$C17:BA17) -1</f>
        <v>0.42603462034471407</v>
      </c>
      <c r="BC10" s="62" cm="1">
        <f t="array" ref="BC10">PRODUCT(1 + 預測IC!$C17:BB17) -1</f>
        <v>0.64460477803038718</v>
      </c>
      <c r="BD10" s="62" cm="1">
        <f t="array" ref="BD10">PRODUCT(1 + 預測IC!$C17:BC17) -1</f>
        <v>0.78064084681362989</v>
      </c>
      <c r="BE10" s="62" cm="1">
        <f t="array" ref="BE10">PRODUCT(1 + 預測IC!$C17:BD17) -1</f>
        <v>0.80463467920321818</v>
      </c>
      <c r="BF10" s="62" cm="1">
        <f t="array" ref="BF10">PRODUCT(1 + 預測IC!$C17:BE17) -1</f>
        <v>0.77522384624743701</v>
      </c>
      <c r="BG10" s="62" cm="1">
        <f t="array" ref="BG10">PRODUCT(1 + 預測IC!$C17:BF17) -1</f>
        <v>0.74267129201612714</v>
      </c>
      <c r="BH10" s="62" cm="1">
        <f t="array" ref="BH10">PRODUCT(1 + 預測IC!$C17:BG17) -1</f>
        <v>0.71974939491479595</v>
      </c>
      <c r="BI10" s="62" cm="1">
        <f t="array" ref="BI10">PRODUCT(1 + 預測IC!$C17:BH17) -1</f>
        <v>0.63593225880296056</v>
      </c>
      <c r="BJ10" s="62" cm="1">
        <f t="array" ref="BJ10">PRODUCT(1 + 預測IC!$C17:BI17) -1</f>
        <v>0.72991595153275934</v>
      </c>
      <c r="BK10" s="62" cm="1">
        <f t="array" ref="BK10">PRODUCT(1 + 預測IC!$C17:BJ17) -1</f>
        <v>0.74696957417026622</v>
      </c>
      <c r="BL10" s="62" cm="1">
        <f t="array" ref="BL10">PRODUCT(1 + 預測IC!$C17:BK17) -1</f>
        <v>0.94754926942768547</v>
      </c>
      <c r="BM10" s="62" cm="1">
        <f t="array" ref="BM10">PRODUCT(1 + 預測IC!$C17:BL17) -1</f>
        <v>0.9622992385206548</v>
      </c>
      <c r="BN10" s="62" cm="1">
        <f t="array" ref="BN10">PRODUCT(1 + 預測IC!$C17:BM17) -1</f>
        <v>0.80930401450945122</v>
      </c>
      <c r="BO10" s="62" cm="1">
        <f t="array" ref="BO10">PRODUCT(1 + 預測IC!$C17:BN17) -1</f>
        <v>0.6760365285863934</v>
      </c>
      <c r="BP10" s="62" cm="1">
        <f t="array" ref="BP10">PRODUCT(1 + 預測IC!$C17:BO17) -1</f>
        <v>0.7285807743618351</v>
      </c>
      <c r="BQ10" s="62" cm="1">
        <f t="array" ref="BQ10">PRODUCT(1 + 預測IC!$C17:BP17) -1</f>
        <v>0.83339870930324622</v>
      </c>
      <c r="BR10" s="62" cm="1">
        <f t="array" ref="BR10">PRODUCT(1 + 預測IC!$C17:BQ17) -1</f>
        <v>0.92257998361505078</v>
      </c>
      <c r="BS10" s="62" cm="1">
        <f t="array" ref="BS10">PRODUCT(1 + 預測IC!$C17:BR17) -1</f>
        <v>0.98987761763569515</v>
      </c>
      <c r="BT10" s="62" cm="1">
        <f t="array" ref="BT10">PRODUCT(1 + 預測IC!$C17:BS17) -1</f>
        <v>1.1141420598130916</v>
      </c>
      <c r="BU10" s="62" cm="1">
        <f t="array" ref="BU10">PRODUCT(1 + 預測IC!$C17:BT17) -1</f>
        <v>1.0430063100023235</v>
      </c>
      <c r="BV10" s="62" cm="1">
        <f t="array" ref="BV10">PRODUCT(1 + 預測IC!$C17:BU17) -1</f>
        <v>0.82946250650811626</v>
      </c>
      <c r="BW10" s="62" cm="1">
        <f t="array" ref="BW10">PRODUCT(1 + 預測IC!$C17:BV17) -1</f>
        <v>1.0245635553655466</v>
      </c>
      <c r="BX10" s="62" cm="1">
        <f t="array" ref="BX10">PRODUCT(1 + 預測IC!$C17:BW17) -1</f>
        <v>1.4846134196203202</v>
      </c>
      <c r="BY10" s="62" cm="1">
        <f t="array" ref="BY10">PRODUCT(1 + 預測IC!$C17:BX17) -1</f>
        <v>1.5025049973210836</v>
      </c>
      <c r="BZ10" s="62" cm="1">
        <f t="array" ref="BZ10">PRODUCT(1 + 預測IC!$C17:BY17) -1</f>
        <v>1.2626126862937497</v>
      </c>
      <c r="CA10" s="62" cm="1">
        <f t="array" ref="CA10">PRODUCT(1 + 預測IC!$C17:BZ17) -1</f>
        <v>1.504602267550065</v>
      </c>
      <c r="CB10" s="62" cm="1">
        <f t="array" ref="CB10">PRODUCT(1 + 預測IC!$C17:CA17) -1</f>
        <v>1.5727193953730603</v>
      </c>
      <c r="CC10" s="62" cm="1">
        <f t="array" ref="CC10">PRODUCT(1 + 預測IC!$C17:CB17) -1</f>
        <v>1.9576835223604729</v>
      </c>
      <c r="CD10" s="62" cm="1">
        <f t="array" ref="CD10">PRODUCT(1 + 預測IC!$C17:CC17) -1</f>
        <v>2.0811971329931325</v>
      </c>
      <c r="CE10" s="62" cm="1">
        <f t="array" ref="CE10">PRODUCT(1 + 預測IC!$C17:CD17) -1</f>
        <v>2.2787201877524739</v>
      </c>
      <c r="CF10" s="62" cm="1">
        <f t="array" ref="CF10">PRODUCT(1 + 預測IC!$C17:CE17) -1</f>
        <v>2.5925201809973184</v>
      </c>
      <c r="CG10" s="62" cm="1">
        <f t="array" ref="CG10">PRODUCT(1 + 預測IC!$C17:CF17) -1</f>
        <v>2.2507876302527707</v>
      </c>
      <c r="CH10" s="62" cm="1">
        <f t="array" ref="CH10">PRODUCT(1 + 預測IC!$C17:CG17) -1</f>
        <v>2.8262895418661786</v>
      </c>
      <c r="CI10" s="62" cm="1">
        <f t="array" ref="CI10">PRODUCT(1 + 預測IC!$C17:CH17) -1</f>
        <v>2.7392286792154268</v>
      </c>
      <c r="CJ10" s="62" cm="1">
        <f t="array" ref="CJ10">PRODUCT(1 + 預測IC!$C17:CI17) -1</f>
        <v>2.4309183773049767</v>
      </c>
      <c r="CK10" s="62" cm="1">
        <f t="array" ref="CK10">PRODUCT(1 + 預測IC!$C17:CJ17) -1</f>
        <v>2.5623978306246289</v>
      </c>
      <c r="CL10" s="62" cm="1">
        <f t="array" ref="CL10">PRODUCT(1 + 預測IC!$C17:CK17) -1</f>
        <v>2.8322243934501237</v>
      </c>
      <c r="CM10" s="62" cm="1">
        <f t="array" ref="CM10">PRODUCT(1 + 預測IC!$C17:CL17) -1</f>
        <v>3.93275913802327</v>
      </c>
      <c r="CN10" s="62" cm="1">
        <f t="array" ref="CN10">PRODUCT(1 + 預測IC!$C17:CM17) -1</f>
        <v>3.4617108741277018</v>
      </c>
      <c r="CO10" s="62" cm="1">
        <f t="array" ref="CO10">PRODUCT(1 + 預測IC!$C17:CN17) -1</f>
        <v>3.5225267761736019</v>
      </c>
      <c r="CP10" s="62" cm="1">
        <f t="array" ref="CP10">PRODUCT(1 + 預測IC!$C17:CO17) -1</f>
        <v>4.4183507789608809</v>
      </c>
      <c r="CQ10" s="62" cm="1">
        <f t="array" ref="CQ10">PRODUCT(1 + 預測IC!$C17:CP17) -1</f>
        <v>4.3012627711166269</v>
      </c>
      <c r="CR10" s="62" cm="1">
        <f t="array" ref="CR10">PRODUCT(1 + 預測IC!$C17:CQ17) -1</f>
        <v>5.2190659327789062</v>
      </c>
      <c r="CS10" s="62" cm="1">
        <f t="array" ref="CS10">PRODUCT(1 + 預測IC!$C17:CR17) -1</f>
        <v>5.3621407035139894</v>
      </c>
      <c r="CT10" s="62" cm="1">
        <f t="array" ref="CT10">PRODUCT(1 + 預測IC!$C17:CS17) -1</f>
        <v>5.4355948990002085</v>
      </c>
      <c r="CU10" s="62" cm="1">
        <f t="array" ref="CU10">PRODUCT(1 + 預測IC!$C17:CT17) -1</f>
        <v>5.1185771313774548</v>
      </c>
      <c r="CV10" s="62" cm="1">
        <f t="array" ref="CV10">PRODUCT(1 + 預測IC!$C17:CU17) -1</f>
        <v>5.431285143895483</v>
      </c>
      <c r="CW10" s="62" cm="1">
        <f t="array" ref="CW10">PRODUCT(1 + 預測IC!$C17:CV17) -1</f>
        <v>5.8679116333899568</v>
      </c>
      <c r="CX10" s="62" cm="1">
        <f t="array" ref="CX10">PRODUCT(1 + 預測IC!$C17:CW17) -1</f>
        <v>5.708879337405091</v>
      </c>
      <c r="CY10" s="62" cm="1">
        <f t="array" ref="CY10">PRODUCT(1 + 預測IC!$C17:CX17) -1</f>
        <v>5.8765506634711606</v>
      </c>
      <c r="CZ10" s="62" cm="1">
        <f t="array" ref="CZ10">PRODUCT(1 + 預測IC!$C17:CY17) -1</f>
        <v>6.2856913438079989</v>
      </c>
      <c r="DA10" s="62" cm="1">
        <f t="array" ref="DA10">PRODUCT(1 + 預測IC!$C17:CZ17) -1</f>
        <v>7.6272290097174054</v>
      </c>
      <c r="DB10" s="62" cm="1">
        <f t="array" ref="DB10">PRODUCT(1 + 預測IC!$C17:DA17) -1</f>
        <v>8.4424710863776316</v>
      </c>
      <c r="DC10" s="62" cm="1">
        <f t="array" ref="DC10">PRODUCT(1 + 預測IC!$C17:DB17) -1</f>
        <v>9.427052899097081</v>
      </c>
      <c r="DD10" s="62" cm="1">
        <f t="array" ref="DD10">PRODUCT(1 + 預測IC!$C17:DC17) -1</f>
        <v>9.9889492827016539</v>
      </c>
      <c r="DE10" s="62" cm="1">
        <f t="array" ref="DE10">PRODUCT(1 + 預測IC!$C17:DD17) -1</f>
        <v>9.4600446775142082</v>
      </c>
      <c r="DF10" s="62" cm="1">
        <f t="array" ref="DF10">PRODUCT(1 + 預測IC!$C17:DE17) -1</f>
        <v>8.9196132575124718</v>
      </c>
      <c r="DG10" s="62" cm="1">
        <f t="array" ref="DG10">PRODUCT(1 + 預測IC!$C17:DF17) -1</f>
        <v>12.413554535298445</v>
      </c>
      <c r="DH10" s="62" cm="1">
        <f t="array" ref="DH10">PRODUCT(1 + 預測IC!$C17:DG17) -1</f>
        <v>11.780287367347098</v>
      </c>
      <c r="DI10" s="62" cm="1">
        <f t="array" ref="DI10">PRODUCT(1 + 預測IC!$C17:DH17) -1</f>
        <v>11.285349639584354</v>
      </c>
      <c r="DJ10" s="62" cm="1">
        <f t="array" ref="DJ10">PRODUCT(1 + 預測IC!$C17:DI17) -1</f>
        <v>11.220320282338941</v>
      </c>
      <c r="DK10" s="62" cm="1">
        <f t="array" ref="DK10">PRODUCT(1 + 預測IC!$C17:DJ17) -1</f>
        <v>10.666297916819545</v>
      </c>
      <c r="DL10" s="62" cm="1">
        <f t="array" ref="DL10">PRODUCT(1 + 預測IC!$C17:DK17) -1</f>
        <v>9.4672210153331076</v>
      </c>
      <c r="DM10" s="62" cm="1">
        <f t="array" ref="DM10">PRODUCT(1 + 預測IC!$C17:DL17) -1</f>
        <v>9.4066121866598369</v>
      </c>
      <c r="DN10" s="62" cm="1">
        <f t="array" ref="DN10">PRODUCT(1 + 預測IC!$C17:DM17) -1</f>
        <v>9.8495551557877778</v>
      </c>
      <c r="DO10" s="62" cm="1">
        <f t="array" ref="DO10">PRODUCT(1 + 預測IC!$C17:DN17) -1</f>
        <v>9.1917554930296834</v>
      </c>
      <c r="DP10" s="62" cm="1">
        <f t="array" ref="DP10">PRODUCT(1 + 預測IC!$C17:DO17) -1</f>
        <v>11.023855282539492</v>
      </c>
      <c r="DQ10" s="62" cm="1">
        <f t="array" ref="DQ10">PRODUCT(1 + 預測IC!$C17:DP17) -1</f>
        <v>10.722087416158978</v>
      </c>
      <c r="DR10" s="62" cm="1">
        <f t="array" ref="DR10">PRODUCT(1 + 預測IC!$C17:DQ17) -1</f>
        <v>9.9572874639247075</v>
      </c>
      <c r="DS10" s="62" cm="1">
        <f t="array" ref="DS10">PRODUCT(1 + 預測IC!$C17:DR17) -1</f>
        <v>9.675395471269491</v>
      </c>
      <c r="DT10" s="62" cm="1">
        <f t="array" ref="DT10">PRODUCT(1 + 預測IC!$C17:DS17) -1</f>
        <v>10.074165141199108</v>
      </c>
      <c r="DU10" s="62" cm="1">
        <f t="array" ref="DU10">PRODUCT(1 + 預測IC!$C17:DT17) -1</f>
        <v>10.259581991354709</v>
      </c>
      <c r="DV10" s="62" cm="1">
        <f t="array" ref="DV10">PRODUCT(1 + 預測IC!$C17:DU17) -1</f>
        <v>8.801545432366872</v>
      </c>
      <c r="DW10" s="62" cm="1">
        <f t="array" ref="DW10">PRODUCT(1 + 預測IC!$C17:DV17) -1</f>
        <v>9.411885622798998</v>
      </c>
      <c r="DX10" s="62" cm="1">
        <f t="array" ref="DX10">PRODUCT(1 + 預測IC!$C17:DW17) -1</f>
        <v>8.6143465014374758</v>
      </c>
      <c r="DY10" s="62" cm="1">
        <f t="array" ref="DY10">PRODUCT(1 + 預測IC!$C17:DX17) -1</f>
        <v>7.368913837311295</v>
      </c>
      <c r="DZ10" s="62" cm="1">
        <f t="array" ref="DZ10">PRODUCT(1 + 預測IC!$C17:DY17) -1</f>
        <v>8.2319219085825761</v>
      </c>
      <c r="EA10" s="62" cm="1">
        <f t="array" ref="EA10">PRODUCT(1 + 預測IC!$C17:DZ17) -1</f>
        <v>8.6862490579942797</v>
      </c>
      <c r="EB10" s="62" cm="1">
        <f t="array" ref="EB10">PRODUCT(1 + 預測IC!$C17:EA17) -1</f>
        <v>10.280329819874035</v>
      </c>
      <c r="EC10" s="62" cm="1">
        <f t="array" ref="EC10">PRODUCT(1 + 預測IC!$C17:EB17) -1</f>
        <v>9.4480561470287725</v>
      </c>
      <c r="ED10" s="62" cm="1">
        <f t="array" ref="ED10">PRODUCT(1 + 預測IC!$C17:EC17) -1</f>
        <v>9.235321613598563</v>
      </c>
      <c r="EE10" s="62" cm="1">
        <f t="array" ref="EE10">PRODUCT(1 + 預測IC!$C17:ED17) -1</f>
        <v>8.3872676708040128</v>
      </c>
      <c r="EF10" s="62" cm="1">
        <f t="array" ref="EF10">PRODUCT(1 + 預測IC!$C17:EE17) -1</f>
        <v>8.3890843056022213</v>
      </c>
      <c r="EG10" s="62" cm="1">
        <f t="array" ref="EG10">PRODUCT(1 + 預測IC!$C17:EF17) -1</f>
        <v>8.8370353302583595</v>
      </c>
    </row>
    <row r="11" spans="3:137" ht="16">
      <c r="C11" s="6">
        <v>137</v>
      </c>
      <c r="D11" s="62" cm="1">
        <f t="array" ref="D11">PRODUCT(1 + 預測IC!$C18:C18) -1</f>
        <v>-5.3942228163147199E-2</v>
      </c>
      <c r="E11" s="62" cm="1">
        <f t="array" ref="E11">PRODUCT(1 + 預測IC!$C18:D18) -1</f>
        <v>-3.8128714907990635E-2</v>
      </c>
      <c r="F11" s="62" cm="1">
        <f t="array" ref="F11">PRODUCT(1 + 預測IC!$C18:E18) -1</f>
        <v>1.3273061608507053E-2</v>
      </c>
      <c r="G11" s="62" cm="1">
        <f t="array" ref="G11">PRODUCT(1 + 預測IC!$C18:F18) -1</f>
        <v>-0.12292540309780187</v>
      </c>
      <c r="H11" s="62" cm="1">
        <f t="array" ref="H11">PRODUCT(1 + 預測IC!$C18:G18) -1</f>
        <v>-0.19378798473563907</v>
      </c>
      <c r="I11" s="62" cm="1">
        <f t="array" ref="I11">PRODUCT(1 + 預測IC!$C18:H18) -1</f>
        <v>-9.0157845596164132E-2</v>
      </c>
      <c r="J11" s="62" cm="1">
        <f t="array" ref="J11">PRODUCT(1 + 預測IC!$C18:I18) -1</f>
        <v>-4.0159596384992446E-2</v>
      </c>
      <c r="K11" s="62" cm="1">
        <f t="array" ref="K11">PRODUCT(1 + 預測IC!$C18:J18) -1</f>
        <v>-0.16029494238027653</v>
      </c>
      <c r="L11" s="62" cm="1">
        <f t="array" ref="L11">PRODUCT(1 + 預測IC!$C18:K18) -1</f>
        <v>-0.1337716403019481</v>
      </c>
      <c r="M11" s="62" cm="1">
        <f t="array" ref="M11">PRODUCT(1 + 預測IC!$C18:L18) -1</f>
        <v>-0.12252584201568562</v>
      </c>
      <c r="N11" s="62" cm="1">
        <f t="array" ref="N11">PRODUCT(1 + 預測IC!$C18:M18) -1</f>
        <v>-0.34497711846985901</v>
      </c>
      <c r="O11" s="62" cm="1">
        <f t="array" ref="O11">PRODUCT(1 + 預測IC!$C18:N18) -1</f>
        <v>-4.2474439484944226E-2</v>
      </c>
      <c r="P11" s="62" cm="1">
        <f t="array" ref="P11">PRODUCT(1 + 預測IC!$C18:O18) -1</f>
        <v>-6.5765171377713205E-2</v>
      </c>
      <c r="Q11" s="62" cm="1">
        <f t="array" ref="Q11">PRODUCT(1 + 預測IC!$C18:P18) -1</f>
        <v>-1.478433822498848E-2</v>
      </c>
      <c r="R11" s="62" cm="1">
        <f t="array" ref="R11">PRODUCT(1 + 預測IC!$C18:Q18) -1</f>
        <v>-0.13472091819665077</v>
      </c>
      <c r="S11" s="62" cm="1">
        <f t="array" ref="S11">PRODUCT(1 + 預測IC!$C18:R18) -1</f>
        <v>-0.11799836253447171</v>
      </c>
      <c r="T11" s="62" cm="1">
        <f t="array" ref="T11">PRODUCT(1 + 預測IC!$C18:S18) -1</f>
        <v>-0.17886824176868865</v>
      </c>
      <c r="U11" s="62" cm="1">
        <f t="array" ref="U11">PRODUCT(1 + 預測IC!$C18:T18) -1</f>
        <v>-0.18299700734979496</v>
      </c>
      <c r="V11" s="62" cm="1">
        <f t="array" ref="V11">PRODUCT(1 + 預測IC!$C18:U18) -1</f>
        <v>-7.4748175879370771E-2</v>
      </c>
      <c r="W11" s="62" cm="1">
        <f t="array" ref="W11">PRODUCT(1 + 預測IC!$C18:V18) -1</f>
        <v>-0.19619111120308441</v>
      </c>
      <c r="X11" s="62" cm="1">
        <f t="array" ref="X11">PRODUCT(1 + 預測IC!$C18:W18) -1</f>
        <v>-0.13405967422013076</v>
      </c>
      <c r="Y11" s="62" cm="1">
        <f t="array" ref="Y11">PRODUCT(1 + 預測IC!$C18:X18) -1</f>
        <v>-0.24414044053533979</v>
      </c>
      <c r="Z11" s="62" cm="1">
        <f t="array" ref="Z11">PRODUCT(1 + 預測IC!$C18:Y18) -1</f>
        <v>-0.22583820249869957</v>
      </c>
      <c r="AA11" s="62" cm="1">
        <f t="array" ref="AA11">PRODUCT(1 + 預測IC!$C18:Z18) -1</f>
        <v>-0.23892596213037154</v>
      </c>
      <c r="AB11" s="62" cm="1">
        <f t="array" ref="AB11">PRODUCT(1 + 預測IC!$C18:AA18) -1</f>
        <v>-0.19721568155915126</v>
      </c>
      <c r="AC11" s="62" cm="1">
        <f t="array" ref="AC11">PRODUCT(1 + 預測IC!$C18:AB18) -1</f>
        <v>-0.24675859311061665</v>
      </c>
      <c r="AD11" s="62" cm="1">
        <f t="array" ref="AD11">PRODUCT(1 + 預測IC!$C18:AC18) -1</f>
        <v>-0.30304065799534174</v>
      </c>
      <c r="AE11" s="62" cm="1">
        <f t="array" ref="AE11">PRODUCT(1 + 預測IC!$C18:AD18) -1</f>
        <v>-0.23593333869054944</v>
      </c>
      <c r="AF11" s="62" cm="1">
        <f t="array" ref="AF11">PRODUCT(1 + 預測IC!$C18:AE18) -1</f>
        <v>-0.17694617633453635</v>
      </c>
      <c r="AG11" s="62" cm="1">
        <f t="array" ref="AG11">PRODUCT(1 + 預測IC!$C18:AF18) -1</f>
        <v>-0.17550460418918679</v>
      </c>
      <c r="AH11" s="62" cm="1">
        <f t="array" ref="AH11">PRODUCT(1 + 預測IC!$C18:AG18) -1</f>
        <v>-0.18261040594003519</v>
      </c>
      <c r="AI11" s="62" cm="1">
        <f t="array" ref="AI11">PRODUCT(1 + 預測IC!$C18:AH18) -1</f>
        <v>-0.21196550677107495</v>
      </c>
      <c r="AJ11" s="62" cm="1">
        <f t="array" ref="AJ11">PRODUCT(1 + 預測IC!$C18:AI18) -1</f>
        <v>-0.17504172398540074</v>
      </c>
      <c r="AK11" s="62" cm="1">
        <f t="array" ref="AK11">PRODUCT(1 + 預測IC!$C18:AJ18) -1</f>
        <v>-0.18108655946382024</v>
      </c>
      <c r="AL11" s="62" cm="1">
        <f t="array" ref="AL11">PRODUCT(1 + 預測IC!$C18:AK18) -1</f>
        <v>-0.18287791702998457</v>
      </c>
      <c r="AM11" s="62" cm="1">
        <f t="array" ref="AM11">PRODUCT(1 + 預測IC!$C18:AL18) -1</f>
        <v>-0.18357700995810866</v>
      </c>
      <c r="AN11" s="62" cm="1">
        <f t="array" ref="AN11">PRODUCT(1 + 預測IC!$C18:AM18) -1</f>
        <v>-0.17552729602279227</v>
      </c>
      <c r="AO11" s="62" cm="1">
        <f t="array" ref="AO11">PRODUCT(1 + 預測IC!$C18:AN18) -1</f>
        <v>-0.21976980255436118</v>
      </c>
      <c r="AP11" s="62" cm="1">
        <f t="array" ref="AP11">PRODUCT(1 + 預測IC!$C18:AO18) -1</f>
        <v>-0.18335727802130963</v>
      </c>
      <c r="AQ11" s="62" cm="1">
        <f t="array" ref="AQ11">PRODUCT(1 + 預測IC!$C18:AP18) -1</f>
        <v>-0.18171220724045034</v>
      </c>
      <c r="AR11" s="62" cm="1">
        <f t="array" ref="AR11">PRODUCT(1 + 預測IC!$C18:AQ18) -1</f>
        <v>-0.167977130794702</v>
      </c>
      <c r="AS11" s="62" cm="1">
        <f t="array" ref="AS11">PRODUCT(1 + 預測IC!$C18:AR18) -1</f>
        <v>-0.11664587625412581</v>
      </c>
      <c r="AT11" s="62" cm="1">
        <f t="array" ref="AT11">PRODUCT(1 + 預測IC!$C18:AS18) -1</f>
        <v>-0.15672806973437159</v>
      </c>
      <c r="AU11" s="62" cm="1">
        <f t="array" ref="AU11">PRODUCT(1 + 預測IC!$C18:AT18) -1</f>
        <v>-0.13172140937279253</v>
      </c>
      <c r="AV11" s="62" cm="1">
        <f t="array" ref="AV11">PRODUCT(1 + 預測IC!$C18:AU18) -1</f>
        <v>3.9034024813424884E-2</v>
      </c>
      <c r="AW11" s="62" cm="1">
        <f t="array" ref="AW11">PRODUCT(1 + 預測IC!$C18:AV18) -1</f>
        <v>7.54601550360392E-2</v>
      </c>
      <c r="AX11" s="62" cm="1">
        <f t="array" ref="AX11">PRODUCT(1 + 預測IC!$C18:AW18) -1</f>
        <v>0.22822061404846394</v>
      </c>
      <c r="AY11" s="62" cm="1">
        <f t="array" ref="AY11">PRODUCT(1 + 預測IC!$C18:AX18) -1</f>
        <v>0.26949136636497473</v>
      </c>
      <c r="AZ11" s="62" cm="1">
        <f t="array" ref="AZ11">PRODUCT(1 + 預測IC!$C18:AY18) -1</f>
        <v>0.21518556245220188</v>
      </c>
      <c r="BA11" s="62" cm="1">
        <f t="array" ref="BA11">PRODUCT(1 + 預測IC!$C18:AZ18) -1</f>
        <v>0.29580252292297726</v>
      </c>
      <c r="BB11" s="62" cm="1">
        <f t="array" ref="BB11">PRODUCT(1 + 預測IC!$C18:BA18) -1</f>
        <v>0.50845167291453452</v>
      </c>
      <c r="BC11" s="62" cm="1">
        <f t="array" ref="BC11">PRODUCT(1 + 預測IC!$C18:BB18) -1</f>
        <v>0.76075231070025628</v>
      </c>
      <c r="BD11" s="62" cm="1">
        <f t="array" ref="BD11">PRODUCT(1 + 預測IC!$C18:BC18) -1</f>
        <v>0.90724967189784067</v>
      </c>
      <c r="BE11" s="62" cm="1">
        <f t="array" ref="BE11">PRODUCT(1 + 預測IC!$C18:BD18) -1</f>
        <v>0.91460660195210575</v>
      </c>
      <c r="BF11" s="62" cm="1">
        <f t="array" ref="BF11">PRODUCT(1 + 預測IC!$C18:BE18) -1</f>
        <v>0.872043860892878</v>
      </c>
      <c r="BG11" s="62" cm="1">
        <f t="array" ref="BG11">PRODUCT(1 + 預測IC!$C18:BF18) -1</f>
        <v>0.80063820906317051</v>
      </c>
      <c r="BH11" s="62" cm="1">
        <f t="array" ref="BH11">PRODUCT(1 + 預測IC!$C18:BG18) -1</f>
        <v>0.79648190952435804</v>
      </c>
      <c r="BI11" s="62" cm="1">
        <f t="array" ref="BI11">PRODUCT(1 + 預測IC!$C18:BH18) -1</f>
        <v>0.68341963101324477</v>
      </c>
      <c r="BJ11" s="62" cm="1">
        <f t="array" ref="BJ11">PRODUCT(1 + 預測IC!$C18:BI18) -1</f>
        <v>0.73979327991338706</v>
      </c>
      <c r="BK11" s="62" cm="1">
        <f t="array" ref="BK11">PRODUCT(1 + 預測IC!$C18:BJ18) -1</f>
        <v>0.72943095970366389</v>
      </c>
      <c r="BL11" s="62" cm="1">
        <f t="array" ref="BL11">PRODUCT(1 + 預測IC!$C18:BK18) -1</f>
        <v>0.85646739489753809</v>
      </c>
      <c r="BM11" s="62" cm="1">
        <f t="array" ref="BM11">PRODUCT(1 + 預測IC!$C18:BL18) -1</f>
        <v>0.90539047077240897</v>
      </c>
      <c r="BN11" s="62" cm="1">
        <f t="array" ref="BN11">PRODUCT(1 + 預測IC!$C18:BM18) -1</f>
        <v>0.7724278789613841</v>
      </c>
      <c r="BO11" s="62" cm="1">
        <f t="array" ref="BO11">PRODUCT(1 + 預測IC!$C18:BN18) -1</f>
        <v>0.63380859962150904</v>
      </c>
      <c r="BP11" s="62" cm="1">
        <f t="array" ref="BP11">PRODUCT(1 + 預測IC!$C18:BO18) -1</f>
        <v>0.64754358946248547</v>
      </c>
      <c r="BQ11" s="62" cm="1">
        <f t="array" ref="BQ11">PRODUCT(1 + 預測IC!$C18:BP18) -1</f>
        <v>0.75045481648996715</v>
      </c>
      <c r="BR11" s="62" cm="1">
        <f t="array" ref="BR11">PRODUCT(1 + 預測IC!$C18:BQ18) -1</f>
        <v>0.85247897437228781</v>
      </c>
      <c r="BS11" s="62" cm="1">
        <f t="array" ref="BS11">PRODUCT(1 + 預測IC!$C18:BR18) -1</f>
        <v>0.90117452653060104</v>
      </c>
      <c r="BT11" s="62" cm="1">
        <f t="array" ref="BT11">PRODUCT(1 + 預測IC!$C18:BS18) -1</f>
        <v>1.0565684526506351</v>
      </c>
      <c r="BU11" s="62" cm="1">
        <f t="array" ref="BU11">PRODUCT(1 + 預測IC!$C18:BT18) -1</f>
        <v>1.029217838714219</v>
      </c>
      <c r="BV11" s="62" cm="1">
        <f t="array" ref="BV11">PRODUCT(1 + 預測IC!$C18:BU18) -1</f>
        <v>0.80303808219590689</v>
      </c>
      <c r="BW11" s="62" cm="1">
        <f t="array" ref="BW11">PRODUCT(1 + 預測IC!$C18:BV18) -1</f>
        <v>1.0112989311385965</v>
      </c>
      <c r="BX11" s="62" cm="1">
        <f t="array" ref="BX11">PRODUCT(1 + 預測IC!$C18:BW18) -1</f>
        <v>1.5363282639325737</v>
      </c>
      <c r="BY11" s="62" cm="1">
        <f t="array" ref="BY11">PRODUCT(1 + 預測IC!$C18:BX18) -1</f>
        <v>1.4962240343217079</v>
      </c>
      <c r="BZ11" s="62" cm="1">
        <f t="array" ref="BZ11">PRODUCT(1 + 預測IC!$C18:BY18) -1</f>
        <v>1.3397438761920228</v>
      </c>
      <c r="CA11" s="62" cm="1">
        <f t="array" ref="CA11">PRODUCT(1 + 預測IC!$C18:BZ18) -1</f>
        <v>1.5966818465021539</v>
      </c>
      <c r="CB11" s="62" cm="1">
        <f t="array" ref="CB11">PRODUCT(1 + 預測IC!$C18:CA18) -1</f>
        <v>1.6831154266390351</v>
      </c>
      <c r="CC11" s="62" cm="1">
        <f t="array" ref="CC11">PRODUCT(1 + 預測IC!$C18:CB18) -1</f>
        <v>1.9697957397618957</v>
      </c>
      <c r="CD11" s="62" cm="1">
        <f t="array" ref="CD11">PRODUCT(1 + 預測IC!$C18:CC18) -1</f>
        <v>2.2806164145676351</v>
      </c>
      <c r="CE11" s="62" cm="1">
        <f t="array" ref="CE11">PRODUCT(1 + 預測IC!$C18:CD18) -1</f>
        <v>2.4461097162308003</v>
      </c>
      <c r="CF11" s="62" cm="1">
        <f t="array" ref="CF11">PRODUCT(1 + 預測IC!$C18:CE18) -1</f>
        <v>2.7123575137004718</v>
      </c>
      <c r="CG11" s="62" cm="1">
        <f t="array" ref="CG11">PRODUCT(1 + 預測IC!$C18:CF18) -1</f>
        <v>2.3342219169914338</v>
      </c>
      <c r="CH11" s="62" cm="1">
        <f t="array" ref="CH11">PRODUCT(1 + 預測IC!$C18:CG18) -1</f>
        <v>3.089894659846367</v>
      </c>
      <c r="CI11" s="62" cm="1">
        <f t="array" ref="CI11">PRODUCT(1 + 預測IC!$C18:CH18) -1</f>
        <v>2.9858511653768232</v>
      </c>
      <c r="CJ11" s="62" cm="1">
        <f t="array" ref="CJ11">PRODUCT(1 + 預測IC!$C18:CI18) -1</f>
        <v>2.5166152030037652</v>
      </c>
      <c r="CK11" s="62" cm="1">
        <f t="array" ref="CK11">PRODUCT(1 + 預測IC!$C18:CJ18) -1</f>
        <v>2.61748933357359</v>
      </c>
      <c r="CL11" s="62" cm="1">
        <f t="array" ref="CL11">PRODUCT(1 + 預測IC!$C18:CK18) -1</f>
        <v>2.8823620259679723</v>
      </c>
      <c r="CM11" s="62" cm="1">
        <f t="array" ref="CM11">PRODUCT(1 + 預測IC!$C18:CL18) -1</f>
        <v>4.1134924628699849</v>
      </c>
      <c r="CN11" s="62" cm="1">
        <f t="array" ref="CN11">PRODUCT(1 + 預測IC!$C18:CM18) -1</f>
        <v>3.5879808283983827</v>
      </c>
      <c r="CO11" s="62" cm="1">
        <f t="array" ref="CO11">PRODUCT(1 + 預測IC!$C18:CN18) -1</f>
        <v>3.4566838752040043</v>
      </c>
      <c r="CP11" s="62" cm="1">
        <f t="array" ref="CP11">PRODUCT(1 + 預測IC!$C18:CO18) -1</f>
        <v>4.474064966323108</v>
      </c>
      <c r="CQ11" s="62" cm="1">
        <f t="array" ref="CQ11">PRODUCT(1 + 預測IC!$C18:CP18) -1</f>
        <v>4.3892297031308809</v>
      </c>
      <c r="CR11" s="62" cm="1">
        <f t="array" ref="CR11">PRODUCT(1 + 預測IC!$C18:CQ18) -1</f>
        <v>5.5195732481436091</v>
      </c>
      <c r="CS11" s="62" cm="1">
        <f t="array" ref="CS11">PRODUCT(1 + 預測IC!$C18:CR18) -1</f>
        <v>5.7395651789348996</v>
      </c>
      <c r="CT11" s="62" cm="1">
        <f t="array" ref="CT11">PRODUCT(1 + 預測IC!$C18:CS18) -1</f>
        <v>5.9291394452352577</v>
      </c>
      <c r="CU11" s="62" cm="1">
        <f t="array" ref="CU11">PRODUCT(1 + 預測IC!$C18:CT18) -1</f>
        <v>5.2712105243719209</v>
      </c>
      <c r="CV11" s="62" cm="1">
        <f t="array" ref="CV11">PRODUCT(1 + 預測IC!$C18:CU18) -1</f>
        <v>5.3009432144613147</v>
      </c>
      <c r="CW11" s="62" cm="1">
        <f t="array" ref="CW11">PRODUCT(1 + 預測IC!$C18:CV18) -1</f>
        <v>5.7331509932218259</v>
      </c>
      <c r="CX11" s="62" cm="1">
        <f t="array" ref="CX11">PRODUCT(1 + 預測IC!$C18:CW18) -1</f>
        <v>5.5424125642615714</v>
      </c>
      <c r="CY11" s="62" cm="1">
        <f t="array" ref="CY11">PRODUCT(1 + 預測IC!$C18:CX18) -1</f>
        <v>5.4503035892032656</v>
      </c>
      <c r="CZ11" s="62" cm="1">
        <f t="array" ref="CZ11">PRODUCT(1 + 預測IC!$C18:CY18) -1</f>
        <v>5.9110646353113667</v>
      </c>
      <c r="DA11" s="62" cm="1">
        <f t="array" ref="DA11">PRODUCT(1 + 預測IC!$C18:CZ18) -1</f>
        <v>7.3237576972192908</v>
      </c>
      <c r="DB11" s="62" cm="1">
        <f t="array" ref="DB11">PRODUCT(1 + 預測IC!$C18:DA18) -1</f>
        <v>7.9759959543785968</v>
      </c>
      <c r="DC11" s="62" cm="1">
        <f t="array" ref="DC11">PRODUCT(1 + 預測IC!$C18:DB18) -1</f>
        <v>9.0361931878592241</v>
      </c>
      <c r="DD11" s="62" cm="1">
        <f t="array" ref="DD11">PRODUCT(1 + 預測IC!$C18:DC18) -1</f>
        <v>9.5300628878833695</v>
      </c>
      <c r="DE11" s="62" cm="1">
        <f t="array" ref="DE11">PRODUCT(1 + 預測IC!$C18:DD18) -1</f>
        <v>8.7816776303331086</v>
      </c>
      <c r="DF11" s="62" cm="1">
        <f t="array" ref="DF11">PRODUCT(1 + 預測IC!$C18:DE18) -1</f>
        <v>8.3971884936369321</v>
      </c>
      <c r="DG11" s="62" cm="1">
        <f t="array" ref="DG11">PRODUCT(1 + 預測IC!$C18:DF18) -1</f>
        <v>11.843062427090356</v>
      </c>
      <c r="DH11" s="62" cm="1">
        <f t="array" ref="DH11">PRODUCT(1 + 預測IC!$C18:DG18) -1</f>
        <v>11.139641680286955</v>
      </c>
      <c r="DI11" s="62" cm="1">
        <f t="array" ref="DI11">PRODUCT(1 + 預測IC!$C18:DH18) -1</f>
        <v>10.799270246021218</v>
      </c>
      <c r="DJ11" s="62" cm="1">
        <f t="array" ref="DJ11">PRODUCT(1 + 預測IC!$C18:DI18) -1</f>
        <v>10.609129380727305</v>
      </c>
      <c r="DK11" s="62" cm="1">
        <f t="array" ref="DK11">PRODUCT(1 + 預測IC!$C18:DJ18) -1</f>
        <v>10.084349834328334</v>
      </c>
      <c r="DL11" s="62" cm="1">
        <f t="array" ref="DL11">PRODUCT(1 + 預測IC!$C18:DK18) -1</f>
        <v>8.9035643954002062</v>
      </c>
      <c r="DM11" s="62" cm="1">
        <f t="array" ref="DM11">PRODUCT(1 + 預測IC!$C18:DL18) -1</f>
        <v>8.6717167224767788</v>
      </c>
      <c r="DN11" s="62" cm="1">
        <f t="array" ref="DN11">PRODUCT(1 + 預測IC!$C18:DM18) -1</f>
        <v>9.2370978558906458</v>
      </c>
      <c r="DO11" s="62" cm="1">
        <f t="array" ref="DO11">PRODUCT(1 + 預測IC!$C18:DN18) -1</f>
        <v>8.6548602501920318</v>
      </c>
      <c r="DP11" s="62" cm="1">
        <f t="array" ref="DP11">PRODUCT(1 + 預測IC!$C18:DO18) -1</f>
        <v>10.782021105329729</v>
      </c>
      <c r="DQ11" s="62" cm="1">
        <f t="array" ref="DQ11">PRODUCT(1 + 預測IC!$C18:DP18) -1</f>
        <v>10.528585887210658</v>
      </c>
      <c r="DR11" s="62" cm="1">
        <f t="array" ref="DR11">PRODUCT(1 + 預測IC!$C18:DQ18) -1</f>
        <v>9.8143262503227948</v>
      </c>
      <c r="DS11" s="62" cm="1">
        <f t="array" ref="DS11">PRODUCT(1 + 預測IC!$C18:DR18) -1</f>
        <v>9.7013030358652426</v>
      </c>
      <c r="DT11" s="62" cm="1">
        <f t="array" ref="DT11">PRODUCT(1 + 預測IC!$C18:DS18) -1</f>
        <v>9.8219921416164144</v>
      </c>
      <c r="DU11" s="62" cm="1">
        <f t="array" ref="DU11">PRODUCT(1 + 預測IC!$C18:DT18) -1</f>
        <v>9.7418294256848714</v>
      </c>
      <c r="DV11" s="62" cm="1">
        <f t="array" ref="DV11">PRODUCT(1 + 預測IC!$C18:DU18) -1</f>
        <v>8.0369418727345057</v>
      </c>
      <c r="DW11" s="62" cm="1">
        <f t="array" ref="DW11">PRODUCT(1 + 預測IC!$C18:DV18) -1</f>
        <v>8.8087263888334135</v>
      </c>
      <c r="DX11" s="62" cm="1">
        <f t="array" ref="DX11">PRODUCT(1 + 預測IC!$C18:DW18) -1</f>
        <v>8.135485326589043</v>
      </c>
      <c r="DY11" s="62" cm="1">
        <f t="array" ref="DY11">PRODUCT(1 + 預測IC!$C18:DX18) -1</f>
        <v>6.7322475798601529</v>
      </c>
      <c r="DZ11" s="62" cm="1">
        <f t="array" ref="DZ11">PRODUCT(1 + 預測IC!$C18:DY18) -1</f>
        <v>7.485585282977965</v>
      </c>
      <c r="EA11" s="62" cm="1">
        <f t="array" ref="EA11">PRODUCT(1 + 預測IC!$C18:DZ18) -1</f>
        <v>7.9491559819246387</v>
      </c>
      <c r="EB11" s="62" cm="1">
        <f t="array" ref="EB11">PRODUCT(1 + 預測IC!$C18:EA18) -1</f>
        <v>9.7295525141879899</v>
      </c>
      <c r="EC11" s="62" cm="1">
        <f t="array" ref="EC11">PRODUCT(1 + 預測IC!$C18:EB18) -1</f>
        <v>8.6883278806260673</v>
      </c>
      <c r="ED11" s="62" cm="1">
        <f t="array" ref="ED11">PRODUCT(1 + 預測IC!$C18:EC18) -1</f>
        <v>8.4984316557931123</v>
      </c>
      <c r="EE11" s="62" cm="1">
        <f t="array" ref="EE11">PRODUCT(1 + 預測IC!$C18:ED18) -1</f>
        <v>7.7360001823103808</v>
      </c>
      <c r="EF11" s="62" cm="1">
        <f t="array" ref="EF11">PRODUCT(1 + 預測IC!$C18:EE18) -1</f>
        <v>7.7262919730020663</v>
      </c>
      <c r="EG11" s="62" cm="1">
        <f t="array" ref="EG11">PRODUCT(1 + 預測IC!$C18:EF18) -1</f>
        <v>8.1534877458508728</v>
      </c>
    </row>
    <row r="12" spans="3:137" ht="16">
      <c r="C12" s="6">
        <v>160</v>
      </c>
      <c r="D12" s="62" cm="1">
        <f t="array" ref="D12">PRODUCT(1 + 預測IC!$C19:C19) -1</f>
        <v>-7.7959416087486244E-2</v>
      </c>
      <c r="E12" s="62" cm="1">
        <f t="array" ref="E12">PRODUCT(1 + 預測IC!$C19:D19) -1</f>
        <v>-6.9769599759856415E-2</v>
      </c>
      <c r="F12" s="62" cm="1">
        <f t="array" ref="F12">PRODUCT(1 + 預測IC!$C19:E19) -1</f>
        <v>-2.8463712354129811E-2</v>
      </c>
      <c r="G12" s="62" cm="1">
        <f t="array" ref="G12">PRODUCT(1 + 預測IC!$C19:F19) -1</f>
        <v>-6.6010366203722248E-2</v>
      </c>
      <c r="H12" s="62" cm="1">
        <f t="array" ref="H12">PRODUCT(1 + 預測IC!$C19:G19) -1</f>
        <v>-0.15708564795806068</v>
      </c>
      <c r="I12" s="62" cm="1">
        <f t="array" ref="I12">PRODUCT(1 + 預測IC!$C19:H19) -1</f>
        <v>-7.3753611517027862E-3</v>
      </c>
      <c r="J12" s="62" cm="1">
        <f t="array" ref="J12">PRODUCT(1 + 預測IC!$C19:I19) -1</f>
        <v>3.9737984428851236E-2</v>
      </c>
      <c r="K12" s="62" cm="1">
        <f t="array" ref="K12">PRODUCT(1 + 預測IC!$C19:J19) -1</f>
        <v>-0.1227006479956062</v>
      </c>
      <c r="L12" s="62" cm="1">
        <f t="array" ref="L12">PRODUCT(1 + 預測IC!$C19:K19) -1</f>
        <v>-7.3097292037544781E-2</v>
      </c>
      <c r="M12" s="62" cm="1">
        <f t="array" ref="M12">PRODUCT(1 + 預測IC!$C19:L19) -1</f>
        <v>-3.1809138609546705E-2</v>
      </c>
      <c r="N12" s="62" cm="1">
        <f t="array" ref="N12">PRODUCT(1 + 預測IC!$C19:M19) -1</f>
        <v>-0.28503156021013987</v>
      </c>
      <c r="O12" s="62" cm="1">
        <f t="array" ref="O12">PRODUCT(1 + 預測IC!$C19:N19) -1</f>
        <v>9.5599074900450276E-2</v>
      </c>
      <c r="P12" s="62" cm="1">
        <f t="array" ref="P12">PRODUCT(1 + 預測IC!$C19:O19) -1</f>
        <v>0.11728912527777036</v>
      </c>
      <c r="Q12" s="62" cm="1">
        <f t="array" ref="Q12">PRODUCT(1 + 預測IC!$C19:P19) -1</f>
        <v>0.14274679610504881</v>
      </c>
      <c r="R12" s="62" cm="1">
        <f t="array" ref="R12">PRODUCT(1 + 預測IC!$C19:Q19) -1</f>
        <v>-5.2048442026114916E-2</v>
      </c>
      <c r="S12" s="62" cm="1">
        <f t="array" ref="S12">PRODUCT(1 + 預測IC!$C19:R19) -1</f>
        <v>-1.2288861094209236E-2</v>
      </c>
      <c r="T12" s="62" cm="1">
        <f t="array" ref="T12">PRODUCT(1 + 預測IC!$C19:S19) -1</f>
        <v>-9.001803498345895E-2</v>
      </c>
      <c r="U12" s="62" cm="1">
        <f t="array" ref="U12">PRODUCT(1 + 預測IC!$C19:T19) -1</f>
        <v>-0.18968459368404667</v>
      </c>
      <c r="V12" s="62" cm="1">
        <f t="array" ref="V12">PRODUCT(1 + 預測IC!$C19:U19) -1</f>
        <v>-9.749949273724523E-2</v>
      </c>
      <c r="W12" s="62" cm="1">
        <f t="array" ref="W12">PRODUCT(1 + 預測IC!$C19:V19) -1</f>
        <v>-0.20461227675477689</v>
      </c>
      <c r="X12" s="62" cm="1">
        <f t="array" ref="X12">PRODUCT(1 + 預測IC!$C19:W19) -1</f>
        <v>-0.14701382194623391</v>
      </c>
      <c r="Y12" s="62" cm="1">
        <f t="array" ref="Y12">PRODUCT(1 + 預測IC!$C19:X19) -1</f>
        <v>-0.25186556665671223</v>
      </c>
      <c r="Z12" s="62" cm="1">
        <f t="array" ref="Z12">PRODUCT(1 + 預測IC!$C19:Y19) -1</f>
        <v>-0.23386223121358762</v>
      </c>
      <c r="AA12" s="62" cm="1">
        <f t="array" ref="AA12">PRODUCT(1 + 預測IC!$C19:Z19) -1</f>
        <v>-0.25088829418525516</v>
      </c>
      <c r="AB12" s="62" cm="1">
        <f t="array" ref="AB12">PRODUCT(1 + 預測IC!$C19:AA19) -1</f>
        <v>-0.21545521925913524</v>
      </c>
      <c r="AC12" s="62" cm="1">
        <f t="array" ref="AC12">PRODUCT(1 + 預測IC!$C19:AB19) -1</f>
        <v>-0.26312600496776195</v>
      </c>
      <c r="AD12" s="62" cm="1">
        <f t="array" ref="AD12">PRODUCT(1 + 預測IC!$C19:AC19) -1</f>
        <v>-0.32466446483171296</v>
      </c>
      <c r="AE12" s="62" cm="1">
        <f t="array" ref="AE12">PRODUCT(1 + 預測IC!$C19:AD19) -1</f>
        <v>-0.25983672566384308</v>
      </c>
      <c r="AF12" s="62" cm="1">
        <f t="array" ref="AF12">PRODUCT(1 + 預測IC!$C19:AE19) -1</f>
        <v>-0.17454632748410137</v>
      </c>
      <c r="AG12" s="62" cm="1">
        <f t="array" ref="AG12">PRODUCT(1 + 預測IC!$C19:AF19) -1</f>
        <v>-0.17476306579695677</v>
      </c>
      <c r="AH12" s="62" cm="1">
        <f t="array" ref="AH12">PRODUCT(1 + 預測IC!$C19:AG19) -1</f>
        <v>-0.15883801873862979</v>
      </c>
      <c r="AI12" s="62" cm="1">
        <f t="array" ref="AI12">PRODUCT(1 + 預測IC!$C19:AH19) -1</f>
        <v>-0.17237188415287963</v>
      </c>
      <c r="AJ12" s="62" cm="1">
        <f t="array" ref="AJ12">PRODUCT(1 + 預測IC!$C19:AI19) -1</f>
        <v>-0.10469662984076478</v>
      </c>
      <c r="AK12" s="62" cm="1">
        <f t="array" ref="AK12">PRODUCT(1 + 預測IC!$C19:AJ19) -1</f>
        <v>-9.3803302217416396E-2</v>
      </c>
      <c r="AL12" s="62" cm="1">
        <f t="array" ref="AL12">PRODUCT(1 + 預測IC!$C19:AK19) -1</f>
        <v>-8.6959666237008348E-2</v>
      </c>
      <c r="AM12" s="62" cm="1">
        <f t="array" ref="AM12">PRODUCT(1 + 預測IC!$C19:AL19) -1</f>
        <v>-8.7997119438312787E-2</v>
      </c>
      <c r="AN12" s="62" cm="1">
        <f t="array" ref="AN12">PRODUCT(1 + 預測IC!$C19:AM19) -1</f>
        <v>-7.8390771378290314E-2</v>
      </c>
      <c r="AO12" s="62" cm="1">
        <f t="array" ref="AO12">PRODUCT(1 + 預測IC!$C19:AN19) -1</f>
        <v>-0.1356331963096945</v>
      </c>
      <c r="AP12" s="62" cm="1">
        <f t="array" ref="AP12">PRODUCT(1 + 預測IC!$C19:AO19) -1</f>
        <v>-8.5719118604140165E-2</v>
      </c>
      <c r="AQ12" s="62" cm="1">
        <f t="array" ref="AQ12">PRODUCT(1 + 預測IC!$C19:AP19) -1</f>
        <v>-7.6839512109430963E-2</v>
      </c>
      <c r="AR12" s="62" cm="1">
        <f t="array" ref="AR12">PRODUCT(1 + 預測IC!$C19:AQ19) -1</f>
        <v>-2.6134467772176539E-2</v>
      </c>
      <c r="AS12" s="62" cm="1">
        <f t="array" ref="AS12">PRODUCT(1 + 預測IC!$C19:AR19) -1</f>
        <v>4.6532356955989451E-2</v>
      </c>
      <c r="AT12" s="62" cm="1">
        <f t="array" ref="AT12">PRODUCT(1 + 預測IC!$C19:AS19) -1</f>
        <v>4.2672503524818772E-2</v>
      </c>
      <c r="AU12" s="62" cm="1">
        <f t="array" ref="AU12">PRODUCT(1 + 預測IC!$C19:AT19) -1</f>
        <v>5.4334371062869424E-2</v>
      </c>
      <c r="AV12" s="62" cm="1">
        <f t="array" ref="AV12">PRODUCT(1 + 預測IC!$C19:AU19) -1</f>
        <v>0.3061560609372842</v>
      </c>
      <c r="AW12" s="62" cm="1">
        <f t="array" ref="AW12">PRODUCT(1 + 預測IC!$C19:AV19) -1</f>
        <v>0.3618992694120402</v>
      </c>
      <c r="AX12" s="62" cm="1">
        <f t="array" ref="AX12">PRODUCT(1 + 預測IC!$C19:AW19) -1</f>
        <v>0.53194855471251601</v>
      </c>
      <c r="AY12" s="62" cm="1">
        <f t="array" ref="AY12">PRODUCT(1 + 預測IC!$C19:AX19) -1</f>
        <v>0.63008841189241482</v>
      </c>
      <c r="AZ12" s="62" cm="1">
        <f t="array" ref="AZ12">PRODUCT(1 + 預測IC!$C19:AY19) -1</f>
        <v>0.53089225810368235</v>
      </c>
      <c r="BA12" s="62" cm="1">
        <f t="array" ref="BA12">PRODUCT(1 + 預測IC!$C19:AZ19) -1</f>
        <v>0.65953691933670955</v>
      </c>
      <c r="BB12" s="62" cm="1">
        <f t="array" ref="BB12">PRODUCT(1 + 預測IC!$C19:BA19) -1</f>
        <v>0.96986497548586237</v>
      </c>
      <c r="BC12" s="62" cm="1">
        <f t="array" ref="BC12">PRODUCT(1 + 預測IC!$C19:BB19) -1</f>
        <v>1.3673874912874426</v>
      </c>
      <c r="BD12" s="62" cm="1">
        <f t="array" ref="BD12">PRODUCT(1 + 預測IC!$C19:BC19) -1</f>
        <v>1.5190316484117363</v>
      </c>
      <c r="BE12" s="62" cm="1">
        <f t="array" ref="BE12">PRODUCT(1 + 預測IC!$C19:BD19) -1</f>
        <v>1.4829589973766519</v>
      </c>
      <c r="BF12" s="62" cm="1">
        <f t="array" ref="BF12">PRODUCT(1 + 預測IC!$C19:BE19) -1</f>
        <v>1.4075002072112941</v>
      </c>
      <c r="BG12" s="62" cm="1">
        <f t="array" ref="BG12">PRODUCT(1 + 預測IC!$C19:BF19) -1</f>
        <v>1.2884817817631267</v>
      </c>
      <c r="BH12" s="62" cm="1">
        <f t="array" ref="BH12">PRODUCT(1 + 預測IC!$C19:BG19) -1</f>
        <v>1.2906860934328939</v>
      </c>
      <c r="BI12" s="62" cm="1">
        <f t="array" ref="BI12">PRODUCT(1 + 預測IC!$C19:BH19) -1</f>
        <v>1.1598089774164264</v>
      </c>
      <c r="BJ12" s="62" cm="1">
        <f t="array" ref="BJ12">PRODUCT(1 + 預測IC!$C19:BI19) -1</f>
        <v>1.2158275001167724</v>
      </c>
      <c r="BK12" s="62" cm="1">
        <f t="array" ref="BK12">PRODUCT(1 + 預測IC!$C19:BJ19) -1</f>
        <v>1.1677278644142612</v>
      </c>
      <c r="BL12" s="62" cm="1">
        <f t="array" ref="BL12">PRODUCT(1 + 預測IC!$C19:BK19) -1</f>
        <v>1.3780807577517904</v>
      </c>
      <c r="BM12" s="62" cm="1">
        <f t="array" ref="BM12">PRODUCT(1 + 預測IC!$C19:BL19) -1</f>
        <v>1.4399024504399414</v>
      </c>
      <c r="BN12" s="62" cm="1">
        <f t="array" ref="BN12">PRODUCT(1 + 預測IC!$C19:BM19) -1</f>
        <v>1.2248084661199292</v>
      </c>
      <c r="BO12" s="62" cm="1">
        <f t="array" ref="BO12">PRODUCT(1 + 預測IC!$C19:BN19) -1</f>
        <v>1.0436795555721714</v>
      </c>
      <c r="BP12" s="62" cm="1">
        <f t="array" ref="BP12">PRODUCT(1 + 預測IC!$C19:BO19) -1</f>
        <v>1.0057441330463179</v>
      </c>
      <c r="BQ12" s="62" cm="1">
        <f t="array" ref="BQ12">PRODUCT(1 + 預測IC!$C19:BP19) -1</f>
        <v>1.0306361022529686</v>
      </c>
      <c r="BR12" s="62" cm="1">
        <f t="array" ref="BR12">PRODUCT(1 + 預測IC!$C19:BQ19) -1</f>
        <v>0.98797311096776474</v>
      </c>
      <c r="BS12" s="62" cm="1">
        <f t="array" ref="BS12">PRODUCT(1 + 預測IC!$C19:BR19) -1</f>
        <v>1.0358034496694315</v>
      </c>
      <c r="BT12" s="62" cm="1">
        <f t="array" ref="BT12">PRODUCT(1 + 預測IC!$C19:BS19) -1</f>
        <v>1.2480657476956365</v>
      </c>
      <c r="BU12" s="62" cm="1">
        <f t="array" ref="BU12">PRODUCT(1 + 預測IC!$C19:BT19) -1</f>
        <v>1.2777259835176364</v>
      </c>
      <c r="BV12" s="62" cm="1">
        <f t="array" ref="BV12">PRODUCT(1 + 預測IC!$C19:BU19) -1</f>
        <v>0.99486318203798541</v>
      </c>
      <c r="BW12" s="62" cm="1">
        <f t="array" ref="BW12">PRODUCT(1 + 預測IC!$C19:BV19) -1</f>
        <v>1.1945195934112434</v>
      </c>
      <c r="BX12" s="62" cm="1">
        <f t="array" ref="BX12">PRODUCT(1 + 預測IC!$C19:BW19) -1</f>
        <v>1.8440453738021132</v>
      </c>
      <c r="BY12" s="62" cm="1">
        <f t="array" ref="BY12">PRODUCT(1 + 預測IC!$C19:BX19) -1</f>
        <v>1.7405252803408922</v>
      </c>
      <c r="BZ12" s="62" cm="1">
        <f t="array" ref="BZ12">PRODUCT(1 + 預測IC!$C19:BY19) -1</f>
        <v>1.6646798937408542</v>
      </c>
      <c r="CA12" s="62" cm="1">
        <f t="array" ref="CA12">PRODUCT(1 + 預測IC!$C19:BZ19) -1</f>
        <v>2.0503710490865039</v>
      </c>
      <c r="CB12" s="62" cm="1">
        <f t="array" ref="CB12">PRODUCT(1 + 預測IC!$C19:CA19) -1</f>
        <v>2.1589941377011823</v>
      </c>
      <c r="CC12" s="62" cm="1">
        <f t="array" ref="CC12">PRODUCT(1 + 預測IC!$C19:CB19) -1</f>
        <v>2.5628342908251343</v>
      </c>
      <c r="CD12" s="62" cm="1">
        <f t="array" ref="CD12">PRODUCT(1 + 預測IC!$C19:CC19) -1</f>
        <v>2.6430202691532689</v>
      </c>
      <c r="CE12" s="62" cm="1">
        <f t="array" ref="CE12">PRODUCT(1 + 預測IC!$C19:CD19) -1</f>
        <v>2.9623854529278191</v>
      </c>
      <c r="CF12" s="62" cm="1">
        <f t="array" ref="CF12">PRODUCT(1 + 預測IC!$C19:CE19) -1</f>
        <v>3.3129569469322746</v>
      </c>
      <c r="CG12" s="62" cm="1">
        <f t="array" ref="CG12">PRODUCT(1 + 預測IC!$C19:CF19) -1</f>
        <v>2.8312061794582029</v>
      </c>
      <c r="CH12" s="62" cm="1">
        <f t="array" ref="CH12">PRODUCT(1 + 預測IC!$C19:CG19) -1</f>
        <v>3.8422351834910824</v>
      </c>
      <c r="CI12" s="62" cm="1">
        <f t="array" ref="CI12">PRODUCT(1 + 預測IC!$C19:CH19) -1</f>
        <v>3.8056337656350161</v>
      </c>
      <c r="CJ12" s="62" cm="1">
        <f t="array" ref="CJ12">PRODUCT(1 + 預測IC!$C19:CI19) -1</f>
        <v>3.0117314750615627</v>
      </c>
      <c r="CK12" s="62" cm="1">
        <f t="array" ref="CK12">PRODUCT(1 + 預測IC!$C19:CJ19) -1</f>
        <v>3.0075665471200699</v>
      </c>
      <c r="CL12" s="62" cm="1">
        <f t="array" ref="CL12">PRODUCT(1 + 預測IC!$C19:CK19) -1</f>
        <v>3.306474860206424</v>
      </c>
      <c r="CM12" s="62" cm="1">
        <f t="array" ref="CM12">PRODUCT(1 + 預測IC!$C19:CL19) -1</f>
        <v>4.6464418494884416</v>
      </c>
      <c r="CN12" s="62" cm="1">
        <f t="array" ref="CN12">PRODUCT(1 + 預測IC!$C19:CM19) -1</f>
        <v>4.0240013704706357</v>
      </c>
      <c r="CO12" s="62" cm="1">
        <f t="array" ref="CO12">PRODUCT(1 + 預測IC!$C19:CN19) -1</f>
        <v>3.9439002473154794</v>
      </c>
      <c r="CP12" s="62" cm="1">
        <f t="array" ref="CP12">PRODUCT(1 + 預測IC!$C19:CO19) -1</f>
        <v>5.1859841466400542</v>
      </c>
      <c r="CQ12" s="62" cm="1">
        <f t="array" ref="CQ12">PRODUCT(1 + 預測IC!$C19:CP19) -1</f>
        <v>5.0063646840394194</v>
      </c>
      <c r="CR12" s="62" cm="1">
        <f t="array" ref="CR12">PRODUCT(1 + 預測IC!$C19:CQ19) -1</f>
        <v>6.3398591583251207</v>
      </c>
      <c r="CS12" s="62" cm="1">
        <f t="array" ref="CS12">PRODUCT(1 + 預測IC!$C19:CR19) -1</f>
        <v>6.5182118820685018</v>
      </c>
      <c r="CT12" s="62" cm="1">
        <f t="array" ref="CT12">PRODUCT(1 + 預測IC!$C19:CS19) -1</f>
        <v>6.8473215093061821</v>
      </c>
      <c r="CU12" s="62" cm="1">
        <f t="array" ref="CU12">PRODUCT(1 + 預測IC!$C19:CT19) -1</f>
        <v>5.8850795979320409</v>
      </c>
      <c r="CV12" s="62" cm="1">
        <f t="array" ref="CV12">PRODUCT(1 + 預測IC!$C19:CU19) -1</f>
        <v>5.9343531228320323</v>
      </c>
      <c r="CW12" s="62" cm="1">
        <f t="array" ref="CW12">PRODUCT(1 + 預測IC!$C19:CV19) -1</f>
        <v>6.462352067203379</v>
      </c>
      <c r="CX12" s="62" cm="1">
        <f t="array" ref="CX12">PRODUCT(1 + 預測IC!$C19:CW19) -1</f>
        <v>6.2221230340691269</v>
      </c>
      <c r="CY12" s="62" cm="1">
        <f t="array" ref="CY12">PRODUCT(1 + 預測IC!$C19:CX19) -1</f>
        <v>6.2302666611285025</v>
      </c>
      <c r="CZ12" s="62" cm="1">
        <f t="array" ref="CZ12">PRODUCT(1 + 預測IC!$C19:CY19) -1</f>
        <v>6.7591703364832316</v>
      </c>
      <c r="DA12" s="62" cm="1">
        <f t="array" ref="DA12">PRODUCT(1 + 預測IC!$C19:CZ19) -1</f>
        <v>7.9852123652147391</v>
      </c>
      <c r="DB12" s="62" cm="1">
        <f t="array" ref="DB12">PRODUCT(1 + 預測IC!$C19:DA19) -1</f>
        <v>8.6607428881341981</v>
      </c>
      <c r="DC12" s="62" cm="1">
        <f t="array" ref="DC12">PRODUCT(1 + 預測IC!$C19:DB19) -1</f>
        <v>10.090164247028969</v>
      </c>
      <c r="DD12" s="62" cm="1">
        <f t="array" ref="DD12">PRODUCT(1 + 預測IC!$C19:DC19) -1</f>
        <v>10.425935129952828</v>
      </c>
      <c r="DE12" s="62" cm="1">
        <f t="array" ref="DE12">PRODUCT(1 + 預測IC!$C19:DD19) -1</f>
        <v>9.6998459268733317</v>
      </c>
      <c r="DF12" s="62" cm="1">
        <f t="array" ref="DF12">PRODUCT(1 + 預測IC!$C19:DE19) -1</f>
        <v>9.6355857525214823</v>
      </c>
      <c r="DG12" s="62" cm="1">
        <f t="array" ref="DG12">PRODUCT(1 + 預測IC!$C19:DF19) -1</f>
        <v>11.821217190082473</v>
      </c>
      <c r="DH12" s="62" cm="1">
        <f t="array" ref="DH12">PRODUCT(1 + 預測IC!$C19:DG19) -1</f>
        <v>10.970218322756716</v>
      </c>
      <c r="DI12" s="62" cm="1">
        <f t="array" ref="DI12">PRODUCT(1 + 預測IC!$C19:DH19) -1</f>
        <v>10.968339200424753</v>
      </c>
      <c r="DJ12" s="62" cm="1">
        <f t="array" ref="DJ12">PRODUCT(1 + 預測IC!$C19:DI19) -1</f>
        <v>11.012220211804378</v>
      </c>
      <c r="DK12" s="62" cm="1">
        <f t="array" ref="DK12">PRODUCT(1 + 預測IC!$C19:DJ19) -1</f>
        <v>10.429455147487271</v>
      </c>
      <c r="DL12" s="62" cm="1">
        <f t="array" ref="DL12">PRODUCT(1 + 預測IC!$C19:DK19) -1</f>
        <v>9.0414357179303071</v>
      </c>
      <c r="DM12" s="62" cm="1">
        <f t="array" ref="DM12">PRODUCT(1 + 預測IC!$C19:DL19) -1</f>
        <v>8.8073342541084276</v>
      </c>
      <c r="DN12" s="62" cm="1">
        <f t="array" ref="DN12">PRODUCT(1 + 預測IC!$C19:DM19) -1</f>
        <v>9.3692987361672913</v>
      </c>
      <c r="DO12" s="62" cm="1">
        <f t="array" ref="DO12">PRODUCT(1 + 預測IC!$C19:DN19) -1</f>
        <v>8.702610954247584</v>
      </c>
      <c r="DP12" s="62" cm="1">
        <f t="array" ref="DP12">PRODUCT(1 + 預測IC!$C19:DO19) -1</f>
        <v>11.121102697383682</v>
      </c>
      <c r="DQ12" s="62" cm="1">
        <f t="array" ref="DQ12">PRODUCT(1 + 預測IC!$C19:DP19) -1</f>
        <v>11.072588457393225</v>
      </c>
      <c r="DR12" s="62" cm="1">
        <f t="array" ref="DR12">PRODUCT(1 + 預測IC!$C19:DQ19) -1</f>
        <v>10.461435742072542</v>
      </c>
      <c r="DS12" s="62" cm="1">
        <f t="array" ref="DS12">PRODUCT(1 + 預測IC!$C19:DR19) -1</f>
        <v>10.260347152565306</v>
      </c>
      <c r="DT12" s="62" cm="1">
        <f t="array" ref="DT12">PRODUCT(1 + 預測IC!$C19:DS19) -1</f>
        <v>10.196418631447514</v>
      </c>
      <c r="DU12" s="62" cm="1">
        <f t="array" ref="DU12">PRODUCT(1 + 預測IC!$C19:DT19) -1</f>
        <v>10.161977023639739</v>
      </c>
      <c r="DV12" s="62" cm="1">
        <f t="array" ref="DV12">PRODUCT(1 + 預測IC!$C19:DU19) -1</f>
        <v>8.4811850705878662</v>
      </c>
      <c r="DW12" s="62" cm="1">
        <f t="array" ref="DW12">PRODUCT(1 + 預測IC!$C19:DV19) -1</f>
        <v>8.8426470130216472</v>
      </c>
      <c r="DX12" s="62" cm="1">
        <f t="array" ref="DX12">PRODUCT(1 + 預測IC!$C19:DW19) -1</f>
        <v>7.8456265468179378</v>
      </c>
      <c r="DY12" s="62" cm="1">
        <f t="array" ref="DY12">PRODUCT(1 + 預測IC!$C19:DX19) -1</f>
        <v>6.6217002422466855</v>
      </c>
      <c r="DZ12" s="62" cm="1">
        <f t="array" ref="DZ12">PRODUCT(1 + 預測IC!$C19:DY19) -1</f>
        <v>7.1560544274945421</v>
      </c>
      <c r="EA12" s="62" cm="1">
        <f t="array" ref="EA12">PRODUCT(1 + 預測IC!$C19:DZ19) -1</f>
        <v>7.7966142029276391</v>
      </c>
      <c r="EB12" s="62" cm="1">
        <f t="array" ref="EB12">PRODUCT(1 + 預測IC!$C19:EA19) -1</f>
        <v>9.8466284637241337</v>
      </c>
      <c r="EC12" s="62" cm="1">
        <f t="array" ref="EC12">PRODUCT(1 + 預測IC!$C19:EB19) -1</f>
        <v>8.694219115912551</v>
      </c>
      <c r="ED12" s="62" cm="1">
        <f t="array" ref="ED12">PRODUCT(1 + 預測IC!$C19:EC19) -1</f>
        <v>8.390546636847823</v>
      </c>
      <c r="EE12" s="62" cm="1">
        <f t="array" ref="EE12">PRODUCT(1 + 預測IC!$C19:ED19) -1</f>
        <v>7.5814613568677078</v>
      </c>
      <c r="EF12" s="62" cm="1">
        <f t="array" ref="EF12">PRODUCT(1 + 預測IC!$C19:EE19) -1</f>
        <v>7.6441620332004021</v>
      </c>
      <c r="EG12" s="62" cm="1">
        <f t="array" ref="EG12">PRODUCT(1 + 預測IC!$C19:EF19) -1</f>
        <v>7.7909222261302702</v>
      </c>
    </row>
    <row r="13" spans="3:137" ht="16">
      <c r="C13" s="6">
        <v>192</v>
      </c>
      <c r="D13" s="62" cm="1">
        <f t="array" ref="D13">PRODUCT(1 + 預測IC!$C20:C20) -1</f>
        <v>-0.13932460396499158</v>
      </c>
      <c r="E13" s="62" cm="1">
        <f t="array" ref="E13">PRODUCT(1 + 預測IC!$C20:D20) -1</f>
        <v>-0.13902188870904963</v>
      </c>
      <c r="F13" s="62" cm="1">
        <f t="array" ref="F13">PRODUCT(1 + 預測IC!$C20:E20) -1</f>
        <v>-8.9656546096381851E-2</v>
      </c>
      <c r="G13" s="62" cm="1">
        <f t="array" ref="G13">PRODUCT(1 + 預測IC!$C20:F20) -1</f>
        <v>-0.17269663959612058</v>
      </c>
      <c r="H13" s="62" cm="1">
        <f t="array" ref="H13">PRODUCT(1 + 預測IC!$C20:G20) -1</f>
        <v>-0.2650273952835448</v>
      </c>
      <c r="I13" s="62" cm="1">
        <f t="array" ref="I13">PRODUCT(1 + 預測IC!$C20:H20) -1</f>
        <v>-0.15924111089130699</v>
      </c>
      <c r="J13" s="62" cm="1">
        <f t="array" ref="J13">PRODUCT(1 + 預測IC!$C20:I20) -1</f>
        <v>-0.13575405593170919</v>
      </c>
      <c r="K13" s="62" cm="1">
        <f t="array" ref="K13">PRODUCT(1 + 預測IC!$C20:J20) -1</f>
        <v>-0.25087791869384601</v>
      </c>
      <c r="L13" s="62" cm="1">
        <f t="array" ref="L13">PRODUCT(1 + 預測IC!$C20:K20) -1</f>
        <v>-0.22285724332683132</v>
      </c>
      <c r="M13" s="62" cm="1">
        <f t="array" ref="M13">PRODUCT(1 + 預測IC!$C20:L20) -1</f>
        <v>-0.14847797049340883</v>
      </c>
      <c r="N13" s="62" cm="1">
        <f t="array" ref="N13">PRODUCT(1 + 預測IC!$C20:M20) -1</f>
        <v>-0.37727668179078744</v>
      </c>
      <c r="O13" s="62" cm="1">
        <f t="array" ref="O13">PRODUCT(1 + 預測IC!$C20:N20) -1</f>
        <v>-6.5907875062035104E-2</v>
      </c>
      <c r="P13" s="62" cm="1">
        <f t="array" ref="P13">PRODUCT(1 + 預測IC!$C20:O20) -1</f>
        <v>3.6949235678247927E-2</v>
      </c>
      <c r="Q13" s="62" cm="1">
        <f t="array" ref="Q13">PRODUCT(1 + 預測IC!$C20:P20) -1</f>
        <v>7.8456752716446809E-2</v>
      </c>
      <c r="R13" s="62" cm="1">
        <f t="array" ref="R13">PRODUCT(1 + 預測IC!$C20:Q20) -1</f>
        <v>-0.16400708287650057</v>
      </c>
      <c r="S13" s="62" cm="1">
        <f t="array" ref="S13">PRODUCT(1 + 預測IC!$C20:R20) -1</f>
        <v>-0.10843894041041868</v>
      </c>
      <c r="T13" s="62" cm="1">
        <f t="array" ref="T13">PRODUCT(1 + 預測IC!$C20:S20) -1</f>
        <v>-0.15956201674703907</v>
      </c>
      <c r="U13" s="62" cm="1">
        <f t="array" ref="U13">PRODUCT(1 + 預測IC!$C20:T20) -1</f>
        <v>-0.24431643315816509</v>
      </c>
      <c r="V13" s="62" cm="1">
        <f t="array" ref="V13">PRODUCT(1 + 預測IC!$C20:U20) -1</f>
        <v>-0.15187439157398208</v>
      </c>
      <c r="W13" s="62" cm="1">
        <f t="array" ref="W13">PRODUCT(1 + 預測IC!$C20:V20) -1</f>
        <v>-0.26746378823881178</v>
      </c>
      <c r="X13" s="62" cm="1">
        <f t="array" ref="X13">PRODUCT(1 + 預測IC!$C20:W20) -1</f>
        <v>-0.20074082303593299</v>
      </c>
      <c r="Y13" s="62" cm="1">
        <f t="array" ref="Y13">PRODUCT(1 + 預測IC!$C20:X20) -1</f>
        <v>-0.3206635175371455</v>
      </c>
      <c r="Z13" s="62" cm="1">
        <f t="array" ref="Z13">PRODUCT(1 + 預測IC!$C20:Y20) -1</f>
        <v>-0.32396221100166367</v>
      </c>
      <c r="AA13" s="62" cm="1">
        <f t="array" ref="AA13">PRODUCT(1 + 預測IC!$C20:Z20) -1</f>
        <v>-0.30425074053787271</v>
      </c>
      <c r="AB13" s="62" cm="1">
        <f t="array" ref="AB13">PRODUCT(1 + 預測IC!$C20:AA20) -1</f>
        <v>-0.25766199338801044</v>
      </c>
      <c r="AC13" s="62" cm="1">
        <f t="array" ref="AC13">PRODUCT(1 + 預測IC!$C20:AB20) -1</f>
        <v>-0.30251674619425839</v>
      </c>
      <c r="AD13" s="62" cm="1">
        <f t="array" ref="AD13">PRODUCT(1 + 預測IC!$C20:AC20) -1</f>
        <v>-0.36969069075496441</v>
      </c>
      <c r="AE13" s="62" cm="1">
        <f t="array" ref="AE13">PRODUCT(1 + 預測IC!$C20:AD20) -1</f>
        <v>-0.28784917519554076</v>
      </c>
      <c r="AF13" s="62" cm="1">
        <f t="array" ref="AF13">PRODUCT(1 + 預測IC!$C20:AE20) -1</f>
        <v>-0.27552102571033277</v>
      </c>
      <c r="AG13" s="62" cm="1">
        <f t="array" ref="AG13">PRODUCT(1 + 預測IC!$C20:AF20) -1</f>
        <v>-0.27083416729692389</v>
      </c>
      <c r="AH13" s="62" cm="1">
        <f t="array" ref="AH13">PRODUCT(1 + 預測IC!$C20:AG20) -1</f>
        <v>-0.27538543111289759</v>
      </c>
      <c r="AI13" s="62" cm="1">
        <f t="array" ref="AI13">PRODUCT(1 + 預測IC!$C20:AH20) -1</f>
        <v>-0.29553457269473282</v>
      </c>
      <c r="AJ13" s="62" cm="1">
        <f t="array" ref="AJ13">PRODUCT(1 + 預測IC!$C20:AI20) -1</f>
        <v>-0.2404773978109932</v>
      </c>
      <c r="AK13" s="62" cm="1">
        <f t="array" ref="AK13">PRODUCT(1 + 預測IC!$C20:AJ20) -1</f>
        <v>-0.22738192502409682</v>
      </c>
      <c r="AL13" s="62" cm="1">
        <f t="array" ref="AL13">PRODUCT(1 + 預測IC!$C20:AK20) -1</f>
        <v>-0.23788575698769365</v>
      </c>
      <c r="AM13" s="62" cm="1">
        <f t="array" ref="AM13">PRODUCT(1 + 預測IC!$C20:AL20) -1</f>
        <v>-0.24216626793565477</v>
      </c>
      <c r="AN13" s="62" cm="1">
        <f t="array" ref="AN13">PRODUCT(1 + 預測IC!$C20:AM20) -1</f>
        <v>-0.2173558606251379</v>
      </c>
      <c r="AO13" s="62" cm="1">
        <f t="array" ref="AO13">PRODUCT(1 + 預測IC!$C20:AN20) -1</f>
        <v>-0.19159381127760455</v>
      </c>
      <c r="AP13" s="62" cm="1">
        <f t="array" ref="AP13">PRODUCT(1 + 預測IC!$C20:AO20) -1</f>
        <v>-0.13655310671724052</v>
      </c>
      <c r="AQ13" s="62" cm="1">
        <f t="array" ref="AQ13">PRODUCT(1 + 預測IC!$C20:AP20) -1</f>
        <v>-0.12566977656751144</v>
      </c>
      <c r="AR13" s="62" cm="1">
        <f t="array" ref="AR13">PRODUCT(1 + 預測IC!$C20:AQ20) -1</f>
        <v>-0.18940910222868634</v>
      </c>
      <c r="AS13" s="62" cm="1">
        <f t="array" ref="AS13">PRODUCT(1 + 預測IC!$C20:AR20) -1</f>
        <v>-0.17863693842406947</v>
      </c>
      <c r="AT13" s="62" cm="1">
        <f t="array" ref="AT13">PRODUCT(1 + 預測IC!$C20:AS20) -1</f>
        <v>-0.19271824657371228</v>
      </c>
      <c r="AU13" s="62" cm="1">
        <f t="array" ref="AU13">PRODUCT(1 + 預測IC!$C20:AT20) -1</f>
        <v>-0.19501862750756371</v>
      </c>
      <c r="AV13" s="62" cm="1">
        <f t="array" ref="AV13">PRODUCT(1 + 預測IC!$C20:AU20) -1</f>
        <v>3.1742912592660932E-2</v>
      </c>
      <c r="AW13" s="62" cm="1">
        <f t="array" ref="AW13">PRODUCT(1 + 預測IC!$C20:AV20) -1</f>
        <v>0.10548486533152612</v>
      </c>
      <c r="AX13" s="62" cm="1">
        <f t="array" ref="AX13">PRODUCT(1 + 預測IC!$C20:AW20) -1</f>
        <v>0.26722928937558987</v>
      </c>
      <c r="AY13" s="62" cm="1">
        <f t="array" ref="AY13">PRODUCT(1 + 預測IC!$C20:AX20) -1</f>
        <v>0.37606676612577306</v>
      </c>
      <c r="AZ13" s="62" cm="1">
        <f t="array" ref="AZ13">PRODUCT(1 + 預測IC!$C20:AY20) -1</f>
        <v>0.29035763048495777</v>
      </c>
      <c r="BA13" s="62" cm="1">
        <f t="array" ref="BA13">PRODUCT(1 + 預測IC!$C20:AZ20) -1</f>
        <v>0.41914087476763529</v>
      </c>
      <c r="BB13" s="62" cm="1">
        <f t="array" ref="BB13">PRODUCT(1 + 預測IC!$C20:BA20) -1</f>
        <v>0.63391042692744048</v>
      </c>
      <c r="BC13" s="62" cm="1">
        <f t="array" ref="BC13">PRODUCT(1 + 預測IC!$C20:BB20) -1</f>
        <v>1.0116927816038426</v>
      </c>
      <c r="BD13" s="62" cm="1">
        <f t="array" ref="BD13">PRODUCT(1 + 預測IC!$C20:BC20) -1</f>
        <v>1.1537294924421939</v>
      </c>
      <c r="BE13" s="62" cm="1">
        <f t="array" ref="BE13">PRODUCT(1 + 預測IC!$C20:BD20) -1</f>
        <v>1.1293744831596051</v>
      </c>
      <c r="BF13" s="62" cm="1">
        <f t="array" ref="BF13">PRODUCT(1 + 預測IC!$C20:BE20) -1</f>
        <v>1.0474641917023164</v>
      </c>
      <c r="BG13" s="62" cm="1">
        <f t="array" ref="BG13">PRODUCT(1 + 預測IC!$C20:BF20) -1</f>
        <v>0.93440956581869883</v>
      </c>
      <c r="BH13" s="62" cm="1">
        <f t="array" ref="BH13">PRODUCT(1 + 預測IC!$C20:BG20) -1</f>
        <v>0.83434798825113821</v>
      </c>
      <c r="BI13" s="62" cm="1">
        <f t="array" ref="BI13">PRODUCT(1 + 預測IC!$C20:BH20) -1</f>
        <v>0.73914665329723794</v>
      </c>
      <c r="BJ13" s="62" cm="1">
        <f t="array" ref="BJ13">PRODUCT(1 + 預測IC!$C20:BI20) -1</f>
        <v>0.77944544065442356</v>
      </c>
      <c r="BK13" s="62" cm="1">
        <f t="array" ref="BK13">PRODUCT(1 + 預測IC!$C20:BJ20) -1</f>
        <v>0.74095690443927875</v>
      </c>
      <c r="BL13" s="62" cm="1">
        <f t="array" ref="BL13">PRODUCT(1 + 預測IC!$C20:BK20) -1</f>
        <v>0.94578113258765417</v>
      </c>
      <c r="BM13" s="62" cm="1">
        <f t="array" ref="BM13">PRODUCT(1 + 預測IC!$C20:BL20) -1</f>
        <v>0.98427518522611179</v>
      </c>
      <c r="BN13" s="62" cm="1">
        <f t="array" ref="BN13">PRODUCT(1 + 預測IC!$C20:BM20) -1</f>
        <v>0.87602124615400223</v>
      </c>
      <c r="BO13" s="62" cm="1">
        <f t="array" ref="BO13">PRODUCT(1 + 預測IC!$C20:BN20) -1</f>
        <v>0.91098658126733967</v>
      </c>
      <c r="BP13" s="62" cm="1">
        <f t="array" ref="BP13">PRODUCT(1 + 預測IC!$C20:BO20) -1</f>
        <v>0.89644293199981639</v>
      </c>
      <c r="BQ13" s="62" cm="1">
        <f t="array" ref="BQ13">PRODUCT(1 + 預測IC!$C20:BP20) -1</f>
        <v>0.88263256518737387</v>
      </c>
      <c r="BR13" s="62" cm="1">
        <f t="array" ref="BR13">PRODUCT(1 + 預測IC!$C20:BQ20) -1</f>
        <v>0.85916161274627934</v>
      </c>
      <c r="BS13" s="62" cm="1">
        <f t="array" ref="BS13">PRODUCT(1 + 預測IC!$C20:BR20) -1</f>
        <v>0.8929762695333141</v>
      </c>
      <c r="BT13" s="62" cm="1">
        <f t="array" ref="BT13">PRODUCT(1 + 預測IC!$C20:BS20) -1</f>
        <v>1.0914739895511825</v>
      </c>
      <c r="BU13" s="62" cm="1">
        <f t="array" ref="BU13">PRODUCT(1 + 預測IC!$C20:BT20) -1</f>
        <v>1.2012086589388584</v>
      </c>
      <c r="BV13" s="62" cm="1">
        <f t="array" ref="BV13">PRODUCT(1 + 預測IC!$C20:BU20) -1</f>
        <v>0.87225782683377817</v>
      </c>
      <c r="BW13" s="62" cm="1">
        <f t="array" ref="BW13">PRODUCT(1 + 預測IC!$C20:BV20) -1</f>
        <v>1.1225972794612069</v>
      </c>
      <c r="BX13" s="62" cm="1">
        <f t="array" ref="BX13">PRODUCT(1 + 預測IC!$C20:BW20) -1</f>
        <v>1.8486161391099998</v>
      </c>
      <c r="BY13" s="62" cm="1">
        <f t="array" ref="BY13">PRODUCT(1 + 預測IC!$C20:BX20) -1</f>
        <v>1.6980342400321251</v>
      </c>
      <c r="BZ13" s="62" cm="1">
        <f t="array" ref="BZ13">PRODUCT(1 + 預測IC!$C20:BY20) -1</f>
        <v>1.5815237251381271</v>
      </c>
      <c r="CA13" s="62" cm="1">
        <f t="array" ref="CA13">PRODUCT(1 + 預測IC!$C20:BZ20) -1</f>
        <v>2.0583959211201059</v>
      </c>
      <c r="CB13" s="62" cm="1">
        <f t="array" ref="CB13">PRODUCT(1 + 預測IC!$C20:CA20) -1</f>
        <v>2.2119788572086438</v>
      </c>
      <c r="CC13" s="62" cm="1">
        <f t="array" ref="CC13">PRODUCT(1 + 預測IC!$C20:CB20) -1</f>
        <v>2.6182782697635849</v>
      </c>
      <c r="CD13" s="62" cm="1">
        <f t="array" ref="CD13">PRODUCT(1 + 預測IC!$C20:CC20) -1</f>
        <v>2.6650088672343162</v>
      </c>
      <c r="CE13" s="62" cm="1">
        <f t="array" ref="CE13">PRODUCT(1 + 預測IC!$C20:CD20) -1</f>
        <v>3.0170866526721678</v>
      </c>
      <c r="CF13" s="62" cm="1">
        <f t="array" ref="CF13">PRODUCT(1 + 預測IC!$C20:CE20) -1</f>
        <v>3.3616650049240411</v>
      </c>
      <c r="CG13" s="62" cm="1">
        <f t="array" ref="CG13">PRODUCT(1 + 預測IC!$C20:CF20) -1</f>
        <v>2.7893772388980236</v>
      </c>
      <c r="CH13" s="62" cm="1">
        <f t="array" ref="CH13">PRODUCT(1 + 預測IC!$C20:CG20) -1</f>
        <v>4.0093237476237746</v>
      </c>
      <c r="CI13" s="62" cm="1">
        <f t="array" ref="CI13">PRODUCT(1 + 預測IC!$C20:CH20) -1</f>
        <v>4.2557585503110475</v>
      </c>
      <c r="CJ13" s="62" cm="1">
        <f t="array" ref="CJ13">PRODUCT(1 + 預測IC!$C20:CI20) -1</f>
        <v>3.5647012774331053</v>
      </c>
      <c r="CK13" s="62" cm="1">
        <f t="array" ref="CK13">PRODUCT(1 + 預測IC!$C20:CJ20) -1</f>
        <v>3.5084466388317432</v>
      </c>
      <c r="CL13" s="62" cm="1">
        <f t="array" ref="CL13">PRODUCT(1 + 預測IC!$C20:CK20) -1</f>
        <v>3.7892180499970758</v>
      </c>
      <c r="CM13" s="62" cm="1">
        <f t="array" ref="CM13">PRODUCT(1 + 預測IC!$C20:CL20) -1</f>
        <v>5.216093300437362</v>
      </c>
      <c r="CN13" s="62" cm="1">
        <f t="array" ref="CN13">PRODUCT(1 + 預測IC!$C20:CM20) -1</f>
        <v>4.6145258620534877</v>
      </c>
      <c r="CO13" s="62" cm="1">
        <f t="array" ref="CO13">PRODUCT(1 + 預測IC!$C20:CN20) -1</f>
        <v>4.5058961414882797</v>
      </c>
      <c r="CP13" s="62" cm="1">
        <f t="array" ref="CP13">PRODUCT(1 + 預測IC!$C20:CO20) -1</f>
        <v>6.1387979577344867</v>
      </c>
      <c r="CQ13" s="62" cm="1">
        <f t="array" ref="CQ13">PRODUCT(1 + 預測IC!$C20:CP20) -1</f>
        <v>6.1917988342348949</v>
      </c>
      <c r="CR13" s="62" cm="1">
        <f t="array" ref="CR13">PRODUCT(1 + 預測IC!$C20:CQ20) -1</f>
        <v>6.7852646815264297</v>
      </c>
      <c r="CS13" s="62" cm="1">
        <f t="array" ref="CS13">PRODUCT(1 + 預測IC!$C20:CR20) -1</f>
        <v>6.982718867871311</v>
      </c>
      <c r="CT13" s="62" cm="1">
        <f t="array" ref="CT13">PRODUCT(1 + 預測IC!$C20:CS20) -1</f>
        <v>7.1606779242082066</v>
      </c>
      <c r="CU13" s="62" cm="1">
        <f t="array" ref="CU13">PRODUCT(1 + 預測IC!$C20:CT20) -1</f>
        <v>6.422348444367616</v>
      </c>
      <c r="CV13" s="62" cm="1">
        <f t="array" ref="CV13">PRODUCT(1 + 預測IC!$C20:CU20) -1</f>
        <v>6.4982263437998702</v>
      </c>
      <c r="CW13" s="62" cm="1">
        <f t="array" ref="CW13">PRODUCT(1 + 預測IC!$C20:CV20) -1</f>
        <v>7.225583949547751</v>
      </c>
      <c r="CX13" s="62" cm="1">
        <f t="array" ref="CX13">PRODUCT(1 + 預測IC!$C20:CW20) -1</f>
        <v>7.0132289629207492</v>
      </c>
      <c r="CY13" s="62" cm="1">
        <f t="array" ref="CY13">PRODUCT(1 + 預測IC!$C20:CX20) -1</f>
        <v>7.0884422818948494</v>
      </c>
      <c r="CZ13" s="62" cm="1">
        <f t="array" ref="CZ13">PRODUCT(1 + 預測IC!$C20:CY20) -1</f>
        <v>7.9679215694566086</v>
      </c>
      <c r="DA13" s="62" cm="1">
        <f t="array" ref="DA13">PRODUCT(1 + 預測IC!$C20:CZ20) -1</f>
        <v>9.1185121987330469</v>
      </c>
      <c r="DB13" s="62" cm="1">
        <f t="array" ref="DB13">PRODUCT(1 + 預測IC!$C20:DA20) -1</f>
        <v>9.898464286621028</v>
      </c>
      <c r="DC13" s="62" cm="1">
        <f t="array" ref="DC13">PRODUCT(1 + 預測IC!$C20:DB20) -1</f>
        <v>10.737298046228073</v>
      </c>
      <c r="DD13" s="62" cm="1">
        <f t="array" ref="DD13">PRODUCT(1 + 預測IC!$C20:DC20) -1</f>
        <v>11.076519583276465</v>
      </c>
      <c r="DE13" s="62" cm="1">
        <f t="array" ref="DE13">PRODUCT(1 + 預測IC!$C20:DD20) -1</f>
        <v>10.253347630213934</v>
      </c>
      <c r="DF13" s="62" cm="1">
        <f t="array" ref="DF13">PRODUCT(1 + 預測IC!$C20:DE20) -1</f>
        <v>9.91049673673594</v>
      </c>
      <c r="DG13" s="62" cm="1">
        <f t="array" ref="DG13">PRODUCT(1 + 預測IC!$C20:DF20) -1</f>
        <v>12.589833302043546</v>
      </c>
      <c r="DH13" s="62" cm="1">
        <f t="array" ref="DH13">PRODUCT(1 + 預測IC!$C20:DG20) -1</f>
        <v>11.878476015072414</v>
      </c>
      <c r="DI13" s="62" cm="1">
        <f t="array" ref="DI13">PRODUCT(1 + 預測IC!$C20:DH20) -1</f>
        <v>11.737129438190735</v>
      </c>
      <c r="DJ13" s="62" cm="1">
        <f t="array" ref="DJ13">PRODUCT(1 + 預測IC!$C20:DI20) -1</f>
        <v>11.638320290270944</v>
      </c>
      <c r="DK13" s="62" cm="1">
        <f t="array" ref="DK13">PRODUCT(1 + 預測IC!$C20:DJ20) -1</f>
        <v>11.139612850687858</v>
      </c>
      <c r="DL13" s="62" cm="1">
        <f t="array" ref="DL13">PRODUCT(1 + 預測IC!$C20:DK20) -1</f>
        <v>10.105469095136465</v>
      </c>
      <c r="DM13" s="62" cm="1">
        <f t="array" ref="DM13">PRODUCT(1 + 預測IC!$C20:DL20) -1</f>
        <v>10.218600161022025</v>
      </c>
      <c r="DN13" s="62" cm="1">
        <f t="array" ref="DN13">PRODUCT(1 + 預測IC!$C20:DM20) -1</f>
        <v>10.996454218532133</v>
      </c>
      <c r="DO13" s="62" cm="1">
        <f t="array" ref="DO13">PRODUCT(1 + 預測IC!$C20:DN20) -1</f>
        <v>10.223148354847586</v>
      </c>
      <c r="DP13" s="62" cm="1">
        <f t="array" ref="DP13">PRODUCT(1 + 預測IC!$C20:DO20) -1</f>
        <v>13.118735932701025</v>
      </c>
      <c r="DQ13" s="62" cm="1">
        <f t="array" ref="DQ13">PRODUCT(1 + 預測IC!$C20:DP20) -1</f>
        <v>12.812765110511075</v>
      </c>
      <c r="DR13" s="62" cm="1">
        <f t="array" ref="DR13">PRODUCT(1 + 預測IC!$C20:DQ20) -1</f>
        <v>12.280416846216665</v>
      </c>
      <c r="DS13" s="62" cm="1">
        <f t="array" ref="DS13">PRODUCT(1 + 預測IC!$C20:DR20) -1</f>
        <v>11.542583550306809</v>
      </c>
      <c r="DT13" s="62" cm="1">
        <f t="array" ref="DT13">PRODUCT(1 + 預測IC!$C20:DS20) -1</f>
        <v>11.448630872965357</v>
      </c>
      <c r="DU13" s="62" cm="1">
        <f t="array" ref="DU13">PRODUCT(1 + 預測IC!$C20:DT20) -1</f>
        <v>11.508749596070256</v>
      </c>
      <c r="DV13" s="62" cm="1">
        <f t="array" ref="DV13">PRODUCT(1 + 預測IC!$C20:DU20) -1</f>
        <v>9.302516772955336</v>
      </c>
      <c r="DW13" s="62" cm="1">
        <f t="array" ref="DW13">PRODUCT(1 + 預測IC!$C20:DV20) -1</f>
        <v>8.9914539515803593</v>
      </c>
      <c r="DX13" s="62" cm="1">
        <f t="array" ref="DX13">PRODUCT(1 + 預測IC!$C20:DW20) -1</f>
        <v>7.9568771807488972</v>
      </c>
      <c r="DY13" s="62" cm="1">
        <f t="array" ref="DY13">PRODUCT(1 + 預測IC!$C20:DX20) -1</f>
        <v>6.578715364212508</v>
      </c>
      <c r="DZ13" s="62" cm="1">
        <f t="array" ref="DZ13">PRODUCT(1 + 預測IC!$C20:DY20) -1</f>
        <v>6.9850755427135578</v>
      </c>
      <c r="EA13" s="62" cm="1">
        <f t="array" ref="EA13">PRODUCT(1 + 預測IC!$C20:DZ20) -1</f>
        <v>7.7053265312190025</v>
      </c>
      <c r="EB13" s="62" cm="1">
        <f t="array" ref="EB13">PRODUCT(1 + 預測IC!$C20:EA20) -1</f>
        <v>10.261993740575587</v>
      </c>
      <c r="EC13" s="62" cm="1">
        <f t="array" ref="EC13">PRODUCT(1 + 預測IC!$C20:EB20) -1</f>
        <v>9.0647056567612534</v>
      </c>
      <c r="ED13" s="62" cm="1">
        <f t="array" ref="ED13">PRODUCT(1 + 預測IC!$C20:EC20) -1</f>
        <v>9.2959564816788554</v>
      </c>
      <c r="EE13" s="62" cm="1">
        <f t="array" ref="EE13">PRODUCT(1 + 預測IC!$C20:ED20) -1</f>
        <v>8.5276139545217209</v>
      </c>
      <c r="EF13" s="62" cm="1">
        <f t="array" ref="EF13">PRODUCT(1 + 預測IC!$C20:EE20) -1</f>
        <v>8.5442013375000307</v>
      </c>
      <c r="EG13" s="62" cm="1">
        <f t="array" ref="EG13">PRODUCT(1 + 預測IC!$C20:EF20) -1</f>
        <v>8.737771261091968</v>
      </c>
    </row>
    <row r="14" spans="3:137" ht="16">
      <c r="C14" s="6">
        <v>241</v>
      </c>
      <c r="D14" s="62" cm="1">
        <f t="array" ref="D14">PRODUCT(1 + 預測IC!$C21:C21) -1</f>
        <v>-0.19764916434148616</v>
      </c>
      <c r="E14" s="62" cm="1">
        <f t="array" ref="E14">PRODUCT(1 + 預測IC!$C21:D21) -1</f>
        <v>-0.19794419628197157</v>
      </c>
      <c r="F14" s="62" cm="1">
        <f t="array" ref="F14">PRODUCT(1 + 預測IC!$C21:E21) -1</f>
        <v>-0.20892447681357795</v>
      </c>
      <c r="G14" s="62" cm="1">
        <f t="array" ref="G14">PRODUCT(1 + 預測IC!$C21:F21) -1</f>
        <v>-0.24934644558088503</v>
      </c>
      <c r="H14" s="62" cm="1">
        <f t="array" ref="H14">PRODUCT(1 + 預測IC!$C21:G21) -1</f>
        <v>-0.25482331752502418</v>
      </c>
      <c r="I14" s="62" cm="1">
        <f t="array" ref="I14">PRODUCT(1 + 預測IC!$C21:H21) -1</f>
        <v>-0.13398242056623133</v>
      </c>
      <c r="J14" s="62" cm="1">
        <f t="array" ref="J14">PRODUCT(1 + 預測IC!$C21:I21) -1</f>
        <v>-0.12176180533341541</v>
      </c>
      <c r="K14" s="62" cm="1">
        <f t="array" ref="K14">PRODUCT(1 + 預測IC!$C21:J21) -1</f>
        <v>-0.24185465643493664</v>
      </c>
      <c r="L14" s="62" cm="1">
        <f t="array" ref="L14">PRODUCT(1 + 預測IC!$C21:K21) -1</f>
        <v>-0.24073995839909712</v>
      </c>
      <c r="M14" s="62" cm="1">
        <f t="array" ref="M14">PRODUCT(1 + 預測IC!$C21:L21) -1</f>
        <v>-0.15746461508062781</v>
      </c>
      <c r="N14" s="62" cm="1">
        <f t="array" ref="N14">PRODUCT(1 + 預測IC!$C21:M21) -1</f>
        <v>-0.3258747791711003</v>
      </c>
      <c r="O14" s="62" cm="1">
        <f t="array" ref="O14">PRODUCT(1 + 預測IC!$C21:N21) -1</f>
        <v>6.8415173752240488E-2</v>
      </c>
      <c r="P14" s="62" cm="1">
        <f t="array" ref="P14">PRODUCT(1 + 預測IC!$C21:O21) -1</f>
        <v>0.21722136111318191</v>
      </c>
      <c r="Q14" s="62" cm="1">
        <f t="array" ref="Q14">PRODUCT(1 + 預測IC!$C21:P21) -1</f>
        <v>0.27251631082949812</v>
      </c>
      <c r="R14" s="62" cm="1">
        <f t="array" ref="R14">PRODUCT(1 + 預測IC!$C21:Q21) -1</f>
        <v>-7.6259343805798574E-2</v>
      </c>
      <c r="S14" s="62" cm="1">
        <f t="array" ref="S14">PRODUCT(1 + 預測IC!$C21:R21) -1</f>
        <v>2.1710701710582203E-3</v>
      </c>
      <c r="T14" s="62" cm="1">
        <f t="array" ref="T14">PRODUCT(1 + 預測IC!$C21:S21) -1</f>
        <v>-3.4471602957510283E-2</v>
      </c>
      <c r="U14" s="62" cm="1">
        <f t="array" ref="U14">PRODUCT(1 + 預測IC!$C21:T21) -1</f>
        <v>-0.16107203487402255</v>
      </c>
      <c r="V14" s="62" cm="1">
        <f t="array" ref="V14">PRODUCT(1 + 預測IC!$C21:U21) -1</f>
        <v>-8.8690657552701224E-2</v>
      </c>
      <c r="W14" s="62" cm="1">
        <f t="array" ref="W14">PRODUCT(1 + 預測IC!$C21:V21) -1</f>
        <v>-0.20875610873372352</v>
      </c>
      <c r="X14" s="62" cm="1">
        <f t="array" ref="X14">PRODUCT(1 + 預測IC!$C21:W21) -1</f>
        <v>-0.1102473371145779</v>
      </c>
      <c r="Y14" s="62" cm="1">
        <f t="array" ref="Y14">PRODUCT(1 + 預測IC!$C21:X21) -1</f>
        <v>-0.2951390680931758</v>
      </c>
      <c r="Z14" s="62" cm="1">
        <f t="array" ref="Z14">PRODUCT(1 + 預測IC!$C21:Y21) -1</f>
        <v>-0.3022889379967777</v>
      </c>
      <c r="AA14" s="62" cm="1">
        <f t="array" ref="AA14">PRODUCT(1 + 預測IC!$C21:Z21) -1</f>
        <v>-0.27475885328549354</v>
      </c>
      <c r="AB14" s="62" cm="1">
        <f t="array" ref="AB14">PRODUCT(1 + 預測IC!$C21:AA21) -1</f>
        <v>-0.2544278373702854</v>
      </c>
      <c r="AC14" s="62" cm="1">
        <f t="array" ref="AC14">PRODUCT(1 + 預測IC!$C21:AB21) -1</f>
        <v>-0.30310445079034098</v>
      </c>
      <c r="AD14" s="62" cm="1">
        <f t="array" ref="AD14">PRODUCT(1 + 預測IC!$C21:AC21) -1</f>
        <v>-0.41428875038143786</v>
      </c>
      <c r="AE14" s="62" cm="1">
        <f t="array" ref="AE14">PRODUCT(1 + 預測IC!$C21:AD21) -1</f>
        <v>-0.33883469448331338</v>
      </c>
      <c r="AF14" s="62" cm="1">
        <f t="array" ref="AF14">PRODUCT(1 + 預測IC!$C21:AE21) -1</f>
        <v>-0.3320170152484061</v>
      </c>
      <c r="AG14" s="62" cm="1">
        <f t="array" ref="AG14">PRODUCT(1 + 預測IC!$C21:AF21) -1</f>
        <v>-0.3095949470397793</v>
      </c>
      <c r="AH14" s="62" cm="1">
        <f t="array" ref="AH14">PRODUCT(1 + 預測IC!$C21:AG21) -1</f>
        <v>-0.31689304835216114</v>
      </c>
      <c r="AI14" s="62" cm="1">
        <f t="array" ref="AI14">PRODUCT(1 + 預測IC!$C21:AH21) -1</f>
        <v>-0.34654424998682853</v>
      </c>
      <c r="AJ14" s="62" cm="1">
        <f t="array" ref="AJ14">PRODUCT(1 + 預測IC!$C21:AI21) -1</f>
        <v>-0.29453295623023745</v>
      </c>
      <c r="AK14" s="62" cm="1">
        <f t="array" ref="AK14">PRODUCT(1 + 預測IC!$C21:AJ21) -1</f>
        <v>-0.29087445659575495</v>
      </c>
      <c r="AL14" s="62" cm="1">
        <f t="array" ref="AL14">PRODUCT(1 + 預測IC!$C21:AK21) -1</f>
        <v>-0.31260449819658287</v>
      </c>
      <c r="AM14" s="62" cm="1">
        <f t="array" ref="AM14">PRODUCT(1 + 預測IC!$C21:AL21) -1</f>
        <v>-0.29900725593352884</v>
      </c>
      <c r="AN14" s="62" cm="1">
        <f t="array" ref="AN14">PRODUCT(1 + 預測IC!$C21:AM21) -1</f>
        <v>-0.2732731323818629</v>
      </c>
      <c r="AO14" s="62" cm="1">
        <f t="array" ref="AO14">PRODUCT(1 + 預測IC!$C21:AN21) -1</f>
        <v>-0.25968658654264842</v>
      </c>
      <c r="AP14" s="62" cm="1">
        <f t="array" ref="AP14">PRODUCT(1 + 預測IC!$C21:AO21) -1</f>
        <v>-0.1893678046034456</v>
      </c>
      <c r="AQ14" s="62" cm="1">
        <f t="array" ref="AQ14">PRODUCT(1 + 預測IC!$C21:AP21) -1</f>
        <v>-0.17401250239659494</v>
      </c>
      <c r="AR14" s="62" cm="1">
        <f t="array" ref="AR14">PRODUCT(1 + 預測IC!$C21:AQ21) -1</f>
        <v>-0.22951883423247388</v>
      </c>
      <c r="AS14" s="62" cm="1">
        <f t="array" ref="AS14">PRODUCT(1 + 預測IC!$C21:AR21) -1</f>
        <v>-0.26649279336391307</v>
      </c>
      <c r="AT14" s="62" cm="1">
        <f t="array" ref="AT14">PRODUCT(1 + 預測IC!$C21:AS21) -1</f>
        <v>-0.25398941487542726</v>
      </c>
      <c r="AU14" s="62" cm="1">
        <f t="array" ref="AU14">PRODUCT(1 + 預測IC!$C21:AT21) -1</f>
        <v>-0.30131934655390646</v>
      </c>
      <c r="AV14" s="62" cm="1">
        <f t="array" ref="AV14">PRODUCT(1 + 預測IC!$C21:AU21) -1</f>
        <v>-5.9239590641110951E-2</v>
      </c>
      <c r="AW14" s="62" cm="1">
        <f t="array" ref="AW14">PRODUCT(1 + 預測IC!$C21:AV21) -1</f>
        <v>-1.1357173760925043E-2</v>
      </c>
      <c r="AX14" s="62" cm="1">
        <f t="array" ref="AX14">PRODUCT(1 + 預測IC!$C21:AW21) -1</f>
        <v>0.15962517512458341</v>
      </c>
      <c r="AY14" s="62" cm="1">
        <f t="array" ref="AY14">PRODUCT(1 + 預測IC!$C21:AX21) -1</f>
        <v>0.23616745498656555</v>
      </c>
      <c r="AZ14" s="62" cm="1">
        <f t="array" ref="AZ14">PRODUCT(1 + 預測IC!$C21:AY21) -1</f>
        <v>8.9216571771265851E-2</v>
      </c>
      <c r="BA14" s="62" cm="1">
        <f t="array" ref="BA14">PRODUCT(1 + 預測IC!$C21:AZ21) -1</f>
        <v>0.2073991386327203</v>
      </c>
      <c r="BB14" s="62" cm="1">
        <f t="array" ref="BB14">PRODUCT(1 + 預測IC!$C21:BA21) -1</f>
        <v>0.37594322283373716</v>
      </c>
      <c r="BC14" s="62" cm="1">
        <f t="array" ref="BC14">PRODUCT(1 + 預測IC!$C21:BB21) -1</f>
        <v>0.7811758897215757</v>
      </c>
      <c r="BD14" s="62" cm="1">
        <f t="array" ref="BD14">PRODUCT(1 + 預測IC!$C21:BC21) -1</f>
        <v>0.8494325941161498</v>
      </c>
      <c r="BE14" s="62" cm="1">
        <f t="array" ref="BE14">PRODUCT(1 + 預測IC!$C21:BD21) -1</f>
        <v>0.79341701797417907</v>
      </c>
      <c r="BF14" s="62" cm="1">
        <f t="array" ref="BF14">PRODUCT(1 + 預測IC!$C21:BE21) -1</f>
        <v>0.72062521173064842</v>
      </c>
      <c r="BG14" s="62" cm="1">
        <f t="array" ref="BG14">PRODUCT(1 + 預測IC!$C21:BF21) -1</f>
        <v>0.61344755439827381</v>
      </c>
      <c r="BH14" s="62" cm="1">
        <f t="array" ref="BH14">PRODUCT(1 + 預測IC!$C21:BG21) -1</f>
        <v>0.48675148925040412</v>
      </c>
      <c r="BI14" s="62" cm="1">
        <f t="array" ref="BI14">PRODUCT(1 + 預測IC!$C21:BH21) -1</f>
        <v>0.38577618894223908</v>
      </c>
      <c r="BJ14" s="62" cm="1">
        <f t="array" ref="BJ14">PRODUCT(1 + 預測IC!$C21:BI21) -1</f>
        <v>0.44990127568465743</v>
      </c>
      <c r="BK14" s="62" cm="1">
        <f t="array" ref="BK14">PRODUCT(1 + 預測IC!$C21:BJ21) -1</f>
        <v>0.41571401554438303</v>
      </c>
      <c r="BL14" s="62" cm="1">
        <f t="array" ref="BL14">PRODUCT(1 + 預測IC!$C21:BK21) -1</f>
        <v>0.51866914834817979</v>
      </c>
      <c r="BM14" s="62" cm="1">
        <f t="array" ref="BM14">PRODUCT(1 + 預測IC!$C21:BL21) -1</f>
        <v>0.52436840766231518</v>
      </c>
      <c r="BN14" s="62" cm="1">
        <f t="array" ref="BN14">PRODUCT(1 + 預測IC!$C21:BM21) -1</f>
        <v>0.37959859884605041</v>
      </c>
      <c r="BO14" s="62" cm="1">
        <f t="array" ref="BO14">PRODUCT(1 + 預測IC!$C21:BN21) -1</f>
        <v>0.4151795041014934</v>
      </c>
      <c r="BP14" s="62" cm="1">
        <f t="array" ref="BP14">PRODUCT(1 + 預測IC!$C21:BO21) -1</f>
        <v>0.43641300273395833</v>
      </c>
      <c r="BQ14" s="62" cm="1">
        <f t="array" ref="BQ14">PRODUCT(1 + 預測IC!$C21:BP21) -1</f>
        <v>0.44241836156491909</v>
      </c>
      <c r="BR14" s="62" cm="1">
        <f t="array" ref="BR14">PRODUCT(1 + 預測IC!$C21:BQ21) -1</f>
        <v>0.37995524687823434</v>
      </c>
      <c r="BS14" s="62" cm="1">
        <f t="array" ref="BS14">PRODUCT(1 + 預測IC!$C21:BR21) -1</f>
        <v>0.39552859103289695</v>
      </c>
      <c r="BT14" s="62" cm="1">
        <f t="array" ref="BT14">PRODUCT(1 + 預測IC!$C21:BS21) -1</f>
        <v>0.45987858770758439</v>
      </c>
      <c r="BU14" s="62" cm="1">
        <f t="array" ref="BU14">PRODUCT(1 + 預測IC!$C21:BT21) -1</f>
        <v>0.54866948743389221</v>
      </c>
      <c r="BV14" s="62" cm="1">
        <f t="array" ref="BV14">PRODUCT(1 + 預測IC!$C21:BU21) -1</f>
        <v>0.28425196581455059</v>
      </c>
      <c r="BW14" s="62" cm="1">
        <f t="array" ref="BW14">PRODUCT(1 + 預測IC!$C21:BV21) -1</f>
        <v>0.30896160054729549</v>
      </c>
      <c r="BX14" s="62" cm="1">
        <f t="array" ref="BX14">PRODUCT(1 + 預測IC!$C21:BW21) -1</f>
        <v>0.83533552777354037</v>
      </c>
      <c r="BY14" s="62" cm="1">
        <f t="array" ref="BY14">PRODUCT(1 + 預測IC!$C21:BX21) -1</f>
        <v>0.69371185714675421</v>
      </c>
      <c r="BZ14" s="62" cm="1">
        <f t="array" ref="BZ14">PRODUCT(1 + 預測IC!$C21:BY21) -1</f>
        <v>0.66844780930961356</v>
      </c>
      <c r="CA14" s="62" cm="1">
        <f t="array" ref="CA14">PRODUCT(1 + 預測IC!$C21:BZ21) -1</f>
        <v>1.0878985548743567</v>
      </c>
      <c r="CB14" s="62" cm="1">
        <f t="array" ref="CB14">PRODUCT(1 + 預測IC!$C21:CA21) -1</f>
        <v>1.2863730094318506</v>
      </c>
      <c r="CC14" s="62" cm="1">
        <f t="array" ref="CC14">PRODUCT(1 + 預測IC!$C21:CB21) -1</f>
        <v>1.7616410191487448</v>
      </c>
      <c r="CD14" s="62" cm="1">
        <f t="array" ref="CD14">PRODUCT(1 + 預測IC!$C21:CC21) -1</f>
        <v>1.7394955461033663</v>
      </c>
      <c r="CE14" s="62" cm="1">
        <f t="array" ref="CE14">PRODUCT(1 + 預測IC!$C21:CD21) -1</f>
        <v>1.970773488033593</v>
      </c>
      <c r="CF14" s="62" cm="1">
        <f t="array" ref="CF14">PRODUCT(1 + 預測IC!$C21:CE21) -1</f>
        <v>2.1535202696508198</v>
      </c>
      <c r="CG14" s="62" cm="1">
        <f t="array" ref="CG14">PRODUCT(1 + 預測IC!$C21:CF21) -1</f>
        <v>1.7524855955947887</v>
      </c>
      <c r="CH14" s="62" cm="1">
        <f t="array" ref="CH14">PRODUCT(1 + 預測IC!$C21:CG21) -1</f>
        <v>2.633740055037467</v>
      </c>
      <c r="CI14" s="62" cm="1">
        <f t="array" ref="CI14">PRODUCT(1 + 預測IC!$C21:CH21) -1</f>
        <v>2.3745206533682448</v>
      </c>
      <c r="CJ14" s="62" cm="1">
        <f t="array" ref="CJ14">PRODUCT(1 + 預測IC!$C21:CI21) -1</f>
        <v>1.9584647094795939</v>
      </c>
      <c r="CK14" s="62" cm="1">
        <f t="array" ref="CK14">PRODUCT(1 + 預測IC!$C21:CJ21) -1</f>
        <v>1.9230919242806763</v>
      </c>
      <c r="CL14" s="62" cm="1">
        <f t="array" ref="CL14">PRODUCT(1 + 預測IC!$C21:CK21) -1</f>
        <v>1.9481242029004324</v>
      </c>
      <c r="CM14" s="62" cm="1">
        <f t="array" ref="CM14">PRODUCT(1 + 預測IC!$C21:CL21) -1</f>
        <v>3.0155920724003762</v>
      </c>
      <c r="CN14" s="62" cm="1">
        <f t="array" ref="CN14">PRODUCT(1 + 預測IC!$C21:CM21) -1</f>
        <v>2.5488525007382488</v>
      </c>
      <c r="CO14" s="62" cm="1">
        <f t="array" ref="CO14">PRODUCT(1 + 預測IC!$C21:CN21) -1</f>
        <v>2.5088146336060606</v>
      </c>
      <c r="CP14" s="62" cm="1">
        <f t="array" ref="CP14">PRODUCT(1 + 預測IC!$C21:CO21) -1</f>
        <v>3.6859649536974119</v>
      </c>
      <c r="CQ14" s="62" cm="1">
        <f t="array" ref="CQ14">PRODUCT(1 + 預測IC!$C21:CP21) -1</f>
        <v>3.2349254175609863</v>
      </c>
      <c r="CR14" s="62" cm="1">
        <f t="array" ref="CR14">PRODUCT(1 + 預測IC!$C21:CQ21) -1</f>
        <v>2.9833555299562526</v>
      </c>
      <c r="CS14" s="62" cm="1">
        <f t="array" ref="CS14">PRODUCT(1 + 預測IC!$C21:CR21) -1</f>
        <v>3.0296253467469478</v>
      </c>
      <c r="CT14" s="62" cm="1">
        <f t="array" ref="CT14">PRODUCT(1 + 預測IC!$C21:CS21) -1</f>
        <v>3.1541719821599496</v>
      </c>
      <c r="CU14" s="62" cm="1">
        <f t="array" ref="CU14">PRODUCT(1 + 預測IC!$C21:CT21) -1</f>
        <v>2.8123132354170037</v>
      </c>
      <c r="CV14" s="62" cm="1">
        <f t="array" ref="CV14">PRODUCT(1 + 預測IC!$C21:CU21) -1</f>
        <v>2.8199278852512268</v>
      </c>
      <c r="CW14" s="62" cm="1">
        <f t="array" ref="CW14">PRODUCT(1 + 預測IC!$C21:CV21) -1</f>
        <v>3.3227355620035599</v>
      </c>
      <c r="CX14" s="62" cm="1">
        <f t="array" ref="CX14">PRODUCT(1 + 預測IC!$C21:CW21) -1</f>
        <v>3.1898007174334513</v>
      </c>
      <c r="CY14" s="62" cm="1">
        <f t="array" ref="CY14">PRODUCT(1 + 預測IC!$C21:CX21) -1</f>
        <v>3.2459252933358931</v>
      </c>
      <c r="CZ14" s="62" cm="1">
        <f t="array" ref="CZ14">PRODUCT(1 + 預測IC!$C21:CY21) -1</f>
        <v>3.6811545494695714</v>
      </c>
      <c r="DA14" s="62" cm="1">
        <f t="array" ref="DA14">PRODUCT(1 + 預測IC!$C21:CZ21) -1</f>
        <v>4.5719473020880912</v>
      </c>
      <c r="DB14" s="62" cm="1">
        <f t="array" ref="DB14">PRODUCT(1 + 預測IC!$C21:DA21) -1</f>
        <v>4.8043480090717026</v>
      </c>
      <c r="DC14" s="62" cm="1">
        <f t="array" ref="DC14">PRODUCT(1 + 預測IC!$C21:DB21) -1</f>
        <v>5.2191337629666554</v>
      </c>
      <c r="DD14" s="62" cm="1">
        <f t="array" ref="DD14">PRODUCT(1 + 預測IC!$C21:DC21) -1</f>
        <v>5.5195748124076092</v>
      </c>
      <c r="DE14" s="62" cm="1">
        <f t="array" ref="DE14">PRODUCT(1 + 預測IC!$C21:DD21) -1</f>
        <v>5.0825840364385071</v>
      </c>
      <c r="DF14" s="62" cm="1">
        <f t="array" ref="DF14">PRODUCT(1 + 預測IC!$C21:DE21) -1</f>
        <v>4.7497494904500961</v>
      </c>
      <c r="DG14" s="62" cm="1">
        <f t="array" ref="DG14">PRODUCT(1 + 預測IC!$C21:DF21) -1</f>
        <v>6.4812877666178652</v>
      </c>
      <c r="DH14" s="62" cm="1">
        <f t="array" ref="DH14">PRODUCT(1 + 預測IC!$C21:DG21) -1</f>
        <v>6.03682806006276</v>
      </c>
      <c r="DI14" s="62" cm="1">
        <f t="array" ref="DI14">PRODUCT(1 + 預測IC!$C21:DH21) -1</f>
        <v>6.1358842235302191</v>
      </c>
      <c r="DJ14" s="62" cm="1">
        <f t="array" ref="DJ14">PRODUCT(1 + 預測IC!$C21:DI21) -1</f>
        <v>6.3814120049612111</v>
      </c>
      <c r="DK14" s="62" cm="1">
        <f t="array" ref="DK14">PRODUCT(1 + 預測IC!$C21:DJ21) -1</f>
        <v>6.1015729826525664</v>
      </c>
      <c r="DL14" s="62" cm="1">
        <f t="array" ref="DL14">PRODUCT(1 + 預測IC!$C21:DK21) -1</f>
        <v>5.4560713100255596</v>
      </c>
      <c r="DM14" s="62" cm="1">
        <f t="array" ref="DM14">PRODUCT(1 + 預測IC!$C21:DL21) -1</f>
        <v>5.6640097669725193</v>
      </c>
      <c r="DN14" s="62" cm="1">
        <f t="array" ref="DN14">PRODUCT(1 + 預測IC!$C21:DM21) -1</f>
        <v>5.8305353905119244</v>
      </c>
      <c r="DO14" s="62" cm="1">
        <f t="array" ref="DO14">PRODUCT(1 + 預測IC!$C21:DN21) -1</f>
        <v>5.5103551686157033</v>
      </c>
      <c r="DP14" s="62" cm="1">
        <f t="array" ref="DP14">PRODUCT(1 + 預測IC!$C21:DO21) -1</f>
        <v>7.6693634518089073</v>
      </c>
      <c r="DQ14" s="62" cm="1">
        <f t="array" ref="DQ14">PRODUCT(1 + 預測IC!$C21:DP21) -1</f>
        <v>7.3476552242804978</v>
      </c>
      <c r="DR14" s="62" cm="1">
        <f t="array" ref="DR14">PRODUCT(1 + 預測IC!$C21:DQ21) -1</f>
        <v>7.1121173499567369</v>
      </c>
      <c r="DS14" s="62" cm="1">
        <f t="array" ref="DS14">PRODUCT(1 + 預測IC!$C21:DR21) -1</f>
        <v>6.6776567637343964</v>
      </c>
      <c r="DT14" s="62" cm="1">
        <f t="array" ref="DT14">PRODUCT(1 + 預測IC!$C21:DS21) -1</f>
        <v>6.6648189947101013</v>
      </c>
      <c r="DU14" s="62" cm="1">
        <f t="array" ref="DU14">PRODUCT(1 + 預測IC!$C21:DT21) -1</f>
        <v>6.5904040038733838</v>
      </c>
      <c r="DV14" s="62" cm="1">
        <f t="array" ref="DV14">PRODUCT(1 + 預測IC!$C21:DU21) -1</f>
        <v>5.462358263666661</v>
      </c>
      <c r="DW14" s="62" cm="1">
        <f t="array" ref="DW14">PRODUCT(1 + 預測IC!$C21:DV21) -1</f>
        <v>5.1414090911019255</v>
      </c>
      <c r="DX14" s="62" cm="1">
        <f t="array" ref="DX14">PRODUCT(1 + 預測IC!$C21:DW21) -1</f>
        <v>4.5055614170283667</v>
      </c>
      <c r="DY14" s="62" cm="1">
        <f t="array" ref="DY14">PRODUCT(1 + 預測IC!$C21:DX21) -1</f>
        <v>3.4817130041874442</v>
      </c>
      <c r="DZ14" s="62" cm="1">
        <f t="array" ref="DZ14">PRODUCT(1 + 預測IC!$C21:DY21) -1</f>
        <v>3.5919451972411069</v>
      </c>
      <c r="EA14" s="62" cm="1">
        <f t="array" ref="EA14">PRODUCT(1 + 預測IC!$C21:DZ21) -1</f>
        <v>4.0462289698190164</v>
      </c>
      <c r="EB14" s="62" cm="1">
        <f t="array" ref="EB14">PRODUCT(1 + 預測IC!$C21:EA21) -1</f>
        <v>5.3888126644853314</v>
      </c>
      <c r="EC14" s="62" cm="1">
        <f t="array" ref="EC14">PRODUCT(1 + 預測IC!$C21:EB21) -1</f>
        <v>4.7288766888076594</v>
      </c>
      <c r="ED14" s="62" cm="1">
        <f t="array" ref="ED14">PRODUCT(1 + 預測IC!$C21:EC21) -1</f>
        <v>4.8846387253004346</v>
      </c>
      <c r="EE14" s="62" cm="1">
        <f t="array" ref="EE14">PRODUCT(1 + 預測IC!$C21:ED21) -1</f>
        <v>4.3978022840170912</v>
      </c>
      <c r="EF14" s="62" cm="1">
        <f t="array" ref="EF14">PRODUCT(1 + 預測IC!$C21:EE21) -1</f>
        <v>4.2827719201839276</v>
      </c>
      <c r="EG14" s="62" cm="1">
        <f t="array" ref="EG14">PRODUCT(1 + 預測IC!$C21:EF21) -1</f>
        <v>4.2405541050188207</v>
      </c>
    </row>
    <row r="15" spans="3:137" ht="16">
      <c r="C15" s="6">
        <v>321</v>
      </c>
      <c r="D15" s="62" cm="1">
        <f t="array" ref="D15">PRODUCT(1 + 預測IC!$C22:C22) -1</f>
        <v>6.4235717628454703E-2</v>
      </c>
      <c r="E15" s="62" cm="1">
        <f t="array" ref="E15">PRODUCT(1 + 預測IC!$C22:D22) -1</f>
        <v>1.6684711248089679E-2</v>
      </c>
      <c r="F15" s="62" cm="1">
        <f t="array" ref="F15">PRODUCT(1 + 預測IC!$C22:E22) -1</f>
        <v>-9.5995248247249254E-4</v>
      </c>
      <c r="G15" s="62" cm="1">
        <f t="array" ref="G15">PRODUCT(1 + 預測IC!$C22:F22) -1</f>
        <v>-9.8300416055525641E-2</v>
      </c>
      <c r="H15" s="62" cm="1">
        <f t="array" ref="H15">PRODUCT(1 + 預測IC!$C22:G22) -1</f>
        <v>-0.12801576737053233</v>
      </c>
      <c r="I15" s="62" cm="1">
        <f t="array" ref="I15">PRODUCT(1 + 預測IC!$C22:H22) -1</f>
        <v>-1.9734454430379356E-2</v>
      </c>
      <c r="J15" s="62" cm="1">
        <f t="array" ref="J15">PRODUCT(1 + 預測IC!$C22:I22) -1</f>
        <v>-2.6412276789805622E-3</v>
      </c>
      <c r="K15" s="62" cm="1">
        <f t="array" ref="K15">PRODUCT(1 + 預測IC!$C22:J22) -1</f>
        <v>-0.10661937317855141</v>
      </c>
      <c r="L15" s="62" cm="1">
        <f t="array" ref="L15">PRODUCT(1 + 預測IC!$C22:K22) -1</f>
        <v>-8.1017960995482974E-2</v>
      </c>
      <c r="M15" s="62" cm="1">
        <f t="array" ref="M15">PRODUCT(1 + 預測IC!$C22:L22) -1</f>
        <v>7.6296471693374723E-2</v>
      </c>
      <c r="N15" s="62" cm="1">
        <f t="array" ref="N15">PRODUCT(1 + 預測IC!$C22:M22) -1</f>
        <v>-0.12245543477690635</v>
      </c>
      <c r="O15" s="62" cm="1">
        <f t="array" ref="O15">PRODUCT(1 + 預測IC!$C22:N22) -1</f>
        <v>0.54109413425979191</v>
      </c>
      <c r="P15" s="62" cm="1">
        <f t="array" ref="P15">PRODUCT(1 + 預測IC!$C22:O22) -1</f>
        <v>0.64348802262574334</v>
      </c>
      <c r="Q15" s="62" cm="1">
        <f t="array" ref="Q15">PRODUCT(1 + 預測IC!$C22:P22) -1</f>
        <v>0.79243877922601436</v>
      </c>
      <c r="R15" s="62" cm="1">
        <f t="array" ref="R15">PRODUCT(1 + 預測IC!$C22:Q22) -1</f>
        <v>0.56431350010865322</v>
      </c>
      <c r="S15" s="62" cm="1">
        <f t="array" ref="S15">PRODUCT(1 + 預測IC!$C22:R22) -1</f>
        <v>0.66865053966693488</v>
      </c>
      <c r="T15" s="62" cm="1">
        <f t="array" ref="T15">PRODUCT(1 + 預測IC!$C22:S22) -1</f>
        <v>0.60318246488025085</v>
      </c>
      <c r="U15" s="62" cm="1">
        <f t="array" ref="U15">PRODUCT(1 + 預測IC!$C22:T22) -1</f>
        <v>0.43509043927393631</v>
      </c>
      <c r="V15" s="62" cm="1">
        <f t="array" ref="V15">PRODUCT(1 + 預測IC!$C22:U22) -1</f>
        <v>0.59379712453795075</v>
      </c>
      <c r="W15" s="62" cm="1">
        <f t="array" ref="W15">PRODUCT(1 + 預測IC!$C22:V22) -1</f>
        <v>0.31388665998334941</v>
      </c>
      <c r="X15" s="62" cm="1">
        <f t="array" ref="X15">PRODUCT(1 + 預測IC!$C22:W22) -1</f>
        <v>0.52154349450580528</v>
      </c>
      <c r="Y15" s="62" cm="1">
        <f t="array" ref="Y15">PRODUCT(1 + 預測IC!$C22:X22) -1</f>
        <v>0.13019893024531171</v>
      </c>
      <c r="Z15" s="62" cm="1">
        <f t="array" ref="Z15">PRODUCT(1 + 預測IC!$C22:Y22) -1</f>
        <v>5.125076948073537E-2</v>
      </c>
      <c r="AA15" s="62" cm="1">
        <f t="array" ref="AA15">PRODUCT(1 + 預測IC!$C22:Z22) -1</f>
        <v>7.6340048377368408E-2</v>
      </c>
      <c r="AB15" s="62" cm="1">
        <f t="array" ref="AB15">PRODUCT(1 + 預測IC!$C22:AA22) -1</f>
        <v>0.20347799616261275</v>
      </c>
      <c r="AC15" s="62" cm="1">
        <f t="array" ref="AC15">PRODUCT(1 + 預測IC!$C22:AB22) -1</f>
        <v>0.15741601384232129</v>
      </c>
      <c r="AD15" s="62" cm="1">
        <f t="array" ref="AD15">PRODUCT(1 + 預測IC!$C22:AC22) -1</f>
        <v>-4.7693240669463122E-2</v>
      </c>
      <c r="AE15" s="62" cm="1">
        <f t="array" ref="AE15">PRODUCT(1 + 預測IC!$C22:AD22) -1</f>
        <v>-3.4767782178577789E-2</v>
      </c>
      <c r="AF15" s="62" cm="1">
        <f t="array" ref="AF15">PRODUCT(1 + 預測IC!$C22:AE22) -1</f>
        <v>-0.11695507193789745</v>
      </c>
      <c r="AG15" s="62" cm="1">
        <f t="array" ref="AG15">PRODUCT(1 + 預測IC!$C22:AF22) -1</f>
        <v>-4.0656246888419845E-2</v>
      </c>
      <c r="AH15" s="62" cm="1">
        <f t="array" ref="AH15">PRODUCT(1 + 預測IC!$C22:AG22) -1</f>
        <v>-8.47609372040663E-2</v>
      </c>
      <c r="AI15" s="62" cm="1">
        <f t="array" ref="AI15">PRODUCT(1 + 預測IC!$C22:AH22) -1</f>
        <v>-8.4313434730739711E-2</v>
      </c>
      <c r="AJ15" s="62" cm="1">
        <f t="array" ref="AJ15">PRODUCT(1 + 預測IC!$C22:AI22) -1</f>
        <v>1.8904528907401907E-3</v>
      </c>
      <c r="AK15" s="62" cm="1">
        <f t="array" ref="AK15">PRODUCT(1 + 預測IC!$C22:AJ22) -1</f>
        <v>1.4996724566300967E-2</v>
      </c>
      <c r="AL15" s="62" cm="1">
        <f t="array" ref="AL15">PRODUCT(1 + 預測IC!$C22:AK22) -1</f>
        <v>0.11780428195383741</v>
      </c>
      <c r="AM15" s="62" cm="1">
        <f t="array" ref="AM15">PRODUCT(1 + 預測IC!$C22:AL22) -1</f>
        <v>0.10725250186739976</v>
      </c>
      <c r="AN15" s="62" cm="1">
        <f t="array" ref="AN15">PRODUCT(1 + 預測IC!$C22:AM22) -1</f>
        <v>0.15317444867319563</v>
      </c>
      <c r="AO15" s="62" cm="1">
        <f t="array" ref="AO15">PRODUCT(1 + 預測IC!$C22:AN22) -1</f>
        <v>0.19384013354575558</v>
      </c>
      <c r="AP15" s="62" cm="1">
        <f t="array" ref="AP15">PRODUCT(1 + 預測IC!$C22:AO22) -1</f>
        <v>0.42147295022451625</v>
      </c>
      <c r="AQ15" s="62" cm="1">
        <f t="array" ref="AQ15">PRODUCT(1 + 預測IC!$C22:AP22) -1</f>
        <v>0.45060280948911724</v>
      </c>
      <c r="AR15" s="62" cm="1">
        <f t="array" ref="AR15">PRODUCT(1 + 預測IC!$C22:AQ22) -1</f>
        <v>0.29084543822554143</v>
      </c>
      <c r="AS15" s="62" cm="1">
        <f t="array" ref="AS15">PRODUCT(1 + 預測IC!$C22:AR22) -1</f>
        <v>0.20316542312953811</v>
      </c>
      <c r="AT15" s="62" cm="1">
        <f t="array" ref="AT15">PRODUCT(1 + 預測IC!$C22:AS22) -1</f>
        <v>0.40119374676751374</v>
      </c>
      <c r="AU15" s="62" cm="1">
        <f t="array" ref="AU15">PRODUCT(1 + 預測IC!$C22:AT22) -1</f>
        <v>0.40269820110949506</v>
      </c>
      <c r="AV15" s="62" cm="1">
        <f t="array" ref="AV15">PRODUCT(1 + 預測IC!$C22:AU22) -1</f>
        <v>1.0049519825173645</v>
      </c>
      <c r="AW15" s="62" cm="1">
        <f t="array" ref="AW15">PRODUCT(1 + 預測IC!$C22:AV22) -1</f>
        <v>1.1245396295080634</v>
      </c>
      <c r="AX15" s="62" cm="1">
        <f t="array" ref="AX15">PRODUCT(1 + 預測IC!$C22:AW22) -1</f>
        <v>1.6178780954125114</v>
      </c>
      <c r="AY15" s="62" cm="1">
        <f t="array" ref="AY15">PRODUCT(1 + 預測IC!$C22:AX22) -1</f>
        <v>1.3357738874705531</v>
      </c>
      <c r="AZ15" s="62" cm="1">
        <f t="array" ref="AZ15">PRODUCT(1 + 預測IC!$C22:AY22) -1</f>
        <v>0.95335086957000126</v>
      </c>
      <c r="BA15" s="62" cm="1">
        <f t="array" ref="BA15">PRODUCT(1 + 預測IC!$C22:AZ22) -1</f>
        <v>1.2564882735556182</v>
      </c>
      <c r="BB15" s="62" cm="1">
        <f t="array" ref="BB15">PRODUCT(1 + 預測IC!$C22:BA22) -1</f>
        <v>1.3688048816610645</v>
      </c>
      <c r="BC15" s="62" cm="1">
        <f t="array" ref="BC15">PRODUCT(1 + 預測IC!$C22:BB22) -1</f>
        <v>2.2441981073944786</v>
      </c>
      <c r="BD15" s="62" cm="1">
        <f t="array" ref="BD15">PRODUCT(1 + 預測IC!$C22:BC22) -1</f>
        <v>1.8197371603586991</v>
      </c>
      <c r="BE15" s="62" cm="1">
        <f t="array" ref="BE15">PRODUCT(1 + 預測IC!$C22:BD22) -1</f>
        <v>1.6552439733760265</v>
      </c>
      <c r="BF15" s="62" cm="1">
        <f t="array" ref="BF15">PRODUCT(1 + 預測IC!$C22:BE22) -1</f>
        <v>1.4734048024535138</v>
      </c>
      <c r="BG15" s="62" cm="1">
        <f t="array" ref="BG15">PRODUCT(1 + 預測IC!$C22:BF22) -1</f>
        <v>1.3376494724448462</v>
      </c>
      <c r="BH15" s="62" cm="1">
        <f t="array" ref="BH15">PRODUCT(1 + 預測IC!$C22:BG22) -1</f>
        <v>1.1128177845644269</v>
      </c>
      <c r="BI15" s="62" cm="1">
        <f t="array" ref="BI15">PRODUCT(1 + 預測IC!$C22:BH22) -1</f>
        <v>1.0959291613972062</v>
      </c>
      <c r="BJ15" s="62" cm="1">
        <f t="array" ref="BJ15">PRODUCT(1 + 預測IC!$C22:BI22) -1</f>
        <v>1.2685194279820693</v>
      </c>
      <c r="BK15" s="62" cm="1">
        <f t="array" ref="BK15">PRODUCT(1 + 預測IC!$C22:BJ22) -1</f>
        <v>1.1437589917432915</v>
      </c>
      <c r="BL15" s="62" cm="1">
        <f t="array" ref="BL15">PRODUCT(1 + 預測IC!$C22:BK22) -1</f>
        <v>1.2473352241860414</v>
      </c>
      <c r="BM15" s="62" cm="1">
        <f t="array" ref="BM15">PRODUCT(1 + 預測IC!$C22:BL22) -1</f>
        <v>1.2874813557471194</v>
      </c>
      <c r="BN15" s="62" cm="1">
        <f t="array" ref="BN15">PRODUCT(1 + 預測IC!$C22:BM22) -1</f>
        <v>1.0108341947644348</v>
      </c>
      <c r="BO15" s="62" cm="1">
        <f t="array" ref="BO15">PRODUCT(1 + 預測IC!$C22:BN22) -1</f>
        <v>1.1776085585183691</v>
      </c>
      <c r="BP15" s="62" cm="1">
        <f t="array" ref="BP15">PRODUCT(1 + 預測IC!$C22:BO22) -1</f>
        <v>1.2611199838481517</v>
      </c>
      <c r="BQ15" s="62" cm="1">
        <f t="array" ref="BQ15">PRODUCT(1 + 預測IC!$C22:BP22) -1</f>
        <v>1.2623432500409946</v>
      </c>
      <c r="BR15" s="62" cm="1">
        <f t="array" ref="BR15">PRODUCT(1 + 預測IC!$C22:BQ22) -1</f>
        <v>1.0764931165609255</v>
      </c>
      <c r="BS15" s="62" cm="1">
        <f t="array" ref="BS15">PRODUCT(1 + 預測IC!$C22:BR22) -1</f>
        <v>1.1172761283991073</v>
      </c>
      <c r="BT15" s="62" cm="1">
        <f t="array" ref="BT15">PRODUCT(1 + 預測IC!$C22:BS22) -1</f>
        <v>1.2271944922302978</v>
      </c>
      <c r="BU15" s="62" cm="1">
        <f t="array" ref="BU15">PRODUCT(1 + 預測IC!$C22:BT22) -1</f>
        <v>1.0295840008957673</v>
      </c>
      <c r="BV15" s="62" cm="1">
        <f t="array" ref="BV15">PRODUCT(1 + 預測IC!$C22:BU22) -1</f>
        <v>0.81779572698765501</v>
      </c>
      <c r="BW15" s="62" cm="1">
        <f t="array" ref="BW15">PRODUCT(1 + 預測IC!$C22:BV22) -1</f>
        <v>0.81903502770707104</v>
      </c>
      <c r="BX15" s="62" cm="1">
        <f t="array" ref="BX15">PRODUCT(1 + 預測IC!$C22:BW22) -1</f>
        <v>1.597066316703919</v>
      </c>
      <c r="BY15" s="62" cm="1">
        <f t="array" ref="BY15">PRODUCT(1 + 預測IC!$C22:BX22) -1</f>
        <v>1.3035227705452597</v>
      </c>
      <c r="BZ15" s="62" cm="1">
        <f t="array" ref="BZ15">PRODUCT(1 + 預測IC!$C22:BY22) -1</f>
        <v>1.3780483559993462</v>
      </c>
      <c r="CA15" s="62" cm="1">
        <f t="array" ref="CA15">PRODUCT(1 + 預測IC!$C22:BZ22) -1</f>
        <v>2.0430204455340064</v>
      </c>
      <c r="CB15" s="62" cm="1">
        <f t="array" ref="CB15">PRODUCT(1 + 預測IC!$C22:CA22) -1</f>
        <v>2.481454985052943</v>
      </c>
      <c r="CC15" s="62" cm="1">
        <f t="array" ref="CC15">PRODUCT(1 + 預測IC!$C22:CB22) -1</f>
        <v>3.368318236750123</v>
      </c>
      <c r="CD15" s="62" cm="1">
        <f t="array" ref="CD15">PRODUCT(1 + 預測IC!$C22:CC22) -1</f>
        <v>2.8218241725033213</v>
      </c>
      <c r="CE15" s="62" cm="1">
        <f t="array" ref="CE15">PRODUCT(1 + 預測IC!$C22:CD22) -1</f>
        <v>3.1868792485470578</v>
      </c>
      <c r="CF15" s="62" cm="1">
        <f t="array" ref="CF15">PRODUCT(1 + 預測IC!$C22:CE22) -1</f>
        <v>3.4667308672837134</v>
      </c>
      <c r="CG15" s="62" cm="1">
        <f t="array" ref="CG15">PRODUCT(1 + 預測IC!$C22:CF22) -1</f>
        <v>2.7718300738084727</v>
      </c>
      <c r="CH15" s="62" cm="1">
        <f t="array" ref="CH15">PRODUCT(1 + 預測IC!$C22:CG22) -1</f>
        <v>4.4457713348114085</v>
      </c>
      <c r="CI15" s="62" cm="1">
        <f t="array" ref="CI15">PRODUCT(1 + 預測IC!$C22:CH22) -1</f>
        <v>4.3000364081185891</v>
      </c>
      <c r="CJ15" s="62" cm="1">
        <f t="array" ref="CJ15">PRODUCT(1 + 預測IC!$C22:CI22) -1</f>
        <v>3.078647432595611</v>
      </c>
      <c r="CK15" s="62" cm="1">
        <f t="array" ref="CK15">PRODUCT(1 + 預測IC!$C22:CJ22) -1</f>
        <v>3.01239858294222</v>
      </c>
      <c r="CL15" s="62" cm="1">
        <f t="array" ref="CL15">PRODUCT(1 + 預測IC!$C22:CK22) -1</f>
        <v>2.9034519441776467</v>
      </c>
      <c r="CM15" s="62" cm="1">
        <f t="array" ref="CM15">PRODUCT(1 + 預測IC!$C22:CL22) -1</f>
        <v>5.0657861887938003</v>
      </c>
      <c r="CN15" s="62" cm="1">
        <f t="array" ref="CN15">PRODUCT(1 + 預測IC!$C22:CM22) -1</f>
        <v>3.7323293362348098</v>
      </c>
      <c r="CO15" s="62" cm="1">
        <f t="array" ref="CO15">PRODUCT(1 + 預測IC!$C22:CN22) -1</f>
        <v>3.8357321840419765</v>
      </c>
      <c r="CP15" s="62" cm="1">
        <f t="array" ref="CP15">PRODUCT(1 + 預測IC!$C22:CO22) -1</f>
        <v>5.1513390552051277</v>
      </c>
      <c r="CQ15" s="62" cm="1">
        <f t="array" ref="CQ15">PRODUCT(1 + 預測IC!$C22:CP22) -1</f>
        <v>4.6510930570451823</v>
      </c>
      <c r="CR15" s="62" cm="1">
        <f t="array" ref="CR15">PRODUCT(1 + 預測IC!$C22:CQ22) -1</f>
        <v>4.2302730523067105</v>
      </c>
      <c r="CS15" s="62" cm="1">
        <f t="array" ref="CS15">PRODUCT(1 + 預測IC!$C22:CR22) -1</f>
        <v>4.0816171589940415</v>
      </c>
      <c r="CT15" s="62" cm="1">
        <f t="array" ref="CT15">PRODUCT(1 + 預測IC!$C22:CS22) -1</f>
        <v>4.2058097827984238</v>
      </c>
      <c r="CU15" s="62" cm="1">
        <f t="array" ref="CU15">PRODUCT(1 + 預測IC!$C22:CT22) -1</f>
        <v>3.9026623534464173</v>
      </c>
      <c r="CV15" s="62" cm="1">
        <f t="array" ref="CV15">PRODUCT(1 + 預測IC!$C22:CU22) -1</f>
        <v>4.0329800462072871</v>
      </c>
      <c r="CW15" s="62" cm="1">
        <f t="array" ref="CW15">PRODUCT(1 + 預測IC!$C22:CV22) -1</f>
        <v>4.6853423311503724</v>
      </c>
      <c r="CX15" s="62" cm="1">
        <f t="array" ref="CX15">PRODUCT(1 + 預測IC!$C22:CW22) -1</f>
        <v>4.6085913550718676</v>
      </c>
      <c r="CY15" s="62" cm="1">
        <f t="array" ref="CY15">PRODUCT(1 + 預測IC!$C22:CX22) -1</f>
        <v>4.873796139439774</v>
      </c>
      <c r="CZ15" s="62" cm="1">
        <f t="array" ref="CZ15">PRODUCT(1 + 預測IC!$C22:CY22) -1</f>
        <v>5.4876714261280162</v>
      </c>
      <c r="DA15" s="62" cm="1">
        <f t="array" ref="DA15">PRODUCT(1 + 預測IC!$C22:CZ22) -1</f>
        <v>6.8286332891378354</v>
      </c>
      <c r="DB15" s="62" cm="1">
        <f t="array" ref="DB15">PRODUCT(1 + 預測IC!$C22:DA22) -1</f>
        <v>7.0827037132739932</v>
      </c>
      <c r="DC15" s="62" cm="1">
        <f t="array" ref="DC15">PRODUCT(1 + 預測IC!$C22:DB22) -1</f>
        <v>7.5195061297449772</v>
      </c>
      <c r="DD15" s="62" cm="1">
        <f t="array" ref="DD15">PRODUCT(1 + 預測IC!$C22:DC22) -1</f>
        <v>8.1358245295710123</v>
      </c>
      <c r="DE15" s="62" cm="1">
        <f t="array" ref="DE15">PRODUCT(1 + 預測IC!$C22:DD22) -1</f>
        <v>7.989993219608408</v>
      </c>
      <c r="DF15" s="62" cm="1">
        <f t="array" ref="DF15">PRODUCT(1 + 預測IC!$C22:DE22) -1</f>
        <v>6.7911223960388698</v>
      </c>
      <c r="DG15" s="62" cm="1">
        <f t="array" ref="DG15">PRODUCT(1 + 預測IC!$C22:DF22) -1</f>
        <v>9.8270706239246266</v>
      </c>
      <c r="DH15" s="62" cm="1">
        <f t="array" ref="DH15">PRODUCT(1 + 預測IC!$C22:DG22) -1</f>
        <v>9.0487179366181465</v>
      </c>
      <c r="DI15" s="62" cm="1">
        <f t="array" ref="DI15">PRODUCT(1 + 預測IC!$C22:DH22) -1</f>
        <v>9.1888507869446716</v>
      </c>
      <c r="DJ15" s="62" cm="1">
        <f t="array" ref="DJ15">PRODUCT(1 + 預測IC!$C22:DI22) -1</f>
        <v>9.8364643242968324</v>
      </c>
      <c r="DK15" s="62" cm="1">
        <f t="array" ref="DK15">PRODUCT(1 + 預測IC!$C22:DJ22) -1</f>
        <v>9.2919752746480775</v>
      </c>
      <c r="DL15" s="62" cm="1">
        <f t="array" ref="DL15">PRODUCT(1 + 預測IC!$C22:DK22) -1</f>
        <v>8.3509963903750783</v>
      </c>
      <c r="DM15" s="62" cm="1">
        <f t="array" ref="DM15">PRODUCT(1 + 預測IC!$C22:DL22) -1</f>
        <v>8.5537290420196683</v>
      </c>
      <c r="DN15" s="62" cm="1">
        <f t="array" ref="DN15">PRODUCT(1 + 預測IC!$C22:DM22) -1</f>
        <v>8.8583469151573233</v>
      </c>
      <c r="DO15" s="62" cm="1">
        <f t="array" ref="DO15">PRODUCT(1 + 預測IC!$C22:DN22) -1</f>
        <v>8.0383916565670717</v>
      </c>
      <c r="DP15" s="62" cm="1">
        <f t="array" ref="DP15">PRODUCT(1 + 預測IC!$C22:DO22) -1</f>
        <v>8.722740856667901</v>
      </c>
      <c r="DQ15" s="62" cm="1">
        <f t="array" ref="DQ15">PRODUCT(1 + 預測IC!$C22:DP22) -1</f>
        <v>7.7008899339484032</v>
      </c>
      <c r="DR15" s="62" cm="1">
        <f t="array" ref="DR15">PRODUCT(1 + 預測IC!$C22:DQ22) -1</f>
        <v>7.2497470347062514</v>
      </c>
      <c r="DS15" s="62" cm="1">
        <f t="array" ref="DS15">PRODUCT(1 + 預測IC!$C22:DR22) -1</f>
        <v>6.6620655827143551</v>
      </c>
      <c r="DT15" s="62" cm="1">
        <f t="array" ref="DT15">PRODUCT(1 + 預測IC!$C22:DS22) -1</f>
        <v>6.3835781376718765</v>
      </c>
      <c r="DU15" s="62" cm="1">
        <f t="array" ref="DU15">PRODUCT(1 + 預測IC!$C22:DT22) -1</f>
        <v>6.0610527655714517</v>
      </c>
      <c r="DV15" s="62" cm="1">
        <f t="array" ref="DV15">PRODUCT(1 + 預測IC!$C22:DU22) -1</f>
        <v>4.9203615037134263</v>
      </c>
      <c r="DW15" s="62" cm="1">
        <f t="array" ref="DW15">PRODUCT(1 + 預測IC!$C22:DV22) -1</f>
        <v>5.2363321848501139</v>
      </c>
      <c r="DX15" s="62" cm="1">
        <f t="array" ref="DX15">PRODUCT(1 + 預測IC!$C22:DW22) -1</f>
        <v>4.7285986220460208</v>
      </c>
      <c r="DY15" s="62" cm="1">
        <f t="array" ref="DY15">PRODUCT(1 + 預測IC!$C22:DX22) -1</f>
        <v>3.454314201804797</v>
      </c>
      <c r="DZ15" s="62" cm="1">
        <f t="array" ref="DZ15">PRODUCT(1 + 預測IC!$C22:DY22) -1</f>
        <v>3.4180243845158937</v>
      </c>
      <c r="EA15" s="62" cm="1">
        <f t="array" ref="EA15">PRODUCT(1 + 預測IC!$C22:DZ22) -1</f>
        <v>3.9076939293137469</v>
      </c>
      <c r="EB15" s="62" cm="1">
        <f t="array" ref="EB15">PRODUCT(1 + 預測IC!$C22:EA22) -1</f>
        <v>4.5965190135063283</v>
      </c>
      <c r="EC15" s="62" cm="1">
        <f t="array" ref="EC15">PRODUCT(1 + 預測IC!$C22:EB22) -1</f>
        <v>3.796624914834613</v>
      </c>
      <c r="ED15" s="62" cm="1">
        <f t="array" ref="ED15">PRODUCT(1 + 預測IC!$C22:EC22) -1</f>
        <v>4.2191377665945557</v>
      </c>
      <c r="EE15" s="62" cm="1">
        <f t="array" ref="EE15">PRODUCT(1 + 預測IC!$C22:ED22) -1</f>
        <v>3.9190414232036375</v>
      </c>
      <c r="EF15" s="62" cm="1">
        <f t="array" ref="EF15">PRODUCT(1 + 預測IC!$C22:EE22) -1</f>
        <v>3.6847147224272616</v>
      </c>
      <c r="EG15" s="62" cm="1">
        <f t="array" ref="EG15">PRODUCT(1 + 預測IC!$C22:EF22) -1</f>
        <v>3.5217323430506742</v>
      </c>
    </row>
    <row r="16" spans="3:137" ht="16">
      <c r="C16" s="6">
        <v>482</v>
      </c>
      <c r="D16" s="62" cm="1">
        <f t="array" ref="D16">PRODUCT(1 + 預測IC!$C23:C23) -1</f>
        <v>-3.4987009286289172E-2</v>
      </c>
      <c r="E16" s="62" cm="1">
        <f t="array" ref="E16">PRODUCT(1 + 預測IC!$C23:D23) -1</f>
        <v>-6.3754690864570862E-2</v>
      </c>
      <c r="F16" s="62" cm="1">
        <f t="array" ref="F16">PRODUCT(1 + 預測IC!$C23:E23) -1</f>
        <v>6.0770798161166706E-2</v>
      </c>
      <c r="G16" s="62" cm="1">
        <f t="array" ref="G16">PRODUCT(1 + 預測IC!$C23:F23) -1</f>
        <v>-8.950320048524818E-2</v>
      </c>
      <c r="H16" s="62" cm="1">
        <f t="array" ref="H16">PRODUCT(1 + 預測IC!$C23:G23) -1</f>
        <v>-0.13705314362978693</v>
      </c>
      <c r="I16" s="62" cm="1">
        <f t="array" ref="I16">PRODUCT(1 + 預測IC!$C23:H23) -1</f>
        <v>-0.15274882736462736</v>
      </c>
      <c r="J16" s="62" cm="1">
        <f t="array" ref="J16">PRODUCT(1 + 預測IC!$C23:I23) -1</f>
        <v>-0.18357732272477467</v>
      </c>
      <c r="K16" s="62" cm="1">
        <f t="array" ref="K16">PRODUCT(1 + 預測IC!$C23:J23) -1</f>
        <v>-0.27736592367520929</v>
      </c>
      <c r="L16" s="62" cm="1">
        <f t="array" ref="L16">PRODUCT(1 + 預測IC!$C23:K23) -1</f>
        <v>-0.32066462880202884</v>
      </c>
      <c r="M16" s="62" cm="1">
        <f t="array" ref="M16">PRODUCT(1 + 預測IC!$C23:L23) -1</f>
        <v>-0.28395094744107396</v>
      </c>
      <c r="N16" s="62" cm="1">
        <f t="array" ref="N16">PRODUCT(1 + 預測IC!$C23:M23) -1</f>
        <v>-0.38941564135143991</v>
      </c>
      <c r="O16" s="62" cm="1">
        <f t="array" ref="O16">PRODUCT(1 + 預測IC!$C23:N23) -1</f>
        <v>0.20645451549255878</v>
      </c>
      <c r="P16" s="62" cm="1">
        <f t="array" ref="P16">PRODUCT(1 + 預測IC!$C23:O23) -1</f>
        <v>0.35472742232600596</v>
      </c>
      <c r="Q16" s="62" cm="1">
        <f t="array" ref="Q16">PRODUCT(1 + 預測IC!$C23:P23) -1</f>
        <v>0.42880598513964152</v>
      </c>
      <c r="R16" s="62" cm="1">
        <f t="array" ref="R16">PRODUCT(1 + 預測IC!$C23:Q23) -1</f>
        <v>1.2775554960395619E-2</v>
      </c>
      <c r="S16" s="62" cm="1">
        <f t="array" ref="S16">PRODUCT(1 + 預測IC!$C23:R23) -1</f>
        <v>7.6400118562430785E-2</v>
      </c>
      <c r="T16" s="62" cm="1">
        <f t="array" ref="T16">PRODUCT(1 + 預測IC!$C23:S23) -1</f>
        <v>-1.7171060560077223E-3</v>
      </c>
      <c r="U16" s="62" cm="1">
        <f t="array" ref="U16">PRODUCT(1 + 預測IC!$C23:T23) -1</f>
        <v>-8.6247883850524287E-2</v>
      </c>
      <c r="V16" s="62" cm="1">
        <f t="array" ref="V16">PRODUCT(1 + 預測IC!$C23:U23) -1</f>
        <v>-5.7684069052799103E-4</v>
      </c>
      <c r="W16" s="62" cm="1">
        <f t="array" ref="W16">PRODUCT(1 + 預測IC!$C23:V23) -1</f>
        <v>-0.23291994175092823</v>
      </c>
      <c r="X16" s="62" cm="1">
        <f t="array" ref="X16">PRODUCT(1 + 預測IC!$C23:W23) -1</f>
        <v>-3.3826365586339002E-2</v>
      </c>
      <c r="Y16" s="62" cm="1">
        <f t="array" ref="Y16">PRODUCT(1 + 預測IC!$C23:X23) -1</f>
        <v>-0.22180168905153252</v>
      </c>
      <c r="Z16" s="62" cm="1">
        <f t="array" ref="Z16">PRODUCT(1 + 預測IC!$C23:Y23) -1</f>
        <v>-0.27468020326300258</v>
      </c>
      <c r="AA16" s="62" cm="1">
        <f t="array" ref="AA16">PRODUCT(1 + 預測IC!$C23:Z23) -1</f>
        <v>-0.24490439925087981</v>
      </c>
      <c r="AB16" s="62" cm="1">
        <f t="array" ref="AB16">PRODUCT(1 + 預測IC!$C23:AA23) -1</f>
        <v>-0.13039465591738697</v>
      </c>
      <c r="AC16" s="62" cm="1">
        <f t="array" ref="AC16">PRODUCT(1 + 預測IC!$C23:AB23) -1</f>
        <v>-0.17191739385427252</v>
      </c>
      <c r="AD16" s="62" cm="1">
        <f t="array" ref="AD16">PRODUCT(1 + 預測IC!$C23:AC23) -1</f>
        <v>-0.36569586254817221</v>
      </c>
      <c r="AE16" s="62" cm="1">
        <f t="array" ref="AE16">PRODUCT(1 + 預測IC!$C23:AD23) -1</f>
        <v>-0.32026137516043796</v>
      </c>
      <c r="AF16" s="62" cm="1">
        <f t="array" ref="AF16">PRODUCT(1 + 預測IC!$C23:AE23) -1</f>
        <v>-0.47096842518657522</v>
      </c>
      <c r="AG16" s="62" cm="1">
        <f t="array" ref="AG16">PRODUCT(1 + 預測IC!$C23:AF23) -1</f>
        <v>-0.45758366586634569</v>
      </c>
      <c r="AH16" s="62" cm="1">
        <f t="array" ref="AH16">PRODUCT(1 + 預測IC!$C23:AG23) -1</f>
        <v>-0.45869978350886942</v>
      </c>
      <c r="AI16" s="62" cm="1">
        <f t="array" ref="AI16">PRODUCT(1 + 預測IC!$C23:AH23) -1</f>
        <v>-0.43852038730054688</v>
      </c>
      <c r="AJ16" s="62" cm="1">
        <f t="array" ref="AJ16">PRODUCT(1 + 預測IC!$C23:AI23) -1</f>
        <v>-0.42885961551124241</v>
      </c>
      <c r="AK16" s="62" cm="1">
        <f t="array" ref="AK16">PRODUCT(1 + 預測IC!$C23:AJ23) -1</f>
        <v>-0.41538787579260783</v>
      </c>
      <c r="AL16" s="62" cm="1">
        <f t="array" ref="AL16">PRODUCT(1 + 預測IC!$C23:AK23) -1</f>
        <v>-0.34867714360760571</v>
      </c>
      <c r="AM16" s="62" cm="1">
        <f t="array" ref="AM16">PRODUCT(1 + 預測IC!$C23:AL23) -1</f>
        <v>-0.35783903720976928</v>
      </c>
      <c r="AN16" s="62" cm="1">
        <f t="array" ref="AN16">PRODUCT(1 + 預測IC!$C23:AM23) -1</f>
        <v>-0.30216828749646885</v>
      </c>
      <c r="AO16" s="62" cm="1">
        <f t="array" ref="AO16">PRODUCT(1 + 預測IC!$C23:AN23) -1</f>
        <v>-0.21310430599052554</v>
      </c>
      <c r="AP16" s="62" cm="1">
        <f t="array" ref="AP16">PRODUCT(1 + 預測IC!$C23:AO23) -1</f>
        <v>5.9542709378362479E-2</v>
      </c>
      <c r="AQ16" s="62" cm="1">
        <f t="array" ref="AQ16">PRODUCT(1 + 預測IC!$C23:AP23) -1</f>
        <v>-0.115564070532999</v>
      </c>
      <c r="AR16" s="62" cm="1">
        <f t="array" ref="AR16">PRODUCT(1 + 預測IC!$C23:AQ23) -1</f>
        <v>-0.20345987836926693</v>
      </c>
      <c r="AS16" s="62" cm="1">
        <f t="array" ref="AS16">PRODUCT(1 + 預測IC!$C23:AR23) -1</f>
        <v>-0.31986319648679518</v>
      </c>
      <c r="AT16" s="62" cm="1">
        <f t="array" ref="AT16">PRODUCT(1 + 預測IC!$C23:AS23) -1</f>
        <v>-0.29798522816769002</v>
      </c>
      <c r="AU16" s="62" cm="1">
        <f t="array" ref="AU16">PRODUCT(1 + 預測IC!$C23:AT23) -1</f>
        <v>-0.28608521373430784</v>
      </c>
      <c r="AV16" s="62" cm="1">
        <f t="array" ref="AV16">PRODUCT(1 + 預測IC!$C23:AU23) -1</f>
        <v>0.14821202761462882</v>
      </c>
      <c r="AW16" s="62" cm="1">
        <f t="array" ref="AW16">PRODUCT(1 + 預測IC!$C23:AV23) -1</f>
        <v>3.7114188946275162E-2</v>
      </c>
      <c r="AX16" s="62" cm="1">
        <f t="array" ref="AX16">PRODUCT(1 + 預測IC!$C23:AW23) -1</f>
        <v>0.37565758224197343</v>
      </c>
      <c r="AY16" s="62" cm="1">
        <f t="array" ref="AY16">PRODUCT(1 + 預測IC!$C23:AX23) -1</f>
        <v>0.46526400247579147</v>
      </c>
      <c r="AZ16" s="62" cm="1">
        <f t="array" ref="AZ16">PRODUCT(1 + 預測IC!$C23:AY23) -1</f>
        <v>0.22620924129010533</v>
      </c>
      <c r="BA16" s="62" cm="1">
        <f t="array" ref="BA16">PRODUCT(1 + 預測IC!$C23:AZ23) -1</f>
        <v>0.32194132990249691</v>
      </c>
      <c r="BB16" s="62" cm="1">
        <f t="array" ref="BB16">PRODUCT(1 + 預測IC!$C23:BA23) -1</f>
        <v>0.393323965483376</v>
      </c>
      <c r="BC16" s="62" cm="1">
        <f t="array" ref="BC16">PRODUCT(1 + 預測IC!$C23:BB23) -1</f>
        <v>1.1830969484969618</v>
      </c>
      <c r="BD16" s="62" cm="1">
        <f t="array" ref="BD16">PRODUCT(1 + 預測IC!$C23:BC23) -1</f>
        <v>0.52635971570555817</v>
      </c>
      <c r="BE16" s="62" cm="1">
        <f t="array" ref="BE16">PRODUCT(1 + 預測IC!$C23:BD23) -1</f>
        <v>0.50292907259226083</v>
      </c>
      <c r="BF16" s="62" cm="1">
        <f t="array" ref="BF16">PRODUCT(1 + 預測IC!$C23:BE23) -1</f>
        <v>0.37287702074133433</v>
      </c>
      <c r="BG16" s="62" cm="1">
        <f t="array" ref="BG16">PRODUCT(1 + 預測IC!$C23:BF23) -1</f>
        <v>0.29048662949588522</v>
      </c>
      <c r="BH16" s="62" cm="1">
        <f t="array" ref="BH16">PRODUCT(1 + 預測IC!$C23:BG23) -1</f>
        <v>0.23253258525455389</v>
      </c>
      <c r="BI16" s="62" cm="1">
        <f t="array" ref="BI16">PRODUCT(1 + 預測IC!$C23:BH23) -1</f>
        <v>0.2985924665218842</v>
      </c>
      <c r="BJ16" s="62" cm="1">
        <f t="array" ref="BJ16">PRODUCT(1 + 預測IC!$C23:BI23) -1</f>
        <v>0.45598904641566795</v>
      </c>
      <c r="BK16" s="62" cm="1">
        <f t="array" ref="BK16">PRODUCT(1 + 預測IC!$C23:BJ23) -1</f>
        <v>0.30456135859465094</v>
      </c>
      <c r="BL16" s="62" cm="1">
        <f t="array" ref="BL16">PRODUCT(1 + 預測IC!$C23:BK23) -1</f>
        <v>0.36698373680828356</v>
      </c>
      <c r="BM16" s="62" cm="1">
        <f t="array" ref="BM16">PRODUCT(1 + 預測IC!$C23:BL23) -1</f>
        <v>0.2939427611223524</v>
      </c>
      <c r="BN16" s="62" cm="1">
        <f t="array" ref="BN16">PRODUCT(1 + 預測IC!$C23:BM23) -1</f>
        <v>5.566603894447919E-2</v>
      </c>
      <c r="BO16" s="62" cm="1">
        <f t="array" ref="BO16">PRODUCT(1 + 預測IC!$C23:BN23) -1</f>
        <v>9.6259815586510866E-2</v>
      </c>
      <c r="BP16" s="62" cm="1">
        <f t="array" ref="BP16">PRODUCT(1 + 預測IC!$C23:BO23) -1</f>
        <v>0.16402564225647587</v>
      </c>
      <c r="BQ16" s="62" cm="1">
        <f t="array" ref="BQ16">PRODUCT(1 + 預測IC!$C23:BP23) -1</f>
        <v>0.19018795828576995</v>
      </c>
      <c r="BR16" s="62" cm="1">
        <f t="array" ref="BR16">PRODUCT(1 + 預測IC!$C23:BQ23) -1</f>
        <v>4.4722316316423427E-2</v>
      </c>
      <c r="BS16" s="62" cm="1">
        <f t="array" ref="BS16">PRODUCT(1 + 預測IC!$C23:BR23) -1</f>
        <v>5.3448031684836472E-2</v>
      </c>
      <c r="BT16" s="62" cm="1">
        <f t="array" ref="BT16">PRODUCT(1 + 預測IC!$C23:BS23) -1</f>
        <v>0.18583501199469232</v>
      </c>
      <c r="BU16" s="62" cm="1">
        <f t="array" ref="BU16">PRODUCT(1 + 預測IC!$C23:BT23) -1</f>
        <v>-7.2898387714452006E-2</v>
      </c>
      <c r="BV16" s="62" cm="1">
        <f t="array" ref="BV16">PRODUCT(1 + 預測IC!$C23:BU23) -1</f>
        <v>-0.17087937544315568</v>
      </c>
      <c r="BW16" s="62" cm="1">
        <f t="array" ref="BW16">PRODUCT(1 + 預測IC!$C23:BV23) -1</f>
        <v>-0.18499013862270719</v>
      </c>
      <c r="BX16" s="62" cm="1">
        <f t="array" ref="BX16">PRODUCT(1 + 預測IC!$C23:BW23) -1</f>
        <v>0.30482877208391557</v>
      </c>
      <c r="BY16" s="62" cm="1">
        <f t="array" ref="BY16">PRODUCT(1 + 預測IC!$C23:BX23) -1</f>
        <v>0.21514124987333227</v>
      </c>
      <c r="BZ16" s="62" cm="1">
        <f t="array" ref="BZ16">PRODUCT(1 + 預測IC!$C23:BY23) -1</f>
        <v>0.26367332169992541</v>
      </c>
      <c r="CA16" s="62" cm="1">
        <f t="array" ref="CA16">PRODUCT(1 + 預測IC!$C23:BZ23) -1</f>
        <v>0.7089891049339514</v>
      </c>
      <c r="CB16" s="62" cm="1">
        <f t="array" ref="CB16">PRODUCT(1 + 預測IC!$C23:CA23) -1</f>
        <v>1.0616778390497257</v>
      </c>
      <c r="CC16" s="62" cm="1">
        <f t="array" ref="CC16">PRODUCT(1 + 預測IC!$C23:CB23) -1</f>
        <v>1.7135118452118547</v>
      </c>
      <c r="CD16" s="62" cm="1">
        <f t="array" ref="CD16">PRODUCT(1 + 預測IC!$C23:CC23) -1</f>
        <v>1.4840990317317257</v>
      </c>
      <c r="CE16" s="62" cm="1">
        <f t="array" ref="CE16">PRODUCT(1 + 預測IC!$C23:CD23) -1</f>
        <v>1.8349580084633357</v>
      </c>
      <c r="CF16" s="62" cm="1">
        <f t="array" ref="CF16">PRODUCT(1 + 預測IC!$C23:CE23) -1</f>
        <v>2.0039280313810215</v>
      </c>
      <c r="CG16" s="62" cm="1">
        <f t="array" ref="CG16">PRODUCT(1 + 預測IC!$C23:CF23) -1</f>
        <v>1.4529077910158912</v>
      </c>
      <c r="CH16" s="62" cm="1">
        <f t="array" ref="CH16">PRODUCT(1 + 預測IC!$C23:CG23) -1</f>
        <v>2.1713741428441251</v>
      </c>
      <c r="CI16" s="62" cm="1">
        <f t="array" ref="CI16">PRODUCT(1 + 預測IC!$C23:CH23) -1</f>
        <v>2.2409875946500657</v>
      </c>
      <c r="CJ16" s="62" cm="1">
        <f t="array" ref="CJ16">PRODUCT(1 + 預測IC!$C23:CI23) -1</f>
        <v>2.0493723901313126</v>
      </c>
      <c r="CK16" s="62" cm="1">
        <f t="array" ref="CK16">PRODUCT(1 + 預測IC!$C23:CJ23) -1</f>
        <v>2.1660268900151949</v>
      </c>
      <c r="CL16" s="62" cm="1">
        <f t="array" ref="CL16">PRODUCT(1 + 預測IC!$C23:CK23) -1</f>
        <v>1.9868477340414117</v>
      </c>
      <c r="CM16" s="62" cm="1">
        <f t="array" ref="CM16">PRODUCT(1 + 預測IC!$C23:CL23) -1</f>
        <v>4.4394942465768032</v>
      </c>
      <c r="CN16" s="62" cm="1">
        <f t="array" ref="CN16">PRODUCT(1 + 預測IC!$C23:CM23) -1</f>
        <v>3.1628178983885666</v>
      </c>
      <c r="CO16" s="62" cm="1">
        <f t="array" ref="CO16">PRODUCT(1 + 預測IC!$C23:CN23) -1</f>
        <v>3.3708299772569692</v>
      </c>
      <c r="CP16" s="62" cm="1">
        <f t="array" ref="CP16">PRODUCT(1 + 預測IC!$C23:CO23) -1</f>
        <v>4.5341636926574642</v>
      </c>
      <c r="CQ16" s="62" cm="1">
        <f t="array" ref="CQ16">PRODUCT(1 + 預測IC!$C23:CP23) -1</f>
        <v>3.8716229477484543</v>
      </c>
      <c r="CR16" s="62" cm="1">
        <f t="array" ref="CR16">PRODUCT(1 + 預測IC!$C23:CQ23) -1</f>
        <v>3.5436891708789044</v>
      </c>
      <c r="CS16" s="62" cm="1">
        <f t="array" ref="CS16">PRODUCT(1 + 預測IC!$C23:CR23) -1</f>
        <v>3.3699710335646778</v>
      </c>
      <c r="CT16" s="62" cm="1">
        <f t="array" ref="CT16">PRODUCT(1 + 預測IC!$C23:CS23) -1</f>
        <v>3.6715662050800777</v>
      </c>
      <c r="CU16" s="62" cm="1">
        <f t="array" ref="CU16">PRODUCT(1 + 預測IC!$C23:CT23) -1</f>
        <v>3.4582506183837252</v>
      </c>
      <c r="CV16" s="62" cm="1">
        <f t="array" ref="CV16">PRODUCT(1 + 預測IC!$C23:CU23) -1</f>
        <v>3.4191326342488404</v>
      </c>
      <c r="CW16" s="62" cm="1">
        <f t="array" ref="CW16">PRODUCT(1 + 預測IC!$C23:CV23) -1</f>
        <v>4.3111410211631132</v>
      </c>
      <c r="CX16" s="62" cm="1">
        <f t="array" ref="CX16">PRODUCT(1 + 預測IC!$C23:CW23) -1</f>
        <v>4.6519309802490882</v>
      </c>
      <c r="CY16" s="62" cm="1">
        <f t="array" ref="CY16">PRODUCT(1 + 預測IC!$C23:CX23) -1</f>
        <v>4.4018099770406636</v>
      </c>
      <c r="CZ16" s="62" cm="1">
        <f t="array" ref="CZ16">PRODUCT(1 + 預測IC!$C23:CY23) -1</f>
        <v>5.2323400634409136</v>
      </c>
      <c r="DA16" s="62" cm="1">
        <f t="array" ref="DA16">PRODUCT(1 + 預測IC!$C23:CZ23) -1</f>
        <v>6.2669362430075815</v>
      </c>
      <c r="DB16" s="62" cm="1">
        <f t="array" ref="DB16">PRODUCT(1 + 預測IC!$C23:DA23) -1</f>
        <v>6.7367064821967437</v>
      </c>
      <c r="DC16" s="62" cm="1">
        <f t="array" ref="DC16">PRODUCT(1 + 預測IC!$C23:DB23) -1</f>
        <v>6.881747032670174</v>
      </c>
      <c r="DD16" s="62" cm="1">
        <f t="array" ref="DD16">PRODUCT(1 + 預測IC!$C23:DC23) -1</f>
        <v>7.4525118910594514</v>
      </c>
      <c r="DE16" s="62" cm="1">
        <f t="array" ref="DE16">PRODUCT(1 + 預測IC!$C23:DD23) -1</f>
        <v>7.2969195205983528</v>
      </c>
      <c r="DF16" s="62" cm="1">
        <f t="array" ref="DF16">PRODUCT(1 + 預測IC!$C23:DE23) -1</f>
        <v>6.1233592510966899</v>
      </c>
      <c r="DG16" s="62" cm="1">
        <f t="array" ref="DG16">PRODUCT(1 + 預測IC!$C23:DF23) -1</f>
        <v>9.0353523302756571</v>
      </c>
      <c r="DH16" s="62" cm="1">
        <f t="array" ref="DH16">PRODUCT(1 + 預測IC!$C23:DG23) -1</f>
        <v>8.3567575165285124</v>
      </c>
      <c r="DI16" s="62" cm="1">
        <f t="array" ref="DI16">PRODUCT(1 + 預測IC!$C23:DH23) -1</f>
        <v>8.8752477061513453</v>
      </c>
      <c r="DJ16" s="62" cm="1">
        <f t="array" ref="DJ16">PRODUCT(1 + 預測IC!$C23:DI23) -1</f>
        <v>9.4033719729221783</v>
      </c>
      <c r="DK16" s="62" cm="1">
        <f t="array" ref="DK16">PRODUCT(1 + 預測IC!$C23:DJ23) -1</f>
        <v>8.497675130683545</v>
      </c>
      <c r="DL16" s="62" cm="1">
        <f t="array" ref="DL16">PRODUCT(1 + 預測IC!$C23:DK23) -1</f>
        <v>7.6310598703202945</v>
      </c>
      <c r="DM16" s="62" cm="1">
        <f t="array" ref="DM16">PRODUCT(1 + 預測IC!$C23:DL23) -1</f>
        <v>7.142478578609543</v>
      </c>
      <c r="DN16" s="62" cm="1">
        <f t="array" ref="DN16">PRODUCT(1 + 預測IC!$C23:DM23) -1</f>
        <v>7.5209191284432126</v>
      </c>
      <c r="DO16" s="62" cm="1">
        <f t="array" ref="DO16">PRODUCT(1 + 預測IC!$C23:DN23) -1</f>
        <v>6.5137059753701072</v>
      </c>
      <c r="DP16" s="62" cm="1">
        <f t="array" ref="DP16">PRODUCT(1 + 預測IC!$C23:DO23) -1</f>
        <v>7.4459197692881656</v>
      </c>
      <c r="DQ16" s="62" cm="1">
        <f t="array" ref="DQ16">PRODUCT(1 + 預測IC!$C23:DP23) -1</f>
        <v>7.1215593232524466</v>
      </c>
      <c r="DR16" s="62" cm="1">
        <f t="array" ref="DR16">PRODUCT(1 + 預測IC!$C23:DQ23) -1</f>
        <v>6.1377782642333418</v>
      </c>
      <c r="DS16" s="62" cm="1">
        <f t="array" ref="DS16">PRODUCT(1 + 預測IC!$C23:DR23) -1</f>
        <v>5.4066856493081357</v>
      </c>
      <c r="DT16" s="62" cm="1">
        <f t="array" ref="DT16">PRODUCT(1 + 預測IC!$C23:DS23) -1</f>
        <v>4.6598199164416902</v>
      </c>
      <c r="DU16" s="62" cm="1">
        <f t="array" ref="DU16">PRODUCT(1 + 預測IC!$C23:DT23) -1</f>
        <v>4.3527720786733397</v>
      </c>
      <c r="DV16" s="62" cm="1">
        <f t="array" ref="DV16">PRODUCT(1 + 預測IC!$C23:DU23) -1</f>
        <v>4.0549466305717061</v>
      </c>
      <c r="DW16" s="62" cm="1">
        <f t="array" ref="DW16">PRODUCT(1 + 預測IC!$C23:DV23) -1</f>
        <v>4.0960597935298217</v>
      </c>
      <c r="DX16" s="62" cm="1">
        <f t="array" ref="DX16">PRODUCT(1 + 預測IC!$C23:DW23) -1</f>
        <v>4.2135332504473491</v>
      </c>
      <c r="DY16" s="62" cm="1">
        <f t="array" ref="DY16">PRODUCT(1 + 預測IC!$C23:DX23) -1</f>
        <v>2.579125995201256</v>
      </c>
      <c r="DZ16" s="62" cm="1">
        <f t="array" ref="DZ16">PRODUCT(1 + 預測IC!$C23:DY23) -1</f>
        <v>3.1871365686128881</v>
      </c>
      <c r="EA16" s="62" cm="1">
        <f t="array" ref="EA16">PRODUCT(1 + 預測IC!$C23:DZ23) -1</f>
        <v>2.2777994227431524</v>
      </c>
      <c r="EB16" s="62" cm="1">
        <f t="array" ref="EB16">PRODUCT(1 + 預測IC!$C23:EA23) -1</f>
        <v>2.1835339109932548</v>
      </c>
      <c r="EC16" s="62" cm="1">
        <f t="array" ref="EC16">PRODUCT(1 + 預測IC!$C23:EB23) -1</f>
        <v>1.7434883599047084</v>
      </c>
      <c r="ED16" s="62" cm="1">
        <f t="array" ref="ED16">PRODUCT(1 + 預測IC!$C23:EC23) -1</f>
        <v>2.0004010465993054</v>
      </c>
      <c r="EE16" s="62" cm="1">
        <f t="array" ref="EE16">PRODUCT(1 + 預測IC!$C23:ED23) -1</f>
        <v>2.1171179151906601</v>
      </c>
      <c r="EF16" s="62" cm="1">
        <f t="array" ref="EF16">PRODUCT(1 + 預測IC!$C23:EE23) -1</f>
        <v>1.9013757131903022</v>
      </c>
      <c r="EG16" s="62" cm="1">
        <f t="array" ref="EG16">PRODUCT(1 + 預測IC!$C23:EF23) -1</f>
        <v>1.7627413705635675</v>
      </c>
    </row>
    <row r="17" spans="1:138" ht="16">
      <c r="C17" s="6">
        <v>964</v>
      </c>
      <c r="D17" s="62" cm="1">
        <f t="array" ref="D17">PRODUCT(1 + 預測IC!$C24:C24) -1</f>
        <v>0.16299313693108508</v>
      </c>
      <c r="E17" s="62" cm="1">
        <f t="array" ref="E17">PRODUCT(1 + 預測IC!$C24:D24) -1</f>
        <v>4.1984852428694763E-2</v>
      </c>
      <c r="F17" s="62" cm="1">
        <f t="array" ref="F17">PRODUCT(1 + 預測IC!$C24:E24) -1</f>
        <v>0.33844256534885186</v>
      </c>
      <c r="G17" s="62" cm="1">
        <f t="array" ref="G17">PRODUCT(1 + 預測IC!$C24:F24) -1</f>
        <v>3.440255900487954E-2</v>
      </c>
      <c r="H17" s="62" cm="1">
        <f t="array" ref="H17">PRODUCT(1 + 預測IC!$C24:G24) -1</f>
        <v>0.26792930457663311</v>
      </c>
      <c r="I17" s="62" cm="1">
        <f t="array" ref="I17">PRODUCT(1 + 預測IC!$C24:H24) -1</f>
        <v>0.31339191989439352</v>
      </c>
      <c r="J17" s="62" cm="1">
        <f t="array" ref="J17">PRODUCT(1 + 預測IC!$C24:I24) -1</f>
        <v>0.33562382205171426</v>
      </c>
      <c r="K17" s="62" cm="1">
        <f t="array" ref="K17">PRODUCT(1 + 預測IC!$C24:J24) -1</f>
        <v>0.18140895819631564</v>
      </c>
      <c r="L17" s="62" cm="1">
        <f t="array" ref="L17">PRODUCT(1 + 預測IC!$C24:K24) -1</f>
        <v>0.24488960181090014</v>
      </c>
      <c r="M17" s="62" cm="1">
        <f t="array" ref="M17">PRODUCT(1 + 預測IC!$C24:L24) -1</f>
        <v>0.36392999206051724</v>
      </c>
      <c r="N17" s="62" cm="1">
        <f t="array" ref="N17">PRODUCT(1 + 預測IC!$C24:M24) -1</f>
        <v>6.6885580763256236E-2</v>
      </c>
      <c r="O17" s="62" cm="1">
        <f t="array" ref="O17">PRODUCT(1 + 預測IC!$C24:N24) -1</f>
        <v>1.9542396403873377</v>
      </c>
      <c r="P17" s="62" cm="1">
        <f t="array" ref="P17">PRODUCT(1 + 預測IC!$C24:O24) -1</f>
        <v>2.675894987677832</v>
      </c>
      <c r="Q17" s="62" cm="1">
        <f t="array" ref="Q17">PRODUCT(1 + 預測IC!$C24:P24) -1</f>
        <v>2.6822774032114469</v>
      </c>
      <c r="R17" s="62" cm="1">
        <f t="array" ref="R17">PRODUCT(1 + 預測IC!$C24:Q24) -1</f>
        <v>2.6927613463040334</v>
      </c>
      <c r="S17" s="62" cm="1">
        <f t="array" ref="S17">PRODUCT(1 + 預測IC!$C24:R24) -1</f>
        <v>2.5900182977161554</v>
      </c>
      <c r="T17" s="62" cm="1">
        <f t="array" ref="T17">PRODUCT(1 + 預測IC!$C24:S24) -1</f>
        <v>2.5503325833000399</v>
      </c>
      <c r="U17" s="62" cm="1">
        <f t="array" ref="U17">PRODUCT(1 + 預測IC!$C24:T24) -1</f>
        <v>1.5284879178100534</v>
      </c>
      <c r="V17" s="62" cm="1">
        <f t="array" ref="V17">PRODUCT(1 + 預測IC!$C24:U24) -1</f>
        <v>1.9040155911543972</v>
      </c>
      <c r="W17" s="62" cm="1">
        <f t="array" ref="W17">PRODUCT(1 + 預測IC!$C24:V24) -1</f>
        <v>1.6174516559453984</v>
      </c>
      <c r="X17" s="62" cm="1">
        <f t="array" ref="X17">PRODUCT(1 + 預測IC!$C24:W24) -1</f>
        <v>1.1867119868777634</v>
      </c>
      <c r="Y17" s="62" cm="1">
        <f t="array" ref="Y17">PRODUCT(1 + 預測IC!$C24:X24) -1</f>
        <v>1.1886775708185389</v>
      </c>
      <c r="Z17" s="62" cm="1">
        <f t="array" ref="Z17">PRODUCT(1 + 預測IC!$C24:Y24) -1</f>
        <v>0.92534137237108571</v>
      </c>
      <c r="AA17" s="62" cm="1">
        <f t="array" ref="AA17">PRODUCT(1 + 預測IC!$C24:Z24) -1</f>
        <v>0.87837353840320342</v>
      </c>
      <c r="AB17" s="62" cm="1">
        <f t="array" ref="AB17">PRODUCT(1 + 預測IC!$C24:AA24) -1</f>
        <v>1.0556160818554003</v>
      </c>
      <c r="AC17" s="62" cm="1">
        <f t="array" ref="AC17">PRODUCT(1 + 預測IC!$C24:AB24) -1</f>
        <v>0.67686589431272282</v>
      </c>
      <c r="AD17" s="62" cm="1">
        <f t="array" ref="AD17">PRODUCT(1 + 預測IC!$C24:AC24) -1</f>
        <v>0.26407356308818564</v>
      </c>
      <c r="AE17" s="62" cm="1">
        <f t="array" ref="AE17">PRODUCT(1 + 預測IC!$C24:AD24) -1</f>
        <v>0.39196658411614482</v>
      </c>
      <c r="AF17" s="62" cm="1">
        <f t="array" ref="AF17">PRODUCT(1 + 預測IC!$C24:AE24) -1</f>
        <v>0.1479982503882904</v>
      </c>
      <c r="AG17" s="62" cm="1">
        <f t="array" ref="AG17">PRODUCT(1 + 預測IC!$C24:AF24) -1</f>
        <v>0.33822589950524784</v>
      </c>
      <c r="AH17" s="62" cm="1">
        <f t="array" ref="AH17">PRODUCT(1 + 預測IC!$C24:AG24) -1</f>
        <v>0.47994465454033342</v>
      </c>
      <c r="AI17" s="62" cm="1">
        <f t="array" ref="AI17">PRODUCT(1 + 預測IC!$C24:AH24) -1</f>
        <v>0.37840002879973578</v>
      </c>
      <c r="AJ17" s="62" cm="1">
        <f t="array" ref="AJ17">PRODUCT(1 + 預測IC!$C24:AI24) -1</f>
        <v>0.36625862495998596</v>
      </c>
      <c r="AK17" s="62" cm="1">
        <f t="array" ref="AK17">PRODUCT(1 + 預測IC!$C24:AJ24) -1</f>
        <v>0.48298520628195107</v>
      </c>
      <c r="AL17" s="62" cm="1">
        <f t="array" ref="AL17">PRODUCT(1 + 預測IC!$C24:AK24) -1</f>
        <v>0.60886685293281184</v>
      </c>
      <c r="AM17" s="62" cm="1">
        <f t="array" ref="AM17">PRODUCT(1 + 預測IC!$C24:AL24) -1</f>
        <v>0.74911773168603002</v>
      </c>
      <c r="AN17" s="62" cm="1">
        <f t="array" ref="AN17">PRODUCT(1 + 預測IC!$C24:AM24) -1</f>
        <v>0.88659575817469061</v>
      </c>
      <c r="AO17" s="62" cm="1">
        <f t="array" ref="AO17">PRODUCT(1 + 預測IC!$C24:AN24) -1</f>
        <v>1.1940009571911352</v>
      </c>
      <c r="AP17" s="62" cm="1">
        <f t="array" ref="AP17">PRODUCT(1 + 預測IC!$C24:AO24) -1</f>
        <v>1.3754266609070913</v>
      </c>
      <c r="AQ17" s="62" cm="1">
        <f t="array" ref="AQ17">PRODUCT(1 + 預測IC!$C24:AP24) -1</f>
        <v>0.98470059411702993</v>
      </c>
      <c r="AR17" s="62" cm="1">
        <f t="array" ref="AR17">PRODUCT(1 + 預測IC!$C24:AQ24) -1</f>
        <v>0.55376810506979179</v>
      </c>
      <c r="AS17" s="62" cm="1">
        <f t="array" ref="AS17">PRODUCT(1 + 預測IC!$C24:AR24) -1</f>
        <v>0.28833260728112986</v>
      </c>
      <c r="AT17" s="62" cm="1">
        <f t="array" ref="AT17">PRODUCT(1 + 預測IC!$C24:AS24) -1</f>
        <v>0.59473977066564254</v>
      </c>
      <c r="AU17" s="62" cm="1">
        <f t="array" ref="AU17">PRODUCT(1 + 預測IC!$C24:AT24) -1</f>
        <v>0.60419436016205963</v>
      </c>
      <c r="AV17" s="62" cm="1">
        <f t="array" ref="AV17">PRODUCT(1 + 預測IC!$C24:AU24) -1</f>
        <v>1.3694819968280165</v>
      </c>
      <c r="AW17" s="62" cm="1">
        <f t="array" ref="AW17">PRODUCT(1 + 預測IC!$C24:AV24) -1</f>
        <v>1.3232244612156299</v>
      </c>
      <c r="AX17" s="62" cm="1">
        <f t="array" ref="AX17">PRODUCT(1 + 預測IC!$C24:AW24) -1</f>
        <v>1.60271515563017</v>
      </c>
      <c r="AY17" s="62" cm="1">
        <f t="array" ref="AY17">PRODUCT(1 + 預測IC!$C24:AX24) -1</f>
        <v>1.5361850754828508</v>
      </c>
      <c r="AZ17" s="62" cm="1">
        <f t="array" ref="AZ17">PRODUCT(1 + 預測IC!$C24:AY24) -1</f>
        <v>0.41145435117772799</v>
      </c>
      <c r="BA17" s="62" cm="1">
        <f t="array" ref="BA17">PRODUCT(1 + 預測IC!$C24:AZ24) -1</f>
        <v>0.57888632408235075</v>
      </c>
      <c r="BB17" s="62" cm="1">
        <f t="array" ref="BB17">PRODUCT(1 + 預測IC!$C24:BA24) -1</f>
        <v>0.65860635568244197</v>
      </c>
      <c r="BC17" s="62" cm="1">
        <f t="array" ref="BC17">PRODUCT(1 + 預測IC!$C24:BB24) -1</f>
        <v>1.8043327009866963</v>
      </c>
      <c r="BD17" s="62" cm="1">
        <f t="array" ref="BD17">PRODUCT(1 + 預測IC!$C24:BC24) -1</f>
        <v>0.12335499138428774</v>
      </c>
      <c r="BE17" s="62" cm="1">
        <f t="array" ref="BE17">PRODUCT(1 + 預測IC!$C24:BD24) -1</f>
        <v>0.31721251807179751</v>
      </c>
      <c r="BF17" s="62" cm="1">
        <f t="array" ref="BF17">PRODUCT(1 + 預測IC!$C24:BE24) -1</f>
        <v>0.18004969953200356</v>
      </c>
      <c r="BG17" s="62" cm="1">
        <f t="array" ref="BG17">PRODUCT(1 + 預測IC!$C24:BF24) -1</f>
        <v>6.1771305713094637E-2</v>
      </c>
      <c r="BH17" s="62" cm="1">
        <f t="array" ref="BH17">PRODUCT(1 + 預測IC!$C24:BG24) -1</f>
        <v>-0.12576249638479697</v>
      </c>
      <c r="BI17" s="62" cm="1">
        <f t="array" ref="BI17">PRODUCT(1 + 預測IC!$C24:BH24) -1</f>
        <v>-0.11739652341746953</v>
      </c>
      <c r="BJ17" s="62" cm="1">
        <f t="array" ref="BJ17">PRODUCT(1 + 預測IC!$C24:BI24) -1</f>
        <v>3.2000818258491881E-2</v>
      </c>
      <c r="BK17" s="62" cm="1">
        <f t="array" ref="BK17">PRODUCT(1 + 預測IC!$C24:BJ24) -1</f>
        <v>2.8545353659663153E-2</v>
      </c>
      <c r="BL17" s="62" cm="1">
        <f t="array" ref="BL17">PRODUCT(1 + 預測IC!$C24:BK24) -1</f>
        <v>6.4367168338117953E-2</v>
      </c>
      <c r="BM17" s="62" cm="1">
        <f t="array" ref="BM17">PRODUCT(1 + 預測IC!$C24:BL24) -1</f>
        <v>3.1479700689875267E-2</v>
      </c>
      <c r="BN17" s="62" cm="1">
        <f t="array" ref="BN17">PRODUCT(1 + 預測IC!$C24:BM24) -1</f>
        <v>-0.35730187099086452</v>
      </c>
      <c r="BO17" s="62" cm="1">
        <f t="array" ref="BO17">PRODUCT(1 + 預測IC!$C24:BN24) -1</f>
        <v>-0.28730352236113454</v>
      </c>
      <c r="BP17" s="62" cm="1">
        <f t="array" ref="BP17">PRODUCT(1 + 預測IC!$C24:BO24) -1</f>
        <v>-0.29131202779460974</v>
      </c>
      <c r="BQ17" s="62" cm="1">
        <f t="array" ref="BQ17">PRODUCT(1 + 預測IC!$C24:BP24) -1</f>
        <v>-0.31384412712024601</v>
      </c>
      <c r="BR17" s="62" cm="1">
        <f t="array" ref="BR17">PRODUCT(1 + 預測IC!$C24:BQ24) -1</f>
        <v>-0.51410382627000994</v>
      </c>
      <c r="BS17" s="62" cm="1">
        <f t="array" ref="BS17">PRODUCT(1 + 預測IC!$C24:BR24) -1</f>
        <v>-0.51881672620290376</v>
      </c>
      <c r="BT17" s="62" cm="1">
        <f t="array" ref="BT17">PRODUCT(1 + 預測IC!$C24:BS24) -1</f>
        <v>-0.50020122066591299</v>
      </c>
      <c r="BU17" s="62" cm="1">
        <f t="array" ref="BU17">PRODUCT(1 + 預測IC!$C24:BT24) -1</f>
        <v>-0.63850504715131873</v>
      </c>
      <c r="BV17" s="62" cm="1">
        <f t="array" ref="BV17">PRODUCT(1 + 預測IC!$C24:BU24) -1</f>
        <v>-0.64166758296817084</v>
      </c>
      <c r="BW17" s="62" cm="1">
        <f t="array" ref="BW17">PRODUCT(1 + 預測IC!$C24:BV24) -1</f>
        <v>-0.71451805108618205</v>
      </c>
      <c r="BX17" s="62" cm="1">
        <f t="array" ref="BX17">PRODUCT(1 + 預測IC!$C24:BW24) -1</f>
        <v>-0.39791512396296835</v>
      </c>
      <c r="BY17" s="62" cm="1">
        <f t="array" ref="BY17">PRODUCT(1 + 預測IC!$C24:BX24) -1</f>
        <v>-0.4605048777518409</v>
      </c>
      <c r="BZ17" s="62" cm="1">
        <f t="array" ref="BZ17">PRODUCT(1 + 預測IC!$C24:BY24) -1</f>
        <v>-0.61714020559366711</v>
      </c>
      <c r="CA17" s="62" cm="1">
        <f t="array" ref="CA17">PRODUCT(1 + 預測IC!$C24:BZ24) -1</f>
        <v>-0.30550840281964076</v>
      </c>
      <c r="CB17" s="62" cm="1">
        <f t="array" ref="CB17">PRODUCT(1 + 預測IC!$C24:CA24) -1</f>
        <v>-0.23604193936499052</v>
      </c>
      <c r="CC17" s="62" cm="1">
        <f t="array" ref="CC17">PRODUCT(1 + 預測IC!$C24:CB24) -1</f>
        <v>0.2526606061982688</v>
      </c>
      <c r="CD17" s="62" cm="1">
        <f t="array" ref="CD17">PRODUCT(1 + 預測IC!$C24:CC24) -1</f>
        <v>2.4087775845390569E-2</v>
      </c>
      <c r="CE17" s="62" cm="1">
        <f t="array" ref="CE17">PRODUCT(1 + 預測IC!$C24:CD24) -1</f>
        <v>5.4762815532342968E-2</v>
      </c>
      <c r="CF17" s="62" cm="1">
        <f t="array" ref="CF17">PRODUCT(1 + 預測IC!$C24:CE24) -1</f>
        <v>0.22939448817646868</v>
      </c>
      <c r="CG17" s="62" cm="1">
        <f t="array" ref="CG17">PRODUCT(1 + 預測IC!$C24:CF24) -1</f>
        <v>2.6382912961594673E-2</v>
      </c>
      <c r="CH17" s="62" cm="1">
        <f t="array" ref="CH17">PRODUCT(1 + 預測IC!$C24:CG24) -1</f>
        <v>0.26992082828634478</v>
      </c>
      <c r="CI17" s="62" cm="1">
        <f t="array" ref="CI17">PRODUCT(1 + 預測IC!$C24:CH24) -1</f>
        <v>0.45487632946729439</v>
      </c>
      <c r="CJ17" s="62" cm="1">
        <f t="array" ref="CJ17">PRODUCT(1 + 預測IC!$C24:CI24) -1</f>
        <v>0.36975419642819563</v>
      </c>
      <c r="CK17" s="62" cm="1">
        <f t="array" ref="CK17">PRODUCT(1 + 預測IC!$C24:CJ24) -1</f>
        <v>0.44806870033897694</v>
      </c>
      <c r="CL17" s="62" cm="1">
        <f t="array" ref="CL17">PRODUCT(1 + 預測IC!$C24:CK24) -1</f>
        <v>0.49419716951697978</v>
      </c>
      <c r="CM17" s="62" cm="1">
        <f t="array" ref="CM17">PRODUCT(1 + 預測IC!$C24:CL24) -1</f>
        <v>2.2104619744707454</v>
      </c>
      <c r="CN17" s="62" cm="1">
        <f t="array" ref="CN17">PRODUCT(1 + 預測IC!$C24:CM24) -1</f>
        <v>0.16721717995624896</v>
      </c>
      <c r="CO17" s="62" cm="1">
        <f t="array" ref="CO17">PRODUCT(1 + 預測IC!$C24:CN24) -1</f>
        <v>0.18462801032710807</v>
      </c>
      <c r="CP17" s="62" cm="1">
        <f t="array" ref="CP17">PRODUCT(1 + 預測IC!$C24:CO24) -1</f>
        <v>0.72064546191323231</v>
      </c>
      <c r="CQ17" s="62" cm="1">
        <f t="array" ref="CQ17">PRODUCT(1 + 預測IC!$C24:CP24) -1</f>
        <v>0.29162192959064082</v>
      </c>
      <c r="CR17" s="62" cm="1">
        <f t="array" ref="CR17">PRODUCT(1 + 預測IC!$C24:CQ24) -1</f>
        <v>6.2222871035189309E-2</v>
      </c>
      <c r="CS17" s="62" cm="1">
        <f t="array" ref="CS17">PRODUCT(1 + 預測IC!$C24:CR24) -1</f>
        <v>-4.0619324309212668E-2</v>
      </c>
      <c r="CT17" s="62" cm="1">
        <f t="array" ref="CT17">PRODUCT(1 + 預測IC!$C24:CS24) -1</f>
        <v>-6.6383418023137519E-2</v>
      </c>
      <c r="CU17" s="62" cm="1">
        <f t="array" ref="CU17">PRODUCT(1 + 預測IC!$C24:CT24) -1</f>
        <v>-0.15640180284730842</v>
      </c>
      <c r="CV17" s="62" cm="1">
        <f t="array" ref="CV17">PRODUCT(1 + 預測IC!$C24:CU24) -1</f>
        <v>-0.16171805544110929</v>
      </c>
      <c r="CW17" s="62" cm="1">
        <f t="array" ref="CW17">PRODUCT(1 + 預測IC!$C24:CV24) -1</f>
        <v>0.14130434946579284</v>
      </c>
      <c r="CX17" s="62" cm="1">
        <f t="array" ref="CX17">PRODUCT(1 + 預測IC!$C24:CW24) -1</f>
        <v>0.13949179585645166</v>
      </c>
      <c r="CY17" s="62" cm="1">
        <f t="array" ref="CY17">PRODUCT(1 + 預測IC!$C24:CX24) -1</f>
        <v>0.19961737541459645</v>
      </c>
      <c r="CZ17" s="62" cm="1">
        <f t="array" ref="CZ17">PRODUCT(1 + 預測IC!$C24:CY24) -1</f>
        <v>0.58487179903714392</v>
      </c>
      <c r="DA17" s="62" cm="1">
        <f t="array" ref="DA17">PRODUCT(1 + 預測IC!$C24:CZ24) -1</f>
        <v>1.0961353983149613</v>
      </c>
      <c r="DB17" s="62" cm="1">
        <f t="array" ref="DB17">PRODUCT(1 + 預測IC!$C24:DA24) -1</f>
        <v>1.167361209447308</v>
      </c>
      <c r="DC17" s="62" cm="1">
        <f t="array" ref="DC17">PRODUCT(1 + 預測IC!$C24:DB24) -1</f>
        <v>1.1315957055226904</v>
      </c>
      <c r="DD17" s="62" cm="1">
        <f t="array" ref="DD17">PRODUCT(1 + 預測IC!$C24:DC24) -1</f>
        <v>1.5143303548801055</v>
      </c>
      <c r="DE17" s="62" cm="1">
        <f t="array" ref="DE17">PRODUCT(1 + 預測IC!$C24:DD24) -1</f>
        <v>1.6382862697949241</v>
      </c>
      <c r="DF17" s="62" cm="1">
        <f t="array" ref="DF17">PRODUCT(1 + 預測IC!$C24:DE24) -1</f>
        <v>0.8292925092221588</v>
      </c>
      <c r="DG17" s="62" cm="1">
        <f t="array" ref="DG17">PRODUCT(1 + 預測IC!$C24:DF24) -1</f>
        <v>1.7907412239217715</v>
      </c>
      <c r="DH17" s="62" cm="1">
        <f t="array" ref="DH17">PRODUCT(1 + 預測IC!$C24:DG24) -1</f>
        <v>1.4571212650393863</v>
      </c>
      <c r="DI17" s="62" cm="1">
        <f t="array" ref="DI17">PRODUCT(1 + 預測IC!$C24:DH24) -1</f>
        <v>1.7012779858685412</v>
      </c>
      <c r="DJ17" s="62" cm="1">
        <f t="array" ref="DJ17">PRODUCT(1 + 預測IC!$C24:DI24) -1</f>
        <v>2.0845230398334849</v>
      </c>
      <c r="DK17" s="62" cm="1">
        <f t="array" ref="DK17">PRODUCT(1 + 預測IC!$C24:DJ24) -1</f>
        <v>1.67585886820221</v>
      </c>
      <c r="DL17" s="62" cm="1">
        <f t="array" ref="DL17">PRODUCT(1 + 預測IC!$C24:DK24) -1</f>
        <v>1.3556115939682276</v>
      </c>
      <c r="DM17" s="62" cm="1">
        <f t="array" ref="DM17">PRODUCT(1 + 預測IC!$C24:DL24) -1</f>
        <v>1.2808239921250029</v>
      </c>
      <c r="DN17" s="62" cm="1">
        <f t="array" ref="DN17">PRODUCT(1 + 預測IC!$C24:DM24) -1</f>
        <v>1.2817669879593834</v>
      </c>
      <c r="DO17" s="62" cm="1">
        <f t="array" ref="DO17">PRODUCT(1 + 預測IC!$C24:DN24) -1</f>
        <v>0.94170782469956649</v>
      </c>
      <c r="DP17" s="62" cm="1">
        <f t="array" ref="DP17">PRODUCT(1 + 預測IC!$C24:DO24) -1</f>
        <v>1.1661924623974729</v>
      </c>
      <c r="DQ17" s="62" cm="1">
        <f t="array" ref="DQ17">PRODUCT(1 + 預測IC!$C24:DP24) -1</f>
        <v>0.85354451278016019</v>
      </c>
      <c r="DR17" s="62" cm="1">
        <f t="array" ref="DR17">PRODUCT(1 + 預測IC!$C24:DQ24) -1</f>
        <v>0.75996611144677462</v>
      </c>
      <c r="DS17" s="62" cm="1">
        <f t="array" ref="DS17">PRODUCT(1 + 預測IC!$C24:DR24) -1</f>
        <v>0.71879745711729393</v>
      </c>
      <c r="DT17" s="62" cm="1">
        <f t="array" ref="DT17">PRODUCT(1 + 預測IC!$C24:DS24) -1</f>
        <v>0.6030148848392185</v>
      </c>
      <c r="DU17" s="62" cm="1">
        <f t="array" ref="DU17">PRODUCT(1 + 預測IC!$C24:DT24) -1</f>
        <v>0.48321621998398445</v>
      </c>
      <c r="DV17" s="62" cm="1">
        <f t="array" ref="DV17">PRODUCT(1 + 預測IC!$C24:DU24) -1</f>
        <v>0.51552273887764466</v>
      </c>
      <c r="DW17" s="62" cm="1">
        <f t="array" ref="DW17">PRODUCT(1 + 預測IC!$C24:DV24) -1</f>
        <v>0.66411494649600411</v>
      </c>
      <c r="DX17" s="62" cm="1">
        <f t="array" ref="DX17">PRODUCT(1 + 預測IC!$C24:DW24) -1</f>
        <v>0.83249425150377787</v>
      </c>
      <c r="DY17" s="62" cm="1">
        <f t="array" ref="DY17">PRODUCT(1 + 預測IC!$C24:DX24) -1</f>
        <v>0.26150163601593235</v>
      </c>
      <c r="DZ17" s="62" cm="1">
        <f t="array" ref="DZ17">PRODUCT(1 + 預測IC!$C24:DY24) -1</f>
        <v>0.69521130628116312</v>
      </c>
      <c r="EA17" s="62" cm="1">
        <f t="array" ref="EA17">PRODUCT(1 + 預測IC!$C24:DZ24) -1</f>
        <v>-3.9673947340541749E-2</v>
      </c>
      <c r="EB17" s="62" cm="1">
        <f t="array" ref="EB17">PRODUCT(1 + 預測IC!$C24:EA24) -1</f>
        <v>-9.241523070038371E-2</v>
      </c>
      <c r="EC17" s="62" cm="1">
        <f t="array" ref="EC17">PRODUCT(1 + 預測IC!$C24:EB24) -1</f>
        <v>-0.19154960087523742</v>
      </c>
      <c r="ED17" s="62" cm="1">
        <f t="array" ref="ED17">PRODUCT(1 + 預測IC!$C24:EC24) -1</f>
        <v>-7.5420977344223261E-2</v>
      </c>
      <c r="EE17" s="62" cm="1">
        <f t="array" ref="EE17">PRODUCT(1 + 預測IC!$C24:ED24) -1</f>
        <v>-0.13998909546831972</v>
      </c>
      <c r="EF17" s="62" cm="1">
        <f t="array" ref="EF17">PRODUCT(1 + 預測IC!$C24:EE24) -1</f>
        <v>-0.23242363271615107</v>
      </c>
      <c r="EG17" s="62" cm="1">
        <f t="array" ref="EG17">PRODUCT(1 + 預測IC!$C24:EF24) -1</f>
        <v>-0.1807836453478131</v>
      </c>
    </row>
    <row r="18" spans="1:138" ht="16">
      <c r="C18" s="63" t="s">
        <v>145</v>
      </c>
      <c r="D18" s="64" cm="1">
        <f t="array" ref="D18">PRODUCT(1 + 預測IC!$C25:C25) -1</f>
        <v>-1.7446770539390366E-2</v>
      </c>
      <c r="E18" s="64" cm="1">
        <f t="array" ref="E18">PRODUCT(1 + 預測IC!$C25:D25) -1</f>
        <v>2.893123339404724E-3</v>
      </c>
      <c r="F18" s="64" cm="1">
        <f t="array" ref="F18">PRODUCT(1 + 預測IC!$C25:E25) -1</f>
        <v>2.6944635852046872E-2</v>
      </c>
      <c r="G18" s="64" cm="1">
        <f t="array" ref="G18">PRODUCT(1 + 預測IC!$C25:F25) -1</f>
        <v>2.0210365301730038E-2</v>
      </c>
      <c r="H18" s="64" cm="1">
        <f t="array" ref="H18">PRODUCT(1 + 預測IC!$C25:G25) -1</f>
        <v>5.269909680859941E-2</v>
      </c>
      <c r="I18" s="64" cm="1">
        <f t="array" ref="I18">PRODUCT(1 + 預測IC!$C25:H25) -1</f>
        <v>8.8857766197530053E-2</v>
      </c>
      <c r="J18" s="64" cm="1">
        <f t="array" ref="J18">PRODUCT(1 + 預測IC!$C25:I25) -1</f>
        <v>7.9869318529145472E-2</v>
      </c>
      <c r="K18" s="64" cm="1">
        <f t="array" ref="K18">PRODUCT(1 + 預測IC!$C25:J25) -1</f>
        <v>9.3738646464063713E-2</v>
      </c>
      <c r="L18" s="64" cm="1">
        <f t="array" ref="L18">PRODUCT(1 + 預測IC!$C25:K25) -1</f>
        <v>3.7937714394164157E-2</v>
      </c>
      <c r="M18" s="64" cm="1">
        <f t="array" ref="M18">PRODUCT(1 + 預測IC!$C25:L25) -1</f>
        <v>3.8844812525307137E-2</v>
      </c>
      <c r="N18" s="64" cm="1">
        <f t="array" ref="N18">PRODUCT(1 + 預測IC!$C25:M25) -1</f>
        <v>6.3142951706360639E-2</v>
      </c>
      <c r="O18" s="64" cm="1">
        <f t="array" ref="O18">PRODUCT(1 + 預測IC!$C25:N25) -1</f>
        <v>7.6952085951054405E-2</v>
      </c>
      <c r="P18" s="64" cm="1">
        <f t="array" ref="P18">PRODUCT(1 + 預測IC!$C25:O25) -1</f>
        <v>8.3257197491512391E-2</v>
      </c>
      <c r="Q18" s="64" cm="1">
        <f t="array" ref="Q18">PRODUCT(1 + 預測IC!$C25:P25) -1</f>
        <v>0.11295275081672607</v>
      </c>
      <c r="R18" s="64" cm="1">
        <f t="array" ref="R18">PRODUCT(1 + 預測IC!$C25:Q25) -1</f>
        <v>0.10882042835093308</v>
      </c>
      <c r="S18" s="64" cm="1">
        <f t="array" ref="S18">PRODUCT(1 + 預測IC!$C25:R25) -1</f>
        <v>0.13551706985268064</v>
      </c>
      <c r="T18" s="64" cm="1">
        <f t="array" ref="T18">PRODUCT(1 + 預測IC!$C25:S25) -1</f>
        <v>0.12167508804368476</v>
      </c>
      <c r="U18" s="64" cm="1">
        <f t="array" ref="U18">PRODUCT(1 + 預測IC!$C25:T25) -1</f>
        <v>7.7088976461827885E-2</v>
      </c>
      <c r="V18" s="64" cm="1">
        <f t="array" ref="V18">PRODUCT(1 + 預測IC!$C25:U25) -1</f>
        <v>-1.7059521199481731E-3</v>
      </c>
      <c r="W18" s="64" cm="1">
        <f t="array" ref="W18">PRODUCT(1 + 預測IC!$C25:V25) -1</f>
        <v>-5.9866792867339091E-2</v>
      </c>
      <c r="X18" s="64" cm="1">
        <f t="array" ref="X18">PRODUCT(1 + 預測IC!$C25:W25) -1</f>
        <v>-5.9140260213613516E-2</v>
      </c>
      <c r="Y18" s="64" cm="1">
        <f t="array" ref="Y18">PRODUCT(1 + 預測IC!$C25:X25) -1</f>
        <v>-1.7185893241652206E-2</v>
      </c>
      <c r="Z18" s="64" cm="1">
        <f t="array" ref="Z18">PRODUCT(1 + 預測IC!$C25:Y25) -1</f>
        <v>-4.4409529547694393E-2</v>
      </c>
      <c r="AA18" s="64" cm="1">
        <f t="array" ref="AA18">PRODUCT(1 + 預測IC!$C25:Z25) -1</f>
        <v>-4.2407561826578566E-2</v>
      </c>
      <c r="AB18" s="64" cm="1">
        <f t="array" ref="AB18">PRODUCT(1 + 預測IC!$C25:AA25) -1</f>
        <v>-6.481575250614946E-2</v>
      </c>
      <c r="AC18" s="64" cm="1">
        <f t="array" ref="AC18">PRODUCT(1 + 預測IC!$C25:AB25) -1</f>
        <v>-3.4768870774049443E-2</v>
      </c>
      <c r="AD18" s="64" cm="1">
        <f t="array" ref="AD18">PRODUCT(1 + 預測IC!$C25:AC25) -1</f>
        <v>2.7817794451217015E-3</v>
      </c>
      <c r="AE18" s="64" cm="1">
        <f t="array" ref="AE18">PRODUCT(1 + 預測IC!$C25:AD25) -1</f>
        <v>-4.0202844765013457E-2</v>
      </c>
      <c r="AF18" s="64" cm="1">
        <f t="array" ref="AF18">PRODUCT(1 + 預測IC!$C25:AE25) -1</f>
        <v>-2.2305320482664204E-2</v>
      </c>
      <c r="AG18" s="64" cm="1">
        <f t="array" ref="AG18">PRODUCT(1 + 預測IC!$C25:AF25) -1</f>
        <v>-7.4152570234460313E-3</v>
      </c>
      <c r="AH18" s="64" cm="1">
        <f t="array" ref="AH18">PRODUCT(1 + 預測IC!$C25:AG25) -1</f>
        <v>2.8334274381314417E-2</v>
      </c>
      <c r="AI18" s="64" cm="1">
        <f t="array" ref="AI18">PRODUCT(1 + 預測IC!$C25:AH25) -1</f>
        <v>3.7953941892352683E-2</v>
      </c>
      <c r="AJ18" s="64" cm="1">
        <f t="array" ref="AJ18">PRODUCT(1 + 預測IC!$C25:AI25) -1</f>
        <v>4.9110131735873752E-2</v>
      </c>
      <c r="AK18" s="64" cm="1">
        <f t="array" ref="AK18">PRODUCT(1 + 預測IC!$C25:AJ25) -1</f>
        <v>6.3123886850196875E-2</v>
      </c>
      <c r="AL18" s="64" cm="1">
        <f t="array" ref="AL18">PRODUCT(1 + 預測IC!$C25:AK25) -1</f>
        <v>5.7454515782098925E-2</v>
      </c>
      <c r="AM18" s="64" cm="1">
        <f t="array" ref="AM18">PRODUCT(1 + 預測IC!$C25:AL25) -1</f>
        <v>5.8917118987427575E-2</v>
      </c>
      <c r="AN18" s="64" cm="1">
        <f t="array" ref="AN18">PRODUCT(1 + 預測IC!$C25:AM25) -1</f>
        <v>8.0938283596681648E-2</v>
      </c>
      <c r="AO18" s="64" cm="1">
        <f t="array" ref="AO18">PRODUCT(1 + 預測IC!$C25:AN25) -1</f>
        <v>0.11500697453770203</v>
      </c>
      <c r="AP18" s="64" cm="1">
        <f t="array" ref="AP18">PRODUCT(1 + 預測IC!$C25:AO25) -1</f>
        <v>0.12196653200545171</v>
      </c>
      <c r="AQ18" s="64" cm="1">
        <f t="array" ref="AQ18">PRODUCT(1 + 預測IC!$C25:AP25) -1</f>
        <v>0.12886130991117528</v>
      </c>
      <c r="AR18" s="64" cm="1">
        <f t="array" ref="AR18">PRODUCT(1 + 預測IC!$C25:AQ25) -1</f>
        <v>0.14799139743631429</v>
      </c>
      <c r="AS18" s="64" cm="1">
        <f t="array" ref="AS18">PRODUCT(1 + 預測IC!$C25:AR25) -1</f>
        <v>0.18780698843660248</v>
      </c>
      <c r="AT18" s="64" cm="1">
        <f t="array" ref="AT18">PRODUCT(1 + 預測IC!$C25:AS25) -1</f>
        <v>0.19148751365039929</v>
      </c>
      <c r="AU18" s="64" cm="1">
        <f t="array" ref="AU18">PRODUCT(1 + 預測IC!$C25:AT25) -1</f>
        <v>0.20945675046088996</v>
      </c>
      <c r="AV18" s="64" cm="1">
        <f t="array" ref="AV18">PRODUCT(1 + 預測IC!$C25:AU25) -1</f>
        <v>0.18617324550329584</v>
      </c>
      <c r="AW18" s="64" cm="1">
        <f t="array" ref="AW18">PRODUCT(1 + 預測IC!$C25:AV25) -1</f>
        <v>0.23209180697664689</v>
      </c>
      <c r="AX18" s="64" cm="1">
        <f t="array" ref="AX18">PRODUCT(1 + 預測IC!$C25:AW25) -1</f>
        <v>0.20516203655681697</v>
      </c>
      <c r="AY18" s="64" cm="1">
        <f t="array" ref="AY18">PRODUCT(1 + 預測IC!$C25:AX25) -1</f>
        <v>0.21453132863303215</v>
      </c>
      <c r="AZ18" s="64" cm="1">
        <f t="array" ref="AZ18">PRODUCT(1 + 預測IC!$C25:AY25) -1</f>
        <v>0.2660241129922889</v>
      </c>
      <c r="BA18" s="64" cm="1">
        <f t="array" ref="BA18">PRODUCT(1 + 預測IC!$C25:AZ25) -1</f>
        <v>0.23271631642995261</v>
      </c>
      <c r="BB18" s="64" cm="1">
        <f t="array" ref="BB18">PRODUCT(1 + 預測IC!$C25:BA25) -1</f>
        <v>0.24451556797958407</v>
      </c>
      <c r="BC18" s="64" cm="1">
        <f t="array" ref="BC18">PRODUCT(1 + 預測IC!$C25:BB25) -1</f>
        <v>0.21433638745422812</v>
      </c>
      <c r="BD18" s="64" cm="1">
        <f t="array" ref="BD18">PRODUCT(1 + 預測IC!$C25:BC25) -1</f>
        <v>0.23882150637103883</v>
      </c>
      <c r="BE18" s="64" cm="1">
        <f t="array" ref="BE18">PRODUCT(1 + 預測IC!$C25:BD25) -1</f>
        <v>0.23447943849994912</v>
      </c>
      <c r="BF18" s="64" cm="1">
        <f t="array" ref="BF18">PRODUCT(1 + 預測IC!$C25:BE25) -1</f>
        <v>0.25935658802508499</v>
      </c>
      <c r="BG18" s="64" cm="1">
        <f t="array" ref="BG18">PRODUCT(1 + 預測IC!$C25:BF25) -1</f>
        <v>0.26008869763716325</v>
      </c>
      <c r="BH18" s="64" cm="1">
        <f t="array" ref="BH18">PRODUCT(1 + 預測IC!$C25:BG25) -1</f>
        <v>0.2535114114609236</v>
      </c>
      <c r="BI18" s="64" cm="1">
        <f t="array" ref="BI18">PRODUCT(1 + 預測IC!$C25:BH25) -1</f>
        <v>0.10826483627727623</v>
      </c>
      <c r="BJ18" s="64" cm="1">
        <f t="array" ref="BJ18">PRODUCT(1 + 預測IC!$C25:BI25) -1</f>
        <v>0.11793469710078752</v>
      </c>
      <c r="BK18" s="64" cm="1">
        <f t="array" ref="BK18">PRODUCT(1 + 預測IC!$C25:BJ25) -1</f>
        <v>9.9625988810205346E-2</v>
      </c>
      <c r="BL18" s="64" cm="1">
        <f t="array" ref="BL18">PRODUCT(1 + 預測IC!$C25:BK25) -1</f>
        <v>0.12254260303831388</v>
      </c>
      <c r="BM18" s="64" cm="1">
        <f t="array" ref="BM18">PRODUCT(1 + 預測IC!$C25:BL25) -1</f>
        <v>0.17302993558173996</v>
      </c>
      <c r="BN18" s="64" cm="1">
        <f t="array" ref="BN18">PRODUCT(1 + 預測IC!$C25:BM25) -1</f>
        <v>0.20112905370185397</v>
      </c>
      <c r="BO18" s="64" cm="1">
        <f t="array" ref="BO18">PRODUCT(1 + 預測IC!$C25:BN25) -1</f>
        <v>0.23745011694095197</v>
      </c>
      <c r="BP18" s="64" cm="1">
        <f t="array" ref="BP18">PRODUCT(1 + 預測IC!$C25:BO25) -1</f>
        <v>0.18334151222801376</v>
      </c>
      <c r="BQ18" s="64" cm="1">
        <f t="array" ref="BQ18">PRODUCT(1 + 預測IC!$C25:BP25) -1</f>
        <v>0.20924423024871497</v>
      </c>
      <c r="BR18" s="64" cm="1">
        <f t="array" ref="BR18">PRODUCT(1 + 預測IC!$C25:BQ25) -1</f>
        <v>0.21967690051673561</v>
      </c>
      <c r="BS18" s="64" cm="1">
        <f t="array" ref="BS18">PRODUCT(1 + 預測IC!$C25:BR25) -1</f>
        <v>0.1962676978767699</v>
      </c>
      <c r="BT18" s="64" cm="1">
        <f t="array" ref="BT18">PRODUCT(1 + 預測IC!$C25:BS25) -1</f>
        <v>0.21987619627534571</v>
      </c>
      <c r="BU18" s="64" cm="1">
        <f t="array" ref="BU18">PRODUCT(1 + 預測IC!$C25:BT25) -1</f>
        <v>0.27805738326883356</v>
      </c>
      <c r="BV18" s="64" cm="1">
        <f t="array" ref="BV18">PRODUCT(1 + 預測IC!$C25:BU25) -1</f>
        <v>0.29269729646247922</v>
      </c>
      <c r="BW18" s="64" cm="1">
        <f t="array" ref="BW18">PRODUCT(1 + 預測IC!$C25:BV25) -1</f>
        <v>0.34857881761669129</v>
      </c>
      <c r="BX18" s="64" cm="1">
        <f t="array" ref="BX18">PRODUCT(1 + 預測IC!$C25:BW25) -1</f>
        <v>0.2909305384219143</v>
      </c>
      <c r="BY18" s="64" cm="1">
        <f t="array" ref="BY18">PRODUCT(1 + 預測IC!$C25:BX25) -1</f>
        <v>0.26793739709811137</v>
      </c>
      <c r="BZ18" s="64" cm="1">
        <f t="array" ref="BZ18">PRODUCT(1 + 預測IC!$C25:BY25) -1</f>
        <v>7.628473289061688E-2</v>
      </c>
      <c r="CA18" s="64" cm="1">
        <f t="array" ref="CA18">PRODUCT(1 + 預測IC!$C25:BZ25) -1</f>
        <v>0.20998513144491437</v>
      </c>
      <c r="CB18" s="64" cm="1">
        <f t="array" ref="CB18">PRODUCT(1 + 預測IC!$C25:CA25) -1</f>
        <v>0.20447092205281336</v>
      </c>
      <c r="CC18" s="64" cm="1">
        <f t="array" ref="CC18">PRODUCT(1 + 預測IC!$C25:CB25) -1</f>
        <v>0.27699361006036605</v>
      </c>
      <c r="CD18" s="64" cm="1">
        <f t="array" ref="CD18">PRODUCT(1 + 預測IC!$C25:CC25) -1</f>
        <v>0.38680488733361829</v>
      </c>
      <c r="CE18" s="64" cm="1">
        <f t="array" ref="CE18">PRODUCT(1 + 預測IC!$C25:CD25) -1</f>
        <v>0.37874965946081551</v>
      </c>
      <c r="CF18" s="64" cm="1">
        <f t="array" ref="CF18">PRODUCT(1 + 預測IC!$C25:CE25) -1</f>
        <v>0.37042015435709108</v>
      </c>
      <c r="CG18" s="64" cm="1">
        <f t="array" ref="CG18">PRODUCT(1 + 預測IC!$C25:CF25) -1</f>
        <v>0.37378086910184649</v>
      </c>
      <c r="CH18" s="64" cm="1">
        <f t="array" ref="CH18">PRODUCT(1 + 預測IC!$C25:CG25) -1</f>
        <v>0.49692143719092186</v>
      </c>
      <c r="CI18" s="64" cm="1">
        <f t="array" ref="CI18">PRODUCT(1 + 預測IC!$C25:CH25) -1</f>
        <v>0.603191980394987</v>
      </c>
      <c r="CJ18" s="64" cm="1">
        <f t="array" ref="CJ18">PRODUCT(1 + 預測IC!$C25:CI25) -1</f>
        <v>0.64675173719730239</v>
      </c>
      <c r="CK18" s="64" cm="1">
        <f t="array" ref="CK18">PRODUCT(1 + 預測IC!$C25:CJ25) -1</f>
        <v>0.73315421285472704</v>
      </c>
      <c r="CL18" s="64" cm="1">
        <f t="array" ref="CL18">PRODUCT(1 + 預測IC!$C25:CK25) -1</f>
        <v>0.7842487445659152</v>
      </c>
      <c r="CM18" s="64" cm="1">
        <f t="array" ref="CM18">PRODUCT(1 + 預測IC!$C25:CL25) -1</f>
        <v>0.90348131155309508</v>
      </c>
      <c r="CN18" s="64" cm="1">
        <f t="array" ref="CN18">PRODUCT(1 + 預測IC!$C25:CM25) -1</f>
        <v>0.8487139113221478</v>
      </c>
      <c r="CO18" s="64" cm="1">
        <f t="array" ref="CO18">PRODUCT(1 + 預測IC!$C25:CN25) -1</f>
        <v>0.92166881344527685</v>
      </c>
      <c r="CP18" s="64" cm="1">
        <f t="array" ref="CP18">PRODUCT(1 + 預測IC!$C25:CO25) -1</f>
        <v>0.86588067898046694</v>
      </c>
      <c r="CQ18" s="64" cm="1">
        <f t="array" ref="CQ18">PRODUCT(1 + 預測IC!$C25:CP25) -1</f>
        <v>0.89197293519067467</v>
      </c>
      <c r="CR18" s="64" cm="1">
        <f t="array" ref="CR18">PRODUCT(1 + 預測IC!$C25:CQ25) -1</f>
        <v>0.83090579105751727</v>
      </c>
      <c r="CS18" s="64" cm="1">
        <f t="array" ref="CS18">PRODUCT(1 + 預測IC!$C25:CR25) -1</f>
        <v>0.83658814745105547</v>
      </c>
      <c r="CT18" s="64" cm="1">
        <f t="array" ref="CT18">PRODUCT(1 + 預測IC!$C25:CS25) -1</f>
        <v>0.88358984642415717</v>
      </c>
      <c r="CU18" s="64" cm="1">
        <f t="array" ref="CU18">PRODUCT(1 + 預測IC!$C25:CT25) -1</f>
        <v>0.9672059526983301</v>
      </c>
      <c r="CV18" s="64" cm="1">
        <f t="array" ref="CV18">PRODUCT(1 + 預測IC!$C25:CU25) -1</f>
        <v>0.90752297284093331</v>
      </c>
      <c r="CW18" s="64" cm="1">
        <f t="array" ref="CW18">PRODUCT(1 + 預測IC!$C25:CV25) -1</f>
        <v>0.90512335385454468</v>
      </c>
      <c r="CX18" s="64" cm="1">
        <f t="array" ref="CX18">PRODUCT(1 + 預測IC!$C25:CW25) -1</f>
        <v>0.90957440110152876</v>
      </c>
      <c r="CY18" s="64" cm="1">
        <f t="array" ref="CY18">PRODUCT(1 + 預測IC!$C25:CX25) -1</f>
        <v>0.78685723504233995</v>
      </c>
      <c r="CZ18" s="64" cm="1">
        <f t="array" ref="CZ18">PRODUCT(1 + 預測IC!$C25:CY25) -1</f>
        <v>0.80992516787144164</v>
      </c>
      <c r="DA18" s="64" cm="1">
        <f t="array" ref="DA18">PRODUCT(1 + 預測IC!$C25:CZ25) -1</f>
        <v>0.58282101623526672</v>
      </c>
      <c r="DB18" s="64" cm="1">
        <f t="array" ref="DB18">PRODUCT(1 + 預測IC!$C25:DA25) -1</f>
        <v>0.60132527488651344</v>
      </c>
      <c r="DC18" s="64" cm="1">
        <f t="array" ref="DC18">PRODUCT(1 + 預測IC!$C25:DB25) -1</f>
        <v>0.61147422419279152</v>
      </c>
      <c r="DD18" s="64" cm="1">
        <f t="array" ref="DD18">PRODUCT(1 + 預測IC!$C25:DC25) -1</f>
        <v>0.42243966588262949</v>
      </c>
      <c r="DE18" s="64" cm="1">
        <f t="array" ref="DE18">PRODUCT(1 + 預測IC!$C25:DD25) -1</f>
        <v>0.37121637307647259</v>
      </c>
      <c r="DF18" s="64" cm="1">
        <f t="array" ref="DF18">PRODUCT(1 + 預測IC!$C25:DE25) -1</f>
        <v>0.5616938276257708</v>
      </c>
      <c r="DG18" s="64" cm="1">
        <f t="array" ref="DG18">PRODUCT(1 + 預測IC!$C25:DF25) -1</f>
        <v>0.48182332962932128</v>
      </c>
      <c r="DH18" s="64" cm="1">
        <f t="array" ref="DH18">PRODUCT(1 + 預測IC!$C25:DG25) -1</f>
        <v>0.59552577817978314</v>
      </c>
      <c r="DI18" s="64" cm="1">
        <f t="array" ref="DI18">PRODUCT(1 + 預測IC!$C25:DH25) -1</f>
        <v>0.62027043996328524</v>
      </c>
      <c r="DJ18" s="64" cm="1">
        <f t="array" ref="DJ18">PRODUCT(1 + 預測IC!$C25:DI25) -1</f>
        <v>0.65789923395288952</v>
      </c>
      <c r="DK18" s="64" cm="1">
        <f t="array" ref="DK18">PRODUCT(1 + 預測IC!$C25:DJ25) -1</f>
        <v>0.62743885630809859</v>
      </c>
      <c r="DL18" s="64" cm="1">
        <f t="array" ref="DL18">PRODUCT(1 + 預測IC!$C25:DK25) -1</f>
        <v>0.72866394865424411</v>
      </c>
      <c r="DM18" s="64" cm="1">
        <f t="array" ref="DM18">PRODUCT(1 + 預測IC!$C25:DL25) -1</f>
        <v>0.76340716304992284</v>
      </c>
      <c r="DN18" s="64" cm="1">
        <f t="array" ref="DN18">PRODUCT(1 + 預測IC!$C25:DM25) -1</f>
        <v>0.78721129009524526</v>
      </c>
      <c r="DO18" s="64" cm="1">
        <f t="array" ref="DO18">PRODUCT(1 + 預測IC!$C25:DN25) -1</f>
        <v>0.73314419395664854</v>
      </c>
      <c r="DP18" s="64" cm="1">
        <f t="array" ref="DP18">PRODUCT(1 + 預測IC!$C25:DO25) -1</f>
        <v>0.7036411650845571</v>
      </c>
      <c r="DQ18" s="64" cm="1">
        <f t="array" ref="DQ18">PRODUCT(1 + 預測IC!$C25:DP25) -1</f>
        <v>0.666521339911188</v>
      </c>
      <c r="DR18" s="64" cm="1">
        <f t="array" ref="DR18">PRODUCT(1 + 預測IC!$C25:DQ25) -1</f>
        <v>0.80941825308633253</v>
      </c>
      <c r="DS18" s="64" cm="1">
        <f t="array" ref="DS18">PRODUCT(1 + 預測IC!$C25:DR25) -1</f>
        <v>0.86027510799998974</v>
      </c>
      <c r="DT18" s="64" cm="1">
        <f t="array" ref="DT18">PRODUCT(1 + 預測IC!$C25:DS25) -1</f>
        <v>0.85599059714061299</v>
      </c>
      <c r="DU18" s="64" cm="1">
        <f t="array" ref="DU18">PRODUCT(1 + 預測IC!$C25:DT25) -1</f>
        <v>0.9645125910761998</v>
      </c>
      <c r="DV18" s="64" cm="1">
        <f t="array" ref="DV18">PRODUCT(1 + 預測IC!$C25:DU25) -1</f>
        <v>1.0974294483812512</v>
      </c>
      <c r="DW18" s="64" cm="1">
        <f t="array" ref="DW18">PRODUCT(1 + 預測IC!$C25:DV25) -1</f>
        <v>1.1079601605760616</v>
      </c>
      <c r="DX18" s="64" cm="1">
        <f t="array" ref="DX18">PRODUCT(1 + 預測IC!$C25:DW25) -1</f>
        <v>1.1868319851241949</v>
      </c>
      <c r="DY18" s="64" cm="1">
        <f t="array" ref="DY18">PRODUCT(1 + 預測IC!$C25:DX25) -1</f>
        <v>1.3707686184169408</v>
      </c>
      <c r="DZ18" s="64" cm="1">
        <f t="array" ref="DZ18">PRODUCT(1 + 預測IC!$C25:DY25) -1</f>
        <v>1.2834475238077694</v>
      </c>
      <c r="EA18" s="64" cm="1">
        <f t="array" ref="EA18">PRODUCT(1 + 預測IC!$C25:DZ25) -1</f>
        <v>1.2905072649494538</v>
      </c>
      <c r="EB18" s="64" cm="1">
        <f t="array" ref="EB18">PRODUCT(1 + 預測IC!$C25:EA25) -1</f>
        <v>1.2860233033025419</v>
      </c>
      <c r="EC18" s="64" cm="1">
        <f t="array" ref="EC18">PRODUCT(1 + 預測IC!$C25:EB25) -1</f>
        <v>1.3465094307246845</v>
      </c>
      <c r="ED18" s="64" cm="1">
        <f t="array" ref="ED18">PRODUCT(1 + 預測IC!$C25:EC25) -1</f>
        <v>1.2884273650883467</v>
      </c>
      <c r="EE18" s="64" cm="1">
        <f t="array" ref="EE18">PRODUCT(1 + 預測IC!$C25:ED25) -1</f>
        <v>1.3664981882262612</v>
      </c>
      <c r="EF18" s="64" cm="1">
        <f t="array" ref="EF18">PRODUCT(1 + 預測IC!$C25:EE25) -1</f>
        <v>1.4163413115117764</v>
      </c>
      <c r="EG18" s="64" cm="1">
        <f t="array" ref="EG18">PRODUCT(1 + 預測IC!$C25:EF25) -1</f>
        <v>1.367344209826507</v>
      </c>
    </row>
    <row r="22" spans="1:138" s="1" customFormat="1" ht="16">
      <c r="C22" s="6" t="s">
        <v>169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144</v>
      </c>
      <c r="EH22" s="65"/>
    </row>
    <row r="23" spans="1:138" s="1" customFormat="1" ht="16">
      <c r="C23" s="6">
        <v>10</v>
      </c>
      <c r="D23" s="1">
        <v>4.686768274486397E-2</v>
      </c>
      <c r="E23" s="1">
        <v>6.8464078560415143E-2</v>
      </c>
      <c r="F23" s="1">
        <v>0.11977901415700631</v>
      </c>
      <c r="G23" s="1">
        <v>9.8707330970930762E-2</v>
      </c>
      <c r="H23" s="1">
        <v>0.1081531408374552</v>
      </c>
      <c r="I23" s="1">
        <v>0.1508508490052447</v>
      </c>
      <c r="J23" s="1">
        <v>0.16559300519835207</v>
      </c>
      <c r="K23" s="1">
        <v>0.13131510292121162</v>
      </c>
      <c r="L23" s="1">
        <v>0.15255484271855857</v>
      </c>
      <c r="M23" s="1">
        <v>0.15107980240017693</v>
      </c>
      <c r="N23" s="1">
        <v>0.1506234257242407</v>
      </c>
      <c r="O23" s="1">
        <v>0.23039268074628816</v>
      </c>
      <c r="P23" s="1">
        <v>0.20917980160229477</v>
      </c>
      <c r="Q23" s="1">
        <v>0.20873715699453643</v>
      </c>
      <c r="R23" s="1">
        <v>0.16610513592518461</v>
      </c>
      <c r="S23" s="1">
        <v>0.17387475893888316</v>
      </c>
      <c r="T23" s="1">
        <v>0.15453823053205151</v>
      </c>
      <c r="U23" s="1">
        <v>0.14560233545570145</v>
      </c>
      <c r="V23" s="1">
        <v>0.16874443553470453</v>
      </c>
      <c r="W23" s="1">
        <v>0.17599587540369255</v>
      </c>
      <c r="X23" s="1">
        <v>0.25130596328976584</v>
      </c>
      <c r="Y23" s="1">
        <v>0.21908530445870533</v>
      </c>
      <c r="Z23" s="1">
        <v>0.23790843068710554</v>
      </c>
      <c r="AA23" s="1">
        <v>0.24430335126943215</v>
      </c>
      <c r="AB23" s="1">
        <v>0.22947518728575655</v>
      </c>
      <c r="AC23" s="1">
        <v>0.2249120904344688</v>
      </c>
      <c r="AD23" s="1">
        <v>0.23124167637891846</v>
      </c>
      <c r="AE23" s="1">
        <v>0.24506950389360105</v>
      </c>
      <c r="AF23" s="1">
        <v>0.17246083161408654</v>
      </c>
      <c r="AG23" s="1">
        <v>0.11831482126074522</v>
      </c>
      <c r="AH23" s="1">
        <v>0.13182308908989837</v>
      </c>
      <c r="AI23" s="1">
        <v>0.15456521589604089</v>
      </c>
      <c r="AJ23" s="1">
        <v>0.17650711032842259</v>
      </c>
      <c r="AK23" s="1">
        <v>0.20128701214713463</v>
      </c>
      <c r="AL23" s="1">
        <v>0.25817355201461067</v>
      </c>
      <c r="AM23" s="1">
        <v>0.30108434263830608</v>
      </c>
      <c r="AN23" s="1">
        <v>0.32737446386133295</v>
      </c>
      <c r="AO23" s="1">
        <v>0.2515371937325237</v>
      </c>
      <c r="AP23" s="1">
        <v>0.26618523901295355</v>
      </c>
      <c r="AQ23" s="1">
        <v>0.26031781698289325</v>
      </c>
      <c r="AR23" s="1">
        <v>0.25189594131076487</v>
      </c>
      <c r="AS23" s="1">
        <v>0.24250117824458761</v>
      </c>
      <c r="AT23" s="1">
        <v>0.23524097940691102</v>
      </c>
      <c r="AU23" s="1">
        <v>0.20769923065173379</v>
      </c>
      <c r="AV23" s="1">
        <v>0.28427975535022298</v>
      </c>
      <c r="AW23" s="1">
        <v>0.25629543404228938</v>
      </c>
      <c r="AX23" s="1">
        <v>0.2533341606890962</v>
      </c>
      <c r="AY23" s="1">
        <v>0.24248268668881745</v>
      </c>
      <c r="AZ23" s="1">
        <v>0.23289798977291265</v>
      </c>
      <c r="BA23" s="1">
        <v>0.31496436890430135</v>
      </c>
      <c r="BB23" s="1">
        <v>0.4086899747661854</v>
      </c>
      <c r="BC23" s="1">
        <v>0.41683980258198816</v>
      </c>
      <c r="BD23" s="1">
        <v>0.43523828406718956</v>
      </c>
      <c r="BE23" s="1">
        <v>0.44703821064174165</v>
      </c>
      <c r="BF23" s="1">
        <v>0.38105537369868325</v>
      </c>
      <c r="BG23" s="1">
        <v>0.34846100303168015</v>
      </c>
      <c r="BH23" s="1">
        <v>0.36195108599857551</v>
      </c>
      <c r="BI23" s="1">
        <v>0.32800834315698002</v>
      </c>
      <c r="BJ23" s="1">
        <v>0.35568106406378641</v>
      </c>
      <c r="BK23" s="1">
        <v>0.35676017713472019</v>
      </c>
      <c r="BL23" s="1">
        <v>0.32952233196665759</v>
      </c>
      <c r="BM23" s="1">
        <v>0.34422733916776971</v>
      </c>
      <c r="BN23" s="1">
        <v>0.3036694348374791</v>
      </c>
      <c r="BO23" s="1">
        <v>0.32909429780376231</v>
      </c>
      <c r="BP23" s="1">
        <v>0.35157429173514299</v>
      </c>
      <c r="BQ23" s="1">
        <v>0.31586305346495958</v>
      </c>
      <c r="BR23" s="1">
        <v>0.32694611865743184</v>
      </c>
      <c r="BS23" s="1">
        <v>0.35329074671549532</v>
      </c>
      <c r="BT23" s="1">
        <v>0.38788218617812609</v>
      </c>
      <c r="BU23" s="1">
        <v>0.35833681525206851</v>
      </c>
      <c r="BV23" s="1">
        <v>0.29302340415537786</v>
      </c>
      <c r="BW23" s="1">
        <v>0.33446897577238355</v>
      </c>
      <c r="BX23" s="1">
        <v>0.40851540247931606</v>
      </c>
      <c r="BY23" s="1">
        <v>0.43102932626084933</v>
      </c>
      <c r="BZ23" s="1">
        <v>0.36546530635010588</v>
      </c>
      <c r="CA23" s="1">
        <v>0.37062286570121006</v>
      </c>
      <c r="CB23" s="1">
        <v>0.3906073112785764</v>
      </c>
      <c r="CC23" s="1">
        <v>0.49139279443586892</v>
      </c>
      <c r="CD23" s="1">
        <v>0.58917836806437363</v>
      </c>
      <c r="CE23" s="1">
        <v>0.65951300069341356</v>
      </c>
      <c r="CF23" s="1">
        <v>0.91508964078189847</v>
      </c>
      <c r="CG23" s="1">
        <v>0.92289917579604897</v>
      </c>
      <c r="CH23" s="1">
        <v>0.92349267573721794</v>
      </c>
      <c r="CI23" s="1">
        <v>0.90530986862424312</v>
      </c>
      <c r="CJ23" s="1">
        <v>0.85893177216940564</v>
      </c>
      <c r="CK23" s="1">
        <v>0.86556533333932451</v>
      </c>
      <c r="CL23" s="1">
        <v>0.92995486345249279</v>
      </c>
      <c r="CM23" s="1">
        <v>0.99390200803040485</v>
      </c>
      <c r="CN23" s="1">
        <v>0.85092250917026191</v>
      </c>
      <c r="CO23" s="1">
        <v>0.80778205684087334</v>
      </c>
      <c r="CP23" s="1">
        <v>0.93666289429969418</v>
      </c>
      <c r="CQ23" s="1">
        <v>0.91188104953887672</v>
      </c>
      <c r="CR23" s="1">
        <v>1.0456682655090752</v>
      </c>
      <c r="CS23" s="1">
        <v>1.144160288950665</v>
      </c>
      <c r="CT23" s="1">
        <v>1.1130492726739432</v>
      </c>
      <c r="CU23" s="1">
        <v>1.1150812784856687</v>
      </c>
      <c r="CV23" s="1">
        <v>1.1446239444677424</v>
      </c>
      <c r="CW23" s="1">
        <v>1.1538957014196773</v>
      </c>
      <c r="CX23" s="1">
        <v>1.2179906607636202</v>
      </c>
      <c r="CY23" s="1">
        <v>1.3212324889200944</v>
      </c>
      <c r="CZ23" s="1">
        <v>1.4281785815384382</v>
      </c>
      <c r="DA23" s="1">
        <v>1.6432222680682083</v>
      </c>
      <c r="DB23" s="1">
        <v>1.7409650892161861</v>
      </c>
      <c r="DC23" s="1">
        <v>1.9848611418123681</v>
      </c>
      <c r="DD23" s="1">
        <v>2.0147908912024781</v>
      </c>
      <c r="DE23" s="1">
        <v>1.8969366937285388</v>
      </c>
      <c r="DF23" s="1">
        <v>1.7890676776074614</v>
      </c>
      <c r="DG23" s="1">
        <v>1.9438211451040939</v>
      </c>
      <c r="DH23" s="1">
        <v>1.8071989421843013</v>
      </c>
      <c r="DI23" s="1">
        <v>1.7924270577460524</v>
      </c>
      <c r="DJ23" s="1">
        <v>1.6403984683732729</v>
      </c>
      <c r="DK23" s="1">
        <v>1.6616869404562777</v>
      </c>
      <c r="DL23" s="1">
        <v>1.5767040692604231</v>
      </c>
      <c r="DM23" s="1">
        <v>1.5846637954584573</v>
      </c>
      <c r="DN23" s="1">
        <v>1.534940825352658</v>
      </c>
      <c r="DO23" s="1">
        <v>1.5904984430305178</v>
      </c>
      <c r="DP23" s="1">
        <v>1.6696561539682033</v>
      </c>
      <c r="DQ23" s="1">
        <v>1.7923363262229026</v>
      </c>
      <c r="DR23" s="1">
        <v>1.6977818974781536</v>
      </c>
      <c r="DS23" s="1">
        <v>1.743819490119519</v>
      </c>
      <c r="DT23" s="1">
        <v>1.9349280323859457</v>
      </c>
      <c r="DU23" s="1">
        <v>2.0086464277815534</v>
      </c>
      <c r="DV23" s="1">
        <v>1.8364607408385023</v>
      </c>
      <c r="DW23" s="1">
        <v>1.920249963582545</v>
      </c>
      <c r="DX23" s="1">
        <v>2.0515672798040585</v>
      </c>
      <c r="DY23" s="1">
        <v>1.9001509318734984</v>
      </c>
      <c r="DZ23" s="1">
        <v>1.9501644637339521</v>
      </c>
      <c r="EA23" s="1">
        <v>1.9684129895319487</v>
      </c>
      <c r="EB23" s="1">
        <v>2.1200918656906866</v>
      </c>
      <c r="EC23" s="1">
        <v>2.1381446253712562</v>
      </c>
      <c r="ED23" s="1">
        <v>2.1073707824892782</v>
      </c>
      <c r="EE23" s="1">
        <v>2.0857513076703191</v>
      </c>
      <c r="EF23" s="1">
        <v>2.0039576305217817</v>
      </c>
      <c r="EG23" s="1">
        <v>2.1218129457338386</v>
      </c>
      <c r="EH23" s="65"/>
    </row>
    <row r="24" spans="1:138" s="1" customFormat="1" ht="16">
      <c r="C24" s="6">
        <v>20</v>
      </c>
      <c r="D24" s="1">
        <v>5.4209042671596208E-2</v>
      </c>
      <c r="E24" s="1">
        <v>8.3739642131258618E-2</v>
      </c>
      <c r="F24" s="1">
        <v>0.15945138021178185</v>
      </c>
      <c r="G24" s="1">
        <v>0.11896083837366711</v>
      </c>
      <c r="H24" s="1">
        <v>0.10227939284597731</v>
      </c>
      <c r="I24" s="1">
        <v>0.13533634589627996</v>
      </c>
      <c r="J24" s="1">
        <v>0.16840936909073578</v>
      </c>
      <c r="K24" s="1">
        <v>0.11711710087764571</v>
      </c>
      <c r="L24" s="1">
        <v>0.11558965903967455</v>
      </c>
      <c r="M24" s="1">
        <v>8.067732510633463E-2</v>
      </c>
      <c r="N24" s="1">
        <v>0.1084367939434614</v>
      </c>
      <c r="O24" s="1">
        <v>0.21906645298829464</v>
      </c>
      <c r="P24" s="1">
        <v>0.17056066237809886</v>
      </c>
      <c r="Q24" s="1">
        <v>0.19021628126560475</v>
      </c>
      <c r="R24" s="1">
        <v>0.10306344570632175</v>
      </c>
      <c r="S24" s="1">
        <v>0.11868276286209944</v>
      </c>
      <c r="T24" s="1">
        <v>0.10498597892653749</v>
      </c>
      <c r="U24" s="1">
        <v>8.1081156391127784E-2</v>
      </c>
      <c r="V24" s="1">
        <v>0.14157572334122714</v>
      </c>
      <c r="W24" s="1">
        <v>0.11863652630373256</v>
      </c>
      <c r="X24" s="1">
        <v>0.20306736528031988</v>
      </c>
      <c r="Y24" s="1">
        <v>0.13897167191206194</v>
      </c>
      <c r="Z24" s="1">
        <v>0.15482728808012247</v>
      </c>
      <c r="AA24" s="1">
        <v>0.17859797716955561</v>
      </c>
      <c r="AB24" s="1">
        <v>0.15922109634198889</v>
      </c>
      <c r="AC24" s="1">
        <v>0.14063171244305872</v>
      </c>
      <c r="AD24" s="1">
        <v>0.14979262737089694</v>
      </c>
      <c r="AE24" s="1">
        <v>0.17456340305237239</v>
      </c>
      <c r="AF24" s="1">
        <v>9.7371822051523171E-2</v>
      </c>
      <c r="AG24" s="1">
        <v>4.037920433388531E-2</v>
      </c>
      <c r="AH24" s="1">
        <v>4.3794051588321725E-2</v>
      </c>
      <c r="AI24" s="1">
        <v>7.7065524463483026E-2</v>
      </c>
      <c r="AJ24" s="1">
        <v>9.0063066613003562E-2</v>
      </c>
      <c r="AK24" s="1">
        <v>0.11174041397008905</v>
      </c>
      <c r="AL24" s="1">
        <v>0.18510184347522984</v>
      </c>
      <c r="AM24" s="1">
        <v>0.21182631382206041</v>
      </c>
      <c r="AN24" s="1">
        <v>0.20906063112047901</v>
      </c>
      <c r="AO24" s="1">
        <v>0.12292084038757101</v>
      </c>
      <c r="AP24" s="1">
        <v>0.1263125205173139</v>
      </c>
      <c r="AQ24" s="1">
        <v>0.11889238499929422</v>
      </c>
      <c r="AR24" s="1">
        <v>0.10649170689151677</v>
      </c>
      <c r="AS24" s="1">
        <v>0.11672756566693399</v>
      </c>
      <c r="AT24" s="1">
        <v>0.11456490471892367</v>
      </c>
      <c r="AU24" s="1">
        <v>0.11644847810303571</v>
      </c>
      <c r="AV24" s="1">
        <v>0.20217423052459016</v>
      </c>
      <c r="AW24" s="1">
        <v>0.18899971105109059</v>
      </c>
      <c r="AX24" s="1">
        <v>0.21945713855000215</v>
      </c>
      <c r="AY24" s="1">
        <v>0.20496880696144526</v>
      </c>
      <c r="AZ24" s="1">
        <v>0.17644405187038403</v>
      </c>
      <c r="BA24" s="1">
        <v>0.24167761097085383</v>
      </c>
      <c r="BB24" s="1">
        <v>0.34079964240523375</v>
      </c>
      <c r="BC24" s="1">
        <v>0.37572257318170399</v>
      </c>
      <c r="BD24" s="1">
        <v>0.39364353368800997</v>
      </c>
      <c r="BE24" s="1">
        <v>0.40892109056047854</v>
      </c>
      <c r="BF24" s="1">
        <v>0.34404273067083957</v>
      </c>
      <c r="BG24" s="1">
        <v>0.30869051344436249</v>
      </c>
      <c r="BH24" s="1">
        <v>0.31959329998270491</v>
      </c>
      <c r="BI24" s="1">
        <v>0.27480068905631305</v>
      </c>
      <c r="BJ24" s="1">
        <v>0.30773181197948452</v>
      </c>
      <c r="BK24" s="1">
        <v>0.33081865131128563</v>
      </c>
      <c r="BL24" s="1">
        <v>0.29738080349092932</v>
      </c>
      <c r="BM24" s="1">
        <v>0.31505006405401326</v>
      </c>
      <c r="BN24" s="1">
        <v>0.27927561650736421</v>
      </c>
      <c r="BO24" s="1">
        <v>0.27402861994449701</v>
      </c>
      <c r="BP24" s="1">
        <v>0.27836887172801106</v>
      </c>
      <c r="BQ24" s="1">
        <v>0.26820437365297622</v>
      </c>
      <c r="BR24" s="1">
        <v>0.31839468919809044</v>
      </c>
      <c r="BS24" s="1">
        <v>0.32533578436560284</v>
      </c>
      <c r="BT24" s="1">
        <v>0.35785724403835228</v>
      </c>
      <c r="BU24" s="1">
        <v>0.31214121898194636</v>
      </c>
      <c r="BV24" s="1">
        <v>0.21417915940264276</v>
      </c>
      <c r="BW24" s="1">
        <v>0.25235384876739353</v>
      </c>
      <c r="BX24" s="1">
        <v>0.36034451482474683</v>
      </c>
      <c r="BY24" s="1">
        <v>0.36235433511861914</v>
      </c>
      <c r="BZ24" s="1">
        <v>0.32035600309786538</v>
      </c>
      <c r="CA24" s="1">
        <v>0.30218903092676541</v>
      </c>
      <c r="CB24" s="1">
        <v>0.33345807134209271</v>
      </c>
      <c r="CC24" s="1">
        <v>0.49404238880546103</v>
      </c>
      <c r="CD24" s="1">
        <v>0.6735040320362804</v>
      </c>
      <c r="CE24" s="1">
        <v>0.76597525119453524</v>
      </c>
      <c r="CF24" s="1">
        <v>1.0906106608557766</v>
      </c>
      <c r="CG24" s="1">
        <v>1.1287202789049391</v>
      </c>
      <c r="CH24" s="1">
        <v>1.1448139761503069</v>
      </c>
      <c r="CI24" s="1">
        <v>1.0897828059767973</v>
      </c>
      <c r="CJ24" s="1">
        <v>1.0732828538686388</v>
      </c>
      <c r="CK24" s="1">
        <v>1.1165757513441106</v>
      </c>
      <c r="CL24" s="1">
        <v>1.1840090018761171</v>
      </c>
      <c r="CM24" s="1">
        <v>1.2801062524464846</v>
      </c>
      <c r="CN24" s="1">
        <v>1.0487844142320828</v>
      </c>
      <c r="CO24" s="1">
        <v>0.98705244014421178</v>
      </c>
      <c r="CP24" s="1">
        <v>1.1570770447552889</v>
      </c>
      <c r="CQ24" s="1">
        <v>1.0829220441435412</v>
      </c>
      <c r="CR24" s="1">
        <v>1.2227129936106493</v>
      </c>
      <c r="CS24" s="1">
        <v>1.365812698096379</v>
      </c>
      <c r="CT24" s="1">
        <v>1.3751521001624596</v>
      </c>
      <c r="CU24" s="1">
        <v>1.3559827242161733</v>
      </c>
      <c r="CV24" s="1">
        <v>1.3819720747854167</v>
      </c>
      <c r="CW24" s="1">
        <v>1.439899213223133</v>
      </c>
      <c r="CX24" s="1">
        <v>1.4654131488519608</v>
      </c>
      <c r="CY24" s="1">
        <v>1.4777088928808864</v>
      </c>
      <c r="CZ24" s="1">
        <v>1.6386951163230674</v>
      </c>
      <c r="DA24" s="1">
        <v>1.8769434404614747</v>
      </c>
      <c r="DB24" s="1">
        <v>2.0191968827280244</v>
      </c>
      <c r="DC24" s="1">
        <v>2.3399422336415121</v>
      </c>
      <c r="DD24" s="1">
        <v>2.4185678093163285</v>
      </c>
      <c r="DE24" s="1">
        <v>2.242830678125058</v>
      </c>
      <c r="DF24" s="1">
        <v>2.1048022528975938</v>
      </c>
      <c r="DG24" s="1">
        <v>2.3628802065721897</v>
      </c>
      <c r="DH24" s="1">
        <v>2.2023730160341981</v>
      </c>
      <c r="DI24" s="1">
        <v>2.2439790309865462</v>
      </c>
      <c r="DJ24" s="1">
        <v>2.0929346414289869</v>
      </c>
      <c r="DK24" s="1">
        <v>2.0938083335084392</v>
      </c>
      <c r="DL24" s="1">
        <v>2.0338298041017553</v>
      </c>
      <c r="DM24" s="1">
        <v>2.1161131522942056</v>
      </c>
      <c r="DN24" s="1">
        <v>2.1177697485027576</v>
      </c>
      <c r="DO24" s="1">
        <v>2.1705699115596495</v>
      </c>
      <c r="DP24" s="1">
        <v>2.2906186747048833</v>
      </c>
      <c r="DQ24" s="1">
        <v>2.4386871389819316</v>
      </c>
      <c r="DR24" s="1">
        <v>2.3218871020793923</v>
      </c>
      <c r="DS24" s="1">
        <v>2.3722753131665049</v>
      </c>
      <c r="DT24" s="1">
        <v>2.6036027858866153</v>
      </c>
      <c r="DU24" s="1">
        <v>2.7867784556381672</v>
      </c>
      <c r="DV24" s="1">
        <v>2.6617914421575013</v>
      </c>
      <c r="DW24" s="1">
        <v>2.8201814209469869</v>
      </c>
      <c r="DX24" s="1">
        <v>2.9807386252515555</v>
      </c>
      <c r="DY24" s="1">
        <v>2.7234160395251972</v>
      </c>
      <c r="DZ24" s="1">
        <v>2.8548754798279212</v>
      </c>
      <c r="EA24" s="1">
        <v>2.9254278894282661</v>
      </c>
      <c r="EB24" s="1">
        <v>3.1692702772694448</v>
      </c>
      <c r="EC24" s="1">
        <v>3.1701091603776108</v>
      </c>
      <c r="ED24" s="1">
        <v>3.0918111757892248</v>
      </c>
      <c r="EE24" s="1">
        <v>3.1208005123165474</v>
      </c>
      <c r="EF24" s="1">
        <v>2.9508818416211375</v>
      </c>
      <c r="EG24" s="1">
        <v>3.216741250892623</v>
      </c>
      <c r="EH24" s="65"/>
    </row>
    <row r="25" spans="1:138" s="1" customFormat="1" ht="16">
      <c r="C25" s="6">
        <v>50</v>
      </c>
      <c r="D25" s="1">
        <v>-3.037156627906501E-2</v>
      </c>
      <c r="E25" s="1">
        <v>5.0444356867517248E-2</v>
      </c>
      <c r="F25" s="1">
        <v>0.15419490576620509</v>
      </c>
      <c r="G25" s="1">
        <v>9.8269380983338595E-2</v>
      </c>
      <c r="H25" s="1">
        <v>5.3218462683173762E-2</v>
      </c>
      <c r="I25" s="1">
        <v>0.1159774405717704</v>
      </c>
      <c r="J25" s="1">
        <v>0.20203599897571323</v>
      </c>
      <c r="K25" s="1">
        <v>7.5708762772620508E-2</v>
      </c>
      <c r="L25" s="1">
        <v>8.9102586321855526E-2</v>
      </c>
      <c r="M25" s="1">
        <v>9.4381681315399035E-2</v>
      </c>
      <c r="N25" s="1">
        <v>1.1261704006021445E-2</v>
      </c>
      <c r="O25" s="1">
        <v>0.21840104297927887</v>
      </c>
      <c r="P25" s="1">
        <v>0.17010081348125228</v>
      </c>
      <c r="Q25" s="1">
        <v>0.22600795453650746</v>
      </c>
      <c r="R25" s="1">
        <v>0.15460776929505626</v>
      </c>
      <c r="S25" s="1">
        <v>0.13826799533121648</v>
      </c>
      <c r="T25" s="1">
        <v>0.18213012755059022</v>
      </c>
      <c r="U25" s="1">
        <v>0.16160748412190862</v>
      </c>
      <c r="V25" s="1">
        <v>0.28960794976010473</v>
      </c>
      <c r="W25" s="1">
        <v>0.24011854022101287</v>
      </c>
      <c r="X25" s="1">
        <v>0.38417789079904852</v>
      </c>
      <c r="Y25" s="1">
        <v>0.31001127452247701</v>
      </c>
      <c r="Z25" s="1">
        <v>0.288051996534189</v>
      </c>
      <c r="AA25" s="1">
        <v>0.31542593659623486</v>
      </c>
      <c r="AB25" s="1">
        <v>0.3119697867971607</v>
      </c>
      <c r="AC25" s="1">
        <v>0.21359447071409199</v>
      </c>
      <c r="AD25" s="1">
        <v>0.17804575982050985</v>
      </c>
      <c r="AE25" s="1">
        <v>0.22437581645765281</v>
      </c>
      <c r="AF25" s="1">
        <v>0.21945516413512123</v>
      </c>
      <c r="AG25" s="1">
        <v>0.11663435187019755</v>
      </c>
      <c r="AH25" s="1">
        <v>0.12376986983766614</v>
      </c>
      <c r="AI25" s="1">
        <v>0.1950285440165902</v>
      </c>
      <c r="AJ25" s="1">
        <v>0.2811577776260068</v>
      </c>
      <c r="AK25" s="1">
        <v>0.40986728907047043</v>
      </c>
      <c r="AL25" s="1">
        <v>0.50337919886618865</v>
      </c>
      <c r="AM25" s="1">
        <v>0.5312812286376547</v>
      </c>
      <c r="AN25" s="1">
        <v>0.53610400862066099</v>
      </c>
      <c r="AO25" s="1">
        <v>0.36663535852190132</v>
      </c>
      <c r="AP25" s="1">
        <v>0.35297084888118158</v>
      </c>
      <c r="AQ25" s="1">
        <v>0.36251582623527945</v>
      </c>
      <c r="AR25" s="1">
        <v>0.35144072982862751</v>
      </c>
      <c r="AS25" s="1">
        <v>0.37599752015085675</v>
      </c>
      <c r="AT25" s="1">
        <v>0.38873569722502532</v>
      </c>
      <c r="AU25" s="1">
        <v>0.36317264740976429</v>
      </c>
      <c r="AV25" s="1">
        <v>0.55108937214256293</v>
      </c>
      <c r="AW25" s="1">
        <v>0.56415955430876275</v>
      </c>
      <c r="AX25" s="1">
        <v>0.63255915720785394</v>
      </c>
      <c r="AY25" s="1">
        <v>0.63390044829764358</v>
      </c>
      <c r="AZ25" s="1">
        <v>0.53776276498809494</v>
      </c>
      <c r="BA25" s="1">
        <v>0.57717397541872861</v>
      </c>
      <c r="BB25" s="1">
        <v>0.72911469783161764</v>
      </c>
      <c r="BC25" s="1">
        <v>0.90530861565716436</v>
      </c>
      <c r="BD25" s="1">
        <v>0.88800093790002377</v>
      </c>
      <c r="BE25" s="1">
        <v>0.99012225290239431</v>
      </c>
      <c r="BF25" s="1">
        <v>0.94212643771864779</v>
      </c>
      <c r="BG25" s="1">
        <v>0.9319440865144053</v>
      </c>
      <c r="BH25" s="1">
        <v>0.95222294607747981</v>
      </c>
      <c r="BI25" s="1">
        <v>0.76920188042799742</v>
      </c>
      <c r="BJ25" s="1">
        <v>0.82629425669893908</v>
      </c>
      <c r="BK25" s="1">
        <v>0.85050046997375661</v>
      </c>
      <c r="BL25" s="1">
        <v>0.9120062609453552</v>
      </c>
      <c r="BM25" s="1">
        <v>0.93221967471788947</v>
      </c>
      <c r="BN25" s="1">
        <v>0.8909183890094472</v>
      </c>
      <c r="BO25" s="1">
        <v>0.80512419520951606</v>
      </c>
      <c r="BP25" s="1">
        <v>0.83202700620934333</v>
      </c>
      <c r="BQ25" s="1">
        <v>0.924237108549953</v>
      </c>
      <c r="BR25" s="1">
        <v>1.0157560042379115</v>
      </c>
      <c r="BS25" s="1">
        <v>0.94411358782402099</v>
      </c>
      <c r="BT25" s="1">
        <v>1.077405233222497</v>
      </c>
      <c r="BU25" s="1">
        <v>1.109164454654092</v>
      </c>
      <c r="BV25" s="1">
        <v>0.87471088481679637</v>
      </c>
      <c r="BW25" s="1">
        <v>0.95210361603102678</v>
      </c>
      <c r="BX25" s="1">
        <v>1.1832483829459814</v>
      </c>
      <c r="BY25" s="1">
        <v>1.182577832646631</v>
      </c>
      <c r="BZ25" s="1">
        <v>1.0070990799857946</v>
      </c>
      <c r="CA25" s="1">
        <v>1.1094315151346512</v>
      </c>
      <c r="CB25" s="1">
        <v>1.1800028802660334</v>
      </c>
      <c r="CC25" s="1">
        <v>1.5385381468521873</v>
      </c>
      <c r="CD25" s="1">
        <v>1.8446760957946635</v>
      </c>
      <c r="CE25" s="1">
        <v>1.9809982111051676</v>
      </c>
      <c r="CF25" s="1">
        <v>2.489423262718037</v>
      </c>
      <c r="CG25" s="1">
        <v>2.4185523193177478</v>
      </c>
      <c r="CH25" s="1">
        <v>2.8934804315432583</v>
      </c>
      <c r="CI25" s="1">
        <v>2.909263488087372</v>
      </c>
      <c r="CJ25" s="1">
        <v>2.8942935259671638</v>
      </c>
      <c r="CK25" s="1">
        <v>2.9724396318573638</v>
      </c>
      <c r="CL25" s="1">
        <v>2.9705969777191483</v>
      </c>
      <c r="CM25" s="1">
        <v>3.4869050867735911</v>
      </c>
      <c r="CN25" s="1">
        <v>2.9930360520463957</v>
      </c>
      <c r="CO25" s="1">
        <v>2.9155649738386979</v>
      </c>
      <c r="CP25" s="1">
        <v>3.5939332928079892</v>
      </c>
      <c r="CQ25" s="1">
        <v>3.1093664767447695</v>
      </c>
      <c r="CR25" s="1">
        <v>3.4362120950937793</v>
      </c>
      <c r="CS25" s="1">
        <v>3.7140993281193797</v>
      </c>
      <c r="CT25" s="1">
        <v>3.6961097907706648</v>
      </c>
      <c r="CU25" s="1">
        <v>3.6064113862216294</v>
      </c>
      <c r="CV25" s="1">
        <v>3.9484402678369648</v>
      </c>
      <c r="CW25" s="1">
        <v>4.1434060130837418</v>
      </c>
      <c r="CX25" s="1">
        <v>4.1857568278670101</v>
      </c>
      <c r="CY25" s="1">
        <v>4.3114816464836005</v>
      </c>
      <c r="CZ25" s="1">
        <v>4.5777873507415832</v>
      </c>
      <c r="DA25" s="1">
        <v>5.3373260710137886</v>
      </c>
      <c r="DB25" s="1">
        <v>5.7517449097716682</v>
      </c>
      <c r="DC25" s="1">
        <v>6.4580276677443846</v>
      </c>
      <c r="DD25" s="1">
        <v>6.5680616291925187</v>
      </c>
      <c r="DE25" s="1">
        <v>6.16014335902622</v>
      </c>
      <c r="DF25" s="1">
        <v>5.9377660103552987</v>
      </c>
      <c r="DG25" s="1">
        <v>7.3361618269609306</v>
      </c>
      <c r="DH25" s="1">
        <v>6.9561712635591064</v>
      </c>
      <c r="DI25" s="1">
        <v>6.9941606864193311</v>
      </c>
      <c r="DJ25" s="1">
        <v>6.5689353132143626</v>
      </c>
      <c r="DK25" s="1">
        <v>6.5766838159721051</v>
      </c>
      <c r="DL25" s="1">
        <v>5.9582631428116528</v>
      </c>
      <c r="DM25" s="1">
        <v>5.893730941535547</v>
      </c>
      <c r="DN25" s="1">
        <v>5.8860020368982537</v>
      </c>
      <c r="DO25" s="1">
        <v>6.0946398643755737</v>
      </c>
      <c r="DP25" s="1">
        <v>6.82249450080554</v>
      </c>
      <c r="DQ25" s="1">
        <v>6.8507951772408164</v>
      </c>
      <c r="DR25" s="1">
        <v>6.4109992369879585</v>
      </c>
      <c r="DS25" s="1">
        <v>6.4687636910678519</v>
      </c>
      <c r="DT25" s="1">
        <v>6.8874014885685808</v>
      </c>
      <c r="DU25" s="1">
        <v>7.8155318453850828</v>
      </c>
      <c r="DV25" s="1">
        <v>7.2090649237475919</v>
      </c>
      <c r="DW25" s="1">
        <v>7.3685912217889893</v>
      </c>
      <c r="DX25" s="1">
        <v>7.383732593459456</v>
      </c>
      <c r="DY25" s="1">
        <v>6.5272402445149673</v>
      </c>
      <c r="DZ25" s="1">
        <v>6.8132533938649384</v>
      </c>
      <c r="EA25" s="1">
        <v>7.0869594724410998</v>
      </c>
      <c r="EB25" s="1">
        <v>7.9565136973141222</v>
      </c>
      <c r="EC25" s="1">
        <v>7.7316199319636443</v>
      </c>
      <c r="ED25" s="1">
        <v>7.5631742382295144</v>
      </c>
      <c r="EE25" s="1">
        <v>7.2754748088496122</v>
      </c>
      <c r="EF25" s="1">
        <v>7.3036052457073151</v>
      </c>
      <c r="EG25" s="1">
        <v>7.8568939495434531</v>
      </c>
      <c r="EH25" s="65"/>
    </row>
    <row r="26" spans="1:138" s="1" customFormat="1" ht="16">
      <c r="C26" s="6">
        <v>100</v>
      </c>
      <c r="D26" s="1">
        <v>-9.650314199451604E-2</v>
      </c>
      <c r="E26" s="1">
        <v>-8.2093696582953402E-2</v>
      </c>
      <c r="F26" s="1">
        <v>-2.1476552903661683E-2</v>
      </c>
      <c r="G26" s="1">
        <v>-0.12770730243987938</v>
      </c>
      <c r="H26" s="1">
        <v>-0.1673286271123271</v>
      </c>
      <c r="I26" s="1">
        <v>-6.8370877187264423E-2</v>
      </c>
      <c r="J26" s="1">
        <v>4.9693308737068786E-2</v>
      </c>
      <c r="K26" s="1">
        <v>-1.8037826719474515E-2</v>
      </c>
      <c r="L26" s="1">
        <v>-2.2172247245531018E-2</v>
      </c>
      <c r="M26" s="1">
        <v>9.6643626853636366E-3</v>
      </c>
      <c r="N26" s="1">
        <v>-0.18064934255710519</v>
      </c>
      <c r="O26" s="1">
        <v>8.9989829762600948E-2</v>
      </c>
      <c r="P26" s="1">
        <v>3.9737491000165548E-2</v>
      </c>
      <c r="Q26" s="1">
        <v>9.4826196931536488E-2</v>
      </c>
      <c r="R26" s="1">
        <v>-1.506736531906816E-2</v>
      </c>
      <c r="S26" s="1">
        <v>1.4356106918789191E-3</v>
      </c>
      <c r="T26" s="1">
        <v>-4.1660103056891051E-2</v>
      </c>
      <c r="U26" s="1">
        <v>-8.8943321529678876E-2</v>
      </c>
      <c r="V26" s="1">
        <v>3.5842345789421248E-2</v>
      </c>
      <c r="W26" s="1">
        <v>-5.2909539885297341E-2</v>
      </c>
      <c r="X26" s="1">
        <v>4.8367157161390617E-2</v>
      </c>
      <c r="Y26" s="1">
        <v>-3.3863001572128182E-2</v>
      </c>
      <c r="Z26" s="1">
        <v>-5.723252089139319E-2</v>
      </c>
      <c r="AA26" s="1">
        <v>-7.9535023100420821E-2</v>
      </c>
      <c r="AB26" s="1">
        <v>-3.6654127617224863E-2</v>
      </c>
      <c r="AC26" s="1">
        <v>-0.10793782234155302</v>
      </c>
      <c r="AD26" s="1">
        <v>-0.14366948845226213</v>
      </c>
      <c r="AE26" s="1">
        <v>-0.10968131844459583</v>
      </c>
      <c r="AF26" s="1">
        <v>-6.7581285258120127E-2</v>
      </c>
      <c r="AG26" s="1">
        <v>-0.11398965272227513</v>
      </c>
      <c r="AH26" s="1">
        <v>-0.12262409875299807</v>
      </c>
      <c r="AI26" s="1">
        <v>-0.13534665201333795</v>
      </c>
      <c r="AJ26" s="1">
        <v>-9.1375181918762483E-2</v>
      </c>
      <c r="AK26" s="1">
        <v>-8.757310076218594E-2</v>
      </c>
      <c r="AL26" s="1">
        <v>-3.5112591098085733E-2</v>
      </c>
      <c r="AM26" s="1">
        <v>-4.1752713815806475E-2</v>
      </c>
      <c r="AN26" s="1">
        <v>-3.9889199344983695E-2</v>
      </c>
      <c r="AO26" s="1">
        <v>-9.8201463343869588E-2</v>
      </c>
      <c r="AP26" s="1">
        <v>-6.6005593882960789E-2</v>
      </c>
      <c r="AQ26" s="1">
        <v>-5.4254127676315211E-2</v>
      </c>
      <c r="AR26" s="1">
        <v>-7.2933542321854339E-2</v>
      </c>
      <c r="AS26" s="1">
        <v>-5.0173300871076298E-2</v>
      </c>
      <c r="AT26" s="1">
        <v>-7.1478812785240486E-2</v>
      </c>
      <c r="AU26" s="1">
        <v>-6.511239031787508E-2</v>
      </c>
      <c r="AV26" s="1">
        <v>9.1115211362354787E-2</v>
      </c>
      <c r="AW26" s="1">
        <v>0.12736784401493906</v>
      </c>
      <c r="AX26" s="1">
        <v>0.22720679948847522</v>
      </c>
      <c r="AY26" s="1">
        <v>0.23231160144030816</v>
      </c>
      <c r="AZ26" s="1">
        <v>0.17914536851206098</v>
      </c>
      <c r="BA26" s="1">
        <v>0.22259375267307724</v>
      </c>
      <c r="BB26" s="1">
        <v>0.41538205326894651</v>
      </c>
      <c r="BC26" s="1">
        <v>0.56936019273997074</v>
      </c>
      <c r="BD26" s="1">
        <v>0.66690400098629743</v>
      </c>
      <c r="BE26" s="1">
        <v>0.68298542589837274</v>
      </c>
      <c r="BF26" s="1">
        <v>0.6052026966378623</v>
      </c>
      <c r="BG26" s="1">
        <v>0.51374141850935739</v>
      </c>
      <c r="BH26" s="1">
        <v>0.53459494796111606</v>
      </c>
      <c r="BI26" s="1">
        <v>0.45063844589258606</v>
      </c>
      <c r="BJ26" s="1">
        <v>0.48886425357295682</v>
      </c>
      <c r="BK26" s="1">
        <v>0.51211897721417143</v>
      </c>
      <c r="BL26" s="1">
        <v>0.62230620836510275</v>
      </c>
      <c r="BM26" s="1">
        <v>0.62243258829604065</v>
      </c>
      <c r="BN26" s="1">
        <v>0.52087091296652988</v>
      </c>
      <c r="BO26" s="1">
        <v>0.420411252107876</v>
      </c>
      <c r="BP26" s="1">
        <v>0.4439750843586403</v>
      </c>
      <c r="BQ26" s="1">
        <v>0.5185085361492674</v>
      </c>
      <c r="BR26" s="1">
        <v>0.55597221021218957</v>
      </c>
      <c r="BS26" s="1">
        <v>0.52575207969286009</v>
      </c>
      <c r="BT26" s="1">
        <v>0.64029992244321998</v>
      </c>
      <c r="BU26" s="1">
        <v>0.58020972262383208</v>
      </c>
      <c r="BV26" s="1">
        <v>0.4450295224682228</v>
      </c>
      <c r="BW26" s="1">
        <v>0.5867253393051366</v>
      </c>
      <c r="BX26" s="1">
        <v>0.91064871551944004</v>
      </c>
      <c r="BY26" s="1">
        <v>0.95640766593261728</v>
      </c>
      <c r="BZ26" s="1">
        <v>0.77379971939053949</v>
      </c>
      <c r="CA26" s="1">
        <v>0.89328244859749883</v>
      </c>
      <c r="CB26" s="1">
        <v>0.95001278135295153</v>
      </c>
      <c r="CC26" s="1">
        <v>1.2056426923073591</v>
      </c>
      <c r="CD26" s="1">
        <v>1.5886563080400609</v>
      </c>
      <c r="CE26" s="1">
        <v>1.8192913984106722</v>
      </c>
      <c r="CF26" s="1">
        <v>2.0261375081808306</v>
      </c>
      <c r="CG26" s="1">
        <v>2.0151622614326765</v>
      </c>
      <c r="CH26" s="1">
        <v>2.6957785391093712</v>
      </c>
      <c r="CI26" s="1">
        <v>2.5480278748180205</v>
      </c>
      <c r="CJ26" s="1">
        <v>2.3020188169454707</v>
      </c>
      <c r="CK26" s="1">
        <v>2.3263964014362606</v>
      </c>
      <c r="CL26" s="1">
        <v>2.4404259735540075</v>
      </c>
      <c r="CM26" s="1">
        <v>3.1723796528285719</v>
      </c>
      <c r="CN26" s="1">
        <v>2.7212629840231775</v>
      </c>
      <c r="CO26" s="1">
        <v>2.722071000126677</v>
      </c>
      <c r="CP26" s="1">
        <v>3.3673291886556154</v>
      </c>
      <c r="CQ26" s="1">
        <v>3.2171226977901064</v>
      </c>
      <c r="CR26" s="1">
        <v>3.8058482892608376</v>
      </c>
      <c r="CS26" s="1">
        <v>3.9229875670763441</v>
      </c>
      <c r="CT26" s="1">
        <v>4.0062401443683875</v>
      </c>
      <c r="CU26" s="1">
        <v>3.9692211262757233</v>
      </c>
      <c r="CV26" s="1">
        <v>4.7338037531432455</v>
      </c>
      <c r="CW26" s="1">
        <v>5.08038062938392</v>
      </c>
      <c r="CX26" s="1">
        <v>4.9146450098041345</v>
      </c>
      <c r="CY26" s="1">
        <v>5.0203331616189795</v>
      </c>
      <c r="CZ26" s="1">
        <v>5.3558626487846128</v>
      </c>
      <c r="DA26" s="1">
        <v>6.0891006740037614</v>
      </c>
      <c r="DB26" s="1">
        <v>6.7190538423855024</v>
      </c>
      <c r="DC26" s="1">
        <v>7.4681744440294011</v>
      </c>
      <c r="DD26" s="1">
        <v>8.1179122706522726</v>
      </c>
      <c r="DE26" s="1">
        <v>7.5022123968204841</v>
      </c>
      <c r="DF26" s="1">
        <v>6.9443983752582872</v>
      </c>
      <c r="DG26" s="1">
        <v>9.3493302235578639</v>
      </c>
      <c r="DH26" s="1">
        <v>8.8534163480760224</v>
      </c>
      <c r="DI26" s="1">
        <v>8.669068672799801</v>
      </c>
      <c r="DJ26" s="1">
        <v>8.5557621845886516</v>
      </c>
      <c r="DK26" s="1">
        <v>8.0634224572786497</v>
      </c>
      <c r="DL26" s="1">
        <v>7.1540990083877993</v>
      </c>
      <c r="DM26" s="1">
        <v>7.2171940711254479</v>
      </c>
      <c r="DN26" s="1">
        <v>7.231765331610573</v>
      </c>
      <c r="DO26" s="1">
        <v>6.6800512697995833</v>
      </c>
      <c r="DP26" s="1">
        <v>7.9053682089000592</v>
      </c>
      <c r="DQ26" s="1">
        <v>7.546212992158198</v>
      </c>
      <c r="DR26" s="1">
        <v>6.9228686260583396</v>
      </c>
      <c r="DS26" s="1">
        <v>6.7482861163635715</v>
      </c>
      <c r="DT26" s="1">
        <v>7.0390804083435317</v>
      </c>
      <c r="DU26" s="1">
        <v>7.3147919169070317</v>
      </c>
      <c r="DV26" s="1">
        <v>6.340899850250409</v>
      </c>
      <c r="DW26" s="1">
        <v>6.7162180386914132</v>
      </c>
      <c r="DX26" s="1">
        <v>6.2468688421795848</v>
      </c>
      <c r="DY26" s="1">
        <v>5.3872724311680349</v>
      </c>
      <c r="DZ26" s="1">
        <v>6.0677671128382817</v>
      </c>
      <c r="EA26" s="1">
        <v>6.3536982487887457</v>
      </c>
      <c r="EB26" s="1">
        <v>7.1565524691362459</v>
      </c>
      <c r="EC26" s="1">
        <v>6.6987538879278716</v>
      </c>
      <c r="ED26" s="1">
        <v>6.5618275590376767</v>
      </c>
      <c r="EE26" s="1">
        <v>6.0144773803937825</v>
      </c>
      <c r="EF26" s="1">
        <v>5.9920961436086637</v>
      </c>
      <c r="EG26" s="1">
        <v>6.4270625947712379</v>
      </c>
      <c r="EH26" s="65"/>
    </row>
    <row r="27" spans="1:138" ht="16">
      <c r="A27" s="1"/>
      <c r="B27" s="1"/>
      <c r="C27" s="6">
        <v>192</v>
      </c>
      <c r="D27" s="1">
        <v>-0.13932460396499158</v>
      </c>
      <c r="E27" s="1">
        <v>-0.13902188870904963</v>
      </c>
      <c r="F27" s="1">
        <v>-8.9656546096381851E-2</v>
      </c>
      <c r="G27" s="1">
        <v>-0.17269663959612058</v>
      </c>
      <c r="H27" s="1">
        <v>-0.2650273952835448</v>
      </c>
      <c r="I27" s="1">
        <v>-0.15924111089130699</v>
      </c>
      <c r="J27" s="1">
        <v>-0.13575405593170919</v>
      </c>
      <c r="K27" s="1">
        <v>-0.25087791869384601</v>
      </c>
      <c r="L27" s="1">
        <v>-0.22285724332683132</v>
      </c>
      <c r="M27" s="1">
        <v>-0.14847797049340883</v>
      </c>
      <c r="N27" s="1">
        <v>-0.37727668179078744</v>
      </c>
      <c r="O27" s="1">
        <v>-6.5907875062035104E-2</v>
      </c>
      <c r="P27" s="1">
        <v>3.6949235678247927E-2</v>
      </c>
      <c r="Q27" s="1">
        <v>7.8456752716446809E-2</v>
      </c>
      <c r="R27" s="1">
        <v>-0.16400708287650057</v>
      </c>
      <c r="S27" s="1">
        <v>-0.10843894041041868</v>
      </c>
      <c r="T27" s="1">
        <v>-0.15956201674703907</v>
      </c>
      <c r="U27" s="1">
        <v>-0.24431643315816509</v>
      </c>
      <c r="V27" s="1">
        <v>-0.15187439157398208</v>
      </c>
      <c r="W27" s="1">
        <v>-0.26746378823881178</v>
      </c>
      <c r="X27" s="1">
        <v>-0.20074082303593299</v>
      </c>
      <c r="Y27" s="1">
        <v>-0.3206635175371455</v>
      </c>
      <c r="Z27" s="1">
        <v>-0.32396221100166367</v>
      </c>
      <c r="AA27" s="1">
        <v>-0.30425074053787271</v>
      </c>
      <c r="AB27" s="1">
        <v>-0.25766199338801044</v>
      </c>
      <c r="AC27" s="1">
        <v>-0.30251674619425839</v>
      </c>
      <c r="AD27" s="1">
        <v>-0.36969069075496441</v>
      </c>
      <c r="AE27" s="1">
        <v>-0.28784917519554076</v>
      </c>
      <c r="AF27" s="1">
        <v>-0.27552102571033277</v>
      </c>
      <c r="AG27" s="1">
        <v>-0.27083416729692389</v>
      </c>
      <c r="AH27" s="1">
        <v>-0.27538543111289759</v>
      </c>
      <c r="AI27" s="1">
        <v>-0.29553457269473282</v>
      </c>
      <c r="AJ27" s="1">
        <v>-0.2404773978109932</v>
      </c>
      <c r="AK27" s="1">
        <v>-0.22738192502409682</v>
      </c>
      <c r="AL27" s="1">
        <v>-0.23788575698769365</v>
      </c>
      <c r="AM27" s="1">
        <v>-0.24216626793565477</v>
      </c>
      <c r="AN27" s="1">
        <v>-0.2173558606251379</v>
      </c>
      <c r="AO27" s="1">
        <v>-0.19159381127760455</v>
      </c>
      <c r="AP27" s="1">
        <v>-0.13655310671724052</v>
      </c>
      <c r="AQ27" s="1">
        <v>-0.12566977656751144</v>
      </c>
      <c r="AR27" s="1">
        <v>-0.18940910222868634</v>
      </c>
      <c r="AS27" s="1">
        <v>-0.17863693842406947</v>
      </c>
      <c r="AT27" s="1">
        <v>-0.19271824657371228</v>
      </c>
      <c r="AU27" s="1">
        <v>-0.19501862750756371</v>
      </c>
      <c r="AV27" s="1">
        <v>3.1742912592660932E-2</v>
      </c>
      <c r="AW27" s="1">
        <v>0.10548486533152612</v>
      </c>
      <c r="AX27" s="1">
        <v>0.26722928937558987</v>
      </c>
      <c r="AY27" s="1">
        <v>0.37606676612577306</v>
      </c>
      <c r="AZ27" s="1">
        <v>0.29035763048495777</v>
      </c>
      <c r="BA27" s="1">
        <v>0.41914087476763529</v>
      </c>
      <c r="BB27" s="1">
        <v>0.63391042692744048</v>
      </c>
      <c r="BC27" s="1">
        <v>1.0116927816038426</v>
      </c>
      <c r="BD27" s="1">
        <v>1.1537294924421939</v>
      </c>
      <c r="BE27" s="1">
        <v>1.1293744831596051</v>
      </c>
      <c r="BF27" s="1">
        <v>1.0474641917023164</v>
      </c>
      <c r="BG27" s="1">
        <v>0.93440956581869883</v>
      </c>
      <c r="BH27" s="1">
        <v>0.83434798825113821</v>
      </c>
      <c r="BI27" s="1">
        <v>0.73914665329723794</v>
      </c>
      <c r="BJ27" s="1">
        <v>0.77944544065442356</v>
      </c>
      <c r="BK27" s="1">
        <v>0.74095690443927875</v>
      </c>
      <c r="BL27" s="1">
        <v>0.94578113258765417</v>
      </c>
      <c r="BM27" s="1">
        <v>0.98427518522611179</v>
      </c>
      <c r="BN27" s="1">
        <v>0.87602124615400223</v>
      </c>
      <c r="BO27" s="1">
        <v>0.91098658126733967</v>
      </c>
      <c r="BP27" s="1">
        <v>0.89644293199981639</v>
      </c>
      <c r="BQ27" s="1">
        <v>0.88263256518737387</v>
      </c>
      <c r="BR27" s="1">
        <v>0.85916161274627934</v>
      </c>
      <c r="BS27" s="1">
        <v>0.8929762695333141</v>
      </c>
      <c r="BT27" s="1">
        <v>1.0914739895511825</v>
      </c>
      <c r="BU27" s="1">
        <v>1.2012086589388584</v>
      </c>
      <c r="BV27" s="1">
        <v>0.87225782683377817</v>
      </c>
      <c r="BW27" s="1">
        <v>1.1225972794612069</v>
      </c>
      <c r="BX27" s="1">
        <v>1.8486161391099998</v>
      </c>
      <c r="BY27" s="1">
        <v>1.6980342400321251</v>
      </c>
      <c r="BZ27" s="1">
        <v>1.5815237251381271</v>
      </c>
      <c r="CA27" s="1">
        <v>2.0583959211201059</v>
      </c>
      <c r="CB27" s="1">
        <v>2.2119788572086438</v>
      </c>
      <c r="CC27" s="1">
        <v>2.6182782697635849</v>
      </c>
      <c r="CD27" s="1">
        <v>2.6650088672343162</v>
      </c>
      <c r="CE27" s="1">
        <v>3.0170866526721678</v>
      </c>
      <c r="CF27" s="1">
        <v>3.3616650049240411</v>
      </c>
      <c r="CG27" s="1">
        <v>2.7893772388980236</v>
      </c>
      <c r="CH27" s="1">
        <v>4.0093237476237746</v>
      </c>
      <c r="CI27" s="1">
        <v>4.2557585503110475</v>
      </c>
      <c r="CJ27" s="1">
        <v>3.5647012774331053</v>
      </c>
      <c r="CK27" s="1">
        <v>3.5084466388317432</v>
      </c>
      <c r="CL27" s="1">
        <v>3.7892180499970758</v>
      </c>
      <c r="CM27" s="1">
        <v>5.216093300437362</v>
      </c>
      <c r="CN27" s="1">
        <v>4.6145258620534877</v>
      </c>
      <c r="CO27" s="1">
        <v>4.5058961414882797</v>
      </c>
      <c r="CP27" s="1">
        <v>6.1387979577344867</v>
      </c>
      <c r="CQ27" s="1">
        <v>6.1917988342348949</v>
      </c>
      <c r="CR27" s="1">
        <v>6.7852646815264297</v>
      </c>
      <c r="CS27" s="1">
        <v>6.982718867871311</v>
      </c>
      <c r="CT27" s="1">
        <v>7.1606779242082066</v>
      </c>
      <c r="CU27" s="1">
        <v>6.422348444367616</v>
      </c>
      <c r="CV27" s="1">
        <v>6.4982263437998702</v>
      </c>
      <c r="CW27" s="1">
        <v>7.225583949547751</v>
      </c>
      <c r="CX27" s="1">
        <v>7.0132289629207492</v>
      </c>
      <c r="CY27" s="1">
        <v>7.0884422818948494</v>
      </c>
      <c r="CZ27" s="1">
        <v>7.9679215694566086</v>
      </c>
      <c r="DA27" s="1">
        <v>9.1185121987330469</v>
      </c>
      <c r="DB27" s="1">
        <v>9.898464286621028</v>
      </c>
      <c r="DC27" s="1">
        <v>10.737298046228073</v>
      </c>
      <c r="DD27" s="1">
        <v>11.076519583276465</v>
      </c>
      <c r="DE27" s="1">
        <v>10.253347630213934</v>
      </c>
      <c r="DF27" s="1">
        <v>9.91049673673594</v>
      </c>
      <c r="DG27" s="1">
        <v>12.589833302043546</v>
      </c>
      <c r="DH27" s="1">
        <v>11.878476015072414</v>
      </c>
      <c r="DI27" s="1">
        <v>11.737129438190735</v>
      </c>
      <c r="DJ27" s="1">
        <v>11.638320290270944</v>
      </c>
      <c r="DK27" s="1">
        <v>11.139612850687858</v>
      </c>
      <c r="DL27" s="1">
        <v>10.105469095136465</v>
      </c>
      <c r="DM27" s="1">
        <v>10.218600161022025</v>
      </c>
      <c r="DN27" s="1">
        <v>10.996454218532133</v>
      </c>
      <c r="DO27" s="1">
        <v>10.223148354847586</v>
      </c>
      <c r="DP27" s="1">
        <v>13.118735932701025</v>
      </c>
      <c r="DQ27" s="1">
        <v>12.812765110511075</v>
      </c>
      <c r="DR27" s="1">
        <v>12.280416846216665</v>
      </c>
      <c r="DS27" s="1">
        <v>11.542583550306809</v>
      </c>
      <c r="DT27" s="1">
        <v>11.448630872965357</v>
      </c>
      <c r="DU27" s="1">
        <v>11.508749596070256</v>
      </c>
      <c r="DV27" s="1">
        <v>9.302516772955336</v>
      </c>
      <c r="DW27" s="1">
        <v>8.9914539515803593</v>
      </c>
      <c r="DX27" s="1">
        <v>7.9568771807488972</v>
      </c>
      <c r="DY27" s="1">
        <v>6.578715364212508</v>
      </c>
      <c r="DZ27" s="1">
        <v>6.9850755427135578</v>
      </c>
      <c r="EA27" s="1">
        <v>7.7053265312190025</v>
      </c>
      <c r="EB27" s="1">
        <v>10.261993740575587</v>
      </c>
      <c r="EC27" s="1">
        <v>9.0647056567612534</v>
      </c>
      <c r="ED27" s="1">
        <v>9.2959564816788554</v>
      </c>
      <c r="EE27" s="1">
        <v>8.5276139545217209</v>
      </c>
      <c r="EF27" s="1">
        <v>8.5442013375000307</v>
      </c>
      <c r="EG27" s="1">
        <v>8.737771261091968</v>
      </c>
    </row>
    <row r="28" spans="1:138" ht="16">
      <c r="A28" s="66"/>
      <c r="B28" s="66"/>
      <c r="C28" s="22">
        <v>964</v>
      </c>
      <c r="D28" s="66">
        <v>0.16299313693108508</v>
      </c>
      <c r="E28" s="66">
        <v>4.1984852428694763E-2</v>
      </c>
      <c r="F28" s="66">
        <v>0.33844256534885186</v>
      </c>
      <c r="G28" s="66">
        <v>3.440255900487954E-2</v>
      </c>
      <c r="H28" s="66">
        <v>0.26792930457663311</v>
      </c>
      <c r="I28" s="66">
        <v>0.31339191989439352</v>
      </c>
      <c r="J28" s="66">
        <v>0.33562382205171426</v>
      </c>
      <c r="K28" s="66">
        <v>0.18140895819631564</v>
      </c>
      <c r="L28" s="66">
        <v>0.24488960181090014</v>
      </c>
      <c r="M28" s="66">
        <v>0.36392999206051724</v>
      </c>
      <c r="N28" s="66">
        <v>6.6885580763256236E-2</v>
      </c>
      <c r="O28" s="66">
        <v>1.9542396403873377</v>
      </c>
      <c r="P28" s="66">
        <v>2.675894987677832</v>
      </c>
      <c r="Q28" s="66">
        <v>2.6822774032114469</v>
      </c>
      <c r="R28" s="66">
        <v>2.6927613463040334</v>
      </c>
      <c r="S28" s="66">
        <v>2.5900182977161554</v>
      </c>
      <c r="T28" s="66">
        <v>2.5503325833000399</v>
      </c>
      <c r="U28" s="66">
        <v>1.5284879178100534</v>
      </c>
      <c r="V28" s="66">
        <v>1.9040155911543972</v>
      </c>
      <c r="W28" s="66">
        <v>1.6174516559453984</v>
      </c>
      <c r="X28" s="66">
        <v>1.1867119868777634</v>
      </c>
      <c r="Y28" s="66">
        <v>1.1886775708185389</v>
      </c>
      <c r="Z28" s="66">
        <v>0.92534137237108571</v>
      </c>
      <c r="AA28" s="66">
        <v>0.87837353840320342</v>
      </c>
      <c r="AB28" s="66">
        <v>1.0556160818554003</v>
      </c>
      <c r="AC28" s="66">
        <v>0.67686589431272282</v>
      </c>
      <c r="AD28" s="66">
        <v>0.26407356308818564</v>
      </c>
      <c r="AE28" s="66">
        <v>0.39196658411614482</v>
      </c>
      <c r="AF28" s="66">
        <v>0.1479982503882904</v>
      </c>
      <c r="AG28" s="66">
        <v>0.33822589950524784</v>
      </c>
      <c r="AH28" s="66">
        <v>0.47994465454033342</v>
      </c>
      <c r="AI28" s="66">
        <v>0.37840002879973578</v>
      </c>
      <c r="AJ28" s="66">
        <v>0.36625862495998596</v>
      </c>
      <c r="AK28" s="66">
        <v>0.48298520628195107</v>
      </c>
      <c r="AL28" s="66">
        <v>0.60886685293281184</v>
      </c>
      <c r="AM28" s="66">
        <v>0.74911773168603002</v>
      </c>
      <c r="AN28" s="66">
        <v>0.88659575817469061</v>
      </c>
      <c r="AO28" s="66">
        <v>1.1940009571911352</v>
      </c>
      <c r="AP28" s="66">
        <v>1.3754266609070913</v>
      </c>
      <c r="AQ28" s="66">
        <v>0.98470059411702993</v>
      </c>
      <c r="AR28" s="66">
        <v>0.55376810506979179</v>
      </c>
      <c r="AS28" s="66">
        <v>0.28833260728112986</v>
      </c>
      <c r="AT28" s="66">
        <v>0.59473977066564254</v>
      </c>
      <c r="AU28" s="66">
        <v>0.60419436016205963</v>
      </c>
      <c r="AV28" s="66">
        <v>1.3694819968280165</v>
      </c>
      <c r="AW28" s="66">
        <v>1.3232244612156299</v>
      </c>
      <c r="AX28" s="66">
        <v>1.60271515563017</v>
      </c>
      <c r="AY28" s="66">
        <v>1.5361850754828508</v>
      </c>
      <c r="AZ28" s="66">
        <v>0.41145435117772799</v>
      </c>
      <c r="BA28" s="66">
        <v>0.57888632408235075</v>
      </c>
      <c r="BB28" s="66">
        <v>0.65860635568244197</v>
      </c>
      <c r="BC28" s="66">
        <v>1.8043327009866963</v>
      </c>
      <c r="BD28" s="66">
        <v>0.12335499138428774</v>
      </c>
      <c r="BE28" s="66">
        <v>0.31721251807179751</v>
      </c>
      <c r="BF28" s="66">
        <v>0.18004969953200356</v>
      </c>
      <c r="BG28" s="66">
        <v>6.1771305713094637E-2</v>
      </c>
      <c r="BH28" s="66">
        <v>-0.12576249638479697</v>
      </c>
      <c r="BI28" s="66">
        <v>-0.11739652341746953</v>
      </c>
      <c r="BJ28" s="66">
        <v>3.2000818258491881E-2</v>
      </c>
      <c r="BK28" s="66">
        <v>2.8545353659663153E-2</v>
      </c>
      <c r="BL28" s="66">
        <v>6.4367168338117953E-2</v>
      </c>
      <c r="BM28" s="66">
        <v>3.1479700689875267E-2</v>
      </c>
      <c r="BN28" s="66">
        <v>-0.35730187099086452</v>
      </c>
      <c r="BO28" s="66">
        <v>-0.28730352236113454</v>
      </c>
      <c r="BP28" s="66">
        <v>-0.29131202779460974</v>
      </c>
      <c r="BQ28" s="66">
        <v>-0.31384412712024601</v>
      </c>
      <c r="BR28" s="66">
        <v>-0.51410382627000994</v>
      </c>
      <c r="BS28" s="66">
        <v>-0.51881672620290376</v>
      </c>
      <c r="BT28" s="66">
        <v>-0.50020122066591299</v>
      </c>
      <c r="BU28" s="66">
        <v>-0.63850504715131873</v>
      </c>
      <c r="BV28" s="66">
        <v>-0.64166758296817084</v>
      </c>
      <c r="BW28" s="66">
        <v>-0.71451805108618205</v>
      </c>
      <c r="BX28" s="66">
        <v>-0.39791512396296835</v>
      </c>
      <c r="BY28" s="66">
        <v>-0.4605048777518409</v>
      </c>
      <c r="BZ28" s="66">
        <v>-0.61714020559366711</v>
      </c>
      <c r="CA28" s="66">
        <v>-0.30550840281964076</v>
      </c>
      <c r="CB28" s="66">
        <v>-0.23604193936499052</v>
      </c>
      <c r="CC28" s="66">
        <v>0.2526606061982688</v>
      </c>
      <c r="CD28" s="66">
        <v>2.4087775845390569E-2</v>
      </c>
      <c r="CE28" s="66">
        <v>5.4762815532342968E-2</v>
      </c>
      <c r="CF28" s="66">
        <v>0.22939448817646868</v>
      </c>
      <c r="CG28" s="66">
        <v>2.6382912961594673E-2</v>
      </c>
      <c r="CH28" s="66">
        <v>0.26992082828634478</v>
      </c>
      <c r="CI28" s="66">
        <v>0.45487632946729439</v>
      </c>
      <c r="CJ28" s="66">
        <v>0.36975419642819563</v>
      </c>
      <c r="CK28" s="66">
        <v>0.44806870033897694</v>
      </c>
      <c r="CL28" s="66">
        <v>0.49419716951697978</v>
      </c>
      <c r="CM28" s="66">
        <v>2.2104619744707454</v>
      </c>
      <c r="CN28" s="66">
        <v>0.16721717995624896</v>
      </c>
      <c r="CO28" s="66">
        <v>0.18462801032710807</v>
      </c>
      <c r="CP28" s="66">
        <v>0.72064546191323231</v>
      </c>
      <c r="CQ28" s="66">
        <v>0.29162192959064082</v>
      </c>
      <c r="CR28" s="66">
        <v>6.2222871035189309E-2</v>
      </c>
      <c r="CS28" s="66">
        <v>-4.0619324309212668E-2</v>
      </c>
      <c r="CT28" s="66">
        <v>-6.6383418023137519E-2</v>
      </c>
      <c r="CU28" s="66">
        <v>-0.15640180284730842</v>
      </c>
      <c r="CV28" s="66">
        <v>-0.16171805544110929</v>
      </c>
      <c r="CW28" s="66">
        <v>0.14130434946579284</v>
      </c>
      <c r="CX28" s="66">
        <v>0.13949179585645166</v>
      </c>
      <c r="CY28" s="66">
        <v>0.19961737541459645</v>
      </c>
      <c r="CZ28" s="66">
        <v>0.58487179903714392</v>
      </c>
      <c r="DA28" s="66">
        <v>1.0961353983149613</v>
      </c>
      <c r="DB28" s="66">
        <v>1.167361209447308</v>
      </c>
      <c r="DC28" s="66">
        <v>1.1315957055226904</v>
      </c>
      <c r="DD28" s="66">
        <v>1.5143303548801055</v>
      </c>
      <c r="DE28" s="66">
        <v>1.6382862697949241</v>
      </c>
      <c r="DF28" s="66">
        <v>0.8292925092221588</v>
      </c>
      <c r="DG28" s="66">
        <v>1.7907412239217715</v>
      </c>
      <c r="DH28" s="66">
        <v>1.4571212650393863</v>
      </c>
      <c r="DI28" s="66">
        <v>1.7012779858685412</v>
      </c>
      <c r="DJ28" s="66">
        <v>2.0845230398334849</v>
      </c>
      <c r="DK28" s="66">
        <v>1.67585886820221</v>
      </c>
      <c r="DL28" s="66">
        <v>1.3556115939682276</v>
      </c>
      <c r="DM28" s="66">
        <v>1.2808239921250029</v>
      </c>
      <c r="DN28" s="66">
        <v>1.2817669879593834</v>
      </c>
      <c r="DO28" s="66">
        <v>0.94170782469956649</v>
      </c>
      <c r="DP28" s="66">
        <v>1.1661924623974729</v>
      </c>
      <c r="DQ28" s="66">
        <v>0.85354451278016019</v>
      </c>
      <c r="DR28" s="66">
        <v>0.75996611144677462</v>
      </c>
      <c r="DS28" s="66">
        <v>0.71879745711729393</v>
      </c>
      <c r="DT28" s="66">
        <v>0.6030148848392185</v>
      </c>
      <c r="DU28" s="66">
        <v>0.48321621998398445</v>
      </c>
      <c r="DV28" s="66">
        <v>0.51552273887764466</v>
      </c>
      <c r="DW28" s="66">
        <v>0.66411494649600411</v>
      </c>
      <c r="DX28" s="66">
        <v>0.83249425150377787</v>
      </c>
      <c r="DY28" s="66">
        <v>0.26150163601593235</v>
      </c>
      <c r="DZ28" s="66">
        <v>0.69521130628116312</v>
      </c>
      <c r="EA28" s="66">
        <v>-3.9673947340541749E-2</v>
      </c>
      <c r="EB28" s="66">
        <v>-9.241523070038371E-2</v>
      </c>
      <c r="EC28" s="66">
        <v>-0.19154960087523742</v>
      </c>
      <c r="ED28" s="66">
        <v>-7.5420977344223261E-2</v>
      </c>
      <c r="EE28" s="66">
        <v>-0.13998909546831972</v>
      </c>
      <c r="EF28" s="66">
        <v>-0.23242363271615107</v>
      </c>
      <c r="EG28" s="66">
        <v>-0.1807836453478131</v>
      </c>
    </row>
    <row r="29" spans="1:138" s="1" customFormat="1" ht="16">
      <c r="C29" s="6" t="s">
        <v>170</v>
      </c>
      <c r="D29" s="67">
        <v>-1.7446770539390366E-2</v>
      </c>
      <c r="E29" s="67">
        <v>2.893123339404724E-3</v>
      </c>
      <c r="F29" s="67">
        <v>2.6944635852046872E-2</v>
      </c>
      <c r="G29" s="67">
        <v>2.0210365301730038E-2</v>
      </c>
      <c r="H29" s="67">
        <v>5.269909680859941E-2</v>
      </c>
      <c r="I29" s="67">
        <v>8.8857766197530053E-2</v>
      </c>
      <c r="J29" s="67">
        <v>7.9869318529145472E-2</v>
      </c>
      <c r="K29" s="67">
        <v>9.3738646464063713E-2</v>
      </c>
      <c r="L29" s="67">
        <v>3.7937714394164157E-2</v>
      </c>
      <c r="M29" s="67">
        <v>3.8844812525307137E-2</v>
      </c>
      <c r="N29" s="67">
        <v>6.3142951706360639E-2</v>
      </c>
      <c r="O29" s="67">
        <v>7.6952085951054405E-2</v>
      </c>
      <c r="P29" s="67">
        <v>8.3257197491512391E-2</v>
      </c>
      <c r="Q29" s="67">
        <v>0.11295275081672607</v>
      </c>
      <c r="R29" s="67">
        <v>0.10882042835093308</v>
      </c>
      <c r="S29" s="67">
        <v>0.13551706985268064</v>
      </c>
      <c r="T29" s="67">
        <v>0.12167508804368476</v>
      </c>
      <c r="U29" s="67">
        <v>7.7088976461827885E-2</v>
      </c>
      <c r="V29" s="67">
        <v>-1.7059521199481731E-3</v>
      </c>
      <c r="W29" s="67">
        <v>-5.9866792867339091E-2</v>
      </c>
      <c r="X29" s="67">
        <v>-5.9140260213613516E-2</v>
      </c>
      <c r="Y29" s="67">
        <v>-1.7185893241652206E-2</v>
      </c>
      <c r="Z29" s="67">
        <v>-4.4409529547694393E-2</v>
      </c>
      <c r="AA29" s="67">
        <v>-4.2407561826578566E-2</v>
      </c>
      <c r="AB29" s="67">
        <v>-6.481575250614946E-2</v>
      </c>
      <c r="AC29" s="67">
        <v>-3.4768870774049443E-2</v>
      </c>
      <c r="AD29" s="67">
        <v>2.7817794451217015E-3</v>
      </c>
      <c r="AE29" s="67">
        <v>-4.0202844765013457E-2</v>
      </c>
      <c r="AF29" s="67">
        <v>-2.2305320482664204E-2</v>
      </c>
      <c r="AG29" s="67">
        <v>-7.4152570234460313E-3</v>
      </c>
      <c r="AH29" s="67">
        <v>2.8334274381314417E-2</v>
      </c>
      <c r="AI29" s="67">
        <v>3.7953941892352683E-2</v>
      </c>
      <c r="AJ29" s="67">
        <v>4.9110131735873752E-2</v>
      </c>
      <c r="AK29" s="67">
        <v>6.3123886850196875E-2</v>
      </c>
      <c r="AL29" s="67">
        <v>5.7454515782098925E-2</v>
      </c>
      <c r="AM29" s="67">
        <v>5.8917118987427575E-2</v>
      </c>
      <c r="AN29" s="67">
        <v>8.0938283596681648E-2</v>
      </c>
      <c r="AO29" s="67">
        <v>0.11500697453770203</v>
      </c>
      <c r="AP29" s="67">
        <v>0.12196653200545171</v>
      </c>
      <c r="AQ29" s="67">
        <v>0.12886130991117528</v>
      </c>
      <c r="AR29" s="67">
        <v>0.14799139743631429</v>
      </c>
      <c r="AS29" s="67">
        <v>0.18780698843660248</v>
      </c>
      <c r="AT29" s="67">
        <v>0.19148751365039929</v>
      </c>
      <c r="AU29" s="67">
        <v>0.20945675046088996</v>
      </c>
      <c r="AV29" s="67">
        <v>0.18617324550329584</v>
      </c>
      <c r="AW29" s="67">
        <v>0.23209180697664689</v>
      </c>
      <c r="AX29" s="67">
        <v>0.20516203655681697</v>
      </c>
      <c r="AY29" s="67">
        <v>0.21453132863303215</v>
      </c>
      <c r="AZ29" s="67">
        <v>0.2660241129922889</v>
      </c>
      <c r="BA29" s="67">
        <v>0.23271631642995261</v>
      </c>
      <c r="BB29" s="67">
        <v>0.24451556797958407</v>
      </c>
      <c r="BC29" s="67">
        <v>0.21433638745422812</v>
      </c>
      <c r="BD29" s="67">
        <v>0.23882150637103883</v>
      </c>
      <c r="BE29" s="67">
        <v>0.23447943849994912</v>
      </c>
      <c r="BF29" s="67">
        <v>0.25935658802508499</v>
      </c>
      <c r="BG29" s="67">
        <v>0.26008869763716325</v>
      </c>
      <c r="BH29" s="67">
        <v>0.2535114114609236</v>
      </c>
      <c r="BI29" s="67">
        <v>0.10826483627727623</v>
      </c>
      <c r="BJ29" s="67">
        <v>0.11793469710078752</v>
      </c>
      <c r="BK29" s="67">
        <v>9.9625988810205346E-2</v>
      </c>
      <c r="BL29" s="67">
        <v>0.12254260303831388</v>
      </c>
      <c r="BM29" s="67">
        <v>0.17302993558173996</v>
      </c>
      <c r="BN29" s="67">
        <v>0.20112905370185397</v>
      </c>
      <c r="BO29" s="67">
        <v>0.23745011694095197</v>
      </c>
      <c r="BP29" s="67">
        <v>0.18334151222801376</v>
      </c>
      <c r="BQ29" s="67">
        <v>0.20924423024871497</v>
      </c>
      <c r="BR29" s="67">
        <v>0.21967690051673561</v>
      </c>
      <c r="BS29" s="67">
        <v>0.1962676978767699</v>
      </c>
      <c r="BT29" s="67">
        <v>0.21987619627534571</v>
      </c>
      <c r="BU29" s="67">
        <v>0.27805738326883356</v>
      </c>
      <c r="BV29" s="67">
        <v>0.29269729646247922</v>
      </c>
      <c r="BW29" s="67">
        <v>0.34857881761669129</v>
      </c>
      <c r="BX29" s="67">
        <v>0.2909305384219143</v>
      </c>
      <c r="BY29" s="67">
        <v>0.26793739709811137</v>
      </c>
      <c r="BZ29" s="67">
        <v>7.628473289061688E-2</v>
      </c>
      <c r="CA29" s="67">
        <v>0.20998513144491437</v>
      </c>
      <c r="CB29" s="67">
        <v>0.20447092205281336</v>
      </c>
      <c r="CC29" s="67">
        <v>0.27699361006036605</v>
      </c>
      <c r="CD29" s="67">
        <v>0.38680488733361829</v>
      </c>
      <c r="CE29" s="67">
        <v>0.37874965946081551</v>
      </c>
      <c r="CF29" s="67">
        <v>0.37042015435709108</v>
      </c>
      <c r="CG29" s="67">
        <v>0.37378086910184649</v>
      </c>
      <c r="CH29" s="67">
        <v>0.49692143719092186</v>
      </c>
      <c r="CI29" s="67">
        <v>0.603191980394987</v>
      </c>
      <c r="CJ29" s="67">
        <v>0.64675173719730239</v>
      </c>
      <c r="CK29" s="67">
        <v>0.73315421285472704</v>
      </c>
      <c r="CL29" s="67">
        <v>0.7842487445659152</v>
      </c>
      <c r="CM29" s="67">
        <v>0.90348131155309508</v>
      </c>
      <c r="CN29" s="67">
        <v>0.8487139113221478</v>
      </c>
      <c r="CO29" s="67">
        <v>0.92166881344527685</v>
      </c>
      <c r="CP29" s="67">
        <v>0.86588067898046694</v>
      </c>
      <c r="CQ29" s="67">
        <v>0.89197293519067467</v>
      </c>
      <c r="CR29" s="67">
        <v>0.83090579105751727</v>
      </c>
      <c r="CS29" s="67">
        <v>0.83658814745105547</v>
      </c>
      <c r="CT29" s="67">
        <v>0.88358984642415717</v>
      </c>
      <c r="CU29" s="67">
        <v>0.9672059526983301</v>
      </c>
      <c r="CV29" s="67">
        <v>0.90752297284093331</v>
      </c>
      <c r="CW29" s="67">
        <v>0.90512335385454468</v>
      </c>
      <c r="CX29" s="67">
        <v>0.90957440110152876</v>
      </c>
      <c r="CY29" s="67">
        <v>0.78685723504233995</v>
      </c>
      <c r="CZ29" s="67">
        <v>0.80992516787144164</v>
      </c>
      <c r="DA29" s="67">
        <v>0.58282101623526672</v>
      </c>
      <c r="DB29" s="67">
        <v>0.60132527488651344</v>
      </c>
      <c r="DC29" s="67">
        <v>0.61147422419279152</v>
      </c>
      <c r="DD29" s="67">
        <v>0.42243966588262949</v>
      </c>
      <c r="DE29" s="67">
        <v>0.37121637307647259</v>
      </c>
      <c r="DF29" s="67">
        <v>0.5616938276257708</v>
      </c>
      <c r="DG29" s="67">
        <v>0.48182332962932128</v>
      </c>
      <c r="DH29" s="67">
        <v>0.59552577817978314</v>
      </c>
      <c r="DI29" s="67">
        <v>0.62027043996328524</v>
      </c>
      <c r="DJ29" s="67">
        <v>0.65789923395288952</v>
      </c>
      <c r="DK29" s="67">
        <v>0.62743885630809859</v>
      </c>
      <c r="DL29" s="67">
        <v>0.72866394865424411</v>
      </c>
      <c r="DM29" s="67">
        <v>0.76340716304992284</v>
      </c>
      <c r="DN29" s="67">
        <v>0.78721129009524526</v>
      </c>
      <c r="DO29" s="67">
        <v>0.73314419395664854</v>
      </c>
      <c r="DP29" s="67">
        <v>0.7036411650845571</v>
      </c>
      <c r="DQ29" s="67">
        <v>0.666521339911188</v>
      </c>
      <c r="DR29" s="67">
        <v>0.80941825308633253</v>
      </c>
      <c r="DS29" s="67">
        <v>0.86027510799998974</v>
      </c>
      <c r="DT29" s="67">
        <v>0.85599059714061299</v>
      </c>
      <c r="DU29" s="67">
        <v>0.9645125910761998</v>
      </c>
      <c r="DV29" s="67">
        <v>1.0974294483812512</v>
      </c>
      <c r="DW29" s="67">
        <v>1.1079601605760616</v>
      </c>
      <c r="DX29" s="67">
        <v>1.1868319851241949</v>
      </c>
      <c r="DY29" s="67">
        <v>1.3707686184169408</v>
      </c>
      <c r="DZ29" s="67">
        <v>1.2834475238077694</v>
      </c>
      <c r="EA29" s="67">
        <v>1.2905072649494538</v>
      </c>
      <c r="EB29" s="67">
        <v>1.2860233033025419</v>
      </c>
      <c r="EC29" s="67">
        <v>1.3465094307246845</v>
      </c>
      <c r="ED29" s="67">
        <v>1.2884273650883467</v>
      </c>
      <c r="EE29" s="67">
        <v>1.3664981882262612</v>
      </c>
      <c r="EF29" s="67">
        <v>1.4163413115117764</v>
      </c>
      <c r="EG29" s="67">
        <v>1.367344209826507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8"/>
  <sheetViews>
    <sheetView topLeftCell="DM9" zoomScale="83" zoomScaleNormal="83" workbookViewId="0">
      <selection activeCell="EI12" sqref="EI12:EI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9" max="139" width="9.5" style="27" customWidth="1"/>
  </cols>
  <sheetData>
    <row r="1" spans="1:139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9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9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9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9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9" ht="16">
      <c r="A6" s="74" t="s">
        <v>139</v>
      </c>
      <c r="B6" s="75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9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9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9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9" ht="16">
      <c r="A10" s="74" t="s">
        <v>140</v>
      </c>
      <c r="B10" s="75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9" ht="18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38" t="s">
        <v>164</v>
      </c>
      <c r="EH11" s="38" t="s">
        <v>165</v>
      </c>
      <c r="EI11" s="38" t="s">
        <v>166</v>
      </c>
    </row>
    <row r="12" spans="1:139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4.802682338720253E-2</v>
      </c>
      <c r="F12" s="11">
        <v>-1.88177157454043E-2</v>
      </c>
      <c r="G12" s="11">
        <v>8.59720291315174E-3</v>
      </c>
      <c r="H12" s="11">
        <v>3.8530512249887933E-2</v>
      </c>
      <c r="I12" s="11">
        <v>1.28097886931655E-2</v>
      </c>
      <c r="J12" s="11">
        <v>-2.9408122838989852E-2</v>
      </c>
      <c r="K12" s="11">
        <v>1.8774380137331209E-2</v>
      </c>
      <c r="L12" s="12">
        <v>-1.279800547193503E-3</v>
      </c>
      <c r="M12" s="12">
        <v>-3.9647700792304509E-4</v>
      </c>
      <c r="N12" s="12">
        <v>6.9326986778352875E-2</v>
      </c>
      <c r="O12" s="14">
        <v>-1.7240739055052579E-2</v>
      </c>
      <c r="P12" s="1">
        <v>-3.6607013048987891E-4</v>
      </c>
      <c r="Q12" s="1">
        <v>-3.5269885452478403E-2</v>
      </c>
      <c r="R12" s="1">
        <v>6.6628837952368673E-3</v>
      </c>
      <c r="S12" s="1">
        <v>-1.6472394741932041E-2</v>
      </c>
      <c r="T12" s="1">
        <v>-7.7398000690130087E-3</v>
      </c>
      <c r="U12" s="1">
        <v>2.0200814333882839E-2</v>
      </c>
      <c r="V12" s="1">
        <v>6.2044700693444643E-3</v>
      </c>
      <c r="W12" s="1">
        <v>6.4039414985380988E-2</v>
      </c>
      <c r="X12" s="1">
        <v>-2.574962461327239E-2</v>
      </c>
      <c r="Y12" s="1">
        <v>1.544036841356077E-2</v>
      </c>
      <c r="Z12" s="1">
        <v>5.1659076098035227E-3</v>
      </c>
      <c r="AA12" s="1">
        <v>-1.191684002823574E-2</v>
      </c>
      <c r="AB12" s="1">
        <v>-3.7114184153333798E-3</v>
      </c>
      <c r="AC12" s="1">
        <v>5.1673797604565516E-3</v>
      </c>
      <c r="AD12" s="1">
        <v>1.123079877814899E-2</v>
      </c>
      <c r="AE12" s="1">
        <v>-5.8316963071098869E-2</v>
      </c>
      <c r="AF12" s="1">
        <v>-4.6181508919833553E-2</v>
      </c>
      <c r="AG12" s="1">
        <v>1.207912796320139E-2</v>
      </c>
      <c r="AH12" s="1">
        <v>2.009335825127018E-2</v>
      </c>
      <c r="AI12" s="1">
        <v>1.9004465170339341E-2</v>
      </c>
      <c r="AJ12" s="1">
        <v>2.1062262693673572E-2</v>
      </c>
      <c r="AK12" s="1">
        <v>4.7354661535713542E-2</v>
      </c>
      <c r="AL12" s="1">
        <v>3.4105621243576391E-2</v>
      </c>
      <c r="AM12" s="1">
        <v>2.020631588703637E-2</v>
      </c>
      <c r="AN12" s="1">
        <v>-5.7133289959638539E-2</v>
      </c>
      <c r="AO12" s="1">
        <v>1.1704043118961709E-2</v>
      </c>
      <c r="AP12" s="1">
        <v>-4.633936527829138E-3</v>
      </c>
      <c r="AQ12" s="1">
        <v>-6.6823427857980273E-3</v>
      </c>
      <c r="AR12" s="1">
        <v>-7.5044280887600658E-3</v>
      </c>
      <c r="AS12" s="1">
        <v>-5.8432128393904577E-3</v>
      </c>
      <c r="AT12" s="1">
        <v>-2.2296660501338991E-2</v>
      </c>
      <c r="AU12" s="1">
        <v>6.3410262054371502E-2</v>
      </c>
      <c r="AV12" s="1">
        <v>-2.1789895224426498E-2</v>
      </c>
      <c r="AW12" s="1">
        <v>-2.3571472704194719E-3</v>
      </c>
      <c r="AX12" s="1">
        <v>-8.6580852422569118E-3</v>
      </c>
      <c r="AY12" s="1">
        <v>-7.7141492743432946E-3</v>
      </c>
      <c r="AZ12" s="1">
        <v>6.6563803179291892E-2</v>
      </c>
      <c r="BA12" s="1">
        <v>7.1276156280934935E-2</v>
      </c>
      <c r="BB12" s="1">
        <v>5.7853949142751861E-3</v>
      </c>
      <c r="BC12" s="1">
        <v>1.2985576387445449E-2</v>
      </c>
      <c r="BD12" s="1">
        <v>8.2215801414615049E-3</v>
      </c>
      <c r="BE12" s="1">
        <v>-4.5598544985067067E-2</v>
      </c>
      <c r="BF12" s="1">
        <v>-2.3601059948603061E-2</v>
      </c>
      <c r="BG12" s="1">
        <v>1.000405865395167E-2</v>
      </c>
      <c r="BH12" s="1">
        <v>-2.4922145288873449E-2</v>
      </c>
      <c r="BI12" s="1">
        <v>2.083776133591287E-2</v>
      </c>
      <c r="BJ12" s="1">
        <v>7.9599331991781624E-4</v>
      </c>
      <c r="BK12" s="1">
        <v>-2.0075652003278099E-2</v>
      </c>
      <c r="BL12" s="1">
        <v>1.1060368711039379E-2</v>
      </c>
      <c r="BM12" s="1">
        <v>-3.017190853698952E-2</v>
      </c>
      <c r="BN12" s="1">
        <v>1.9502538210119671E-2</v>
      </c>
      <c r="BO12" s="1">
        <v>1.691376899933085E-2</v>
      </c>
      <c r="BP12" s="1">
        <v>-2.642195733416729E-2</v>
      </c>
      <c r="BQ12" s="1">
        <v>8.4226585458783872E-3</v>
      </c>
      <c r="BR12" s="1">
        <v>1.9853577841365821E-2</v>
      </c>
      <c r="BS12" s="1">
        <v>2.5560981294363939E-2</v>
      </c>
      <c r="BT12" s="1">
        <v>-2.1288097232098721E-2</v>
      </c>
      <c r="BU12" s="1">
        <v>-4.8083369576175698E-2</v>
      </c>
      <c r="BV12" s="1">
        <v>3.2053226170394557E-2</v>
      </c>
      <c r="BW12" s="1">
        <v>5.548755950963561E-2</v>
      </c>
      <c r="BX12" s="1">
        <v>1.5984151640729919E-2</v>
      </c>
      <c r="BY12" s="1">
        <v>-4.5815986232830307E-2</v>
      </c>
      <c r="BZ12" s="1">
        <v>3.7771441918875159E-3</v>
      </c>
      <c r="CA12" s="1">
        <v>1.4580557553402819E-2</v>
      </c>
      <c r="CB12" s="1">
        <v>7.2475876072179299E-2</v>
      </c>
      <c r="CC12" s="1">
        <v>6.5566612627689883E-2</v>
      </c>
      <c r="CD12" s="1">
        <v>4.4258488563941309E-2</v>
      </c>
      <c r="CE12" s="1">
        <v>0.15400701288974189</v>
      </c>
      <c r="CF12" s="1">
        <v>4.0778952837748463E-3</v>
      </c>
      <c r="CG12" s="1">
        <v>3.0864849735211247E-4</v>
      </c>
      <c r="CH12" s="1">
        <v>-9.4530160381327763E-3</v>
      </c>
      <c r="CI12" s="1">
        <v>-2.434149805161382E-2</v>
      </c>
      <c r="CJ12" s="1">
        <v>3.56848017190925E-3</v>
      </c>
      <c r="CK12" s="1">
        <v>3.4514754837297781E-2</v>
      </c>
      <c r="CL12" s="1">
        <v>3.3134010431475597E-2</v>
      </c>
      <c r="CM12" s="1">
        <v>-7.1708388017212202E-2</v>
      </c>
      <c r="CN12" s="1">
        <v>-2.330754103191908E-2</v>
      </c>
      <c r="CO12" s="1">
        <v>7.129224287359176E-2</v>
      </c>
      <c r="CP12" s="1">
        <v>-1.279615819240372E-2</v>
      </c>
      <c r="CQ12" s="1">
        <v>6.9976746724105296E-2</v>
      </c>
      <c r="CR12" s="1">
        <v>4.814662528730166E-2</v>
      </c>
      <c r="CS12" s="1">
        <v>-1.450965043846953E-2</v>
      </c>
      <c r="CT12" s="1">
        <v>9.6164620390248173E-4</v>
      </c>
      <c r="CU12" s="1">
        <v>1.396762681537468E-2</v>
      </c>
      <c r="CV12" s="1">
        <v>4.3232553547918467E-3</v>
      </c>
      <c r="CW12" s="1">
        <v>2.975768942836746E-2</v>
      </c>
      <c r="CX12" s="1">
        <v>4.6547458464468637E-2</v>
      </c>
      <c r="CY12" s="1">
        <v>4.6072977665454977E-2</v>
      </c>
      <c r="CZ12" s="1">
        <v>8.8561726128694895E-2</v>
      </c>
      <c r="DA12" s="1">
        <v>3.6978661359195177E-2</v>
      </c>
      <c r="DB12" s="1">
        <v>8.8981816498044985E-2</v>
      </c>
      <c r="DC12" s="1">
        <v>1.0027183164687131E-2</v>
      </c>
      <c r="DD12" s="1">
        <v>-3.9091997331507103E-2</v>
      </c>
      <c r="DE12" s="1">
        <v>-3.7235544827264842E-2</v>
      </c>
      <c r="DF12" s="1">
        <v>5.5485734082072982E-2</v>
      </c>
      <c r="DG12" s="1">
        <v>-4.6409817779524638E-2</v>
      </c>
      <c r="DH12" s="1">
        <v>-5.262143774803156E-3</v>
      </c>
      <c r="DI12" s="1">
        <v>-5.4443172992132458E-2</v>
      </c>
      <c r="DJ12" s="1">
        <v>8.0625982547704537E-3</v>
      </c>
      <c r="DK12" s="1">
        <v>-3.1928199332595573E-2</v>
      </c>
      <c r="DL12" s="1">
        <v>3.089111509929313E-3</v>
      </c>
      <c r="DM12" s="1">
        <v>-1.9237693580560919E-2</v>
      </c>
      <c r="DN12" s="1">
        <v>2.1916731594762449E-2</v>
      </c>
      <c r="DO12" s="1">
        <v>3.055694210149083E-2</v>
      </c>
      <c r="DP12" s="1">
        <v>4.5953548014918022E-2</v>
      </c>
      <c r="DQ12" s="1">
        <v>-3.3862120353048523E-2</v>
      </c>
      <c r="DR12" s="1">
        <v>1.7064979450118169E-2</v>
      </c>
      <c r="DS12" s="1">
        <v>6.9650552069699723E-2</v>
      </c>
      <c r="DT12" s="1">
        <v>2.5117616030836221E-2</v>
      </c>
      <c r="DU12" s="1">
        <v>-5.7230283144308662E-2</v>
      </c>
      <c r="DV12" s="1">
        <v>2.9540060801008398E-2</v>
      </c>
      <c r="DW12" s="1">
        <v>4.4967834212525502E-2</v>
      </c>
      <c r="DX12" s="1">
        <v>-4.9619206803227477E-2</v>
      </c>
      <c r="DY12" s="1">
        <v>1.72451479372299E-2</v>
      </c>
      <c r="DZ12" s="1">
        <v>6.1855960989034781E-3</v>
      </c>
      <c r="EA12" s="1">
        <v>5.1097632537531287E-2</v>
      </c>
      <c r="EB12" s="1">
        <v>5.7859705603806079E-3</v>
      </c>
      <c r="EC12" s="1">
        <v>-9.8063813353844453E-3</v>
      </c>
      <c r="ED12" s="1">
        <v>-6.9574815277242833E-3</v>
      </c>
      <c r="EE12" s="1">
        <v>-2.6506892161147658E-2</v>
      </c>
      <c r="EF12" s="1">
        <v>3.9233348038795662E-2</v>
      </c>
      <c r="EG12" s="61">
        <f t="shared" ref="EG12:EG25" si="10">AVERAGE(C12:EF12)</f>
        <v>9.1616145454959334E-3</v>
      </c>
      <c r="EH12" s="61">
        <f t="shared" ref="EH12:EH25" si="11">STDEV(C12:EF12)</f>
        <v>3.5969304045164206E-2</v>
      </c>
      <c r="EI12" s="72">
        <f t="shared" ref="EI12:EI25" si="12">EG12/EH12</f>
        <v>0.25470647232963745</v>
      </c>
    </row>
    <row r="13" spans="1:139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6.9861556352806456E-2</v>
      </c>
      <c r="F13" s="9">
        <v>-3.4922155882654508E-2</v>
      </c>
      <c r="G13" s="9">
        <v>-1.490797975730339E-2</v>
      </c>
      <c r="H13" s="9">
        <v>2.9989631725721271E-2</v>
      </c>
      <c r="I13" s="9">
        <v>2.9130594923697659E-2</v>
      </c>
      <c r="J13" s="9">
        <v>-4.3899227077412117E-2</v>
      </c>
      <c r="K13" s="9">
        <v>-1.3673068264474649E-3</v>
      </c>
      <c r="L13" s="2">
        <v>-3.1294960158911242E-2</v>
      </c>
      <c r="M13" s="2">
        <v>2.5687102146235319E-2</v>
      </c>
      <c r="N13" s="2">
        <v>9.9806916956670585E-2</v>
      </c>
      <c r="O13" s="1">
        <v>-3.9789291626632438E-2</v>
      </c>
      <c r="P13" s="1">
        <v>1.679162773809062E-2</v>
      </c>
      <c r="Q13" s="1">
        <v>-7.3224368487557437E-2</v>
      </c>
      <c r="R13" s="1">
        <v>1.4159944486036529E-2</v>
      </c>
      <c r="S13" s="1">
        <v>-1.224367120891299E-2</v>
      </c>
      <c r="T13" s="1">
        <v>-2.1633598064866401E-2</v>
      </c>
      <c r="U13" s="1">
        <v>5.5957470530744263E-2</v>
      </c>
      <c r="V13" s="1">
        <v>-2.009432801387449E-2</v>
      </c>
      <c r="W13" s="1">
        <v>7.5476561860150226E-2</v>
      </c>
      <c r="X13" s="1">
        <v>-5.327689472594363E-2</v>
      </c>
      <c r="Y13" s="1">
        <v>1.392099255764867E-2</v>
      </c>
      <c r="Z13" s="1">
        <v>2.0583761169128259E-2</v>
      </c>
      <c r="AA13" s="1">
        <v>-1.6440619450324361E-2</v>
      </c>
      <c r="AB13" s="1">
        <v>-1.6036098685220952E-2</v>
      </c>
      <c r="AC13" s="1">
        <v>8.0314397959504041E-3</v>
      </c>
      <c r="AD13" s="1">
        <v>2.1543689785275402E-2</v>
      </c>
      <c r="AE13" s="1">
        <v>-6.5719382027610476E-2</v>
      </c>
      <c r="AF13" s="1">
        <v>-5.1935557823136913E-2</v>
      </c>
      <c r="AG13" s="1">
        <v>3.282310180952513E-3</v>
      </c>
      <c r="AH13" s="1">
        <v>3.1875514929916048E-2</v>
      </c>
      <c r="AI13" s="1">
        <v>1.206755007407281E-2</v>
      </c>
      <c r="AJ13" s="1">
        <v>1.988632403117771E-2</v>
      </c>
      <c r="AK13" s="1">
        <v>6.5987912810655996E-2</v>
      </c>
      <c r="AL13" s="1">
        <v>2.255035758653683E-2</v>
      </c>
      <c r="AM13" s="1">
        <v>-2.2822434783236032E-3</v>
      </c>
      <c r="AN13" s="1">
        <v>-7.1245220062354717E-2</v>
      </c>
      <c r="AO13" s="1">
        <v>3.0204089262180879E-3</v>
      </c>
      <c r="AP13" s="1">
        <v>-6.5879899076427646E-3</v>
      </c>
      <c r="AQ13" s="1">
        <v>-1.108299446312281E-2</v>
      </c>
      <c r="AR13" s="1">
        <v>9.2507324832761875E-3</v>
      </c>
      <c r="AS13" s="1">
        <v>-1.936605681188464E-3</v>
      </c>
      <c r="AT13" s="1">
        <v>1.6899629408186981E-3</v>
      </c>
      <c r="AU13" s="1">
        <v>7.6784333628374363E-2</v>
      </c>
      <c r="AV13" s="1">
        <v>-1.0958910230300529E-2</v>
      </c>
      <c r="AW13" s="1">
        <v>2.5616009167896969E-2</v>
      </c>
      <c r="AX13" s="1">
        <v>-1.188096828543265E-2</v>
      </c>
      <c r="AY13" s="1">
        <v>-2.367260872336744E-2</v>
      </c>
      <c r="AZ13" s="1">
        <v>5.5449775955565078E-2</v>
      </c>
      <c r="BA13" s="1">
        <v>7.9829120343788335E-2</v>
      </c>
      <c r="BB13" s="1">
        <v>2.6046345532896049E-2</v>
      </c>
      <c r="BC13" s="1">
        <v>1.302658025364759E-2</v>
      </c>
      <c r="BD13" s="1">
        <v>1.0962313176339699E-2</v>
      </c>
      <c r="BE13" s="1">
        <v>-4.6048256587478499E-2</v>
      </c>
      <c r="BF13" s="1">
        <v>-2.6302896790217509E-2</v>
      </c>
      <c r="BG13" s="1">
        <v>8.3310656158476996E-3</v>
      </c>
      <c r="BH13" s="1">
        <v>-3.3944254587363332E-2</v>
      </c>
      <c r="BI13" s="1">
        <v>2.5832369880149052E-2</v>
      </c>
      <c r="BJ13" s="1">
        <v>1.765410852616266E-2</v>
      </c>
      <c r="BK13" s="1">
        <v>-2.5125773363192039E-2</v>
      </c>
      <c r="BL13" s="1">
        <v>1.3619178359615279E-2</v>
      </c>
      <c r="BM13" s="1">
        <v>-2.7203867384610721E-2</v>
      </c>
      <c r="BN13" s="1">
        <v>-4.1015372255685661E-3</v>
      </c>
      <c r="BO13" s="1">
        <v>3.406714508268439E-3</v>
      </c>
      <c r="BP13" s="1">
        <v>-7.9511464177745989E-3</v>
      </c>
      <c r="BQ13" s="1">
        <v>3.9575889019010747E-2</v>
      </c>
      <c r="BR13" s="1">
        <v>5.2648081977137466E-3</v>
      </c>
      <c r="BS13" s="1">
        <v>2.4538279322410629E-2</v>
      </c>
      <c r="BT13" s="1">
        <v>-3.3667769757919193E-2</v>
      </c>
      <c r="BU13" s="1">
        <v>-7.4658168009773873E-2</v>
      </c>
      <c r="BV13" s="1">
        <v>3.1440738435612722E-2</v>
      </c>
      <c r="BW13" s="1">
        <v>8.6230154651292246E-2</v>
      </c>
      <c r="BX13" s="1">
        <v>1.477434776242115E-3</v>
      </c>
      <c r="BY13" s="1">
        <v>-3.0827759664373209E-2</v>
      </c>
      <c r="BZ13" s="1">
        <v>-1.3759146872870571E-2</v>
      </c>
      <c r="CA13" s="1">
        <v>2.401267379212468E-2</v>
      </c>
      <c r="CB13" s="1">
        <v>0.1204269717320352</v>
      </c>
      <c r="CC13" s="1">
        <v>0.12011817373823321</v>
      </c>
      <c r="CD13" s="1">
        <v>5.52560480214307E-2</v>
      </c>
      <c r="CE13" s="1">
        <v>0.18382783645560871</v>
      </c>
      <c r="CF13" s="1">
        <v>1.8228940836627482E-2</v>
      </c>
      <c r="CG13" s="1">
        <v>7.5602686763741878E-3</v>
      </c>
      <c r="CH13" s="1">
        <v>-2.5657782346366651E-2</v>
      </c>
      <c r="CI13" s="1">
        <v>-7.895534435908208E-3</v>
      </c>
      <c r="CJ13" s="1">
        <v>2.0881327115926159E-2</v>
      </c>
      <c r="CK13" s="1">
        <v>3.1859597035061943E-2</v>
      </c>
      <c r="CL13" s="1">
        <v>4.4000391247388533E-2</v>
      </c>
      <c r="CM13" s="1">
        <v>-0.1014522187140186</v>
      </c>
      <c r="CN13" s="1">
        <v>-3.013102484529066E-2</v>
      </c>
      <c r="CO13" s="1">
        <v>8.556623930807658E-2</v>
      </c>
      <c r="CP13" s="1">
        <v>-3.4377539176010358E-2</v>
      </c>
      <c r="CQ13" s="1">
        <v>6.7112905094145095E-2</v>
      </c>
      <c r="CR13" s="1">
        <v>6.4380648737412241E-2</v>
      </c>
      <c r="CS13" s="1">
        <v>3.947650662960555E-3</v>
      </c>
      <c r="CT13" s="1">
        <v>-8.0707993163786768E-3</v>
      </c>
      <c r="CU13" s="1">
        <v>1.103121440667176E-2</v>
      </c>
      <c r="CV13" s="1">
        <v>2.431898301869664E-2</v>
      </c>
      <c r="CW13" s="1">
        <v>1.0456962931318739E-2</v>
      </c>
      <c r="CX13" s="1">
        <v>4.9872955511131058E-3</v>
      </c>
      <c r="CY13" s="1">
        <v>6.4973824772045274E-2</v>
      </c>
      <c r="CZ13" s="1">
        <v>9.0290205436995882E-2</v>
      </c>
      <c r="DA13" s="1">
        <v>4.9446033684879001E-2</v>
      </c>
      <c r="DB13" s="1">
        <v>0.1062353213029536</v>
      </c>
      <c r="DC13" s="1">
        <v>2.354099866843842E-2</v>
      </c>
      <c r="DD13" s="1">
        <v>-5.1406653602818438E-2</v>
      </c>
      <c r="DE13" s="1">
        <v>-4.2564178931250717E-2</v>
      </c>
      <c r="DF13" s="1">
        <v>8.3122187068030415E-2</v>
      </c>
      <c r="DG13" s="1">
        <v>-4.7729083606459478E-2</v>
      </c>
      <c r="DH13" s="1">
        <v>1.2992245045791989E-2</v>
      </c>
      <c r="DI13" s="1">
        <v>-4.6561456814233543E-2</v>
      </c>
      <c r="DJ13" s="1">
        <v>2.8247996829593169E-4</v>
      </c>
      <c r="DK13" s="1">
        <v>-1.938663386385895E-2</v>
      </c>
      <c r="DL13" s="1">
        <v>2.7121939431540568E-2</v>
      </c>
      <c r="DM13" s="1">
        <v>5.3162261047299056E-4</v>
      </c>
      <c r="DN13" s="1">
        <v>1.693523490060431E-2</v>
      </c>
      <c r="DO13" s="1">
        <v>3.7863465084792783E-2</v>
      </c>
      <c r="DP13" s="1">
        <v>4.4997150662049193E-2</v>
      </c>
      <c r="DQ13" s="1">
        <v>-3.3966462251962683E-2</v>
      </c>
      <c r="DR13" s="1">
        <v>1.5168550145961031E-2</v>
      </c>
      <c r="DS13" s="1">
        <v>6.8596852640390879E-2</v>
      </c>
      <c r="DT13" s="1">
        <v>5.0831259890505333E-2</v>
      </c>
      <c r="DU13" s="1">
        <v>-3.3006159442618463E-2</v>
      </c>
      <c r="DV13" s="1">
        <v>4.3254778785589143E-2</v>
      </c>
      <c r="DW13" s="1">
        <v>4.2028685712200517E-2</v>
      </c>
      <c r="DX13" s="1">
        <v>-6.4641919490531136E-2</v>
      </c>
      <c r="DY13" s="1">
        <v>3.5306137940869793E-2</v>
      </c>
      <c r="DZ13" s="1">
        <v>1.8302124146301689E-2</v>
      </c>
      <c r="EA13" s="1">
        <v>6.2118677176029868E-2</v>
      </c>
      <c r="EB13" s="1">
        <v>2.012062189251651E-4</v>
      </c>
      <c r="EC13" s="1">
        <v>-1.877600359538225E-2</v>
      </c>
      <c r="ED13" s="1">
        <v>7.0847200131933449E-3</v>
      </c>
      <c r="EE13" s="1">
        <v>-4.1234383995911589E-2</v>
      </c>
      <c r="EF13" s="1">
        <v>6.7291156741452265E-2</v>
      </c>
      <c r="EG13" s="61">
        <f t="shared" si="10"/>
        <v>1.1772151578488424E-2</v>
      </c>
      <c r="EH13" s="59">
        <f t="shared" si="11"/>
        <v>4.4850138970220887E-2</v>
      </c>
      <c r="EI13" s="72">
        <f t="shared" si="12"/>
        <v>0.26247748276331473</v>
      </c>
    </row>
    <row r="14" spans="1:139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9.8768248142222112E-2</v>
      </c>
      <c r="F14" s="9">
        <v>-4.8454142799859851E-2</v>
      </c>
      <c r="G14" s="9">
        <v>-4.1019916497925447E-2</v>
      </c>
      <c r="H14" s="9">
        <v>5.9587806435440108E-2</v>
      </c>
      <c r="I14" s="9">
        <v>7.7114962431364953E-2</v>
      </c>
      <c r="J14" s="9">
        <v>-0.1050943867827082</v>
      </c>
      <c r="K14" s="9">
        <v>1.245116151579238E-2</v>
      </c>
      <c r="L14" s="2">
        <v>4.847197187706806E-3</v>
      </c>
      <c r="M14" s="2">
        <v>-7.5951542984044773E-2</v>
      </c>
      <c r="N14" s="2">
        <v>0.20483257514122591</v>
      </c>
      <c r="O14" s="1">
        <v>-3.9642308069534393E-2</v>
      </c>
      <c r="P14" s="1">
        <v>4.7779764282807252E-2</v>
      </c>
      <c r="Q14" s="1">
        <v>-5.8237946154634852E-2</v>
      </c>
      <c r="R14" s="1">
        <v>-1.41517963055246E-2</v>
      </c>
      <c r="S14" s="1">
        <v>3.8534099526017718E-2</v>
      </c>
      <c r="T14" s="1">
        <v>-1.7360731234559681E-2</v>
      </c>
      <c r="U14" s="1">
        <v>0.1101925283607786</v>
      </c>
      <c r="V14" s="1">
        <v>-3.837554626450454E-2</v>
      </c>
      <c r="W14" s="1">
        <v>0.1161657905318967</v>
      </c>
      <c r="X14" s="1">
        <v>-5.3581708514183243E-2</v>
      </c>
      <c r="Y14" s="1">
        <v>-1.676266335668946E-2</v>
      </c>
      <c r="Z14" s="1">
        <v>2.1252201103450899E-2</v>
      </c>
      <c r="AA14" s="1">
        <v>-2.6273997668139859E-3</v>
      </c>
      <c r="AB14" s="1">
        <v>-7.4982912772120214E-2</v>
      </c>
      <c r="AC14" s="1">
        <v>-2.929208376556364E-2</v>
      </c>
      <c r="AD14" s="1">
        <v>3.9327892190029898E-2</v>
      </c>
      <c r="AE14" s="1">
        <v>-4.0189068228804886E-3</v>
      </c>
      <c r="AF14" s="1">
        <v>-8.4317009176674104E-2</v>
      </c>
      <c r="AG14" s="1">
        <v>6.3902010138930376E-3</v>
      </c>
      <c r="AH14" s="1">
        <v>6.3410379733012071E-2</v>
      </c>
      <c r="AI14" s="1">
        <v>7.2072950927120863E-2</v>
      </c>
      <c r="AJ14" s="1">
        <v>0.1004634352553853</v>
      </c>
      <c r="AK14" s="1">
        <v>6.6326746155924196E-2</v>
      </c>
      <c r="AL14" s="1">
        <v>1.8559542258206829E-2</v>
      </c>
      <c r="AM14" s="1">
        <v>3.149506369445255E-3</v>
      </c>
      <c r="AN14" s="1">
        <v>-0.1103236819562325</v>
      </c>
      <c r="AO14" s="1">
        <v>-9.9986507414082122E-3</v>
      </c>
      <c r="AP14" s="1">
        <v>7.0548285367649016E-3</v>
      </c>
      <c r="AQ14" s="1">
        <v>-8.1284167078287516E-3</v>
      </c>
      <c r="AR14" s="1">
        <v>1.817082301888524E-2</v>
      </c>
      <c r="AS14" s="1">
        <v>9.257412813340013E-3</v>
      </c>
      <c r="AT14" s="1">
        <v>-1.8407426169242399E-2</v>
      </c>
      <c r="AU14" s="1">
        <v>0.1378524760527356</v>
      </c>
      <c r="AV14" s="1">
        <v>8.4264533049733317E-3</v>
      </c>
      <c r="AW14" s="1">
        <v>4.3729300320208372E-2</v>
      </c>
      <c r="AX14" s="1">
        <v>8.2158804712704862E-4</v>
      </c>
      <c r="AY14" s="1">
        <v>-5.8839376297199868E-2</v>
      </c>
      <c r="AZ14" s="1">
        <v>2.5628927509464609E-2</v>
      </c>
      <c r="BA14" s="1">
        <v>9.6337325355973988E-2</v>
      </c>
      <c r="BB14" s="1">
        <v>0.101898340258458</v>
      </c>
      <c r="BC14" s="1">
        <v>-9.0839235255182754E-3</v>
      </c>
      <c r="BD14" s="1">
        <v>5.4089652686273221E-2</v>
      </c>
      <c r="BE14" s="1">
        <v>-2.411701849660209E-2</v>
      </c>
      <c r="BF14" s="1">
        <v>-5.2428879018831306E-3</v>
      </c>
      <c r="BG14" s="1">
        <v>1.049660790114355E-2</v>
      </c>
      <c r="BH14" s="1">
        <v>-9.3750084239722239E-2</v>
      </c>
      <c r="BI14" s="1">
        <v>3.227013090056749E-2</v>
      </c>
      <c r="BJ14" s="1">
        <v>1.32542788140672E-2</v>
      </c>
      <c r="BK14" s="1">
        <v>3.323738197833094E-2</v>
      </c>
      <c r="BL14" s="1">
        <v>1.0571834509862E-2</v>
      </c>
      <c r="BM14" s="1">
        <v>-2.137504666205849E-2</v>
      </c>
      <c r="BN14" s="1">
        <v>-4.5371706308739268E-2</v>
      </c>
      <c r="BO14" s="1">
        <v>1.490357897324885E-2</v>
      </c>
      <c r="BP14" s="1">
        <v>5.0332283327745371E-2</v>
      </c>
      <c r="BQ14" s="1">
        <v>4.7561132295658039E-2</v>
      </c>
      <c r="BR14" s="1">
        <v>-3.5541214444243213E-2</v>
      </c>
      <c r="BS14" s="1">
        <v>6.8561655159081983E-2</v>
      </c>
      <c r="BT14" s="1">
        <v>1.5287927903372821E-2</v>
      </c>
      <c r="BU14" s="1">
        <v>-0.1111594543137446</v>
      </c>
      <c r="BV14" s="1">
        <v>4.1282488857898411E-2</v>
      </c>
      <c r="BW14" s="1">
        <v>0.11840804197930491</v>
      </c>
      <c r="BX14" s="1">
        <v>-3.071342246663937E-4</v>
      </c>
      <c r="BY14" s="1">
        <v>-8.0399768583761216E-2</v>
      </c>
      <c r="BZ14" s="1">
        <v>5.0985243413883087E-2</v>
      </c>
      <c r="CA14" s="1">
        <v>3.3455158238155647E-2</v>
      </c>
      <c r="CB14" s="1">
        <v>0.16446550132190679</v>
      </c>
      <c r="CC14" s="1">
        <v>0.1205961585891825</v>
      </c>
      <c r="CD14" s="1">
        <v>4.7921840912584578E-2</v>
      </c>
      <c r="CE14" s="1">
        <v>0.1705553024885505</v>
      </c>
      <c r="CF14" s="1">
        <v>-2.0310216922519591E-2</v>
      </c>
      <c r="CG14" s="1">
        <v>0.13892667651794</v>
      </c>
      <c r="CH14" s="1">
        <v>4.0537141053146319E-3</v>
      </c>
      <c r="CI14" s="1">
        <v>-3.829356134685134E-3</v>
      </c>
      <c r="CJ14" s="1">
        <v>2.006682479610775E-2</v>
      </c>
      <c r="CK14" s="1">
        <v>-4.6385956968068159E-4</v>
      </c>
      <c r="CL14" s="1">
        <v>0.1300328670856512</v>
      </c>
      <c r="CM14" s="1">
        <v>-0.11006897297270959</v>
      </c>
      <c r="CN14" s="1">
        <v>-1.9401547393491338E-2</v>
      </c>
      <c r="CO14" s="1">
        <v>0.17324915395395429</v>
      </c>
      <c r="CP14" s="1">
        <v>-0.1054797240573413</v>
      </c>
      <c r="CQ14" s="1">
        <v>7.9536741295441721E-2</v>
      </c>
      <c r="CR14" s="1">
        <v>6.2640655376448015E-2</v>
      </c>
      <c r="CS14" s="1">
        <v>-3.8161133435199359E-3</v>
      </c>
      <c r="CT14" s="1">
        <v>-1.910057655068487E-2</v>
      </c>
      <c r="CU14" s="1">
        <v>7.4250615704534909E-2</v>
      </c>
      <c r="CV14" s="1">
        <v>3.9399433901219798E-2</v>
      </c>
      <c r="CW14" s="1">
        <v>8.2340018803759574E-3</v>
      </c>
      <c r="CX14" s="1">
        <v>2.4244256487495751E-2</v>
      </c>
      <c r="CY14" s="1">
        <v>5.0137743473948983E-2</v>
      </c>
      <c r="CZ14" s="1">
        <v>0.13617204681910691</v>
      </c>
      <c r="DA14" s="1">
        <v>6.5393327424540099E-2</v>
      </c>
      <c r="DB14" s="1">
        <v>0.1046074411002299</v>
      </c>
      <c r="DC14" s="1">
        <v>1.4753761497027579E-2</v>
      </c>
      <c r="DD14" s="1">
        <v>-5.389996674879375E-2</v>
      </c>
      <c r="DE14" s="1">
        <v>-3.105766707737596E-2</v>
      </c>
      <c r="DF14" s="1">
        <v>0.20156283946711201</v>
      </c>
      <c r="DG14" s="1">
        <v>-4.5583395726898353E-2</v>
      </c>
      <c r="DH14" s="1">
        <v>4.7748372429115976E-3</v>
      </c>
      <c r="DI14" s="1">
        <v>-5.3191997244607769E-2</v>
      </c>
      <c r="DJ14" s="1">
        <v>1.023724267297355E-3</v>
      </c>
      <c r="DK14" s="1">
        <v>-8.1621549503858692E-2</v>
      </c>
      <c r="DL14" s="1">
        <v>-9.2741823572412251E-3</v>
      </c>
      <c r="DM14" s="1">
        <v>-1.12114973776048E-3</v>
      </c>
      <c r="DN14" s="1">
        <v>3.0298833250316529E-2</v>
      </c>
      <c r="DO14" s="1">
        <v>0.1025921893632338</v>
      </c>
      <c r="DP14" s="1">
        <v>3.6178582717266978E-3</v>
      </c>
      <c r="DQ14" s="1">
        <v>-5.6019285986190409E-2</v>
      </c>
      <c r="DR14" s="1">
        <v>7.7944218090853119E-3</v>
      </c>
      <c r="DS14" s="1">
        <v>5.6051819928563652E-2</v>
      </c>
      <c r="DT14" s="1">
        <v>0.1176725133317565</v>
      </c>
      <c r="DU14" s="1">
        <v>-6.8795273192164358E-2</v>
      </c>
      <c r="DV14" s="1">
        <v>1.943294388864095E-2</v>
      </c>
      <c r="DW14" s="1">
        <v>1.809309508516085E-3</v>
      </c>
      <c r="DX14" s="1">
        <v>-0.10216121988583921</v>
      </c>
      <c r="DY14" s="1">
        <v>3.7997079946848547E-2</v>
      </c>
      <c r="DZ14" s="1">
        <v>3.5030999863780207E-2</v>
      </c>
      <c r="EA14" s="1">
        <v>0.10752548319752379</v>
      </c>
      <c r="EB14" s="1">
        <v>-2.510952061826455E-2</v>
      </c>
      <c r="EC14" s="1">
        <v>-1.92914596657494E-2</v>
      </c>
      <c r="ED14" s="1">
        <v>-3.3597287801933773E-2</v>
      </c>
      <c r="EE14" s="1">
        <v>3.3992535180725199E-3</v>
      </c>
      <c r="EF14" s="1">
        <v>6.6632346729412442E-2</v>
      </c>
      <c r="EG14" s="61">
        <f t="shared" si="10"/>
        <v>1.854791798482433E-2</v>
      </c>
      <c r="EH14" s="59">
        <f t="shared" si="11"/>
        <v>6.6647100113623375E-2</v>
      </c>
      <c r="EI14" s="72">
        <f t="shared" si="12"/>
        <v>0.27830045048025936</v>
      </c>
    </row>
    <row r="15" spans="1:139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6.6038487211205685E-2</v>
      </c>
      <c r="F15" s="9">
        <v>-0.1085622933731899</v>
      </c>
      <c r="G15" s="9">
        <v>-4.542205246389433E-2</v>
      </c>
      <c r="H15" s="9">
        <v>0.1188437037073593</v>
      </c>
      <c r="I15" s="9">
        <v>0.12672874111951199</v>
      </c>
      <c r="J15" s="9">
        <v>-6.4524690109755506E-2</v>
      </c>
      <c r="K15" s="9">
        <v>-4.2103663853407802E-3</v>
      </c>
      <c r="L15" s="2">
        <v>3.2558505157184642E-2</v>
      </c>
      <c r="M15" s="2">
        <v>-0.1884920497107565</v>
      </c>
      <c r="N15" s="2">
        <v>0.33030933686480701</v>
      </c>
      <c r="O15" s="1">
        <v>-4.6103493253125377E-2</v>
      </c>
      <c r="P15" s="1">
        <v>5.298328319235554E-2</v>
      </c>
      <c r="Q15" s="1">
        <v>-0.1003753495838908</v>
      </c>
      <c r="R15" s="1">
        <v>1.6755436290618191E-2</v>
      </c>
      <c r="S15" s="1">
        <v>-4.3033933773331312E-2</v>
      </c>
      <c r="T15" s="1">
        <v>-4.9338672660515052E-2</v>
      </c>
      <c r="U15" s="1">
        <v>0.1369680616672688</v>
      </c>
      <c r="V15" s="1">
        <v>-8.5680881878873433E-2</v>
      </c>
      <c r="W15" s="1">
        <v>0.10693455515793331</v>
      </c>
      <c r="X15" s="1">
        <v>-7.8436412445587397E-2</v>
      </c>
      <c r="Y15" s="1">
        <v>-2.41886185471549E-2</v>
      </c>
      <c r="Z15" s="1">
        <v>-2.3656418685670762E-2</v>
      </c>
      <c r="AA15" s="1">
        <v>4.6586123925793019E-2</v>
      </c>
      <c r="AB15" s="1">
        <v>-7.3995951784183639E-2</v>
      </c>
      <c r="AC15" s="1">
        <v>-4.0055129570116199E-2</v>
      </c>
      <c r="AD15" s="1">
        <v>3.9690481127708267E-2</v>
      </c>
      <c r="AE15" s="1">
        <v>4.7286476245703507E-2</v>
      </c>
      <c r="AF15" s="1">
        <v>-4.9772024875114299E-2</v>
      </c>
      <c r="AG15" s="1">
        <v>-9.7453106019047206E-3</v>
      </c>
      <c r="AH15" s="1">
        <v>-1.4500686925931689E-2</v>
      </c>
      <c r="AI15" s="1">
        <v>5.0854449586025072E-2</v>
      </c>
      <c r="AJ15" s="1">
        <v>4.1844346323331449E-3</v>
      </c>
      <c r="AK15" s="1">
        <v>5.7495575489853068E-2</v>
      </c>
      <c r="AL15" s="1">
        <v>-6.8817591114361167E-3</v>
      </c>
      <c r="AM15" s="1">
        <v>1.9447114515120381E-3</v>
      </c>
      <c r="AN15" s="1">
        <v>-6.0734931800687501E-2</v>
      </c>
      <c r="AO15" s="1">
        <v>3.5701842653561043E-2</v>
      </c>
      <c r="AP15" s="1">
        <v>1.2581944955645789E-2</v>
      </c>
      <c r="AQ15" s="1">
        <v>-1.9750987228359839E-2</v>
      </c>
      <c r="AR15" s="1">
        <v>2.4550819698278721E-2</v>
      </c>
      <c r="AS15" s="1">
        <v>-2.243094654393615E-2</v>
      </c>
      <c r="AT15" s="1">
        <v>6.8565182518478159E-3</v>
      </c>
      <c r="AU15" s="1">
        <v>0.16710843106943049</v>
      </c>
      <c r="AV15" s="1">
        <v>3.3225302218378612E-2</v>
      </c>
      <c r="AW15" s="1">
        <v>8.8559342900872445E-2</v>
      </c>
      <c r="AX15" s="1">
        <v>4.159691711258919E-3</v>
      </c>
      <c r="AY15" s="1">
        <v>-4.3143497850792932E-2</v>
      </c>
      <c r="AZ15" s="1">
        <v>3.6847351752602571E-2</v>
      </c>
      <c r="BA15" s="1">
        <v>0.15768794840833861</v>
      </c>
      <c r="BB15" s="1">
        <v>0.1087890998161227</v>
      </c>
      <c r="BC15" s="1">
        <v>6.2155143667830287E-2</v>
      </c>
      <c r="BD15" s="1">
        <v>9.6474811402217191E-3</v>
      </c>
      <c r="BE15" s="1">
        <v>-4.6217113983022272E-2</v>
      </c>
      <c r="BF15" s="1">
        <v>-5.6978024220911652E-2</v>
      </c>
      <c r="BG15" s="1">
        <v>1.3776150402420841E-2</v>
      </c>
      <c r="BH15" s="1">
        <v>-5.4709226157740029E-2</v>
      </c>
      <c r="BI15" s="1">
        <v>2.6351023432892799E-2</v>
      </c>
      <c r="BJ15" s="1">
        <v>1.561910267199181E-2</v>
      </c>
      <c r="BK15" s="1">
        <v>7.2869418882588896E-2</v>
      </c>
      <c r="BL15" s="1">
        <v>7.7901403746215292E-5</v>
      </c>
      <c r="BM15" s="1">
        <v>-6.2598394572544819E-2</v>
      </c>
      <c r="BN15" s="1">
        <v>-6.6054035225581897E-2</v>
      </c>
      <c r="BO15" s="1">
        <v>1.6589443526158851E-2</v>
      </c>
      <c r="BP15" s="1">
        <v>5.1616854472064641E-2</v>
      </c>
      <c r="BQ15" s="1">
        <v>2.4671362176155509E-2</v>
      </c>
      <c r="BR15" s="1">
        <v>-1.942202458436474E-2</v>
      </c>
      <c r="BS15" s="1">
        <v>7.5076314346836079E-2</v>
      </c>
      <c r="BT15" s="1">
        <v>-3.6633666195559952E-2</v>
      </c>
      <c r="BU15" s="1">
        <v>-8.5545733721440226E-2</v>
      </c>
      <c r="BV15" s="1">
        <v>9.8057385426206595E-2</v>
      </c>
      <c r="BW15" s="1">
        <v>0.20414583935248479</v>
      </c>
      <c r="BX15" s="1">
        <v>2.3949431437341431E-2</v>
      </c>
      <c r="BY15" s="1">
        <v>-9.333839246383685E-2</v>
      </c>
      <c r="BZ15" s="1">
        <v>6.7359763281512192E-2</v>
      </c>
      <c r="CA15" s="1">
        <v>2.9964009225077439E-2</v>
      </c>
      <c r="CB15" s="1">
        <v>0.13109140278406139</v>
      </c>
      <c r="CC15" s="1">
        <v>0.17365170572211991</v>
      </c>
      <c r="CD15" s="1">
        <v>8.9094519675820161E-2</v>
      </c>
      <c r="CE15" s="1">
        <v>7.3368120048450503E-2</v>
      </c>
      <c r="CF15" s="1">
        <v>-3.626816930322469E-3</v>
      </c>
      <c r="CG15" s="1">
        <v>0.2257312272651272</v>
      </c>
      <c r="CH15" s="1">
        <v>-3.997822454127796E-2</v>
      </c>
      <c r="CI15" s="1">
        <v>-6.9336844735236963E-2</v>
      </c>
      <c r="CJ15" s="1">
        <v>7.3826303974063867E-3</v>
      </c>
      <c r="CK15" s="1">
        <v>3.4280211483066668E-2</v>
      </c>
      <c r="CL15" s="1">
        <v>0.21275088750665541</v>
      </c>
      <c r="CM15" s="1">
        <v>-0.1081197557129227</v>
      </c>
      <c r="CN15" s="1">
        <v>2.171349101014915E-4</v>
      </c>
      <c r="CO15" s="1">
        <v>0.17335998923904941</v>
      </c>
      <c r="CP15" s="1">
        <v>-3.4393214794909137E-2</v>
      </c>
      <c r="CQ15" s="1">
        <v>0.13960361925898909</v>
      </c>
      <c r="CR15" s="1">
        <v>2.4374318697755349E-2</v>
      </c>
      <c r="CS15" s="1">
        <v>1.6910986704255612E-2</v>
      </c>
      <c r="CT15" s="1">
        <v>-7.3945749754547726E-3</v>
      </c>
      <c r="CU15" s="1">
        <v>0.153863675501306</v>
      </c>
      <c r="CV15" s="1">
        <v>6.0444495689389928E-2</v>
      </c>
      <c r="CW15" s="1">
        <v>-2.7257441545493911E-2</v>
      </c>
      <c r="CX15" s="1">
        <v>1.7868891816779579E-2</v>
      </c>
      <c r="CY15" s="1">
        <v>5.5732710824827947E-2</v>
      </c>
      <c r="CZ15" s="1">
        <v>0.1153640450929759</v>
      </c>
      <c r="DA15" s="1">
        <v>8.8862212197355878E-2</v>
      </c>
      <c r="DB15" s="1">
        <v>9.7048241525465193E-2</v>
      </c>
      <c r="DC15" s="1">
        <v>7.6727024332969171E-2</v>
      </c>
      <c r="DD15" s="1">
        <v>-6.7526409067735202E-2</v>
      </c>
      <c r="DE15" s="1">
        <v>-6.5608102400593851E-2</v>
      </c>
      <c r="DF15" s="1">
        <v>0.30272044964278222</v>
      </c>
      <c r="DG15" s="1">
        <v>-4.7917484974342339E-2</v>
      </c>
      <c r="DH15" s="1">
        <v>-1.8709011043892099E-2</v>
      </c>
      <c r="DI15" s="1">
        <v>-1.171844900945769E-2</v>
      </c>
      <c r="DJ15" s="1">
        <v>-5.1522810823404298E-2</v>
      </c>
      <c r="DK15" s="1">
        <v>-0.1003289268680829</v>
      </c>
      <c r="DL15" s="1">
        <v>7.7378337781703003E-3</v>
      </c>
      <c r="DM15" s="1">
        <v>1.773264737208499E-3</v>
      </c>
      <c r="DN15" s="1">
        <v>-6.7022569228543022E-2</v>
      </c>
      <c r="DO15" s="1">
        <v>0.15954541135927219</v>
      </c>
      <c r="DP15" s="1">
        <v>-4.0330192791233468E-2</v>
      </c>
      <c r="DQ15" s="1">
        <v>-7.2938079904142805E-2</v>
      </c>
      <c r="DR15" s="1">
        <v>-2.2035264994874001E-2</v>
      </c>
      <c r="DS15" s="1">
        <v>3.7530143777968331E-2</v>
      </c>
      <c r="DT15" s="1">
        <v>3.4296398911167342E-2</v>
      </c>
      <c r="DU15" s="1">
        <v>-0.1171276535106479</v>
      </c>
      <c r="DV15" s="1">
        <v>5.1127000244827102E-2</v>
      </c>
      <c r="DW15" s="1">
        <v>-6.0826326337380818E-2</v>
      </c>
      <c r="DX15" s="1">
        <v>-0.1186162506499864</v>
      </c>
      <c r="DY15" s="1">
        <v>0.10653916660100959</v>
      </c>
      <c r="DZ15" s="1">
        <v>4.0455653304009277E-2</v>
      </c>
      <c r="EA15" s="1">
        <v>0.10917693290987859</v>
      </c>
      <c r="EB15" s="1">
        <v>-5.6126480267324717E-2</v>
      </c>
      <c r="EC15" s="1">
        <v>-1.7785518394724049E-2</v>
      </c>
      <c r="ED15" s="1">
        <v>-7.238331929292896E-2</v>
      </c>
      <c r="EE15" s="1">
        <v>-3.1907205015268242E-3</v>
      </c>
      <c r="EF15" s="1">
        <v>6.2208305239075959E-2</v>
      </c>
      <c r="EG15" s="61">
        <f t="shared" si="10"/>
        <v>1.8493192277859567E-2</v>
      </c>
      <c r="EH15" s="59">
        <f t="shared" si="11"/>
        <v>8.5245927845139652E-2</v>
      </c>
      <c r="EI15" s="72">
        <f t="shared" si="12"/>
        <v>0.21693930426160488</v>
      </c>
    </row>
    <row r="16" spans="1:139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6.500657711132822E-2</v>
      </c>
      <c r="F16" s="9">
        <v>-9.9382492855487087E-2</v>
      </c>
      <c r="G16" s="9">
        <v>-7.3696265126923857E-2</v>
      </c>
      <c r="H16" s="9">
        <v>7.2848056287647484E-2</v>
      </c>
      <c r="I16" s="9">
        <v>0.11179230197990719</v>
      </c>
      <c r="J16" s="9">
        <v>-6.869403325322769E-2</v>
      </c>
      <c r="K16" s="9">
        <v>1.79251045182631E-2</v>
      </c>
      <c r="L16" s="2">
        <v>9.8865345878687977E-3</v>
      </c>
      <c r="M16" s="2">
        <v>-0.1948764049423935</v>
      </c>
      <c r="N16" s="2">
        <v>0.36698760912258638</v>
      </c>
      <c r="O16" s="1">
        <v>-1.562109222531044E-2</v>
      </c>
      <c r="P16" s="1">
        <v>6.1979735280907847E-2</v>
      </c>
      <c r="Q16" s="1">
        <v>-9.6618173174909727E-2</v>
      </c>
      <c r="R16" s="1">
        <v>1.9182762255635071E-2</v>
      </c>
      <c r="S16" s="1">
        <v>-4.241518321095411E-2</v>
      </c>
      <c r="T16" s="1">
        <v>-2.322678494413952E-2</v>
      </c>
      <c r="U16" s="1">
        <v>0.1300624714297445</v>
      </c>
      <c r="V16" s="1">
        <v>-0.1043161756014417</v>
      </c>
      <c r="W16" s="1">
        <v>7.8373488027637842E-2</v>
      </c>
      <c r="X16" s="1">
        <v>-7.3678277657467109E-2</v>
      </c>
      <c r="Y16" s="1">
        <v>-4.2874470917364169E-3</v>
      </c>
      <c r="Z16" s="1">
        <v>-2.0075794878424799E-2</v>
      </c>
      <c r="AA16" s="1">
        <v>5.022552686591434E-2</v>
      </c>
      <c r="AB16" s="1">
        <v>-7.1016126417337094E-2</v>
      </c>
      <c r="AC16" s="1">
        <v>-4.1040522709083073E-2</v>
      </c>
      <c r="AD16" s="1">
        <v>3.481117185725148E-2</v>
      </c>
      <c r="AE16" s="1">
        <v>5.1534991881901908E-2</v>
      </c>
      <c r="AF16" s="1">
        <v>-1.5008623012342881E-2</v>
      </c>
      <c r="AG16" s="1">
        <v>-8.3019076028860647E-3</v>
      </c>
      <c r="AH16" s="1">
        <v>-4.4107019023009487E-2</v>
      </c>
      <c r="AI16" s="1">
        <v>4.907804317656804E-2</v>
      </c>
      <c r="AJ16" s="1">
        <v>-1.7629241723035149E-2</v>
      </c>
      <c r="AK16" s="1">
        <v>6.4421400832372078E-2</v>
      </c>
      <c r="AL16" s="1">
        <v>-1.4472511517458609E-2</v>
      </c>
      <c r="AM16" s="1">
        <v>2.3733533599768802E-2</v>
      </c>
      <c r="AN16" s="1">
        <v>-5.2712143495019431E-2</v>
      </c>
      <c r="AO16" s="1">
        <v>4.0042671478003652E-2</v>
      </c>
      <c r="AP16" s="1">
        <v>5.239889563344962E-3</v>
      </c>
      <c r="AQ16" s="1">
        <v>-2.4036053854552351E-2</v>
      </c>
      <c r="AR16" s="1">
        <v>3.2492759720063692E-2</v>
      </c>
      <c r="AS16" s="1">
        <v>-2.8079705152361089E-2</v>
      </c>
      <c r="AT16" s="1">
        <v>3.9394693801166024E-3</v>
      </c>
      <c r="AU16" s="1">
        <v>0.17023588881714</v>
      </c>
      <c r="AV16" s="1">
        <v>2.360887634805886E-2</v>
      </c>
      <c r="AW16" s="1">
        <v>9.3057992548748608E-2</v>
      </c>
      <c r="AX16" s="1">
        <v>-6.8578552128263116E-3</v>
      </c>
      <c r="AY16" s="1">
        <v>-3.4673712182930458E-2</v>
      </c>
      <c r="AZ16" s="1">
        <v>4.6826876003376768E-2</v>
      </c>
      <c r="BA16" s="1">
        <v>0.15999070017462089</v>
      </c>
      <c r="BB16" s="1">
        <v>0.1324747375965718</v>
      </c>
      <c r="BC16" s="1">
        <v>6.6102245099688817E-2</v>
      </c>
      <c r="BD16" s="1">
        <v>-1.6936217924359391E-2</v>
      </c>
      <c r="BE16" s="1">
        <v>-4.4139136640068882E-2</v>
      </c>
      <c r="BF16" s="1">
        <v>-5.4584963205786277E-2</v>
      </c>
      <c r="BG16" s="1">
        <v>1.9331206971702371E-2</v>
      </c>
      <c r="BH16" s="1">
        <v>-6.204002555156761E-2</v>
      </c>
      <c r="BI16" s="1">
        <v>2.5620093923557338E-2</v>
      </c>
      <c r="BJ16" s="1">
        <v>2.0503816283207601E-2</v>
      </c>
      <c r="BK16" s="1">
        <v>0.1047732029205687</v>
      </c>
      <c r="BL16" s="1">
        <v>-8.4142573937307022E-3</v>
      </c>
      <c r="BM16" s="1">
        <v>-6.9805825252800505E-2</v>
      </c>
      <c r="BN16" s="1">
        <v>-6.7197970404689056E-2</v>
      </c>
      <c r="BO16" s="1">
        <v>1.5960318994735909E-2</v>
      </c>
      <c r="BP16" s="1">
        <v>5.7750060680455823E-2</v>
      </c>
      <c r="BQ16" s="1">
        <v>2.7863422720998929E-2</v>
      </c>
      <c r="BR16" s="1">
        <v>1.225934906365117E-2</v>
      </c>
      <c r="BS16" s="1">
        <v>7.8982186965389278E-2</v>
      </c>
      <c r="BT16" s="1">
        <v>-3.8066078212245447E-2</v>
      </c>
      <c r="BU16" s="1">
        <v>-0.1015365742283048</v>
      </c>
      <c r="BV16" s="1">
        <v>9.4510468466925304E-2</v>
      </c>
      <c r="BW16" s="1">
        <v>0.2239449140016582</v>
      </c>
      <c r="BX16" s="1">
        <v>2.4078271829347249E-2</v>
      </c>
      <c r="BY16" s="1">
        <v>-0.1189947080532785</v>
      </c>
      <c r="BZ16" s="1">
        <v>9.2629007141227654E-2</v>
      </c>
      <c r="CA16" s="1">
        <v>2.7432169651693931E-2</v>
      </c>
      <c r="CB16" s="1">
        <v>0.13930873593333401</v>
      </c>
      <c r="CC16" s="1">
        <v>4.4388153170205821E-2</v>
      </c>
      <c r="CD16" s="1">
        <v>8.7751090265593801E-2</v>
      </c>
      <c r="CE16" s="1">
        <v>9.3614230467915741E-2</v>
      </c>
      <c r="CF16" s="1">
        <v>-1.4696062966429431E-2</v>
      </c>
      <c r="CG16" s="1">
        <v>0.14619604002614181</v>
      </c>
      <c r="CH16" s="1">
        <v>-1.8520265261891659E-2</v>
      </c>
      <c r="CI16" s="1">
        <v>-5.8344749844507937E-2</v>
      </c>
      <c r="CJ16" s="1">
        <v>2.7800423322971151E-2</v>
      </c>
      <c r="CK16" s="1">
        <v>7.0731880516684026E-2</v>
      </c>
      <c r="CL16" s="1">
        <v>0.24393815656542189</v>
      </c>
      <c r="CM16" s="1">
        <v>-0.11305583839137461</v>
      </c>
      <c r="CN16" s="1">
        <v>9.609047784022209E-3</v>
      </c>
      <c r="CO16" s="1">
        <v>0.20954751845975189</v>
      </c>
      <c r="CP16" s="1">
        <v>-3.0684438881901852E-2</v>
      </c>
      <c r="CQ16" s="1">
        <v>0.16844978460392601</v>
      </c>
      <c r="CR16" s="1">
        <v>2.5228656512159529E-2</v>
      </c>
      <c r="CS16" s="1">
        <v>2.1807008909622099E-2</v>
      </c>
      <c r="CT16" s="1">
        <v>-5.0674065008409694E-3</v>
      </c>
      <c r="CU16" s="1">
        <v>0.15404572660642751</v>
      </c>
      <c r="CV16" s="1">
        <v>5.9453992785835942E-2</v>
      </c>
      <c r="CW16" s="1">
        <v>-3.1673114171682698E-2</v>
      </c>
      <c r="CX16" s="1">
        <v>6.6867776782281244E-3</v>
      </c>
      <c r="CY16" s="1">
        <v>5.8554306171252721E-2</v>
      </c>
      <c r="CZ16" s="1">
        <v>0.16621831718246161</v>
      </c>
      <c r="DA16" s="1">
        <v>0.1181813303624494</v>
      </c>
      <c r="DB16" s="1">
        <v>9.8017282885796683E-2</v>
      </c>
      <c r="DC16" s="1">
        <v>6.3740658508044973E-2</v>
      </c>
      <c r="DD16" s="1">
        <v>-7.4371115002597243E-2</v>
      </c>
      <c r="DE16" s="1">
        <v>-5.632591307750956E-2</v>
      </c>
      <c r="DF16" s="1">
        <v>0.32557955091715263</v>
      </c>
      <c r="DG16" s="1">
        <v>-4.5676915028892429E-2</v>
      </c>
      <c r="DH16" s="1">
        <v>-1.9129343417971109E-2</v>
      </c>
      <c r="DI16" s="1">
        <v>-1.323342571252226E-2</v>
      </c>
      <c r="DJ16" s="1">
        <v>-3.66431427315837E-2</v>
      </c>
      <c r="DK16" s="1">
        <v>-9.6254624799197414E-2</v>
      </c>
      <c r="DL16" s="1">
        <v>1.365972087922711E-3</v>
      </c>
      <c r="DM16" s="1">
        <v>3.8134995560551693E-2</v>
      </c>
      <c r="DN16" s="1">
        <v>-5.6707576938316691E-2</v>
      </c>
      <c r="DO16" s="1">
        <v>0.16959094638807429</v>
      </c>
      <c r="DP16" s="1">
        <v>-2.4716583377735541E-2</v>
      </c>
      <c r="DQ16" s="1">
        <v>-6.7560519945635999E-2</v>
      </c>
      <c r="DR16" s="1">
        <v>-1.11781676491013E-2</v>
      </c>
      <c r="DS16" s="1">
        <v>2.144067271249302E-2</v>
      </c>
      <c r="DT16" s="1">
        <v>3.2059492153239763E-2</v>
      </c>
      <c r="DU16" s="1">
        <v>-0.1227720465229642</v>
      </c>
      <c r="DV16" s="1">
        <v>4.5148984409387249E-2</v>
      </c>
      <c r="DW16" s="1">
        <v>-7.1302574123356402E-2</v>
      </c>
      <c r="DX16" s="1">
        <v>-0.1252847063239774</v>
      </c>
      <c r="DY16" s="1">
        <v>0.11635433491034319</v>
      </c>
      <c r="DZ16" s="1">
        <v>5.8810748191046001E-2</v>
      </c>
      <c r="EA16" s="1">
        <v>0.13979901874338971</v>
      </c>
      <c r="EB16" s="1">
        <v>-7.0875443779551073E-2</v>
      </c>
      <c r="EC16" s="1">
        <v>-2.493799654212037E-2</v>
      </c>
      <c r="ED16" s="1">
        <v>-8.0284912658833474E-2</v>
      </c>
      <c r="EE16" s="1">
        <v>-4.3966753067597054E-3</v>
      </c>
      <c r="EF16" s="1">
        <v>3.9893906712643798E-2</v>
      </c>
      <c r="EG16" s="61">
        <f t="shared" si="10"/>
        <v>2.0526946945504537E-2</v>
      </c>
      <c r="EH16" s="59">
        <f t="shared" si="11"/>
        <v>8.80004242913483E-2</v>
      </c>
      <c r="EI16" s="72">
        <f t="shared" si="12"/>
        <v>0.2332596360847618</v>
      </c>
    </row>
    <row r="17" spans="1:139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7.9589849390753017E-2</v>
      </c>
      <c r="F17" s="9">
        <v>-0.1128375151172957</v>
      </c>
      <c r="G17" s="9">
        <v>-7.8063040828595276E-2</v>
      </c>
      <c r="H17" s="9">
        <v>0.104994053627741</v>
      </c>
      <c r="I17" s="9">
        <v>6.7489655086341166E-2</v>
      </c>
      <c r="J17" s="9">
        <v>-0.11529907324194991</v>
      </c>
      <c r="K17" s="9">
        <v>3.9444991917733881E-2</v>
      </c>
      <c r="L17" s="2">
        <v>5.4577589303980156E-3</v>
      </c>
      <c r="M17" s="2">
        <v>-0.22694063729232281</v>
      </c>
      <c r="N17" s="2">
        <v>0.40510800893946219</v>
      </c>
      <c r="O17" s="1">
        <v>-2.4632055211945642E-2</v>
      </c>
      <c r="P17" s="1">
        <v>7.6915603502900942E-2</v>
      </c>
      <c r="Q17" s="1">
        <v>-0.1064302532864768</v>
      </c>
      <c r="R17" s="1">
        <v>1.9752512806694429E-3</v>
      </c>
      <c r="S17" s="1">
        <v>-5.51320257379724E-2</v>
      </c>
      <c r="T17" s="1">
        <v>-2.3507588651560989E-2</v>
      </c>
      <c r="U17" s="1">
        <v>0.1417558970831658</v>
      </c>
      <c r="V17" s="1">
        <v>-0.11635630202540009</v>
      </c>
      <c r="W17" s="1">
        <v>7.9141988802017282E-2</v>
      </c>
      <c r="X17" s="1">
        <v>-0.1001859670039883</v>
      </c>
      <c r="Y17" s="1">
        <v>1.500501326537191E-3</v>
      </c>
      <c r="Z17" s="1">
        <v>-2.160848979426638E-2</v>
      </c>
      <c r="AA17" s="1">
        <v>6.2254197086471723E-2</v>
      </c>
      <c r="AB17" s="1">
        <v>-5.8334160690778111E-2</v>
      </c>
      <c r="AC17" s="1">
        <v>-4.0799010987682183E-2</v>
      </c>
      <c r="AD17" s="1">
        <v>6.8619823236846789E-2</v>
      </c>
      <c r="AE17" s="1">
        <v>5.9443499695692369E-2</v>
      </c>
      <c r="AF17" s="1">
        <v>-8.4112432483115646E-3</v>
      </c>
      <c r="AG17" s="1">
        <v>-1.3516708058117981E-3</v>
      </c>
      <c r="AH17" s="1">
        <v>-3.1921450212330872E-2</v>
      </c>
      <c r="AI17" s="1">
        <v>3.058770864151358E-2</v>
      </c>
      <c r="AJ17" s="1">
        <v>-1.02724484118257E-2</v>
      </c>
      <c r="AK17" s="1">
        <v>3.1812485999819867E-2</v>
      </c>
      <c r="AL17" s="1">
        <v>-9.9837333349987543E-3</v>
      </c>
      <c r="AM17" s="1">
        <v>2.786976573177774E-2</v>
      </c>
      <c r="AN17" s="1">
        <v>-4.9360372419014018E-2</v>
      </c>
      <c r="AO17" s="1">
        <v>3.0704028943616561E-2</v>
      </c>
      <c r="AP17" s="1">
        <v>3.7580715888505642E-3</v>
      </c>
      <c r="AQ17" s="1">
        <v>-9.2339934757894315E-3</v>
      </c>
      <c r="AR17" s="1">
        <v>3.4997281035057427E-2</v>
      </c>
      <c r="AS17" s="1">
        <v>-2.9516930075019911E-2</v>
      </c>
      <c r="AT17" s="1">
        <v>1.432681966035524E-3</v>
      </c>
      <c r="AU17" s="1">
        <v>0.17756202574817151</v>
      </c>
      <c r="AV17" s="1">
        <v>2.7563054075277468E-2</v>
      </c>
      <c r="AW17" s="1">
        <v>0.1120018351064727</v>
      </c>
      <c r="AX17" s="1">
        <v>1.059038835448599E-2</v>
      </c>
      <c r="AY17" s="1">
        <v>-3.7171003758517923E-2</v>
      </c>
      <c r="AZ17" s="1">
        <v>4.798043380917294E-2</v>
      </c>
      <c r="BA17" s="1">
        <v>0.1628064098097628</v>
      </c>
      <c r="BB17" s="1">
        <v>0.15327128427838471</v>
      </c>
      <c r="BC17" s="1">
        <v>8.2716571543810222E-2</v>
      </c>
      <c r="BD17" s="1">
        <v>1.347482982462418E-2</v>
      </c>
      <c r="BE17" s="1">
        <v>-1.6297388770544239E-2</v>
      </c>
      <c r="BF17" s="1">
        <v>-1.8337154663690059E-2</v>
      </c>
      <c r="BG17" s="1">
        <v>-1.3153310785772251E-2</v>
      </c>
      <c r="BH17" s="1">
        <v>-4.8737994244788217E-2</v>
      </c>
      <c r="BI17" s="1">
        <v>5.7449623738435422E-2</v>
      </c>
      <c r="BJ17" s="1">
        <v>9.8580642732364818E-3</v>
      </c>
      <c r="BK17" s="1">
        <v>0.11481579199951759</v>
      </c>
      <c r="BL17" s="1">
        <v>7.5736051069474897E-3</v>
      </c>
      <c r="BM17" s="1">
        <v>-7.7967325781843663E-2</v>
      </c>
      <c r="BN17" s="1">
        <v>-7.3656767936365913E-2</v>
      </c>
      <c r="BO17" s="1">
        <v>3.135029868338178E-2</v>
      </c>
      <c r="BP17" s="1">
        <v>6.0638146909917152E-2</v>
      </c>
      <c r="BQ17" s="1">
        <v>4.864259686628479E-2</v>
      </c>
      <c r="BR17" s="1">
        <v>3.5003814974763063E-2</v>
      </c>
      <c r="BS17" s="1">
        <v>6.2448283791966583E-2</v>
      </c>
      <c r="BT17" s="1">
        <v>-3.3647573246358371E-2</v>
      </c>
      <c r="BU17" s="1">
        <v>-0.1045242995328607</v>
      </c>
      <c r="BV17" s="1">
        <v>0.1066439176333919</v>
      </c>
      <c r="BW17" s="1">
        <v>0.22723409350896309</v>
      </c>
      <c r="BX17" s="1">
        <v>7.2009502804254097E-3</v>
      </c>
      <c r="BY17" s="1">
        <v>-9.5860871919991084E-2</v>
      </c>
      <c r="BZ17" s="1">
        <v>0.1069513941657881</v>
      </c>
      <c r="CA17" s="1">
        <v>2.7196784377914691E-2</v>
      </c>
      <c r="CB17" s="1">
        <v>0.1496331576928896</v>
      </c>
      <c r="CC17" s="1">
        <v>4.1760252474235628E-2</v>
      </c>
      <c r="CD17" s="1">
        <v>6.4105945265327313E-2</v>
      </c>
      <c r="CE17" s="1">
        <v>9.5708073661495086E-2</v>
      </c>
      <c r="CF17" s="1">
        <v>-9.5123348938203942E-2</v>
      </c>
      <c r="CG17" s="1">
        <v>0.17703460732335141</v>
      </c>
      <c r="CH17" s="1">
        <v>-2.2753338893504119E-2</v>
      </c>
      <c r="CI17" s="1">
        <v>-8.2452914320057163E-2</v>
      </c>
      <c r="CJ17" s="1">
        <v>3.8321941492216682E-2</v>
      </c>
      <c r="CK17" s="1">
        <v>7.5742961806762446E-2</v>
      </c>
      <c r="CL17" s="1">
        <v>0.28717909798135349</v>
      </c>
      <c r="CM17" s="1">
        <v>-9.5493870816553639E-2</v>
      </c>
      <c r="CN17" s="1">
        <v>1.363062371400074E-2</v>
      </c>
      <c r="CO17" s="1">
        <v>0.19808041988978861</v>
      </c>
      <c r="CP17" s="1">
        <v>-2.1609528917710528E-2</v>
      </c>
      <c r="CQ17" s="1">
        <v>0.17312915833239451</v>
      </c>
      <c r="CR17" s="1">
        <v>2.3005829537998311E-2</v>
      </c>
      <c r="CS17" s="1">
        <v>1.1545515717005199E-2</v>
      </c>
      <c r="CT17" s="1">
        <v>-4.9260056389193077E-2</v>
      </c>
      <c r="CU17" s="1">
        <v>5.1107962816124362E-2</v>
      </c>
      <c r="CV17" s="1">
        <v>6.7891017071279439E-2</v>
      </c>
      <c r="CW17" s="1">
        <v>-2.3155844814847809E-2</v>
      </c>
      <c r="CX17" s="1">
        <v>2.4992449205521659E-2</v>
      </c>
      <c r="CY17" s="1">
        <v>5.9497951859822741E-2</v>
      </c>
      <c r="CZ17" s="1">
        <v>0.18413320062612309</v>
      </c>
      <c r="DA17" s="1">
        <v>9.4496399219490587E-2</v>
      </c>
      <c r="DB17" s="1">
        <v>0.1042716259030833</v>
      </c>
      <c r="DC17" s="1">
        <v>5.3888321948882503E-2</v>
      </c>
      <c r="DD17" s="1">
        <v>-4.8130589338511678E-2</v>
      </c>
      <c r="DE17" s="1">
        <v>-5.1666263067068223E-2</v>
      </c>
      <c r="DF17" s="1">
        <v>0.35222555427147212</v>
      </c>
      <c r="DG17" s="1">
        <v>-4.7210988428523781E-2</v>
      </c>
      <c r="DH17" s="1">
        <v>-3.8726650938012717E-2</v>
      </c>
      <c r="DI17" s="1">
        <v>-5.2932443237824409E-3</v>
      </c>
      <c r="DJ17" s="1">
        <v>-4.5336157540819967E-2</v>
      </c>
      <c r="DK17" s="1">
        <v>-0.1027812687483064</v>
      </c>
      <c r="DL17" s="1">
        <v>-5.7903457454932094E-3</v>
      </c>
      <c r="DM17" s="1">
        <v>4.2563608711752209E-2</v>
      </c>
      <c r="DN17" s="1">
        <v>-6.0629182792548447E-2</v>
      </c>
      <c r="DO17" s="1">
        <v>0.17976292609872879</v>
      </c>
      <c r="DP17" s="1">
        <v>-2.509743000805471E-2</v>
      </c>
      <c r="DQ17" s="1">
        <v>-6.5244348133762259E-2</v>
      </c>
      <c r="DR17" s="1">
        <v>-2.572643946627351E-2</v>
      </c>
      <c r="DS17" s="1">
        <v>3.7354088755102308E-2</v>
      </c>
      <c r="DT17" s="1">
        <v>1.674318991919271E-2</v>
      </c>
      <c r="DU17" s="1">
        <v>-0.12949295631998961</v>
      </c>
      <c r="DV17" s="1">
        <v>6.2269791498047573E-2</v>
      </c>
      <c r="DW17" s="1">
        <v>-7.659891303599646E-2</v>
      </c>
      <c r="DX17" s="1">
        <v>-0.12953898259647401</v>
      </c>
      <c r="DY17" s="1">
        <v>0.1031206782681542</v>
      </c>
      <c r="DZ17" s="1">
        <v>4.9212629169808252E-2</v>
      </c>
      <c r="EA17" s="1">
        <v>0.1645715232321148</v>
      </c>
      <c r="EB17" s="1">
        <v>-7.3780969717652869E-2</v>
      </c>
      <c r="EC17" s="1">
        <v>-2.0361159093761828E-2</v>
      </c>
      <c r="ED17" s="1">
        <v>-8.285562240348486E-2</v>
      </c>
      <c r="EE17" s="1">
        <v>1.9352114607941879E-4</v>
      </c>
      <c r="EF17" s="1">
        <v>4.7709767009851849E-2</v>
      </c>
      <c r="EG17" s="61">
        <f t="shared" si="10"/>
        <v>2.1303568826761911E-2</v>
      </c>
      <c r="EH17" s="59">
        <f t="shared" si="11"/>
        <v>9.3843102896991965E-2</v>
      </c>
      <c r="EI17" s="72">
        <f t="shared" si="12"/>
        <v>0.22701262180286211</v>
      </c>
    </row>
    <row r="18" spans="1:139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5.3439350267724013E-2</v>
      </c>
      <c r="F18" s="9">
        <v>-0.13441437443338569</v>
      </c>
      <c r="G18" s="9">
        <v>-8.0794247020859855E-2</v>
      </c>
      <c r="H18" s="9">
        <v>0.12853956177457129</v>
      </c>
      <c r="I18" s="9">
        <v>5.4952662908801589E-2</v>
      </c>
      <c r="J18" s="9">
        <v>-0.12516179308854181</v>
      </c>
      <c r="K18" s="9">
        <v>3.1586450310913693E-2</v>
      </c>
      <c r="L18" s="2">
        <v>1.298248684698161E-2</v>
      </c>
      <c r="M18" s="2">
        <v>-0.25351319401266048</v>
      </c>
      <c r="N18" s="2">
        <v>0.46182001807061318</v>
      </c>
      <c r="O18" s="1">
        <v>-2.432387484281975E-2</v>
      </c>
      <c r="P18" s="1">
        <v>5.4569613110984121E-2</v>
      </c>
      <c r="Q18" s="1">
        <v>-0.12173637166463511</v>
      </c>
      <c r="R18" s="1">
        <v>1.9326198926856369E-2</v>
      </c>
      <c r="S18" s="1">
        <v>-6.9013340393708683E-2</v>
      </c>
      <c r="T18" s="1">
        <v>-5.0281401732647129E-3</v>
      </c>
      <c r="U18" s="1">
        <v>0.132495024429819</v>
      </c>
      <c r="V18" s="1">
        <v>-0.13125392693944099</v>
      </c>
      <c r="W18" s="1">
        <v>7.7296280059738612E-2</v>
      </c>
      <c r="X18" s="1">
        <v>-0.1271228086254903</v>
      </c>
      <c r="Y18" s="1">
        <v>2.421380772058089E-2</v>
      </c>
      <c r="Z18" s="1">
        <v>-1.690571618738388E-2</v>
      </c>
      <c r="AA18" s="1">
        <v>5.4804497980215187E-2</v>
      </c>
      <c r="AB18" s="1">
        <v>-6.1713850673723439E-2</v>
      </c>
      <c r="AC18" s="1">
        <v>-7.4719823379266678E-2</v>
      </c>
      <c r="AD18" s="1">
        <v>9.6285845185419314E-2</v>
      </c>
      <c r="AE18" s="1">
        <v>7.7201591618879711E-2</v>
      </c>
      <c r="AF18" s="1">
        <v>1.751491948521124E-3</v>
      </c>
      <c r="AG18" s="1">
        <v>-8.6183643801437219E-3</v>
      </c>
      <c r="AH18" s="1">
        <v>-3.591323041590648E-2</v>
      </c>
      <c r="AI18" s="1">
        <v>4.6855541353756032E-2</v>
      </c>
      <c r="AJ18" s="1">
        <v>-7.3274438891894889E-3</v>
      </c>
      <c r="AK18" s="1">
        <v>-2.1874809686740931E-3</v>
      </c>
      <c r="AL18" s="1">
        <v>-8.5555505437218517E-4</v>
      </c>
      <c r="AM18" s="1">
        <v>9.8597345169118208E-3</v>
      </c>
      <c r="AN18" s="1">
        <v>-5.3661578264684401E-2</v>
      </c>
      <c r="AO18" s="1">
        <v>4.6668950589532437E-2</v>
      </c>
      <c r="AP18" s="1">
        <v>2.0144314479082388E-3</v>
      </c>
      <c r="AQ18" s="1">
        <v>1.6785141569115709E-2</v>
      </c>
      <c r="AR18" s="1">
        <v>6.1694523600781571E-2</v>
      </c>
      <c r="AS18" s="1">
        <v>-4.5375000130498902E-2</v>
      </c>
      <c r="AT18" s="1">
        <v>2.9654325566963909E-2</v>
      </c>
      <c r="AU18" s="1">
        <v>0.1966597311386786</v>
      </c>
      <c r="AV18" s="1">
        <v>3.5057687575876399E-2</v>
      </c>
      <c r="AW18" s="1">
        <v>0.14204195134249811</v>
      </c>
      <c r="AX18" s="1">
        <v>3.3602067775490192E-2</v>
      </c>
      <c r="AY18" s="1">
        <v>-4.2777607907858922E-2</v>
      </c>
      <c r="AZ18" s="1">
        <v>6.6341275737421684E-2</v>
      </c>
      <c r="BA18" s="1">
        <v>0.16410613980892599</v>
      </c>
      <c r="BB18" s="1">
        <v>0.16725801848079261</v>
      </c>
      <c r="BC18" s="1">
        <v>8.3201572593320589E-2</v>
      </c>
      <c r="BD18" s="1">
        <v>3.857350279129606E-3</v>
      </c>
      <c r="BE18" s="1">
        <v>-2.2230541258883942E-2</v>
      </c>
      <c r="BF18" s="1">
        <v>-3.8143151088164323E-2</v>
      </c>
      <c r="BG18" s="1">
        <v>-2.308236889505343E-3</v>
      </c>
      <c r="BH18" s="1">
        <v>-6.2935383825294358E-2</v>
      </c>
      <c r="BI18" s="1">
        <v>3.3487579603792193E-2</v>
      </c>
      <c r="BJ18" s="1">
        <v>-5.9560640504595433E-3</v>
      </c>
      <c r="BK18" s="1">
        <v>7.3455626824005624E-2</v>
      </c>
      <c r="BL18" s="1">
        <v>2.6352779482868838E-2</v>
      </c>
      <c r="BM18" s="1">
        <v>-6.9782332729482255E-2</v>
      </c>
      <c r="BN18" s="1">
        <v>-7.8208699482375382E-2</v>
      </c>
      <c r="BO18" s="1">
        <v>8.4067312683740805E-3</v>
      </c>
      <c r="BP18" s="1">
        <v>6.2463432036451667E-2</v>
      </c>
      <c r="BQ18" s="1">
        <v>5.8284370965313387E-2</v>
      </c>
      <c r="BR18" s="1">
        <v>2.628669627670879E-2</v>
      </c>
      <c r="BS18" s="1">
        <v>8.1735750164719484E-2</v>
      </c>
      <c r="BT18" s="1">
        <v>-1.329915077767777E-2</v>
      </c>
      <c r="BU18" s="1">
        <v>-0.1114615455291026</v>
      </c>
      <c r="BV18" s="1">
        <v>0.11550551871264431</v>
      </c>
      <c r="BW18" s="1">
        <v>0.26103993029855499</v>
      </c>
      <c r="BX18" s="1">
        <v>-1.5811923945792471E-2</v>
      </c>
      <c r="BY18" s="1">
        <v>-6.2686744450084916E-2</v>
      </c>
      <c r="BZ18" s="1">
        <v>0.1098145711266066</v>
      </c>
      <c r="CA18" s="1">
        <v>3.3286164900529089E-2</v>
      </c>
      <c r="CB18" s="1">
        <v>0.1068460604700732</v>
      </c>
      <c r="CC18" s="1">
        <v>0.1046606238416451</v>
      </c>
      <c r="CD18" s="1">
        <v>5.0445794555038302E-2</v>
      </c>
      <c r="CE18" s="1">
        <v>7.7260394878222755E-2</v>
      </c>
      <c r="CF18" s="1">
        <v>-0.101858615532994</v>
      </c>
      <c r="CG18" s="1">
        <v>0.22664140590161991</v>
      </c>
      <c r="CH18" s="1">
        <v>-2.5439162404601409E-2</v>
      </c>
      <c r="CI18" s="1">
        <v>-0.11772540993228391</v>
      </c>
      <c r="CJ18" s="1">
        <v>2.8685006674503851E-2</v>
      </c>
      <c r="CK18" s="1">
        <v>7.3220034109326315E-2</v>
      </c>
      <c r="CL18" s="1">
        <v>0.31710861291846171</v>
      </c>
      <c r="CM18" s="1">
        <v>-0.1027696116279509</v>
      </c>
      <c r="CN18" s="1">
        <v>-2.8617589764474479E-2</v>
      </c>
      <c r="CO18" s="1">
        <v>0.22828208587546131</v>
      </c>
      <c r="CP18" s="1">
        <v>-1.549767197030737E-2</v>
      </c>
      <c r="CQ18" s="1">
        <v>0.20974120742265881</v>
      </c>
      <c r="CR18" s="1">
        <v>3.3743302271192592E-2</v>
      </c>
      <c r="CS18" s="1">
        <v>2.8128560414088639E-2</v>
      </c>
      <c r="CT18" s="1">
        <v>-9.4951029065485665E-2</v>
      </c>
      <c r="CU18" s="1">
        <v>4.7411404821833423E-3</v>
      </c>
      <c r="CV18" s="1">
        <v>6.8594139646989599E-2</v>
      </c>
      <c r="CW18" s="1">
        <v>-2.8328256584809738E-2</v>
      </c>
      <c r="CX18" s="1">
        <v>-1.40787475802823E-2</v>
      </c>
      <c r="CY18" s="1">
        <v>7.1432458912374111E-2</v>
      </c>
      <c r="CZ18" s="1">
        <v>0.2044103385591152</v>
      </c>
      <c r="DA18" s="1">
        <v>7.8358630907432503E-2</v>
      </c>
      <c r="DB18" s="1">
        <v>0.1181147182852117</v>
      </c>
      <c r="DC18" s="1">
        <v>4.9208867424112533E-2</v>
      </c>
      <c r="DD18" s="1">
        <v>-7.1071299907563223E-2</v>
      </c>
      <c r="DE18" s="1">
        <v>-3.9307075046500328E-2</v>
      </c>
      <c r="DF18" s="1">
        <v>0.36669200961401482</v>
      </c>
      <c r="DG18" s="1">
        <v>-5.4770484126873797E-2</v>
      </c>
      <c r="DH18" s="1">
        <v>-2.8038013248649029E-2</v>
      </c>
      <c r="DI18" s="1">
        <v>-1.6114629238026808E-2</v>
      </c>
      <c r="DJ18" s="1">
        <v>-4.5204039785289522E-2</v>
      </c>
      <c r="DK18" s="1">
        <v>-0.1065272620024338</v>
      </c>
      <c r="DL18" s="1">
        <v>-2.3410528135820521E-2</v>
      </c>
      <c r="DM18" s="1">
        <v>5.8457164290175813E-2</v>
      </c>
      <c r="DN18" s="1">
        <v>-5.6875260341834342E-2</v>
      </c>
      <c r="DO18" s="1">
        <v>0.22032021179129849</v>
      </c>
      <c r="DP18" s="1">
        <v>-2.151033475949439E-2</v>
      </c>
      <c r="DQ18" s="1">
        <v>-6.1955528967367397E-2</v>
      </c>
      <c r="DR18" s="1">
        <v>-1.045124881951652E-2</v>
      </c>
      <c r="DS18" s="1">
        <v>1.1277982255682851E-2</v>
      </c>
      <c r="DT18" s="1">
        <v>-7.4073899594950176E-3</v>
      </c>
      <c r="DU18" s="1">
        <v>-0.15871482271667761</v>
      </c>
      <c r="DV18" s="1">
        <v>8.5403284315402297E-2</v>
      </c>
      <c r="DW18" s="1">
        <v>-6.8636949952117263E-2</v>
      </c>
      <c r="DX18" s="1">
        <v>-0.1536029774624818</v>
      </c>
      <c r="DY18" s="1">
        <v>9.7428036975949608E-2</v>
      </c>
      <c r="DZ18" s="1">
        <v>5.4630374156582083E-2</v>
      </c>
      <c r="EA18" s="1">
        <v>0.19894574816433719</v>
      </c>
      <c r="EB18" s="1">
        <v>-9.7042689542278932E-2</v>
      </c>
      <c r="EC18" s="1">
        <v>-1.9600515916961631E-2</v>
      </c>
      <c r="ED18" s="1">
        <v>-8.0269196127523076E-2</v>
      </c>
      <c r="EE18" s="1">
        <v>-1.111287672357628E-3</v>
      </c>
      <c r="EF18" s="1">
        <v>4.8955017110416547E-2</v>
      </c>
      <c r="EG18" s="61">
        <f t="shared" si="10"/>
        <v>2.1682235090879062E-2</v>
      </c>
      <c r="EH18" s="59">
        <f t="shared" si="11"/>
        <v>0.10419511333796176</v>
      </c>
      <c r="EI18" s="72">
        <f t="shared" si="12"/>
        <v>0.20809262926325259</v>
      </c>
    </row>
    <row r="19" spans="1:139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4.4403931966815142E-2</v>
      </c>
      <c r="F19" s="9">
        <v>-3.864668188624408E-2</v>
      </c>
      <c r="G19" s="9">
        <v>-9.7512090561600123E-2</v>
      </c>
      <c r="H19" s="9">
        <v>0.17761031882265199</v>
      </c>
      <c r="I19" s="9">
        <v>4.746340533639954E-2</v>
      </c>
      <c r="J19" s="9">
        <v>-0.15623035308620389</v>
      </c>
      <c r="K19" s="9">
        <v>5.6540969561565207E-2</v>
      </c>
      <c r="L19" s="2">
        <v>4.4544214914161627E-2</v>
      </c>
      <c r="M19" s="2">
        <v>-0.26154184231498678</v>
      </c>
      <c r="N19" s="2">
        <v>0.53237403768824121</v>
      </c>
      <c r="O19" s="1">
        <v>1.9797434001384839E-2</v>
      </c>
      <c r="P19" s="1">
        <v>2.2785213112093351E-2</v>
      </c>
      <c r="Q19" s="1">
        <v>-0.17046229208001809</v>
      </c>
      <c r="R19" s="1">
        <v>4.1942629449215993E-2</v>
      </c>
      <c r="S19" s="1">
        <v>-7.8696261313160737E-2</v>
      </c>
      <c r="T19" s="1">
        <v>-0.1095258615359218</v>
      </c>
      <c r="U19" s="1">
        <v>0.11376446779645349</v>
      </c>
      <c r="V19" s="1">
        <v>-0.11868445851892109</v>
      </c>
      <c r="W19" s="1">
        <v>7.2415569319498968E-2</v>
      </c>
      <c r="X19" s="1">
        <v>-0.122923146245717</v>
      </c>
      <c r="Y19" s="1">
        <v>2.406430534505774E-2</v>
      </c>
      <c r="Z19" s="1">
        <v>-2.2223239298902381E-2</v>
      </c>
      <c r="AA19" s="1">
        <v>4.7300121799034582E-2</v>
      </c>
      <c r="AB19" s="1">
        <v>-6.0762351466553767E-2</v>
      </c>
      <c r="AC19" s="1">
        <v>-8.3512866892878637E-2</v>
      </c>
      <c r="AD19" s="1">
        <v>9.5993377798068158E-2</v>
      </c>
      <c r="AE19" s="1">
        <v>0.11523186996306679</v>
      </c>
      <c r="AF19" s="1">
        <v>-2.6256871835687168E-4</v>
      </c>
      <c r="AG19" s="1">
        <v>1.92975452240348E-2</v>
      </c>
      <c r="AH19" s="1">
        <v>-1.6089487774940799E-2</v>
      </c>
      <c r="AI19" s="1">
        <v>8.1770124789496509E-2</v>
      </c>
      <c r="AJ19" s="1">
        <v>1.2167191575980511E-2</v>
      </c>
      <c r="AK19" s="1">
        <v>7.5520425059527104E-3</v>
      </c>
      <c r="AL19" s="1">
        <v>-1.136262181352635E-3</v>
      </c>
      <c r="AM19" s="1">
        <v>1.0533243112243389E-2</v>
      </c>
      <c r="AN19" s="1">
        <v>-6.2111384254486833E-2</v>
      </c>
      <c r="AO19" s="1">
        <v>5.7746407534917388E-2</v>
      </c>
      <c r="AP19" s="1">
        <v>9.7121209416000734E-3</v>
      </c>
      <c r="AQ19" s="1">
        <v>5.4925492373613202E-2</v>
      </c>
      <c r="AR19" s="1">
        <v>7.4616897634658869E-2</v>
      </c>
      <c r="AS19" s="1">
        <v>-3.6882313341916832E-3</v>
      </c>
      <c r="AT19" s="1">
        <v>1.1184592955723931E-2</v>
      </c>
      <c r="AU19" s="1">
        <v>0.23884423839901431</v>
      </c>
      <c r="AV19" s="1">
        <v>4.2677295724337212E-2</v>
      </c>
      <c r="AW19" s="1">
        <v>0.1248618668940835</v>
      </c>
      <c r="AX19" s="1">
        <v>6.4062110230794195E-2</v>
      </c>
      <c r="AY19" s="1">
        <v>-6.0853235361370848E-2</v>
      </c>
      <c r="AZ19" s="1">
        <v>8.4032472273639608E-2</v>
      </c>
      <c r="BA19" s="1">
        <v>0.18699677755478061</v>
      </c>
      <c r="BB19" s="1">
        <v>0.2018019106632078</v>
      </c>
      <c r="BC19" s="1">
        <v>6.4055486346185755E-2</v>
      </c>
      <c r="BD19" s="1">
        <v>-1.4320046775842719E-2</v>
      </c>
      <c r="BE19" s="1">
        <v>-3.0390671068303308E-2</v>
      </c>
      <c r="BF19" s="1">
        <v>-4.9436517218842242E-2</v>
      </c>
      <c r="BG19" s="1">
        <v>9.6322010834132277E-4</v>
      </c>
      <c r="BH19" s="1">
        <v>-5.7134461326532562E-2</v>
      </c>
      <c r="BI19" s="1">
        <v>2.593679500645265E-2</v>
      </c>
      <c r="BJ19" s="1">
        <v>-2.1707301538579211E-2</v>
      </c>
      <c r="BK19" s="1">
        <v>9.7038422945385686E-2</v>
      </c>
      <c r="BL19" s="1">
        <v>2.599646479062228E-2</v>
      </c>
      <c r="BM19" s="1">
        <v>-8.8156796711781754E-2</v>
      </c>
      <c r="BN19" s="1">
        <v>-8.141326020016787E-2</v>
      </c>
      <c r="BO19" s="1">
        <v>-1.8562314440354079E-2</v>
      </c>
      <c r="BP19" s="1">
        <v>1.2410341277600779E-2</v>
      </c>
      <c r="BQ19" s="1">
        <v>-2.1009668466875939E-2</v>
      </c>
      <c r="BR19" s="1">
        <v>2.405985193551358E-2</v>
      </c>
      <c r="BS19" s="1">
        <v>0.1042646322564546</v>
      </c>
      <c r="BT19" s="1">
        <v>1.3193669203137359E-2</v>
      </c>
      <c r="BU19" s="1">
        <v>-0.1241864928119264</v>
      </c>
      <c r="BV19" s="1">
        <v>0.1000852655816153</v>
      </c>
      <c r="BW19" s="1">
        <v>0.29597629583303142</v>
      </c>
      <c r="BX19" s="1">
        <v>-3.6398889558793571E-2</v>
      </c>
      <c r="BY19" s="1">
        <v>-2.7675492411660479E-2</v>
      </c>
      <c r="BZ19" s="1">
        <v>0.14474202182844201</v>
      </c>
      <c r="CA19" s="1">
        <v>3.5609795289398637E-2</v>
      </c>
      <c r="CB19" s="1">
        <v>0.12783820910089719</v>
      </c>
      <c r="CC19" s="1">
        <v>2.2506232898517449E-2</v>
      </c>
      <c r="CD19" s="1">
        <v>8.7664948361316358E-2</v>
      </c>
      <c r="CE19" s="1">
        <v>8.8474858937667905E-2</v>
      </c>
      <c r="CF19" s="1">
        <v>-0.1116984874650168</v>
      </c>
      <c r="CG19" s="1">
        <v>0.2638931335655384</v>
      </c>
      <c r="CH19" s="1">
        <v>-7.5587856576759824E-3</v>
      </c>
      <c r="CI19" s="1">
        <v>-0.16520241227091251</v>
      </c>
      <c r="CJ19" s="1">
        <v>-1.0381871187999281E-3</v>
      </c>
      <c r="CK19" s="1">
        <v>7.4585988672142209E-2</v>
      </c>
      <c r="CL19" s="1">
        <v>0.31115170360423011</v>
      </c>
      <c r="CM19" s="1">
        <v>-0.1102358787373677</v>
      </c>
      <c r="CN19" s="1">
        <v>-1.5943690546336861E-2</v>
      </c>
      <c r="CO19" s="1">
        <v>0.25123563122031478</v>
      </c>
      <c r="CP19" s="1">
        <v>-2.9036521650026521E-2</v>
      </c>
      <c r="CQ19" s="1">
        <v>0.22201357134194111</v>
      </c>
      <c r="CR19" s="1">
        <v>2.4299202463726639E-2</v>
      </c>
      <c r="CS19" s="1">
        <v>4.3774986978304217E-2</v>
      </c>
      <c r="CT19" s="1">
        <v>-0.1226204266300308</v>
      </c>
      <c r="CU19" s="1">
        <v>7.1565657592093327E-3</v>
      </c>
      <c r="CV19" s="1">
        <v>7.6142494479096948E-2</v>
      </c>
      <c r="CW19" s="1">
        <v>-3.2192133387815562E-2</v>
      </c>
      <c r="CX19" s="1">
        <v>1.127594617394229E-3</v>
      </c>
      <c r="CY19" s="1">
        <v>7.3151337307962833E-2</v>
      </c>
      <c r="CZ19" s="1">
        <v>0.1580120007118182</v>
      </c>
      <c r="DA19" s="1">
        <v>7.5182477103680007E-2</v>
      </c>
      <c r="DB19" s="1">
        <v>0.14796184676961621</v>
      </c>
      <c r="DC19" s="1">
        <v>3.0276457178153349E-2</v>
      </c>
      <c r="DD19" s="1">
        <v>-6.3547464152502509E-2</v>
      </c>
      <c r="DE19" s="1">
        <v>-6.00571024957057E-3</v>
      </c>
      <c r="DF19" s="1">
        <v>0.20550174559429629</v>
      </c>
      <c r="DG19" s="1">
        <v>-6.6374264994436313E-2</v>
      </c>
      <c r="DH19" s="1">
        <v>-1.569831294047225E-4</v>
      </c>
      <c r="DI19" s="1">
        <v>3.666424442421171E-3</v>
      </c>
      <c r="DJ19" s="1">
        <v>-4.8514350722976607E-2</v>
      </c>
      <c r="DK19" s="1">
        <v>-0.1214423095104508</v>
      </c>
      <c r="DL19" s="1">
        <v>-2.331354503458705E-2</v>
      </c>
      <c r="DM19" s="1">
        <v>5.7300431238330417E-2</v>
      </c>
      <c r="DN19" s="1">
        <v>-6.4294394334918112E-2</v>
      </c>
      <c r="DO19" s="1">
        <v>0.2492619517097443</v>
      </c>
      <c r="DP19" s="1">
        <v>-4.0024609312920081E-3</v>
      </c>
      <c r="DQ19" s="1">
        <v>-5.0623171449732877E-2</v>
      </c>
      <c r="DR19" s="1">
        <v>-1.7544799275808199E-2</v>
      </c>
      <c r="DS19" s="1">
        <v>-5.6773135189909819E-3</v>
      </c>
      <c r="DT19" s="1">
        <v>-3.0761271922289252E-3</v>
      </c>
      <c r="DU19" s="1">
        <v>-0.15058192195631251</v>
      </c>
      <c r="DV19" s="1">
        <v>3.8124131080943979E-2</v>
      </c>
      <c r="DW19" s="1">
        <v>-0.1012959689486648</v>
      </c>
      <c r="DX19" s="1">
        <v>-0.1383651342381777</v>
      </c>
      <c r="DY19" s="1">
        <v>7.0109577687923127E-2</v>
      </c>
      <c r="DZ19" s="1">
        <v>7.8537947622533175E-2</v>
      </c>
      <c r="EA19" s="1">
        <v>0.23304583030528039</v>
      </c>
      <c r="EB19" s="1">
        <v>-0.1062458580254447</v>
      </c>
      <c r="EC19" s="1">
        <v>-3.1325109885979932E-2</v>
      </c>
      <c r="ED19" s="1">
        <v>-8.6159550798174361E-2</v>
      </c>
      <c r="EE19" s="1">
        <v>7.3065266771277096E-3</v>
      </c>
      <c r="EF19" s="1">
        <v>1.697795487476916E-2</v>
      </c>
      <c r="EG19" s="61">
        <f t="shared" si="10"/>
        <v>2.1949429775139636E-2</v>
      </c>
      <c r="EH19" s="59">
        <f t="shared" si="11"/>
        <v>0.11007837602487409</v>
      </c>
      <c r="EI19" s="72">
        <f t="shared" si="12"/>
        <v>0.1993981976094904</v>
      </c>
    </row>
    <row r="20" spans="1:139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5.7336350326780597E-2</v>
      </c>
      <c r="F20" s="9">
        <v>-9.1218422172045968E-2</v>
      </c>
      <c r="G20" s="9">
        <v>-0.11160447316731489</v>
      </c>
      <c r="H20" s="9">
        <v>0.14393228225567539</v>
      </c>
      <c r="I20" s="9">
        <v>2.7935541644402932E-2</v>
      </c>
      <c r="J20" s="9">
        <v>-0.13320729307702719</v>
      </c>
      <c r="K20" s="9">
        <v>3.7404684852111583E-2</v>
      </c>
      <c r="L20" s="2">
        <v>9.5708635504535719E-2</v>
      </c>
      <c r="M20" s="2">
        <v>-0.26869382513797629</v>
      </c>
      <c r="N20" s="2">
        <v>0.5000114780094741</v>
      </c>
      <c r="O20" s="1">
        <v>0.1101145251033072</v>
      </c>
      <c r="P20" s="1">
        <v>4.0028494751770102E-2</v>
      </c>
      <c r="Q20" s="1">
        <v>-0.2248248109923951</v>
      </c>
      <c r="R20" s="1">
        <v>6.6469633088856533E-2</v>
      </c>
      <c r="S20" s="1">
        <v>-5.7341082572801211E-2</v>
      </c>
      <c r="T20" s="1">
        <v>-0.1008455330434727</v>
      </c>
      <c r="U20" s="1">
        <v>0.1223290351152112</v>
      </c>
      <c r="V20" s="1">
        <v>-0.13628806336757671</v>
      </c>
      <c r="W20" s="1">
        <v>9.1084869432544818E-2</v>
      </c>
      <c r="X20" s="1">
        <v>-0.15004231162753859</v>
      </c>
      <c r="Y20" s="1">
        <v>-4.8557578603156213E-3</v>
      </c>
      <c r="Z20" s="1">
        <v>2.9157350054346439E-2</v>
      </c>
      <c r="AA20" s="1">
        <v>6.6961978782240111E-2</v>
      </c>
      <c r="AB20" s="1">
        <v>-6.0423624288029942E-2</v>
      </c>
      <c r="AC20" s="1">
        <v>-9.6309042825298966E-2</v>
      </c>
      <c r="AD20" s="1">
        <v>0.12984341871366439</v>
      </c>
      <c r="AE20" s="1">
        <v>1.7311149627037389E-2</v>
      </c>
      <c r="AF20" s="1">
        <v>6.4692814832951473E-3</v>
      </c>
      <c r="AG20" s="1">
        <v>-6.2417403721479496E-3</v>
      </c>
      <c r="AH20" s="1">
        <v>-2.780670227591649E-2</v>
      </c>
      <c r="AI20" s="1">
        <v>7.8154544921168481E-2</v>
      </c>
      <c r="AJ20" s="1">
        <v>1.7241715716101249E-2</v>
      </c>
      <c r="AK20" s="1">
        <v>-1.359511549600285E-2</v>
      </c>
      <c r="AL20" s="1">
        <v>-5.6166263617408981E-3</v>
      </c>
      <c r="AM20" s="1">
        <v>3.2738589298384912E-2</v>
      </c>
      <c r="AN20" s="1">
        <v>3.2916683395994961E-2</v>
      </c>
      <c r="AO20" s="1">
        <v>6.8085456702589392E-2</v>
      </c>
      <c r="AP20" s="1">
        <v>1.26045159631665E-2</v>
      </c>
      <c r="AQ20" s="1">
        <v>-7.2900746140221309E-2</v>
      </c>
      <c r="AR20" s="1">
        <v>1.328927308983413E-2</v>
      </c>
      <c r="AS20" s="1">
        <v>-1.7143829334892779E-2</v>
      </c>
      <c r="AT20" s="1">
        <v>-2.8495391157897132E-3</v>
      </c>
      <c r="AU20" s="1">
        <v>0.28169787258320111</v>
      </c>
      <c r="AV20" s="1">
        <v>7.1473185653933402E-2</v>
      </c>
      <c r="AW20" s="1">
        <v>0.14631084433305</v>
      </c>
      <c r="AX20" s="1">
        <v>8.5886175187610506E-2</v>
      </c>
      <c r="AY20" s="1">
        <v>-6.2285593803070888E-2</v>
      </c>
      <c r="AZ20" s="1">
        <v>9.9804303272323425E-2</v>
      </c>
      <c r="BA20" s="1">
        <v>0.15133772550591279</v>
      </c>
      <c r="BB20" s="1">
        <v>0.2312136261880767</v>
      </c>
      <c r="BC20" s="1">
        <v>7.0605567677740205E-2</v>
      </c>
      <c r="BD20" s="1">
        <v>-1.1308295386238161E-2</v>
      </c>
      <c r="BE20" s="1">
        <v>-3.8466832445436583E-2</v>
      </c>
      <c r="BF20" s="1">
        <v>-5.5216900174269133E-2</v>
      </c>
      <c r="BG20" s="1">
        <v>-5.172719331813868E-2</v>
      </c>
      <c r="BH20" s="1">
        <v>-5.1899277325599007E-2</v>
      </c>
      <c r="BI20" s="1">
        <v>2.3171586640369529E-2</v>
      </c>
      <c r="BJ20" s="1">
        <v>-2.1629511833186621E-2</v>
      </c>
      <c r="BK20" s="1">
        <v>0.11765037240502189</v>
      </c>
      <c r="BL20" s="1">
        <v>1.9783341504224079E-2</v>
      </c>
      <c r="BM20" s="1">
        <v>-5.45559103284224E-2</v>
      </c>
      <c r="BN20" s="1">
        <v>1.8638027253166291E-2</v>
      </c>
      <c r="BO20" s="1">
        <v>-7.6105449457829488E-3</v>
      </c>
      <c r="BP20" s="1">
        <v>-7.2822475063245764E-3</v>
      </c>
      <c r="BQ20" s="1">
        <v>-1.246709149470095E-2</v>
      </c>
      <c r="BR20" s="1">
        <v>1.8188121223676221E-2</v>
      </c>
      <c r="BS20" s="1">
        <v>0.10486012065370739</v>
      </c>
      <c r="BT20" s="1">
        <v>5.2467623281905747E-2</v>
      </c>
      <c r="BU20" s="1">
        <v>-0.14944100404532221</v>
      </c>
      <c r="BV20" s="1">
        <v>0.13370992447700669</v>
      </c>
      <c r="BW20" s="1">
        <v>0.3420426788792848</v>
      </c>
      <c r="BX20" s="1">
        <v>-5.2861421730525368E-2</v>
      </c>
      <c r="BY20" s="1">
        <v>-4.3183482687236242E-2</v>
      </c>
      <c r="BZ20" s="1">
        <v>0.18472508748935221</v>
      </c>
      <c r="CA20" s="1">
        <v>5.0216826091073863E-2</v>
      </c>
      <c r="CB20" s="1">
        <v>0.1264950457700191</v>
      </c>
      <c r="CC20" s="1">
        <v>1.291514747808061E-2</v>
      </c>
      <c r="CD20" s="1">
        <v>9.606464764259523E-2</v>
      </c>
      <c r="CE20" s="1">
        <v>8.5778172602440458E-2</v>
      </c>
      <c r="CF20" s="1">
        <v>-0.1312085557648148</v>
      </c>
      <c r="CG20" s="1">
        <v>0.32193852229938452</v>
      </c>
      <c r="CH20" s="1">
        <v>4.9195223767314333E-2</v>
      </c>
      <c r="CI20" s="1">
        <v>-0.13148573441164721</v>
      </c>
      <c r="CJ20" s="1">
        <v>-1.232383789920124E-2</v>
      </c>
      <c r="CK20" s="1">
        <v>6.2276751541654671E-2</v>
      </c>
      <c r="CL20" s="1">
        <v>0.29793491036415792</v>
      </c>
      <c r="CM20" s="1">
        <v>-9.6775805849237839E-2</v>
      </c>
      <c r="CN20" s="1">
        <v>-1.934797759137534E-2</v>
      </c>
      <c r="CO20" s="1">
        <v>0.29657330510502922</v>
      </c>
      <c r="CP20" s="1">
        <v>7.4243418589798518E-3</v>
      </c>
      <c r="CQ20" s="1">
        <v>8.2519806375350474E-2</v>
      </c>
      <c r="CR20" s="1">
        <v>2.5362552774013961E-2</v>
      </c>
      <c r="CS20" s="1">
        <v>2.2293038159359669E-2</v>
      </c>
      <c r="CT20" s="1">
        <v>-9.0474037414266281E-2</v>
      </c>
      <c r="CU20" s="1">
        <v>1.022289643244023E-2</v>
      </c>
      <c r="CV20" s="1">
        <v>9.7003954321720084E-2</v>
      </c>
      <c r="CW20" s="1">
        <v>-2.5816402571476719E-2</v>
      </c>
      <c r="CX20" s="1">
        <v>9.3861437533022188E-3</v>
      </c>
      <c r="CY20" s="1">
        <v>0.108732838402072</v>
      </c>
      <c r="CZ20" s="1">
        <v>0.12830070160238419</v>
      </c>
      <c r="DA20" s="1">
        <v>7.7081696653549386E-2</v>
      </c>
      <c r="DB20" s="1">
        <v>7.696806977078402E-2</v>
      </c>
      <c r="DC20" s="1">
        <v>2.890116070260346E-2</v>
      </c>
      <c r="DD20" s="1">
        <v>-6.8163012313784327E-2</v>
      </c>
      <c r="DE20" s="1">
        <v>-3.0466569126282001E-2</v>
      </c>
      <c r="DF20" s="1">
        <v>0.24557420527758439</v>
      </c>
      <c r="DG20" s="1">
        <v>-5.2344813299819028E-2</v>
      </c>
      <c r="DH20" s="1">
        <v>-1.097541174252706E-2</v>
      </c>
      <c r="DI20" s="1">
        <v>-7.7575680139924984E-3</v>
      </c>
      <c r="DJ20" s="1">
        <v>-3.9459946268887811E-2</v>
      </c>
      <c r="DK20" s="1">
        <v>-8.5187540020503633E-2</v>
      </c>
      <c r="DL20" s="1">
        <v>1.0186968683304249E-2</v>
      </c>
      <c r="DM20" s="1">
        <v>6.9336106675116957E-2</v>
      </c>
      <c r="DN20" s="1">
        <v>-6.4461202418456584E-2</v>
      </c>
      <c r="DO20" s="1">
        <v>0.25800136345901148</v>
      </c>
      <c r="DP20" s="1">
        <v>-2.167126176510448E-2</v>
      </c>
      <c r="DQ20" s="1">
        <v>-3.8540311084368499E-2</v>
      </c>
      <c r="DR20" s="1">
        <v>-5.5557992226731322E-2</v>
      </c>
      <c r="DS20" s="1">
        <v>-7.4906957537590798E-3</v>
      </c>
      <c r="DT20" s="1">
        <v>4.8293441839824189E-3</v>
      </c>
      <c r="DU20" s="1">
        <v>-0.17637516893039651</v>
      </c>
      <c r="DV20" s="1">
        <v>-3.019289637960447E-2</v>
      </c>
      <c r="DW20" s="1">
        <v>-0.1035461681398053</v>
      </c>
      <c r="DX20" s="1">
        <v>-0.15386632960631469</v>
      </c>
      <c r="DY20" s="1">
        <v>5.3618609351648763E-2</v>
      </c>
      <c r="DZ20" s="1">
        <v>9.0199646158974578E-2</v>
      </c>
      <c r="EA20" s="1">
        <v>0.29368998396417129</v>
      </c>
      <c r="EB20" s="1">
        <v>-0.10631226685028709</v>
      </c>
      <c r="EC20" s="1">
        <v>2.2976412108212281E-2</v>
      </c>
      <c r="ED20" s="1">
        <v>-7.4625657997327538E-2</v>
      </c>
      <c r="EE20" s="1">
        <v>1.7409797518545299E-3</v>
      </c>
      <c r="EF20" s="1">
        <v>2.0281416615907238E-2</v>
      </c>
      <c r="EG20" s="61">
        <f t="shared" si="10"/>
        <v>2.3280392286165352E-2</v>
      </c>
      <c r="EH20" s="59">
        <f t="shared" si="11"/>
        <v>0.11523151466936291</v>
      </c>
      <c r="EI20" s="72">
        <f t="shared" si="12"/>
        <v>0.20203146988880993</v>
      </c>
    </row>
    <row r="21" spans="1:139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-1.3690170285790599E-2</v>
      </c>
      <c r="F21" s="9">
        <v>-5.1097483846408213E-2</v>
      </c>
      <c r="G21" s="9">
        <v>-7.2961380278514509E-3</v>
      </c>
      <c r="H21" s="9">
        <v>0.1621640877938379</v>
      </c>
      <c r="I21" s="9">
        <v>1.4111278480981961E-2</v>
      </c>
      <c r="J21" s="9">
        <v>-0.13674291533985661</v>
      </c>
      <c r="K21" s="9">
        <v>1.4702959601359119E-3</v>
      </c>
      <c r="L21" s="2">
        <v>0.1096796074542299</v>
      </c>
      <c r="M21" s="2">
        <v>-0.19988497469051561</v>
      </c>
      <c r="N21" s="2">
        <v>0.58489126462072527</v>
      </c>
      <c r="O21" s="1">
        <v>0.1392774934469892</v>
      </c>
      <c r="P21" s="1">
        <v>4.5427193017503087E-2</v>
      </c>
      <c r="Q21" s="1">
        <v>-0.27408344527068967</v>
      </c>
      <c r="R21" s="1">
        <v>8.4905231193340591E-2</v>
      </c>
      <c r="S21" s="1">
        <v>-3.656329165669691E-2</v>
      </c>
      <c r="T21" s="1">
        <v>-0.13112036093842719</v>
      </c>
      <c r="U21" s="1">
        <v>8.6278417611758002E-2</v>
      </c>
      <c r="V21" s="1">
        <v>-0.13175048865250241</v>
      </c>
      <c r="W21" s="1">
        <v>0.124498618828508</v>
      </c>
      <c r="X21" s="1">
        <v>-0.20780126735333779</v>
      </c>
      <c r="Y21" s="1">
        <v>-1.014366037320256E-2</v>
      </c>
      <c r="Z21" s="1">
        <v>3.9457715679957053E-2</v>
      </c>
      <c r="AA21" s="1">
        <v>2.8033456192208511E-2</v>
      </c>
      <c r="AB21" s="1">
        <v>-6.5287595030865841E-2</v>
      </c>
      <c r="AC21" s="1">
        <v>-0.15954227246420169</v>
      </c>
      <c r="AD21" s="1">
        <v>0.1288246656475579</v>
      </c>
      <c r="AE21" s="1">
        <v>1.031161069406002E-2</v>
      </c>
      <c r="AF21" s="1">
        <v>3.3566825383980557E-2</v>
      </c>
      <c r="AG21" s="1">
        <v>-1.057075303995837E-2</v>
      </c>
      <c r="AH21" s="1">
        <v>-4.3406382504438977E-2</v>
      </c>
      <c r="AI21" s="1">
        <v>7.9594209333291061E-2</v>
      </c>
      <c r="AJ21" s="1">
        <v>5.1859256457010838E-3</v>
      </c>
      <c r="AK21" s="1">
        <v>-3.064343373743127E-2</v>
      </c>
      <c r="AL21" s="1">
        <v>1.9780813559851541E-2</v>
      </c>
      <c r="AM21" s="1">
        <v>3.671096993441314E-2</v>
      </c>
      <c r="AN21" s="1">
        <v>1.869553259224431E-2</v>
      </c>
      <c r="AO21" s="1">
        <v>9.4985151776199414E-2</v>
      </c>
      <c r="AP21" s="1">
        <v>1.8942378916172939E-2</v>
      </c>
      <c r="AQ21" s="1">
        <v>-6.7199966097465244E-2</v>
      </c>
      <c r="AR21" s="1">
        <v>-4.798814140331014E-2</v>
      </c>
      <c r="AS21" s="1">
        <v>1.7046019964585189E-2</v>
      </c>
      <c r="AT21" s="1">
        <v>-6.3444048411961634E-2</v>
      </c>
      <c r="AU21" s="1">
        <v>0.34648126396342699</v>
      </c>
      <c r="AV21" s="1">
        <v>5.0897567971442279E-2</v>
      </c>
      <c r="AW21" s="1">
        <v>0.17294653270883231</v>
      </c>
      <c r="AX21" s="1">
        <v>6.6006052217483888E-2</v>
      </c>
      <c r="AY21" s="1">
        <v>-0.1188761948249938</v>
      </c>
      <c r="AZ21" s="1">
        <v>0.1085023584146062</v>
      </c>
      <c r="BA21" s="1">
        <v>0.1395926821613267</v>
      </c>
      <c r="BB21" s="1">
        <v>0.29451263697732177</v>
      </c>
      <c r="BC21" s="1">
        <v>3.8321147725193877E-2</v>
      </c>
      <c r="BD21" s="1">
        <v>-3.0287979307913451E-2</v>
      </c>
      <c r="BE21" s="1">
        <v>-4.0588332503811789E-2</v>
      </c>
      <c r="BF21" s="1">
        <v>-6.2289949375188239E-2</v>
      </c>
      <c r="BG21" s="1">
        <v>-7.8525059461954635E-2</v>
      </c>
      <c r="BH21" s="1">
        <v>-6.7916730562062572E-2</v>
      </c>
      <c r="BI21" s="1">
        <v>4.6273768631689999E-2</v>
      </c>
      <c r="BJ21" s="1">
        <v>-2.3579026181717661E-2</v>
      </c>
      <c r="BK21" s="1">
        <v>7.2723114748713999E-2</v>
      </c>
      <c r="BL21" s="1">
        <v>3.752798508045226E-3</v>
      </c>
      <c r="BM21" s="1">
        <v>-9.4970354993302086E-2</v>
      </c>
      <c r="BN21" s="1">
        <v>2.5790766448446922E-2</v>
      </c>
      <c r="BO21" s="1">
        <v>1.50041027098864E-2</v>
      </c>
      <c r="BP21" s="1">
        <v>4.1808023315929119E-3</v>
      </c>
      <c r="BQ21" s="1">
        <v>-4.3304436737006603E-2</v>
      </c>
      <c r="BR21" s="1">
        <v>1.1285397979313499E-2</v>
      </c>
      <c r="BS21" s="1">
        <v>4.6111557361256973E-2</v>
      </c>
      <c r="BT21" s="1">
        <v>6.0820742542524793E-2</v>
      </c>
      <c r="BU21" s="1">
        <v>-0.1707385105504178</v>
      </c>
      <c r="BV21" s="1">
        <v>1.9240488152239291E-2</v>
      </c>
      <c r="BW21" s="1">
        <v>0.4021309158390593</v>
      </c>
      <c r="BX21" s="1">
        <v>-7.7165002520596909E-2</v>
      </c>
      <c r="BY21" s="1">
        <v>-1.491637891683696E-2</v>
      </c>
      <c r="BZ21" s="1">
        <v>0.25140177788258627</v>
      </c>
      <c r="CA21" s="1">
        <v>9.5059433847559396E-2</v>
      </c>
      <c r="CB21" s="1">
        <v>0.2078698479015878</v>
      </c>
      <c r="CC21" s="1">
        <v>-8.0189542709663136E-3</v>
      </c>
      <c r="CD21" s="1">
        <v>8.4423550992515431E-2</v>
      </c>
      <c r="CE21" s="1">
        <v>6.1514882354154247E-2</v>
      </c>
      <c r="CF21" s="1">
        <v>-0.1271704760916082</v>
      </c>
      <c r="CG21" s="1">
        <v>0.32016678338047649</v>
      </c>
      <c r="CH21" s="1">
        <v>-7.1336803883333716E-2</v>
      </c>
      <c r="CI21" s="1">
        <v>-0.123293346411547</v>
      </c>
      <c r="CJ21" s="1">
        <v>-1.1956466840917611E-2</v>
      </c>
      <c r="CK21" s="1">
        <v>8.5636303161818576E-3</v>
      </c>
      <c r="CL21" s="1">
        <v>0.36208375089819639</v>
      </c>
      <c r="CM21" s="1">
        <v>-0.1162318191805591</v>
      </c>
      <c r="CN21" s="1">
        <v>-1.1281919190459261E-2</v>
      </c>
      <c r="CO21" s="1">
        <v>0.3354837581948798</v>
      </c>
      <c r="CP21" s="1">
        <v>-9.625328840339234E-2</v>
      </c>
      <c r="CQ21" s="1">
        <v>-5.9403617018034788E-2</v>
      </c>
      <c r="CR21" s="1">
        <v>1.161578886010306E-2</v>
      </c>
      <c r="CS21" s="1">
        <v>3.0907745682497659E-2</v>
      </c>
      <c r="CT21" s="1">
        <v>-8.2292872854338978E-2</v>
      </c>
      <c r="CU21" s="1">
        <v>1.9973830490846098E-3</v>
      </c>
      <c r="CV21" s="1">
        <v>0.13162753116195661</v>
      </c>
      <c r="CW21" s="1">
        <v>-3.0752481308038811E-2</v>
      </c>
      <c r="CX21" s="1">
        <v>1.339552396105914E-2</v>
      </c>
      <c r="CY21" s="1">
        <v>0.102505161081563</v>
      </c>
      <c r="CZ21" s="1">
        <v>0.1902933866431426</v>
      </c>
      <c r="DA21" s="1">
        <v>4.1709064063925938E-2</v>
      </c>
      <c r="DB21" s="1">
        <v>7.1461213773998111E-2</v>
      </c>
      <c r="DC21" s="1">
        <v>4.8309147365506719E-2</v>
      </c>
      <c r="DD21" s="1">
        <v>-6.7027496200741665E-2</v>
      </c>
      <c r="DE21" s="1">
        <v>-5.4719267994411902E-2</v>
      </c>
      <c r="DF21" s="1">
        <v>0.30115021168204381</v>
      </c>
      <c r="DG21" s="1">
        <v>-5.9409518844913557E-2</v>
      </c>
      <c r="DH21" s="1">
        <v>1.407682021245452E-2</v>
      </c>
      <c r="DI21" s="1">
        <v>3.4407478280179482E-2</v>
      </c>
      <c r="DJ21" s="1">
        <v>-3.7911313190560098E-2</v>
      </c>
      <c r="DK21" s="1">
        <v>-9.0895590906945836E-2</v>
      </c>
      <c r="DL21" s="1">
        <v>3.2208203249560433E-2</v>
      </c>
      <c r="DM21" s="1">
        <v>2.4988802442145672E-2</v>
      </c>
      <c r="DN21" s="1">
        <v>-4.687483536663517E-2</v>
      </c>
      <c r="DO21" s="1">
        <v>0.33162680487864599</v>
      </c>
      <c r="DP21" s="1">
        <v>-3.7108633098233243E-2</v>
      </c>
      <c r="DQ21" s="1">
        <v>-2.821605205239688E-2</v>
      </c>
      <c r="DR21" s="1">
        <v>-5.3556989806694252E-2</v>
      </c>
      <c r="DS21" s="1">
        <v>-1.6720946793213241E-3</v>
      </c>
      <c r="DT21" s="1">
        <v>-9.7086429422632292E-3</v>
      </c>
      <c r="DU21" s="1">
        <v>-0.1486147166384135</v>
      </c>
      <c r="DV21" s="1">
        <v>-4.9664404149365959E-2</v>
      </c>
      <c r="DW21" s="1">
        <v>-0.1035344925963028</v>
      </c>
      <c r="DX21" s="1">
        <v>-0.18596621403118341</v>
      </c>
      <c r="DY21" s="1">
        <v>2.459599553801604E-2</v>
      </c>
      <c r="DZ21" s="1">
        <v>9.893057365990536E-2</v>
      </c>
      <c r="EA21" s="1">
        <v>0.26605683227934601</v>
      </c>
      <c r="EB21" s="1">
        <v>-0.10329555902400769</v>
      </c>
      <c r="EC21" s="1">
        <v>2.7188931609766109E-2</v>
      </c>
      <c r="ED21" s="1">
        <v>-8.2730047503211529E-2</v>
      </c>
      <c r="EE21" s="1">
        <v>-2.1310592307867391E-2</v>
      </c>
      <c r="EF21" s="1">
        <v>-7.9916028560319194E-3</v>
      </c>
      <c r="EG21" s="61">
        <f t="shared" si="10"/>
        <v>2.0122401103907585E-2</v>
      </c>
      <c r="EH21" s="59">
        <f t="shared" si="11"/>
        <v>0.13049947465194464</v>
      </c>
      <c r="EI21" s="73">
        <f t="shared" si="12"/>
        <v>0.15419526521141999</v>
      </c>
    </row>
    <row r="22" spans="1:139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-1.7355098916458981E-2</v>
      </c>
      <c r="F22" s="9">
        <v>-9.7433995578986451E-2</v>
      </c>
      <c r="G22" s="9">
        <v>-3.2954824249798613E-2</v>
      </c>
      <c r="H22" s="9">
        <v>0.1241780629606463</v>
      </c>
      <c r="I22" s="9">
        <v>1.743734320629017E-2</v>
      </c>
      <c r="J22" s="9">
        <v>-0.10425350273662951</v>
      </c>
      <c r="K22" s="9">
        <v>2.8656780116393998E-2</v>
      </c>
      <c r="L22" s="2">
        <v>0.17118335942590121</v>
      </c>
      <c r="M22" s="2">
        <v>-0.18466278734295011</v>
      </c>
      <c r="N22" s="2">
        <v>0.75614344311733894</v>
      </c>
      <c r="O22" s="1">
        <v>6.6442332164954182E-2</v>
      </c>
      <c r="P22" s="1">
        <v>9.0630874426634297E-2</v>
      </c>
      <c r="Q22" s="1">
        <v>-0.12727089023139021</v>
      </c>
      <c r="R22" s="1">
        <v>6.6698292606331602E-2</v>
      </c>
      <c r="S22" s="1">
        <v>-3.9234143537179147E-2</v>
      </c>
      <c r="T22" s="1">
        <v>-0.1048489671566299</v>
      </c>
      <c r="U22" s="1">
        <v>0.11059002340250421</v>
      </c>
      <c r="V22" s="1">
        <v>-0.1756249024704124</v>
      </c>
      <c r="W22" s="1">
        <v>0.1580477531639507</v>
      </c>
      <c r="X22" s="1">
        <v>-0.25720235121349699</v>
      </c>
      <c r="Y22" s="1">
        <v>-6.9853331702800808E-2</v>
      </c>
      <c r="Z22" s="1">
        <v>2.386612179035642E-2</v>
      </c>
      <c r="AA22" s="1">
        <v>0.1181206143698829</v>
      </c>
      <c r="AB22" s="1">
        <v>-3.8274054421571273E-2</v>
      </c>
      <c r="AC22" s="1">
        <v>-0.1772130781488627</v>
      </c>
      <c r="AD22" s="1">
        <v>1.357278877236134E-2</v>
      </c>
      <c r="AE22" s="1">
        <v>-8.514768595770715E-2</v>
      </c>
      <c r="AF22" s="1">
        <v>8.6404239042423531E-2</v>
      </c>
      <c r="AG22" s="1">
        <v>-4.5973813007689088E-2</v>
      </c>
      <c r="AH22" s="1">
        <v>4.8894599402210352E-4</v>
      </c>
      <c r="AI22" s="1">
        <v>9.4141260657386039E-2</v>
      </c>
      <c r="AJ22" s="1">
        <v>1.3081541637357001E-2</v>
      </c>
      <c r="AK22" s="1">
        <v>0.1012885607403957</v>
      </c>
      <c r="AL22" s="1">
        <v>-9.4397384737102564E-3</v>
      </c>
      <c r="AM22" s="1">
        <v>4.1473780125443782E-2</v>
      </c>
      <c r="AN22" s="1">
        <v>3.5264122370512491E-2</v>
      </c>
      <c r="AO22" s="1">
        <v>0.19067277961470569</v>
      </c>
      <c r="AP22" s="1">
        <v>2.0492728517978578E-2</v>
      </c>
      <c r="AQ22" s="1">
        <v>-0.11013171229127849</v>
      </c>
      <c r="AR22" s="1">
        <v>-6.7924487703603389E-2</v>
      </c>
      <c r="AS22" s="1">
        <v>0.16458944034718581</v>
      </c>
      <c r="AT22" s="1">
        <v>1.0736947302628259E-3</v>
      </c>
      <c r="AU22" s="1">
        <v>0.42935378467834612</v>
      </c>
      <c r="AV22" s="1">
        <v>5.9646140173665471E-2</v>
      </c>
      <c r="AW22" s="1">
        <v>0.23220958510370571</v>
      </c>
      <c r="AX22" s="1">
        <v>-0.1077606357745645</v>
      </c>
      <c r="AY22" s="1">
        <v>-0.16372433134556691</v>
      </c>
      <c r="AZ22" s="1">
        <v>0.1551884040435336</v>
      </c>
      <c r="BA22" s="1">
        <v>4.9774957584186978E-2</v>
      </c>
      <c r="BB22" s="1">
        <v>0.36955058329648782</v>
      </c>
      <c r="BC22" s="1">
        <v>-0.13083693812295519</v>
      </c>
      <c r="BD22" s="1">
        <v>-5.8336354641560839E-2</v>
      </c>
      <c r="BE22" s="1">
        <v>-6.8483036868100741E-2</v>
      </c>
      <c r="BF22" s="1">
        <v>-5.4886013754806257E-2</v>
      </c>
      <c r="BG22" s="1">
        <v>-9.617852912963791E-2</v>
      </c>
      <c r="BH22" s="1">
        <v>-7.9934120635503092E-3</v>
      </c>
      <c r="BI22" s="1">
        <v>8.2345467472674225E-2</v>
      </c>
      <c r="BJ22" s="1">
        <v>-5.4996415150720922E-2</v>
      </c>
      <c r="BK22" s="1">
        <v>4.831524105166432E-2</v>
      </c>
      <c r="BL22" s="1">
        <v>1.7863882134281309E-2</v>
      </c>
      <c r="BM22" s="1">
        <v>-0.1209396353275756</v>
      </c>
      <c r="BN22" s="1">
        <v>8.2937899200322518E-2</v>
      </c>
      <c r="BO22" s="1">
        <v>3.8350062963842829E-2</v>
      </c>
      <c r="BP22" s="1">
        <v>5.4100012453170681E-4</v>
      </c>
      <c r="BQ22" s="1">
        <v>-8.214939685951779E-2</v>
      </c>
      <c r="BR22" s="1">
        <v>1.964033086019874E-2</v>
      </c>
      <c r="BS22" s="1">
        <v>5.1914987543122577E-2</v>
      </c>
      <c r="BT22" s="1">
        <v>-8.8726194332783462E-2</v>
      </c>
      <c r="BU22" s="1">
        <v>-0.1043505830823649</v>
      </c>
      <c r="BV22" s="1">
        <v>6.8176016755736729E-4</v>
      </c>
      <c r="BW22" s="1">
        <v>0.42771649646437632</v>
      </c>
      <c r="BX22" s="1">
        <v>-0.1130288989043652</v>
      </c>
      <c r="BY22" s="1">
        <v>3.2352875520499369E-2</v>
      </c>
      <c r="BZ22" s="1">
        <v>0.27962933884715457</v>
      </c>
      <c r="CA22" s="1">
        <v>0.14407873603425539</v>
      </c>
      <c r="CB22" s="1">
        <v>0.25473925571486122</v>
      </c>
      <c r="CC22" s="1">
        <v>-0.12510399532003291</v>
      </c>
      <c r="CD22" s="1">
        <v>9.5518542864996087E-2</v>
      </c>
      <c r="CE22" s="1">
        <v>6.6840145636817616E-2</v>
      </c>
      <c r="CF22" s="1">
        <v>-0.15557256842246689</v>
      </c>
      <c r="CG22" s="1">
        <v>0.4438008150544101</v>
      </c>
      <c r="CH22" s="1">
        <v>-2.6761117522733122E-2</v>
      </c>
      <c r="CI22" s="1">
        <v>-0.23044916703818419</v>
      </c>
      <c r="CJ22" s="1">
        <v>-1.6242847843122001E-2</v>
      </c>
      <c r="CK22" s="1">
        <v>-2.71524965709375E-2</v>
      </c>
      <c r="CL22" s="1">
        <v>0.55395436540251797</v>
      </c>
      <c r="CM22" s="1">
        <v>-0.21983248519746329</v>
      </c>
      <c r="CN22" s="1">
        <v>2.185030678558755E-2</v>
      </c>
      <c r="CO22" s="1">
        <v>0.27205949814687491</v>
      </c>
      <c r="CP22" s="1">
        <v>-8.1323106021387065E-2</v>
      </c>
      <c r="CQ22" s="1">
        <v>-7.4467010274027912E-2</v>
      </c>
      <c r="CR22" s="1">
        <v>-2.8422205079160712E-2</v>
      </c>
      <c r="CS22" s="1">
        <v>2.4439586832032689E-2</v>
      </c>
      <c r="CT22" s="1">
        <v>-5.8232521355985362E-2</v>
      </c>
      <c r="CU22" s="1">
        <v>2.6581005047035321E-2</v>
      </c>
      <c r="CV22" s="1">
        <v>0.12961749876888301</v>
      </c>
      <c r="CW22" s="1">
        <v>-1.349979853596164E-2</v>
      </c>
      <c r="CX22" s="1">
        <v>4.7285453258790341E-2</v>
      </c>
      <c r="CY22" s="1">
        <v>0.1045108260680616</v>
      </c>
      <c r="CZ22" s="1">
        <v>0.20669386208575841</v>
      </c>
      <c r="DA22" s="1">
        <v>3.2453994810138623E-2</v>
      </c>
      <c r="DB22" s="1">
        <v>5.4041621710522049E-2</v>
      </c>
      <c r="DC22" s="1">
        <v>7.2342033732944094E-2</v>
      </c>
      <c r="DD22" s="1">
        <v>-1.596257781556271E-2</v>
      </c>
      <c r="DE22" s="1">
        <v>-0.13335614324542941</v>
      </c>
      <c r="DF22" s="1">
        <v>0.38966763369412349</v>
      </c>
      <c r="DG22" s="1">
        <v>-7.1889499417003094E-2</v>
      </c>
      <c r="DH22" s="1">
        <v>1.3945346183503959E-2</v>
      </c>
      <c r="DI22" s="1">
        <v>6.356099926224941E-2</v>
      </c>
      <c r="DJ22" s="1">
        <v>-5.0246005833095859E-2</v>
      </c>
      <c r="DK22" s="1">
        <v>-9.1428405059511261E-2</v>
      </c>
      <c r="DL22" s="1">
        <v>2.1680326157890579E-2</v>
      </c>
      <c r="DM22" s="1">
        <v>3.1884709289730702E-2</v>
      </c>
      <c r="DN22" s="1">
        <v>-8.3173707077558875E-2</v>
      </c>
      <c r="DO22" s="1">
        <v>7.5715816054906154E-2</v>
      </c>
      <c r="DP22" s="1">
        <v>-0.10509905980047871</v>
      </c>
      <c r="DQ22" s="1">
        <v>-5.1850201837621311E-2</v>
      </c>
      <c r="DR22" s="1">
        <v>-7.1236299673135633E-2</v>
      </c>
      <c r="DS22" s="1">
        <v>-3.6346262249535841E-2</v>
      </c>
      <c r="DT22" s="1">
        <v>-4.3681446324088213E-2</v>
      </c>
      <c r="DU22" s="1">
        <v>-0.16154691088272999</v>
      </c>
      <c r="DV22" s="1">
        <v>5.337016682824209E-2</v>
      </c>
      <c r="DW22" s="1">
        <v>-8.1415413379923474E-2</v>
      </c>
      <c r="DX22" s="1">
        <v>-0.22244260844829469</v>
      </c>
      <c r="DY22" s="1">
        <v>-8.1471166255399959E-3</v>
      </c>
      <c r="DZ22" s="1">
        <v>0.11083450478771149</v>
      </c>
      <c r="EA22" s="1">
        <v>0.14035616200069359</v>
      </c>
      <c r="EB22" s="1">
        <v>-0.14292707605232749</v>
      </c>
      <c r="EC22" s="1">
        <v>8.808544742642449E-2</v>
      </c>
      <c r="ED22" s="1">
        <v>-5.7499218608810271E-2</v>
      </c>
      <c r="EE22" s="1">
        <v>-4.7636659384698889E-2</v>
      </c>
      <c r="EF22" s="1">
        <v>-3.4790246372172352E-2</v>
      </c>
      <c r="EG22" s="61">
        <f t="shared" si="10"/>
        <v>2.1396203306926088E-2</v>
      </c>
      <c r="EH22" s="59">
        <f t="shared" si="11"/>
        <v>0.15240161635947017</v>
      </c>
      <c r="EI22" s="73">
        <f t="shared" si="12"/>
        <v>0.14039354580373214</v>
      </c>
    </row>
    <row r="23" spans="1:139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0.13300519405617101</v>
      </c>
      <c r="F23" s="9">
        <v>-0.14166490905190171</v>
      </c>
      <c r="G23" s="9">
        <v>-5.2224173846498377E-2</v>
      </c>
      <c r="H23" s="9">
        <v>-1.8188470841484668E-2</v>
      </c>
      <c r="I23" s="9">
        <v>-3.6386488866407093E-2</v>
      </c>
      <c r="J23" s="9">
        <v>-0.1148775059304451</v>
      </c>
      <c r="K23" s="9">
        <v>-5.9917884508062888E-2</v>
      </c>
      <c r="L23" s="2">
        <v>5.4043529775598627E-2</v>
      </c>
      <c r="M23" s="2">
        <v>-0.14728696802749691</v>
      </c>
      <c r="N23" s="2">
        <v>0.97590144327128003</v>
      </c>
      <c r="O23" s="1">
        <v>0.1228997073071684</v>
      </c>
      <c r="P23" s="1">
        <v>5.46815260345479E-2</v>
      </c>
      <c r="Q23" s="1">
        <v>-0.29117349346670462</v>
      </c>
      <c r="R23" s="1">
        <v>6.2821977969761703E-2</v>
      </c>
      <c r="S23" s="1">
        <v>-7.2572664450062274E-2</v>
      </c>
      <c r="T23" s="1">
        <v>-8.4676175768728656E-2</v>
      </c>
      <c r="U23" s="1">
        <v>9.3757422440794366E-2</v>
      </c>
      <c r="V23" s="1">
        <v>-0.2324772033709247</v>
      </c>
      <c r="W23" s="1">
        <v>0.25954732367705918</v>
      </c>
      <c r="X23" s="1">
        <v>-0.1945564614576443</v>
      </c>
      <c r="Y23" s="1">
        <v>-6.7949921591350784E-2</v>
      </c>
      <c r="Z23" s="1">
        <v>4.1051966520251372E-2</v>
      </c>
      <c r="AA23" s="1">
        <v>0.15164933184604609</v>
      </c>
      <c r="AB23" s="1">
        <v>-4.7748945219155479E-2</v>
      </c>
      <c r="AC23" s="1">
        <v>-0.23400862094644481</v>
      </c>
      <c r="AD23" s="1">
        <v>7.1628868085674022E-2</v>
      </c>
      <c r="AE23" s="1">
        <v>-0.22171323582164909</v>
      </c>
      <c r="AF23" s="1">
        <v>2.5300492366547252E-2</v>
      </c>
      <c r="AG23" s="1">
        <v>-2.0576770504273641E-3</v>
      </c>
      <c r="AH23" s="1">
        <v>3.7279490370669702E-2</v>
      </c>
      <c r="AI23" s="1">
        <v>1.7205917313467271E-2</v>
      </c>
      <c r="AJ23" s="1">
        <v>2.3587440294024171E-2</v>
      </c>
      <c r="AK23" s="1">
        <v>0.11411109934719101</v>
      </c>
      <c r="AL23" s="1">
        <v>-1.4066593107004361E-2</v>
      </c>
      <c r="AM23" s="1">
        <v>8.6692827716290069E-2</v>
      </c>
      <c r="AN23" s="1">
        <v>0.12762959881318461</v>
      </c>
      <c r="AO23" s="1">
        <v>0.34648431481390879</v>
      </c>
      <c r="AP23" s="1">
        <v>-0.16526637233349209</v>
      </c>
      <c r="AQ23" s="1">
        <v>-9.9380639012752223E-2</v>
      </c>
      <c r="AR23" s="1">
        <v>-0.1461361643393671</v>
      </c>
      <c r="AS23" s="1">
        <v>3.2167011410198447E-2</v>
      </c>
      <c r="AT23" s="1">
        <v>1.6951230815730939E-2</v>
      </c>
      <c r="AU23" s="1">
        <v>0.60833204424947662</v>
      </c>
      <c r="AV23" s="1">
        <v>-9.6757250400133471E-2</v>
      </c>
      <c r="AW23" s="1">
        <v>0.32642827270511449</v>
      </c>
      <c r="AX23" s="1">
        <v>6.513715432570244E-2</v>
      </c>
      <c r="AY23" s="1">
        <v>-0.16314791108071039</v>
      </c>
      <c r="AZ23" s="1">
        <v>7.8071576521207053E-2</v>
      </c>
      <c r="BA23" s="1">
        <v>5.3998338629857423E-2</v>
      </c>
      <c r="BB23" s="1">
        <v>0.56682652604744033</v>
      </c>
      <c r="BC23" s="1">
        <v>-0.30082824917306578</v>
      </c>
      <c r="BD23" s="1">
        <v>-1.535066922443418E-2</v>
      </c>
      <c r="BE23" s="1">
        <v>-8.6532394790002992E-2</v>
      </c>
      <c r="BF23" s="1">
        <v>-6.0012943621825209E-2</v>
      </c>
      <c r="BG23" s="1">
        <v>-4.4908674694266577E-2</v>
      </c>
      <c r="BH23" s="1">
        <v>5.3596863934990302E-2</v>
      </c>
      <c r="BI23" s="1">
        <v>0.1212055236354101</v>
      </c>
      <c r="BJ23" s="1">
        <v>-0.1040033152679269</v>
      </c>
      <c r="BK23" s="1">
        <v>4.7849323301188178E-2</v>
      </c>
      <c r="BL23" s="1">
        <v>-5.3432219944672933E-2</v>
      </c>
      <c r="BM23" s="1">
        <v>-0.18414780725786861</v>
      </c>
      <c r="BN23" s="1">
        <v>3.8453237240273198E-2</v>
      </c>
      <c r="BO23" s="1">
        <v>6.1815479967866467E-2</v>
      </c>
      <c r="BP23" s="1">
        <v>2.2475721392681891E-2</v>
      </c>
      <c r="BQ23" s="1">
        <v>-0.1222207307313553</v>
      </c>
      <c r="BR23" s="1">
        <v>8.3521862528781465E-3</v>
      </c>
      <c r="BS23" s="1">
        <v>0.12567015773727569</v>
      </c>
      <c r="BT23" s="1">
        <v>-0.2181866761329041</v>
      </c>
      <c r="BU23" s="1">
        <v>-0.1056852737934032</v>
      </c>
      <c r="BV23" s="1">
        <v>-1.7018950875927849E-2</v>
      </c>
      <c r="BW23" s="1">
        <v>0.60099752643345095</v>
      </c>
      <c r="BX23" s="1">
        <v>-6.8735089330797944E-2</v>
      </c>
      <c r="BY23" s="1">
        <v>3.9939448876130351E-2</v>
      </c>
      <c r="BZ23" s="1">
        <v>0.35239786706502269</v>
      </c>
      <c r="CA23" s="1">
        <v>0.20637272238748691</v>
      </c>
      <c r="CB23" s="1">
        <v>0.31616676175875003</v>
      </c>
      <c r="CC23" s="1">
        <v>-8.4544614715775346E-2</v>
      </c>
      <c r="CD23" s="1">
        <v>0.141241944161549</v>
      </c>
      <c r="CE23" s="1">
        <v>5.9602301837717461E-2</v>
      </c>
      <c r="CF23" s="1">
        <v>-0.18343323628555941</v>
      </c>
      <c r="CG23" s="1">
        <v>0.29290393811773718</v>
      </c>
      <c r="CH23" s="1">
        <v>2.195056422561048E-2</v>
      </c>
      <c r="CI23" s="1">
        <v>-5.9122473913523821E-2</v>
      </c>
      <c r="CJ23" s="1">
        <v>3.8255248936276638E-2</v>
      </c>
      <c r="CK23" s="1">
        <v>-5.6594325379505338E-2</v>
      </c>
      <c r="CL23" s="1">
        <v>0.82114882676553158</v>
      </c>
      <c r="CM23" s="1">
        <v>-0.23470497261609899</v>
      </c>
      <c r="CN23" s="1">
        <v>4.9969055564242637E-2</v>
      </c>
      <c r="CO23" s="1">
        <v>0.26615853772710141</v>
      </c>
      <c r="CP23" s="1">
        <v>-0.1197183136790923</v>
      </c>
      <c r="CQ23" s="1">
        <v>-6.7315098148372304E-2</v>
      </c>
      <c r="CR23" s="1">
        <v>-3.8232839171219918E-2</v>
      </c>
      <c r="CS23" s="1">
        <v>6.901537085690515E-2</v>
      </c>
      <c r="CT23" s="1">
        <v>-4.5662541711253862E-2</v>
      </c>
      <c r="CU23" s="1">
        <v>-8.7742900709933888E-3</v>
      </c>
      <c r="CV23" s="1">
        <v>0.20185146288687841</v>
      </c>
      <c r="CW23" s="1">
        <v>6.4165112115841361E-2</v>
      </c>
      <c r="CX23" s="1">
        <v>-4.425407954953503E-2</v>
      </c>
      <c r="CY23" s="1">
        <v>0.15375033367153881</v>
      </c>
      <c r="CZ23" s="1">
        <v>0.16600444921733951</v>
      </c>
      <c r="DA23" s="1">
        <v>6.4644882448389021E-2</v>
      </c>
      <c r="DB23" s="1">
        <v>1.8747066443219641E-2</v>
      </c>
      <c r="DC23" s="1">
        <v>7.2416033656425932E-2</v>
      </c>
      <c r="DD23" s="1">
        <v>-1.8407826273001211E-2</v>
      </c>
      <c r="DE23" s="1">
        <v>-0.141445299859559</v>
      </c>
      <c r="DF23" s="1">
        <v>0.40879492056092032</v>
      </c>
      <c r="DG23" s="1">
        <v>-6.7620427406409236E-2</v>
      </c>
      <c r="DH23" s="1">
        <v>5.5413447308742453E-2</v>
      </c>
      <c r="DI23" s="1">
        <v>5.3479596916020812E-2</v>
      </c>
      <c r="DJ23" s="1">
        <v>-8.7058008172347823E-2</v>
      </c>
      <c r="DK23" s="1">
        <v>-9.1244988740826746E-2</v>
      </c>
      <c r="DL23" s="1">
        <v>-5.6607334331075572E-2</v>
      </c>
      <c r="DM23" s="1">
        <v>4.6477315989241888E-2</v>
      </c>
      <c r="DN23" s="1">
        <v>-0.11820475442736959</v>
      </c>
      <c r="DO23" s="1">
        <v>0.124068441987729</v>
      </c>
      <c r="DP23" s="1">
        <v>-3.8404395837998338E-2</v>
      </c>
      <c r="DQ23" s="1">
        <v>-0.12113204125745761</v>
      </c>
      <c r="DR23" s="1">
        <v>-0.1024257952350012</v>
      </c>
      <c r="DS23" s="1">
        <v>-0.1165759916669394</v>
      </c>
      <c r="DT23" s="1">
        <v>-5.4250460668612679E-2</v>
      </c>
      <c r="DU23" s="1">
        <v>-5.5639478708282321E-2</v>
      </c>
      <c r="DV23" s="1">
        <v>8.1332536152743107E-3</v>
      </c>
      <c r="DW23" s="1">
        <v>2.3051820755061941E-2</v>
      </c>
      <c r="DX23" s="1">
        <v>-0.31349320637896622</v>
      </c>
      <c r="DY23" s="1">
        <v>0.16987682865225409</v>
      </c>
      <c r="DZ23" s="1">
        <v>-0.21717398775244159</v>
      </c>
      <c r="EA23" s="1">
        <v>-2.875877977640498E-2</v>
      </c>
      <c r="EB23" s="1">
        <v>-0.13822549512320209</v>
      </c>
      <c r="EC23" s="1">
        <v>9.3644533160520085E-2</v>
      </c>
      <c r="ED23" s="1">
        <v>3.8900422569723918E-2</v>
      </c>
      <c r="EE23" s="1">
        <v>-6.9212075984992683E-2</v>
      </c>
      <c r="EF23" s="1">
        <v>-4.7782278591659677E-2</v>
      </c>
      <c r="EG23" s="61">
        <f t="shared" si="10"/>
        <v>2.305995778450055E-2</v>
      </c>
      <c r="EH23" s="59">
        <f t="shared" si="11"/>
        <v>0.19323979800073116</v>
      </c>
      <c r="EI23" s="73">
        <f t="shared" si="12"/>
        <v>0.11933337761206571</v>
      </c>
    </row>
    <row r="24" spans="1:139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0.28451249769050191</v>
      </c>
      <c r="F24" s="9">
        <v>-0.22715954663674881</v>
      </c>
      <c r="G24" s="9">
        <v>0.2257600230575724</v>
      </c>
      <c r="H24" s="9">
        <v>3.5855796654956661E-2</v>
      </c>
      <c r="I24" s="9">
        <v>1.692708918074378E-2</v>
      </c>
      <c r="J24" s="9">
        <v>-0.1154627982140225</v>
      </c>
      <c r="K24" s="9">
        <v>5.3732996668234008E-2</v>
      </c>
      <c r="L24" s="2">
        <v>9.5623250508682117E-2</v>
      </c>
      <c r="M24" s="2">
        <v>-0.21778567303774149</v>
      </c>
      <c r="N24" s="2">
        <v>1.769031369112569</v>
      </c>
      <c r="O24" s="1">
        <v>0.24427786338818341</v>
      </c>
      <c r="P24" s="1">
        <v>1.736288864347235E-3</v>
      </c>
      <c r="Q24" s="1">
        <v>2.847135602397292E-3</v>
      </c>
      <c r="R24" s="1">
        <v>-2.7822823885088121E-2</v>
      </c>
      <c r="S24" s="1">
        <v>-1.1054460207448651E-2</v>
      </c>
      <c r="T24" s="1">
        <v>-0.28781660351948779</v>
      </c>
      <c r="U24" s="1">
        <v>0.14851867422391801</v>
      </c>
      <c r="V24" s="1">
        <v>-9.8678511259329957E-2</v>
      </c>
      <c r="W24" s="1">
        <v>-0.16456451758688009</v>
      </c>
      <c r="X24" s="1">
        <v>8.988764650171982E-4</v>
      </c>
      <c r="Y24" s="1">
        <v>-0.1203174930645305</v>
      </c>
      <c r="Z24" s="1">
        <v>-2.439454874957615E-2</v>
      </c>
      <c r="AA24" s="1">
        <v>9.4359582813794432E-2</v>
      </c>
      <c r="AB24" s="1">
        <v>-0.18425142266877839</v>
      </c>
      <c r="AC24" s="1">
        <v>-0.24616895878469969</v>
      </c>
      <c r="AD24" s="1">
        <v>0.1011752992567229</v>
      </c>
      <c r="AE24" s="1">
        <v>-0.17526881500734201</v>
      </c>
      <c r="AF24" s="1">
        <v>0.16570377964654229</v>
      </c>
      <c r="AG24" s="1">
        <v>0.10590047247440069</v>
      </c>
      <c r="AH24" s="1">
        <v>-6.8613799461397618E-2</v>
      </c>
      <c r="AI24" s="1">
        <v>-8.8083310984272967E-3</v>
      </c>
      <c r="AJ24" s="1">
        <v>8.5435201790864113E-2</v>
      </c>
      <c r="AK24" s="1">
        <v>8.4883953068192297E-2</v>
      </c>
      <c r="AL24" s="1">
        <v>8.7173701476634946E-2</v>
      </c>
      <c r="AM24" s="1">
        <v>7.859849797311308E-2</v>
      </c>
      <c r="AN24" s="1">
        <v>0.16294174185669941</v>
      </c>
      <c r="AO24" s="1">
        <v>8.2691715845113409E-2</v>
      </c>
      <c r="AP24" s="1">
        <v>-0.16448668915792031</v>
      </c>
      <c r="AQ24" s="1">
        <v>-0.21712720312806419</v>
      </c>
      <c r="AR24" s="1">
        <v>-0.1708334061708256</v>
      </c>
      <c r="AS24" s="1">
        <v>0.23783234364544109</v>
      </c>
      <c r="AT24" s="1">
        <v>5.9286095890559252E-3</v>
      </c>
      <c r="AU24" s="1">
        <v>0.47705418724240228</v>
      </c>
      <c r="AV24" s="1">
        <v>-1.952221442252405E-2</v>
      </c>
      <c r="AW24" s="1">
        <v>0.1203029234068482</v>
      </c>
      <c r="AX24" s="1">
        <v>-2.5561798417856881E-2</v>
      </c>
      <c r="AY24" s="1">
        <v>-0.44347344173649922</v>
      </c>
      <c r="AZ24" s="1">
        <v>0.11862372507117649</v>
      </c>
      <c r="BA24" s="1">
        <v>5.0491305412012258E-2</v>
      </c>
      <c r="BB24" s="1">
        <v>0.69077653138067185</v>
      </c>
      <c r="BC24" s="1">
        <v>-0.59942164102389184</v>
      </c>
      <c r="BD24" s="1">
        <v>0.17257013871334029</v>
      </c>
      <c r="BE24" s="1">
        <v>-0.1041311228506846</v>
      </c>
      <c r="BF24" s="1">
        <v>-0.1002317053814064</v>
      </c>
      <c r="BG24" s="1">
        <v>-0.17662353567931691</v>
      </c>
      <c r="BH24" s="1">
        <v>9.5694510161506985E-3</v>
      </c>
      <c r="BI24" s="1">
        <v>0.16926892499271901</v>
      </c>
      <c r="BJ24" s="1">
        <v>-3.3483157548845829E-3</v>
      </c>
      <c r="BK24" s="1">
        <v>3.4827647172774007E-2</v>
      </c>
      <c r="BL24" s="1">
        <v>-3.089861151917388E-2</v>
      </c>
      <c r="BM24" s="1">
        <v>-0.37691635755964409</v>
      </c>
      <c r="BN24" s="1">
        <v>0.10891326031654749</v>
      </c>
      <c r="BO24" s="1">
        <v>-5.6244215584665136E-3</v>
      </c>
      <c r="BP24" s="1">
        <v>-3.1794104329889807E-2</v>
      </c>
      <c r="BQ24" s="1">
        <v>-0.29185744386226159</v>
      </c>
      <c r="BR24" s="1">
        <v>-9.6993970887136131E-3</v>
      </c>
      <c r="BS24" s="1">
        <v>3.8686933961965847E-2</v>
      </c>
      <c r="BT24" s="1">
        <v>-0.27671901614020838</v>
      </c>
      <c r="BU24" s="1">
        <v>-8.7484923148454363E-3</v>
      </c>
      <c r="BV24" s="1">
        <v>-0.20330415183045039</v>
      </c>
      <c r="BW24" s="1">
        <v>1.109012070037362</v>
      </c>
      <c r="BX24" s="1">
        <v>-0.1039550340490914</v>
      </c>
      <c r="BY24" s="1">
        <v>-0.29033687494541688</v>
      </c>
      <c r="BZ24" s="1">
        <v>0.81395802674252182</v>
      </c>
      <c r="CA24" s="1">
        <v>0.10002491568895069</v>
      </c>
      <c r="CB24" s="1">
        <v>0.639698133634515</v>
      </c>
      <c r="CC24" s="1">
        <v>-0.18246987988756161</v>
      </c>
      <c r="CD24" s="1">
        <v>2.9953525870016359E-2</v>
      </c>
      <c r="CE24" s="1">
        <v>0.16556487399111461</v>
      </c>
      <c r="CF24" s="1">
        <v>-0.16513135300939591</v>
      </c>
      <c r="CG24" s="1">
        <v>0.23727783485992521</v>
      </c>
      <c r="CH24" s="1">
        <v>0.14564333229381871</v>
      </c>
      <c r="CI24" s="1">
        <v>-5.850815723303885E-2</v>
      </c>
      <c r="CJ24" s="1">
        <v>5.7174129573755783E-2</v>
      </c>
      <c r="CK24" s="1">
        <v>3.1855166241217987E-2</v>
      </c>
      <c r="CL24" s="1">
        <v>1.1486200348703459</v>
      </c>
      <c r="CM24" s="1">
        <v>-0.63643326435951064</v>
      </c>
      <c r="CN24" s="1">
        <v>1.491653024804831E-2</v>
      </c>
      <c r="CO24" s="1">
        <v>0.45247744179045318</v>
      </c>
      <c r="CP24" s="1">
        <v>-0.24933871725413359</v>
      </c>
      <c r="CQ24" s="1">
        <v>-0.17760542253115491</v>
      </c>
      <c r="CR24" s="1">
        <v>-9.681790719133844E-2</v>
      </c>
      <c r="CS24" s="1">
        <v>-2.6854922521108548E-2</v>
      </c>
      <c r="CT24" s="1">
        <v>-9.6419008147395818E-2</v>
      </c>
      <c r="CU24" s="1">
        <v>-6.3018776139449999E-3</v>
      </c>
      <c r="CV24" s="1">
        <v>0.36148029535141007</v>
      </c>
      <c r="CW24" s="1">
        <v>-1.5881422078077021E-3</v>
      </c>
      <c r="CX24" s="1">
        <v>5.2765258843267028E-2</v>
      </c>
      <c r="CY24" s="1">
        <v>0.32114775220674069</v>
      </c>
      <c r="CZ24" s="1">
        <v>0.32258987735690992</v>
      </c>
      <c r="DA24" s="1">
        <v>3.3979585092453302E-2</v>
      </c>
      <c r="DB24" s="1">
        <v>-1.6501865848996312E-2</v>
      </c>
      <c r="DC24" s="1">
        <v>0.17955311523934811</v>
      </c>
      <c r="DD24" s="1">
        <v>4.9299772670775198E-2</v>
      </c>
      <c r="DE24" s="1">
        <v>-0.30663608033545542</v>
      </c>
      <c r="DF24" s="1">
        <v>0.52558500614449799</v>
      </c>
      <c r="DG24" s="1">
        <v>-0.11954528640013271</v>
      </c>
      <c r="DH24" s="1">
        <v>9.936698049993925E-2</v>
      </c>
      <c r="DI24" s="1">
        <v>0.1418754589382695</v>
      </c>
      <c r="DJ24" s="1">
        <v>-0.13248861050923971</v>
      </c>
      <c r="DK24" s="1">
        <v>-0.1196801812081898</v>
      </c>
      <c r="DL24" s="1">
        <v>-3.174869831458027E-2</v>
      </c>
      <c r="DM24" s="1">
        <v>4.1344524506759309E-4</v>
      </c>
      <c r="DN24" s="1">
        <v>-0.14903325582948179</v>
      </c>
      <c r="DO24" s="1">
        <v>0.1156119550234804</v>
      </c>
      <c r="DP24" s="1">
        <v>-0.14433064238035609</v>
      </c>
      <c r="DQ24" s="1">
        <v>-5.0486190478925157E-2</v>
      </c>
      <c r="DR24" s="1">
        <v>-2.3391731273528969E-2</v>
      </c>
      <c r="DS24" s="1">
        <v>-6.7362545713944635E-2</v>
      </c>
      <c r="DT24" s="1">
        <v>-7.4733345266004753E-2</v>
      </c>
      <c r="DU24" s="1">
        <v>2.1781395361230051E-2</v>
      </c>
      <c r="DV24" s="1">
        <v>9.8046834802625854E-2</v>
      </c>
      <c r="DW24" s="1">
        <v>0.10118249665524411</v>
      </c>
      <c r="DX24" s="1">
        <v>-0.31159312779250392</v>
      </c>
      <c r="DY24" s="1">
        <v>0.34380428679820851</v>
      </c>
      <c r="DZ24" s="1">
        <v>-0.43350657873669168</v>
      </c>
      <c r="EA24" s="1">
        <v>-5.4920183841502608E-2</v>
      </c>
      <c r="EB24" s="1">
        <v>-0.1092287723728063</v>
      </c>
      <c r="EC24" s="1">
        <v>0.14364347355970919</v>
      </c>
      <c r="ED24" s="1">
        <v>-6.9835153666616717E-2</v>
      </c>
      <c r="EE24" s="1">
        <v>-0.10748065723441801</v>
      </c>
      <c r="EF24" s="1">
        <v>6.7276677043968364E-2</v>
      </c>
      <c r="EG24" s="61">
        <f t="shared" si="10"/>
        <v>3.3546274312767653E-2</v>
      </c>
      <c r="EH24" s="59">
        <f t="shared" si="11"/>
        <v>0.29613339314771892</v>
      </c>
      <c r="EI24" s="73">
        <f t="shared" si="12"/>
        <v>0.11328095746376672</v>
      </c>
    </row>
    <row r="25" spans="1:139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60">
        <f t="shared" si="10"/>
        <v>7.3485376145559517E-3</v>
      </c>
      <c r="EH25" s="60">
        <f t="shared" si="11"/>
        <v>4.2276369775976368E-2</v>
      </c>
      <c r="EI25" s="60">
        <f t="shared" si="12"/>
        <v>0.17382139605401439</v>
      </c>
    </row>
    <row r="26" spans="1:139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9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5"/>
  <sheetViews>
    <sheetView topLeftCell="A9" zoomScale="71" zoomScaleNormal="71" workbookViewId="0">
      <selection activeCell="P30" sqref="P30"/>
    </sheetView>
  </sheetViews>
  <sheetFormatPr baseColWidth="10" defaultColWidth="8.83203125" defaultRowHeight="15"/>
  <cols>
    <col min="1" max="1" width="16.6640625" style="27" customWidth="1"/>
    <col min="3" max="3" width="10.1640625" style="27" customWidth="1"/>
    <col min="4" max="4" width="11.6640625" style="27" customWidth="1"/>
    <col min="5" max="5" width="9.1640625" style="27" customWidth="1"/>
    <col min="6" max="6" width="8.6640625" style="27" customWidth="1"/>
    <col min="7" max="7" width="9.33203125" style="27" customWidth="1"/>
    <col min="8" max="8" width="9.6640625" style="27" customWidth="1"/>
    <col min="9" max="9" width="9" style="27" customWidth="1"/>
    <col min="10" max="136" width="10.6640625" style="27" customWidth="1"/>
  </cols>
  <sheetData>
    <row r="1" spans="1:136" ht="20" customHeight="1">
      <c r="A1" s="54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1"/>
      <c r="B2" s="39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2" t="s">
        <v>21</v>
      </c>
      <c r="W2" s="42" t="s">
        <v>22</v>
      </c>
      <c r="X2" s="42" t="s">
        <v>23</v>
      </c>
      <c r="Y2" s="42" t="s">
        <v>24</v>
      </c>
      <c r="Z2" s="42" t="s">
        <v>25</v>
      </c>
      <c r="AA2" s="42" t="s">
        <v>26</v>
      </c>
      <c r="AB2" s="42" t="s">
        <v>27</v>
      </c>
      <c r="AC2" s="42" t="s">
        <v>28</v>
      </c>
      <c r="AD2" s="42" t="s">
        <v>29</v>
      </c>
      <c r="AE2" s="42" t="s">
        <v>30</v>
      </c>
      <c r="AF2" s="42" t="s">
        <v>31</v>
      </c>
      <c r="AG2" s="42" t="s">
        <v>32</v>
      </c>
      <c r="AH2" s="42" t="s">
        <v>33</v>
      </c>
      <c r="AI2" s="42" t="s">
        <v>34</v>
      </c>
      <c r="AJ2" s="42" t="s">
        <v>35</v>
      </c>
      <c r="AK2" s="42" t="s">
        <v>36</v>
      </c>
      <c r="AL2" s="42" t="s">
        <v>37</v>
      </c>
      <c r="AM2" s="42" t="s">
        <v>38</v>
      </c>
      <c r="AN2" s="42" t="s">
        <v>39</v>
      </c>
      <c r="AO2" s="42" t="s">
        <v>40</v>
      </c>
      <c r="AP2" s="42" t="s">
        <v>41</v>
      </c>
      <c r="AQ2" s="42" t="s">
        <v>42</v>
      </c>
      <c r="AR2" s="42" t="s">
        <v>43</v>
      </c>
      <c r="AS2" s="42" t="s">
        <v>44</v>
      </c>
      <c r="AT2" s="42" t="s">
        <v>45</v>
      </c>
      <c r="AU2" s="42" t="s">
        <v>46</v>
      </c>
      <c r="AV2" s="42" t="s">
        <v>47</v>
      </c>
      <c r="AW2" s="42" t="s">
        <v>48</v>
      </c>
      <c r="AX2" s="42" t="s">
        <v>49</v>
      </c>
      <c r="AY2" s="42" t="s">
        <v>50</v>
      </c>
      <c r="AZ2" s="42" t="s">
        <v>51</v>
      </c>
      <c r="BA2" s="42" t="s">
        <v>52</v>
      </c>
      <c r="BB2" s="42" t="s">
        <v>53</v>
      </c>
      <c r="BC2" s="42" t="s">
        <v>54</v>
      </c>
      <c r="BD2" s="42" t="s">
        <v>55</v>
      </c>
      <c r="BE2" s="42" t="s">
        <v>56</v>
      </c>
      <c r="BF2" s="42" t="s">
        <v>57</v>
      </c>
      <c r="BG2" s="42" t="s">
        <v>58</v>
      </c>
      <c r="BH2" s="42" t="s">
        <v>59</v>
      </c>
      <c r="BI2" s="42" t="s">
        <v>60</v>
      </c>
      <c r="BJ2" s="42" t="s">
        <v>61</v>
      </c>
      <c r="BK2" s="42" t="s">
        <v>62</v>
      </c>
      <c r="BL2" s="42" t="s">
        <v>63</v>
      </c>
      <c r="BM2" s="42" t="s">
        <v>64</v>
      </c>
      <c r="BN2" s="42" t="s">
        <v>65</v>
      </c>
      <c r="BO2" s="42" t="s">
        <v>66</v>
      </c>
      <c r="BP2" s="42" t="s">
        <v>67</v>
      </c>
      <c r="BQ2" s="42" t="s">
        <v>68</v>
      </c>
      <c r="BR2" s="42" t="s">
        <v>69</v>
      </c>
      <c r="BS2" s="42" t="s">
        <v>70</v>
      </c>
      <c r="BT2" s="42" t="s">
        <v>71</v>
      </c>
      <c r="BU2" s="42" t="s">
        <v>72</v>
      </c>
      <c r="BV2" s="42" t="s">
        <v>73</v>
      </c>
      <c r="BW2" s="42" t="s">
        <v>74</v>
      </c>
      <c r="BX2" s="42" t="s">
        <v>75</v>
      </c>
      <c r="BY2" s="42" t="s">
        <v>76</v>
      </c>
      <c r="BZ2" s="42" t="s">
        <v>77</v>
      </c>
      <c r="CA2" s="42" t="s">
        <v>78</v>
      </c>
      <c r="CB2" s="42" t="s">
        <v>79</v>
      </c>
      <c r="CC2" s="42" t="s">
        <v>80</v>
      </c>
      <c r="CD2" s="42" t="s">
        <v>81</v>
      </c>
      <c r="CE2" s="42" t="s">
        <v>82</v>
      </c>
      <c r="CF2" s="42" t="s">
        <v>83</v>
      </c>
      <c r="CG2" s="42" t="s">
        <v>84</v>
      </c>
      <c r="CH2" s="42" t="s">
        <v>85</v>
      </c>
      <c r="CI2" s="42" t="s">
        <v>86</v>
      </c>
      <c r="CJ2" s="42" t="s">
        <v>87</v>
      </c>
      <c r="CK2" s="42" t="s">
        <v>88</v>
      </c>
      <c r="CL2" s="42" t="s">
        <v>89</v>
      </c>
      <c r="CM2" s="42" t="s">
        <v>90</v>
      </c>
      <c r="CN2" s="42" t="s">
        <v>91</v>
      </c>
      <c r="CO2" s="42" t="s">
        <v>92</v>
      </c>
      <c r="CP2" s="42" t="s">
        <v>93</v>
      </c>
      <c r="CQ2" s="42" t="s">
        <v>94</v>
      </c>
      <c r="CR2" s="42" t="s">
        <v>95</v>
      </c>
      <c r="CS2" s="42" t="s">
        <v>96</v>
      </c>
      <c r="CT2" s="42" t="s">
        <v>97</v>
      </c>
      <c r="CU2" s="42" t="s">
        <v>98</v>
      </c>
      <c r="CV2" s="42" t="s">
        <v>99</v>
      </c>
      <c r="CW2" s="42" t="s">
        <v>100</v>
      </c>
      <c r="CX2" s="42" t="s">
        <v>101</v>
      </c>
      <c r="CY2" s="42" t="s">
        <v>102</v>
      </c>
      <c r="CZ2" s="42" t="s">
        <v>103</v>
      </c>
      <c r="DA2" s="42" t="s">
        <v>104</v>
      </c>
      <c r="DB2" s="42" t="s">
        <v>105</v>
      </c>
      <c r="DC2" s="42" t="s">
        <v>106</v>
      </c>
      <c r="DD2" s="42" t="s">
        <v>107</v>
      </c>
      <c r="DE2" s="42" t="s">
        <v>108</v>
      </c>
      <c r="DF2" s="42" t="s">
        <v>109</v>
      </c>
      <c r="DG2" s="42" t="s">
        <v>110</v>
      </c>
      <c r="DH2" s="42" t="s">
        <v>111</v>
      </c>
      <c r="DI2" s="42" t="s">
        <v>112</v>
      </c>
      <c r="DJ2" s="42" t="s">
        <v>113</v>
      </c>
      <c r="DK2" s="42" t="s">
        <v>114</v>
      </c>
      <c r="DL2" s="42" t="s">
        <v>115</v>
      </c>
      <c r="DM2" s="42" t="s">
        <v>116</v>
      </c>
      <c r="DN2" s="42" t="s">
        <v>117</v>
      </c>
      <c r="DO2" s="42" t="s">
        <v>118</v>
      </c>
      <c r="DP2" s="42" t="s">
        <v>119</v>
      </c>
      <c r="DQ2" s="42" t="s">
        <v>120</v>
      </c>
      <c r="DR2" s="42" t="s">
        <v>121</v>
      </c>
      <c r="DS2" s="42" t="s">
        <v>122</v>
      </c>
      <c r="DT2" s="42" t="s">
        <v>123</v>
      </c>
      <c r="DU2" s="42" t="s">
        <v>124</v>
      </c>
      <c r="DV2" s="42" t="s">
        <v>125</v>
      </c>
      <c r="DW2" s="42" t="s">
        <v>126</v>
      </c>
      <c r="DX2" s="42" t="s">
        <v>127</v>
      </c>
      <c r="DY2" s="42" t="s">
        <v>128</v>
      </c>
      <c r="DZ2" s="42" t="s">
        <v>129</v>
      </c>
      <c r="EA2" s="42" t="s">
        <v>130</v>
      </c>
      <c r="EB2" s="42" t="s">
        <v>131</v>
      </c>
      <c r="EC2" s="42" t="s">
        <v>132</v>
      </c>
      <c r="ED2" s="43" t="s">
        <v>133</v>
      </c>
      <c r="EE2" s="43" t="s">
        <v>134</v>
      </c>
      <c r="EF2" s="44" t="s">
        <v>135</v>
      </c>
    </row>
    <row r="3" spans="1:136" ht="16">
      <c r="A3" s="41"/>
      <c r="B3" s="39" t="s">
        <v>136</v>
      </c>
      <c r="C3" s="45">
        <v>5.2304908633232117E-2</v>
      </c>
      <c r="D3" s="45">
        <v>3.1978629529476173E-2</v>
      </c>
      <c r="E3" s="45">
        <v>-4.8667537048459053E-3</v>
      </c>
      <c r="F3" s="45">
        <v>5.307123064994812E-3</v>
      </c>
      <c r="G3" s="45">
        <v>3.7688631564378738E-2</v>
      </c>
      <c r="H3" s="45">
        <v>3.9667334407567978E-2</v>
      </c>
      <c r="I3" s="45">
        <v>1.7071563750505451E-2</v>
      </c>
      <c r="J3" s="45">
        <v>2.1743755787611012E-3</v>
      </c>
      <c r="K3" s="45">
        <v>5.9795007109642029E-3</v>
      </c>
      <c r="L3" s="45">
        <v>3.4917015582323067E-2</v>
      </c>
      <c r="M3" s="45">
        <v>4.524143785238266E-2</v>
      </c>
      <c r="N3" s="45">
        <v>1.6509577631950378E-2</v>
      </c>
      <c r="O3" s="45">
        <v>1.6077537089586261E-2</v>
      </c>
      <c r="P3" s="45">
        <v>4.066193476319313E-2</v>
      </c>
      <c r="Q3" s="45">
        <v>1.523424219340086E-2</v>
      </c>
      <c r="R3" s="45">
        <v>2.9051721096038818E-2</v>
      </c>
      <c r="S3" s="45">
        <v>2.2128194570541378E-2</v>
      </c>
      <c r="T3" s="45">
        <v>0.14313454926013949</v>
      </c>
      <c r="U3" s="45">
        <v>-2.5749817490577701E-2</v>
      </c>
      <c r="V3" s="45">
        <v>-4.1535560041666031E-2</v>
      </c>
      <c r="W3" s="45">
        <v>-4.2235452681779861E-2</v>
      </c>
      <c r="X3" s="45">
        <v>-4.8919051885604858E-2</v>
      </c>
      <c r="Y3" s="45">
        <v>-4.5889396220445633E-2</v>
      </c>
      <c r="Z3" s="45">
        <v>-6.0612447559833527E-2</v>
      </c>
      <c r="AA3" s="45">
        <v>-6.466992199420929E-3</v>
      </c>
      <c r="AB3" s="45">
        <v>-2.5826474651694301E-2</v>
      </c>
      <c r="AC3" s="45">
        <v>3.7678070366382599E-3</v>
      </c>
      <c r="AD3" s="45">
        <v>-3.380400687456131E-2</v>
      </c>
      <c r="AE3" s="45">
        <v>-2.568595856428146E-2</v>
      </c>
      <c r="AF3" s="45">
        <v>2.347276359796524E-2</v>
      </c>
      <c r="AG3" s="45">
        <v>-6.1789706349372857E-2</v>
      </c>
      <c r="AH3" s="45">
        <v>1.6795622184872631E-2</v>
      </c>
      <c r="AI3" s="45">
        <v>2.15169433504343E-2</v>
      </c>
      <c r="AJ3" s="45">
        <v>3.2045863568782813E-2</v>
      </c>
      <c r="AK3" s="45">
        <v>1.774673163890839E-2</v>
      </c>
      <c r="AL3" s="45">
        <v>1.128807663917542E-2</v>
      </c>
      <c r="AM3" s="45">
        <v>9.6762459725141525E-3</v>
      </c>
      <c r="AN3" s="45">
        <v>7.0392712950706482E-4</v>
      </c>
      <c r="AO3" s="45">
        <v>-1.222970546223223E-3</v>
      </c>
      <c r="AP3" s="45">
        <v>1.484703551977873E-2</v>
      </c>
      <c r="AQ3" s="45">
        <v>2.328801341354847E-2</v>
      </c>
      <c r="AR3" s="45">
        <v>2.084453031420708E-2</v>
      </c>
      <c r="AS3" s="45">
        <v>-1.986528746783733E-2</v>
      </c>
      <c r="AT3" s="45">
        <v>-2.1190565079450611E-2</v>
      </c>
      <c r="AU3" s="45">
        <v>-1.0853894054889679E-3</v>
      </c>
      <c r="AV3" s="45">
        <v>4.5508638024330139E-2</v>
      </c>
      <c r="AW3" s="45">
        <v>4.4240579009056091E-3</v>
      </c>
      <c r="AX3" s="45">
        <v>1.2816522270441061E-2</v>
      </c>
      <c r="AY3" s="45">
        <v>-2.8970977291464809E-2</v>
      </c>
      <c r="AZ3" s="45">
        <v>-1.9186729565262791E-2</v>
      </c>
      <c r="BA3" s="45">
        <v>-1.2269602157175541E-3</v>
      </c>
      <c r="BB3" s="45">
        <v>-1.0593336075544361E-2</v>
      </c>
      <c r="BC3" s="45">
        <v>3.3841300755739212E-2</v>
      </c>
      <c r="BD3" s="45">
        <v>-1.536491885781288E-2</v>
      </c>
      <c r="BE3" s="45">
        <v>-2.3330328986048698E-2</v>
      </c>
      <c r="BF3" s="45">
        <v>1.9382312893867491E-3</v>
      </c>
      <c r="BG3" s="45">
        <v>2.2716216742992401E-2</v>
      </c>
      <c r="BH3" s="45">
        <v>8.2148939371109009E-2</v>
      </c>
      <c r="BI3" s="45">
        <v>1.1221796274185181E-2</v>
      </c>
      <c r="BJ3" s="45">
        <v>-5.2975207567214973E-2</v>
      </c>
      <c r="BK3" s="45">
        <v>2.161160483956337E-2</v>
      </c>
      <c r="BL3" s="45">
        <v>-4.2335487902164459E-2</v>
      </c>
      <c r="BM3" s="45">
        <v>-1.1602506041526789E-2</v>
      </c>
      <c r="BN3" s="45">
        <v>2.8032843023538589E-2</v>
      </c>
      <c r="BO3" s="45">
        <v>9.7576938569545746E-3</v>
      </c>
      <c r="BP3" s="45">
        <v>-3.0135735869407648E-4</v>
      </c>
      <c r="BQ3" s="45">
        <v>-6.6817412152886391E-3</v>
      </c>
      <c r="BR3" s="45">
        <v>-1.489581167697906E-2</v>
      </c>
      <c r="BS3" s="45">
        <v>-2.2420225664973259E-2</v>
      </c>
      <c r="BT3" s="45">
        <v>4.2862072587013239E-4</v>
      </c>
      <c r="BU3" s="45">
        <v>-6.1054006218910217E-3</v>
      </c>
      <c r="BV3" s="45">
        <v>-2.1187677979469299E-2</v>
      </c>
      <c r="BW3" s="45">
        <v>-2.3497343063354489E-2</v>
      </c>
      <c r="BX3" s="45">
        <v>-1.9509999081492421E-2</v>
      </c>
      <c r="BY3" s="45">
        <v>-7.1709584444761276E-3</v>
      </c>
      <c r="BZ3" s="45">
        <v>-2.2350963205099109E-2</v>
      </c>
      <c r="CA3" s="45">
        <v>-3.132537379860878E-2</v>
      </c>
      <c r="CB3" s="45">
        <v>-3.3732723444700241E-2</v>
      </c>
      <c r="CC3" s="45">
        <v>-6.1587058007717133E-3</v>
      </c>
      <c r="CD3" s="45">
        <v>-3.3834446221590042E-2</v>
      </c>
      <c r="CE3" s="45">
        <v>-2.6154175400733951E-2</v>
      </c>
      <c r="CF3" s="45">
        <v>-4.4702775776386261E-3</v>
      </c>
      <c r="CG3" s="45">
        <v>-3.1256157904863358E-2</v>
      </c>
      <c r="CH3" s="45">
        <v>-3.9542347192764282E-2</v>
      </c>
      <c r="CI3" s="45">
        <v>-3.9686895906925201E-3</v>
      </c>
      <c r="CJ3" s="45">
        <v>-3.0254018492996688E-3</v>
      </c>
      <c r="CK3" s="45">
        <v>1.8421458080410961E-2</v>
      </c>
      <c r="CL3" s="45">
        <v>1.329288072884083E-2</v>
      </c>
      <c r="CM3" s="45">
        <v>-9.2441178858280182E-3</v>
      </c>
      <c r="CN3" s="45">
        <v>3.396537154912949E-3</v>
      </c>
      <c r="CO3" s="45">
        <v>8.1307776272296906E-3</v>
      </c>
      <c r="CP3" s="45">
        <v>9.588189423084259E-3</v>
      </c>
      <c r="CQ3" s="45">
        <v>1.717578619718552E-2</v>
      </c>
      <c r="CR3" s="45">
        <v>1.6183007508516312E-2</v>
      </c>
      <c r="CS3" s="45">
        <v>-1.8845542799681429E-3</v>
      </c>
      <c r="CT3" s="45">
        <v>-2.8323408216238018E-2</v>
      </c>
      <c r="CU3" s="45">
        <v>1.177500002086163E-3</v>
      </c>
      <c r="CV3" s="45">
        <v>8.874610997736454E-3</v>
      </c>
      <c r="CW3" s="45">
        <v>4.6699848026037216E-3</v>
      </c>
      <c r="CX3" s="45">
        <v>2.6706883683800701E-2</v>
      </c>
      <c r="CY3" s="45">
        <v>2.827526535838842E-3</v>
      </c>
      <c r="CZ3" s="45">
        <v>1.5065330080688E-4</v>
      </c>
      <c r="DA3" s="45">
        <v>3.5458214581012733E-2</v>
      </c>
      <c r="DB3" s="45">
        <v>3.0795872211456299E-2</v>
      </c>
      <c r="DC3" s="45">
        <v>1.318437978625298E-3</v>
      </c>
      <c r="DD3" s="45">
        <v>2.3335687816143039E-2</v>
      </c>
      <c r="DE3" s="45">
        <v>2.2883012890815731E-2</v>
      </c>
      <c r="DF3" s="45">
        <v>2.7021996676921841E-2</v>
      </c>
      <c r="DG3" s="45">
        <v>-1.5119960531592371E-2</v>
      </c>
      <c r="DH3" s="45">
        <v>4.3961521238088608E-2</v>
      </c>
      <c r="DI3" s="45">
        <v>3.4205392003059387E-2</v>
      </c>
      <c r="DJ3" s="45">
        <v>4.2511429637670517E-2</v>
      </c>
      <c r="DK3" s="45">
        <v>2.2722344845533371E-2</v>
      </c>
      <c r="DL3" s="45">
        <v>1.7866110429167751E-2</v>
      </c>
      <c r="DM3" s="45">
        <v>1.3274462893605231E-2</v>
      </c>
      <c r="DN3" s="45">
        <v>1.9694868475198749E-2</v>
      </c>
      <c r="DO3" s="45">
        <v>1.315947808325291E-2</v>
      </c>
      <c r="DP3" s="45">
        <v>2.516124956309795E-2</v>
      </c>
      <c r="DQ3" s="45">
        <v>2.9319785535335541E-2</v>
      </c>
      <c r="DR3" s="45">
        <v>2.1671470254659649E-2</v>
      </c>
      <c r="DS3" s="45">
        <v>2.7862440794706341E-2</v>
      </c>
      <c r="DT3" s="45">
        <v>2.6521861553192139E-2</v>
      </c>
      <c r="DU3" s="45">
        <v>2.5616960600018501E-2</v>
      </c>
      <c r="DV3" s="45">
        <v>2.3667985573410991E-2</v>
      </c>
      <c r="DW3" s="45">
        <v>2.2538956254720691E-2</v>
      </c>
      <c r="DX3" s="45">
        <v>0.13691368699073789</v>
      </c>
      <c r="DY3" s="45">
        <v>4.7148134559392929E-2</v>
      </c>
      <c r="DZ3" s="45">
        <v>2.6731405407190319E-2</v>
      </c>
      <c r="EA3" s="45">
        <v>2.3076014593243599E-2</v>
      </c>
      <c r="EB3" s="45">
        <v>8.1011177971959114E-3</v>
      </c>
      <c r="EC3" s="45">
        <v>3.4633364528417587E-2</v>
      </c>
      <c r="ED3" s="45">
        <v>2.0556079223752018E-2</v>
      </c>
      <c r="EE3" s="46">
        <v>1.365372072905302E-2</v>
      </c>
      <c r="EF3" s="45">
        <v>2.9846945777535439E-2</v>
      </c>
    </row>
    <row r="4" spans="1:136" ht="16">
      <c r="A4" s="41"/>
      <c r="B4" s="39" t="s">
        <v>137</v>
      </c>
      <c r="C4" s="45">
        <v>-3.4352373331785202E-2</v>
      </c>
      <c r="D4" s="45">
        <v>-2.6548977941274639E-2</v>
      </c>
      <c r="E4" s="45">
        <v>-1.890773884952068E-2</v>
      </c>
      <c r="F4" s="45">
        <v>-4.5866654254496098E-3</v>
      </c>
      <c r="G4" s="45">
        <v>-9.5442254096269608E-3</v>
      </c>
      <c r="H4" s="45">
        <v>-0.16430982947349551</v>
      </c>
      <c r="I4" s="45">
        <v>-0.13420514762401581</v>
      </c>
      <c r="J4" s="45">
        <v>-0.1463337242603302</v>
      </c>
      <c r="K4" s="45">
        <v>-0.1701232045888901</v>
      </c>
      <c r="L4" s="45">
        <v>2.487537078559399E-2</v>
      </c>
      <c r="M4" s="45">
        <v>-0.14957669377326971</v>
      </c>
      <c r="N4" s="45">
        <v>-0.19771438837051389</v>
      </c>
      <c r="O4" s="45">
        <v>5.1653869450092323E-2</v>
      </c>
      <c r="P4" s="45">
        <v>-9.7081944346427917E-2</v>
      </c>
      <c r="Q4" s="45">
        <v>5.4517179727554321E-2</v>
      </c>
      <c r="R4" s="45">
        <v>-0.2461938560009003</v>
      </c>
      <c r="S4" s="45">
        <v>-5.8746743947267532E-2</v>
      </c>
      <c r="T4" s="45">
        <v>-0.63268297910690308</v>
      </c>
      <c r="U4" s="45">
        <v>-1.623263768851757E-2</v>
      </c>
      <c r="V4" s="45">
        <v>-0.19638833403587341</v>
      </c>
      <c r="W4" s="45">
        <v>-0.32617592811584473</v>
      </c>
      <c r="X4" s="45">
        <v>5.8242414146661758E-2</v>
      </c>
      <c r="Y4" s="45">
        <v>-0.1782338619232178</v>
      </c>
      <c r="Z4" s="45">
        <v>-0.1134351193904877</v>
      </c>
      <c r="AA4" s="45">
        <v>-0.1228185519576073</v>
      </c>
      <c r="AB4" s="45">
        <v>-0.50270134210586548</v>
      </c>
      <c r="AC4" s="45">
        <v>-8.1458620727062225E-2</v>
      </c>
      <c r="AD4" s="45">
        <v>-0.21360237896442411</v>
      </c>
      <c r="AE4" s="45">
        <v>-0.23443323373794561</v>
      </c>
      <c r="AF4" s="45">
        <v>4.3790124356746667E-2</v>
      </c>
      <c r="AG4" s="45">
        <v>-0.34070926904678339</v>
      </c>
      <c r="AH4" s="45">
        <v>-0.2179584801197052</v>
      </c>
      <c r="AI4" s="45">
        <v>-7.0834262296557426E-3</v>
      </c>
      <c r="AJ4" s="45">
        <v>-8.8856682181358337E-2</v>
      </c>
      <c r="AK4" s="45">
        <v>-6.0424311086535454E-3</v>
      </c>
      <c r="AL4" s="45">
        <v>-0.34056508541107178</v>
      </c>
      <c r="AM4" s="45">
        <v>-0.2122122198343277</v>
      </c>
      <c r="AN4" s="45">
        <v>2.3284167051315311E-2</v>
      </c>
      <c r="AO4" s="45">
        <v>-0.56278938055038452</v>
      </c>
      <c r="AP4" s="45">
        <v>-0.37003818154335022</v>
      </c>
      <c r="AQ4" s="45">
        <v>-9.9072933197021484E-2</v>
      </c>
      <c r="AR4" s="45">
        <v>-0.61260873079299927</v>
      </c>
      <c r="AS4" s="45">
        <v>-0.17240901291370389</v>
      </c>
      <c r="AT4" s="45">
        <v>-0.36033952236175543</v>
      </c>
      <c r="AU4" s="45">
        <v>-0.78736197948455811</v>
      </c>
      <c r="AV4" s="45">
        <v>-0.64172309637069702</v>
      </c>
      <c r="AW4" s="45">
        <v>-0.37366807460784912</v>
      </c>
      <c r="AX4" s="45">
        <v>-0.14079113304615021</v>
      </c>
      <c r="AY4" s="45">
        <v>-0.18377237021923071</v>
      </c>
      <c r="AZ4" s="45">
        <v>-0.29475873708724981</v>
      </c>
      <c r="BA4" s="45">
        <v>-1.0997980833053591E-2</v>
      </c>
      <c r="BB4" s="45">
        <v>-2.817266620695591E-2</v>
      </c>
      <c r="BC4" s="45">
        <v>-1.8784420564770699E-2</v>
      </c>
      <c r="BD4" s="45">
        <v>-7.6009361073374748E-3</v>
      </c>
      <c r="BE4" s="45">
        <v>-0.36181730031967158</v>
      </c>
      <c r="BF4" s="45">
        <v>-0.32250627875328058</v>
      </c>
      <c r="BG4" s="45">
        <v>-0.35773813724517822</v>
      </c>
      <c r="BH4" s="45">
        <v>-0.24519409239292139</v>
      </c>
      <c r="BI4" s="45">
        <v>-0.34215390682220459</v>
      </c>
      <c r="BJ4" s="45">
        <v>-1.377695146948099E-2</v>
      </c>
      <c r="BK4" s="45">
        <v>-0.34501177072525019</v>
      </c>
      <c r="BL4" s="45">
        <v>-0.22643296420574191</v>
      </c>
      <c r="BM4" s="45">
        <v>-0.18416789174079901</v>
      </c>
      <c r="BN4" s="45">
        <v>3.3640097826719277E-2</v>
      </c>
      <c r="BO4" s="45">
        <v>-0.39542564749717712</v>
      </c>
      <c r="BP4" s="45">
        <v>-3.063437715172768E-2</v>
      </c>
      <c r="BQ4" s="45">
        <v>-3.0394082888960838E-2</v>
      </c>
      <c r="BR4" s="45">
        <v>-3.6607962101697922E-2</v>
      </c>
      <c r="BS4" s="45">
        <v>-0.52762448787689209</v>
      </c>
      <c r="BT4" s="45">
        <v>-0.69944292306900024</v>
      </c>
      <c r="BU4" s="45">
        <v>-6.641120184212923E-3</v>
      </c>
      <c r="BV4" s="45">
        <v>-0.34702149033546448</v>
      </c>
      <c r="BW4" s="45">
        <v>-0.2135344743728638</v>
      </c>
      <c r="BX4" s="45">
        <v>-0.25220078229904169</v>
      </c>
      <c r="BY4" s="45">
        <v>-0.60590630769729614</v>
      </c>
      <c r="BZ4" s="45">
        <v>-0.18989147245883939</v>
      </c>
      <c r="CA4" s="45">
        <v>-0.35801777243614202</v>
      </c>
      <c r="CB4" s="45">
        <v>-9.7108431160449982E-2</v>
      </c>
      <c r="CC4" s="45">
        <v>-0.66838306188583374</v>
      </c>
      <c r="CD4" s="45">
        <v>-0.52947455644607544</v>
      </c>
      <c r="CE4" s="45">
        <v>-0.80371105670928955</v>
      </c>
      <c r="CF4" s="45">
        <v>-0.66585409641265869</v>
      </c>
      <c r="CG4" s="45">
        <v>-0.76167327165603638</v>
      </c>
      <c r="CH4" s="45">
        <v>-0.63561052083969116</v>
      </c>
      <c r="CI4" s="45">
        <v>-0.42814809083938599</v>
      </c>
      <c r="CJ4" s="45">
        <v>-0.76194709539413452</v>
      </c>
      <c r="CK4" s="45">
        <v>-0.34786257147789001</v>
      </c>
      <c r="CL4" s="45">
        <v>-0.73078560829162598</v>
      </c>
      <c r="CM4" s="45">
        <v>-0.43944874405860901</v>
      </c>
      <c r="CN4" s="45">
        <v>-0.58165186643600464</v>
      </c>
      <c r="CO4" s="45">
        <v>-0.32549270987510681</v>
      </c>
      <c r="CP4" s="45">
        <v>-0.5602562427520752</v>
      </c>
      <c r="CQ4" s="45">
        <v>-0.31512844562530518</v>
      </c>
      <c r="CR4" s="45">
        <v>-0.59784996509552002</v>
      </c>
      <c r="CS4" s="45">
        <v>-0.5603826642036438</v>
      </c>
      <c r="CT4" s="45">
        <v>-1.7175484448671341E-2</v>
      </c>
      <c r="CU4" s="45">
        <v>-0.44111374020576483</v>
      </c>
      <c r="CV4" s="45">
        <v>-0.65523713827133179</v>
      </c>
      <c r="CW4" s="45">
        <v>-1.383697614073753E-2</v>
      </c>
      <c r="CX4" s="45">
        <v>-0.2472576051950455</v>
      </c>
      <c r="CY4" s="45">
        <v>-2.8818123042583469E-2</v>
      </c>
      <c r="CZ4" s="45">
        <v>-0.34892085194587708</v>
      </c>
      <c r="DA4" s="45">
        <v>-0.48169922828674322</v>
      </c>
      <c r="DB4" s="45">
        <v>-3.4901514649391167E-2</v>
      </c>
      <c r="DC4" s="45">
        <v>-2.9690796509385109E-2</v>
      </c>
      <c r="DD4" s="45">
        <v>-2.621449530124664E-2</v>
      </c>
      <c r="DE4" s="45">
        <v>-2.8104212135076519E-2</v>
      </c>
      <c r="DF4" s="45">
        <v>-3.2618090510368347E-2</v>
      </c>
      <c r="DG4" s="45">
        <v>-3.0513076111674309E-2</v>
      </c>
      <c r="DH4" s="45">
        <v>-2.1018218249082569E-2</v>
      </c>
      <c r="DI4" s="45">
        <v>-2.561168372631073E-2</v>
      </c>
      <c r="DJ4" s="45">
        <v>-3.0048402026295658E-2</v>
      </c>
      <c r="DK4" s="45">
        <v>-2.77889184653759E-2</v>
      </c>
      <c r="DL4" s="45">
        <v>-2.9855845496058461E-2</v>
      </c>
      <c r="DM4" s="45">
        <v>-4.095747321844101E-2</v>
      </c>
      <c r="DN4" s="45">
        <v>-0.14124295115470889</v>
      </c>
      <c r="DO4" s="45">
        <v>-0.77260226011276245</v>
      </c>
      <c r="DP4" s="45">
        <v>-2.566558308899403E-2</v>
      </c>
      <c r="DQ4" s="45">
        <v>-3.3824652433395393E-2</v>
      </c>
      <c r="DR4" s="45">
        <v>-3.0621720477938649E-2</v>
      </c>
      <c r="DS4" s="45">
        <v>-2.8241470456123349E-2</v>
      </c>
      <c r="DT4" s="45">
        <v>-0.1011484637856483</v>
      </c>
      <c r="DU4" s="45">
        <v>-3.7645414471626282E-2</v>
      </c>
      <c r="DV4" s="45">
        <v>-0.5851399302482605</v>
      </c>
      <c r="DW4" s="45">
        <v>-0.40750265121459961</v>
      </c>
      <c r="DX4" s="45">
        <v>-4.9789175391197198E-2</v>
      </c>
      <c r="DY4" s="45">
        <v>-2.4539409205317501E-2</v>
      </c>
      <c r="DZ4" s="45">
        <v>-0.54621279239654541</v>
      </c>
      <c r="EA4" s="45">
        <v>-0.50962924957275391</v>
      </c>
      <c r="EB4" s="45">
        <v>-2.39049606025219E-2</v>
      </c>
      <c r="EC4" s="45">
        <v>-0.28328520059585571</v>
      </c>
      <c r="ED4" s="45">
        <v>-0.23830276727676389</v>
      </c>
      <c r="EE4" s="45">
        <v>-1.7258975654840469E-2</v>
      </c>
      <c r="EF4" s="45">
        <v>-2.8098961338400841E-2</v>
      </c>
    </row>
    <row r="5" spans="1:136" ht="16">
      <c r="A5" s="41"/>
      <c r="B5" s="39" t="s">
        <v>138</v>
      </c>
      <c r="C5" s="45">
        <v>-1.9342813175171609E-3</v>
      </c>
      <c r="D5" s="45">
        <v>-5.5913659743964672E-3</v>
      </c>
      <c r="E5" s="45">
        <v>-4.7000027261674404E-3</v>
      </c>
      <c r="F5" s="45">
        <v>-4.4492203742265701E-3</v>
      </c>
      <c r="G5" s="45">
        <v>-4.7847842797636986E-3</v>
      </c>
      <c r="H5" s="45">
        <v>-5.6895003654062748E-3</v>
      </c>
      <c r="I5" s="45">
        <v>-5.7344827800989151E-3</v>
      </c>
      <c r="J5" s="45">
        <v>-5.8788699097931394E-3</v>
      </c>
      <c r="K5" s="45">
        <v>-6.4187347888946533E-3</v>
      </c>
      <c r="L5" s="45">
        <v>-7.6366900466382504E-3</v>
      </c>
      <c r="M5" s="45">
        <v>-6.3628074713051319E-3</v>
      </c>
      <c r="N5" s="45">
        <v>1.252028159797192E-2</v>
      </c>
      <c r="O5" s="45">
        <v>2.371036633849144E-2</v>
      </c>
      <c r="P5" s="45">
        <v>-3.250850830227137E-3</v>
      </c>
      <c r="Q5" s="45">
        <v>3.354818327352405E-3</v>
      </c>
      <c r="R5" s="45">
        <v>-6.6006449051201344E-3</v>
      </c>
      <c r="S5" s="45">
        <v>-9.8087778314948082E-4</v>
      </c>
      <c r="T5" s="45">
        <v>5.6146839633584023E-3</v>
      </c>
      <c r="U5" s="45">
        <v>4.0551330894231796E-3</v>
      </c>
      <c r="V5" s="45">
        <v>6.8821624154224992E-4</v>
      </c>
      <c r="W5" s="45">
        <v>1.564354519359767E-3</v>
      </c>
      <c r="X5" s="45">
        <v>-2.4233697913587089E-3</v>
      </c>
      <c r="Y5" s="45">
        <v>-1.1274527758359911E-2</v>
      </c>
      <c r="Z5" s="45">
        <v>-4.1338605806231499E-3</v>
      </c>
      <c r="AA5" s="45">
        <v>-1.0189744643867019E-2</v>
      </c>
      <c r="AB5" s="45">
        <v>-8.3795534446835518E-3</v>
      </c>
      <c r="AC5" s="45">
        <v>-1.6338510438799862E-2</v>
      </c>
      <c r="AD5" s="45">
        <v>-9.9682752043008804E-3</v>
      </c>
      <c r="AE5" s="45">
        <v>-9.0456753969192505E-3</v>
      </c>
      <c r="AF5" s="45">
        <v>-5.5251466110348701E-3</v>
      </c>
      <c r="AG5" s="45">
        <v>-6.6783875226974487E-3</v>
      </c>
      <c r="AH5" s="45">
        <v>-4.2471899650990963E-3</v>
      </c>
      <c r="AI5" s="45">
        <v>-3.702948102727532E-3</v>
      </c>
      <c r="AJ5" s="45">
        <v>-3.038464579731226E-3</v>
      </c>
      <c r="AK5" s="45">
        <v>-5.4660309106111526E-3</v>
      </c>
      <c r="AL5" s="45">
        <v>-5.268254317343235E-3</v>
      </c>
      <c r="AM5" s="45">
        <v>-8.0474326387047768E-3</v>
      </c>
      <c r="AN5" s="45">
        <v>1.088041695766151E-3</v>
      </c>
      <c r="AO5" s="45">
        <v>-3.2179206609725952E-3</v>
      </c>
      <c r="AP5" s="45">
        <v>-6.3516539521515369E-3</v>
      </c>
      <c r="AQ5" s="45">
        <v>-2.6676608249545102E-3</v>
      </c>
      <c r="AR5" s="45">
        <v>-2.827138407155871E-3</v>
      </c>
      <c r="AS5" s="45">
        <v>-2.5516059249639511E-3</v>
      </c>
      <c r="AT5" s="45">
        <v>1.4273124746978279E-2</v>
      </c>
      <c r="AU5" s="45">
        <v>-1.217654626816511E-2</v>
      </c>
      <c r="AV5" s="45">
        <v>9.2223780229687691E-3</v>
      </c>
      <c r="AW5" s="45">
        <v>-1.067638956010342E-2</v>
      </c>
      <c r="AX5" s="45">
        <v>-1.137583889067173E-2</v>
      </c>
      <c r="AY5" s="45">
        <v>-8.8393903570249677E-4</v>
      </c>
      <c r="AZ5" s="45">
        <v>1.0078855790197849E-2</v>
      </c>
      <c r="BA5" s="45">
        <v>-8.8116287952288985E-4</v>
      </c>
      <c r="BB5" s="45">
        <v>-7.0432471111416817E-3</v>
      </c>
      <c r="BC5" s="45">
        <v>1.485176850110292E-3</v>
      </c>
      <c r="BD5" s="45">
        <v>-1.6594421118497849E-2</v>
      </c>
      <c r="BE5" s="45">
        <v>-6.2354970723390579E-3</v>
      </c>
      <c r="BF5" s="45">
        <v>5.5279838852584362E-4</v>
      </c>
      <c r="BG5" s="45">
        <v>-7.2649377398192883E-3</v>
      </c>
      <c r="BH5" s="45">
        <v>-4.4898749329149723E-3</v>
      </c>
      <c r="BI5" s="45">
        <v>3.0780615634284908E-4</v>
      </c>
      <c r="BJ5" s="45">
        <v>-4.1756633436307311E-4</v>
      </c>
      <c r="BK5" s="45">
        <v>-7.805683184415102E-3</v>
      </c>
      <c r="BL5" s="45">
        <v>-1.867736224085093E-3</v>
      </c>
      <c r="BM5" s="45">
        <v>-2.997630974277854E-3</v>
      </c>
      <c r="BN5" s="45">
        <v>-7.7384407632052898E-4</v>
      </c>
      <c r="BO5" s="45">
        <v>-4.3786251917481422E-3</v>
      </c>
      <c r="BP5" s="45">
        <v>-6.4804503927007318E-4</v>
      </c>
      <c r="BQ5" s="45">
        <v>8.2376447971910238E-4</v>
      </c>
      <c r="BR5" s="45">
        <v>5.6453817524015903E-4</v>
      </c>
      <c r="BS5" s="45">
        <v>-7.1546854451298714E-4</v>
      </c>
      <c r="BT5" s="45">
        <v>2.6029394939541822E-4</v>
      </c>
      <c r="BU5" s="45">
        <v>-3.9243316277861604E-3</v>
      </c>
      <c r="BV5" s="45">
        <v>-1.6593625769019129E-3</v>
      </c>
      <c r="BW5" s="45">
        <v>-3.875733120366931E-3</v>
      </c>
      <c r="BX5" s="45">
        <v>-2.195433247834444E-3</v>
      </c>
      <c r="BY5" s="45">
        <v>-2.5970782153308392E-3</v>
      </c>
      <c r="BZ5" s="45">
        <v>2.2350291255861521E-3</v>
      </c>
      <c r="CA5" s="45">
        <v>-1.7381360754370689E-2</v>
      </c>
      <c r="CB5" s="45">
        <v>-1.862269081175327E-2</v>
      </c>
      <c r="CC5" s="45">
        <v>-8.898342028260231E-3</v>
      </c>
      <c r="CD5" s="45">
        <v>-6.0623395256698132E-3</v>
      </c>
      <c r="CE5" s="45">
        <v>4.5557618141174316E-3</v>
      </c>
      <c r="CF5" s="45">
        <v>-4.9829259514808646E-3</v>
      </c>
      <c r="CG5" s="45">
        <v>-1.07599887996912E-3</v>
      </c>
      <c r="CH5" s="45">
        <v>-2.6672328822314739E-3</v>
      </c>
      <c r="CI5" s="45">
        <v>-5.5012190714478493E-3</v>
      </c>
      <c r="CJ5" s="45">
        <v>-8.7857712060213089E-3</v>
      </c>
      <c r="CK5" s="45">
        <v>-6.4516114071011543E-3</v>
      </c>
      <c r="CL5" s="45">
        <v>-7.7363043092191219E-3</v>
      </c>
      <c r="CM5" s="45">
        <v>4.4028377160429946E-3</v>
      </c>
      <c r="CN5" s="45">
        <v>-1.75569171551615E-3</v>
      </c>
      <c r="CO5" s="45">
        <v>2.347631379961967E-3</v>
      </c>
      <c r="CP5" s="45">
        <v>-2.983541926369071E-3</v>
      </c>
      <c r="CQ5" s="45">
        <v>-4.250415600836277E-3</v>
      </c>
      <c r="CR5" s="45">
        <v>1.5832303324714301E-3</v>
      </c>
      <c r="CS5" s="45">
        <v>-6.5540610812604427E-3</v>
      </c>
      <c r="CT5" s="45">
        <v>-8.0624595284461975E-5</v>
      </c>
      <c r="CU5" s="45">
        <v>-3.5778488963842392E-3</v>
      </c>
      <c r="CV5" s="45">
        <v>-5.1929557230323553E-4</v>
      </c>
      <c r="CW5" s="45">
        <v>-3.3617056906223301E-3</v>
      </c>
      <c r="CX5" s="45">
        <v>-1.8053699750453229E-3</v>
      </c>
      <c r="CY5" s="45">
        <v>-2.2017017472535372E-3</v>
      </c>
      <c r="CZ5" s="45">
        <v>1.178524689748883E-4</v>
      </c>
      <c r="DA5" s="45">
        <v>-1.30876712501049E-3</v>
      </c>
      <c r="DB5" s="45">
        <v>-3.1658434309065342E-3</v>
      </c>
      <c r="DC5" s="45">
        <v>-3.832382382825017E-3</v>
      </c>
      <c r="DD5" s="45">
        <v>-4.7087157145142564E-3</v>
      </c>
      <c r="DE5" s="45">
        <v>-4.5400401577353477E-3</v>
      </c>
      <c r="DF5" s="45">
        <v>-2.3387281224131581E-2</v>
      </c>
      <c r="DG5" s="45">
        <v>-5.2769957110285759E-3</v>
      </c>
      <c r="DH5" s="45">
        <v>-4.3179676868021488E-3</v>
      </c>
      <c r="DI5" s="45">
        <v>-1.328446343541145E-2</v>
      </c>
      <c r="DJ5" s="45">
        <v>6.0384050011634827E-3</v>
      </c>
      <c r="DK5" s="45">
        <v>-8.4105059504508972E-3</v>
      </c>
      <c r="DL5" s="45">
        <v>-2.7542444877326488E-3</v>
      </c>
      <c r="DM5" s="45">
        <v>-5.5476906709372997E-4</v>
      </c>
      <c r="DN5" s="45">
        <v>-3.017124487087131E-3</v>
      </c>
      <c r="DO5" s="45">
        <v>1.8832429777830839E-3</v>
      </c>
      <c r="DP5" s="45">
        <v>-5.9857121668756008E-3</v>
      </c>
      <c r="DQ5" s="45">
        <v>-4.3033934198319912E-3</v>
      </c>
      <c r="DR5" s="45">
        <v>-7.100685965269804E-3</v>
      </c>
      <c r="DS5" s="45">
        <v>-3.6390731111168861E-3</v>
      </c>
      <c r="DT5" s="45">
        <v>-2.7030555065721268E-4</v>
      </c>
      <c r="DU5" s="45">
        <v>-5.6784534826874733E-3</v>
      </c>
      <c r="DV5" s="45">
        <v>-3.1467510852962728E-3</v>
      </c>
      <c r="DW5" s="45">
        <v>-6.9762156344950199E-3</v>
      </c>
      <c r="DX5" s="45">
        <v>-6.6889082081615916E-3</v>
      </c>
      <c r="DY5" s="45">
        <v>-3.3026416786015029E-3</v>
      </c>
      <c r="DZ5" s="45">
        <v>-1.987902214750648E-3</v>
      </c>
      <c r="EA5" s="45">
        <v>-2.538601635023952E-3</v>
      </c>
      <c r="EB5" s="45">
        <v>-5.5821710266172886E-3</v>
      </c>
      <c r="EC5" s="45">
        <v>-4.6097347512841216E-3</v>
      </c>
      <c r="ED5" s="45">
        <v>-6.4027770422399044E-3</v>
      </c>
      <c r="EE5" s="45">
        <v>-5.9125563129782677E-3</v>
      </c>
      <c r="EF5" s="45">
        <v>-6.1940629966557026E-3</v>
      </c>
    </row>
    <row r="6" spans="1:136" ht="1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</row>
    <row r="7" spans="1:136" ht="20" customHeight="1">
      <c r="A7" s="53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7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</row>
    <row r="8" spans="1:136" ht="16">
      <c r="A8" s="41"/>
      <c r="B8" s="39" t="s">
        <v>1</v>
      </c>
      <c r="C8" s="42" t="s">
        <v>2</v>
      </c>
      <c r="D8" s="42" t="s">
        <v>3</v>
      </c>
      <c r="E8" s="42" t="s">
        <v>4</v>
      </c>
      <c r="F8" s="42" t="s">
        <v>5</v>
      </c>
      <c r="G8" s="42" t="s">
        <v>6</v>
      </c>
      <c r="H8" s="42" t="s">
        <v>7</v>
      </c>
      <c r="I8" s="42" t="s">
        <v>8</v>
      </c>
      <c r="J8" s="42" t="s">
        <v>9</v>
      </c>
      <c r="K8" s="42" t="s">
        <v>10</v>
      </c>
      <c r="L8" s="42" t="s">
        <v>11</v>
      </c>
      <c r="M8" s="42" t="s">
        <v>12</v>
      </c>
      <c r="N8" s="42" t="s">
        <v>13</v>
      </c>
      <c r="O8" s="42" t="s">
        <v>14</v>
      </c>
      <c r="P8" s="42" t="s">
        <v>15</v>
      </c>
      <c r="Q8" s="42" t="s">
        <v>16</v>
      </c>
      <c r="R8" s="42" t="s">
        <v>17</v>
      </c>
      <c r="S8" s="42" t="s">
        <v>18</v>
      </c>
      <c r="T8" s="42" t="s">
        <v>19</v>
      </c>
      <c r="U8" s="42" t="s">
        <v>20</v>
      </c>
      <c r="V8" s="42" t="s">
        <v>21</v>
      </c>
      <c r="W8" s="42" t="s">
        <v>22</v>
      </c>
      <c r="X8" s="42" t="s">
        <v>23</v>
      </c>
      <c r="Y8" s="42" t="s">
        <v>24</v>
      </c>
      <c r="Z8" s="42" t="s">
        <v>25</v>
      </c>
      <c r="AA8" s="42" t="s">
        <v>26</v>
      </c>
      <c r="AB8" s="42" t="s">
        <v>27</v>
      </c>
      <c r="AC8" s="42" t="s">
        <v>28</v>
      </c>
      <c r="AD8" s="42" t="s">
        <v>29</v>
      </c>
      <c r="AE8" s="42" t="s">
        <v>30</v>
      </c>
      <c r="AF8" s="42" t="s">
        <v>31</v>
      </c>
      <c r="AG8" s="42" t="s">
        <v>32</v>
      </c>
      <c r="AH8" s="42" t="s">
        <v>33</v>
      </c>
      <c r="AI8" s="42" t="s">
        <v>34</v>
      </c>
      <c r="AJ8" s="42" t="s">
        <v>35</v>
      </c>
      <c r="AK8" s="42" t="s">
        <v>36</v>
      </c>
      <c r="AL8" s="42" t="s">
        <v>37</v>
      </c>
      <c r="AM8" s="42" t="s">
        <v>38</v>
      </c>
      <c r="AN8" s="42" t="s">
        <v>39</v>
      </c>
      <c r="AO8" s="42" t="s">
        <v>40</v>
      </c>
      <c r="AP8" s="42" t="s">
        <v>41</v>
      </c>
      <c r="AQ8" s="42" t="s">
        <v>42</v>
      </c>
      <c r="AR8" s="42" t="s">
        <v>43</v>
      </c>
      <c r="AS8" s="42" t="s">
        <v>44</v>
      </c>
      <c r="AT8" s="42" t="s">
        <v>45</v>
      </c>
      <c r="AU8" s="42" t="s">
        <v>46</v>
      </c>
      <c r="AV8" s="42" t="s">
        <v>47</v>
      </c>
      <c r="AW8" s="42" t="s">
        <v>48</v>
      </c>
      <c r="AX8" s="42" t="s">
        <v>49</v>
      </c>
      <c r="AY8" s="42" t="s">
        <v>50</v>
      </c>
      <c r="AZ8" s="42" t="s">
        <v>51</v>
      </c>
      <c r="BA8" s="42" t="s">
        <v>52</v>
      </c>
      <c r="BB8" s="42" t="s">
        <v>53</v>
      </c>
      <c r="BC8" s="42" t="s">
        <v>54</v>
      </c>
      <c r="BD8" s="42" t="s">
        <v>55</v>
      </c>
      <c r="BE8" s="42" t="s">
        <v>56</v>
      </c>
      <c r="BF8" s="42" t="s">
        <v>57</v>
      </c>
      <c r="BG8" s="42" t="s">
        <v>58</v>
      </c>
      <c r="BH8" s="42" t="s">
        <v>59</v>
      </c>
      <c r="BI8" s="42" t="s">
        <v>60</v>
      </c>
      <c r="BJ8" s="42" t="s">
        <v>61</v>
      </c>
      <c r="BK8" s="42" t="s">
        <v>62</v>
      </c>
      <c r="BL8" s="42" t="s">
        <v>63</v>
      </c>
      <c r="BM8" s="42" t="s">
        <v>64</v>
      </c>
      <c r="BN8" s="42" t="s">
        <v>65</v>
      </c>
      <c r="BO8" s="42" t="s">
        <v>66</v>
      </c>
      <c r="BP8" s="42" t="s">
        <v>67</v>
      </c>
      <c r="BQ8" s="42" t="s">
        <v>68</v>
      </c>
      <c r="BR8" s="42" t="s">
        <v>69</v>
      </c>
      <c r="BS8" s="42" t="s">
        <v>70</v>
      </c>
      <c r="BT8" s="42" t="s">
        <v>71</v>
      </c>
      <c r="BU8" s="42" t="s">
        <v>72</v>
      </c>
      <c r="BV8" s="42" t="s">
        <v>73</v>
      </c>
      <c r="BW8" s="42" t="s">
        <v>74</v>
      </c>
      <c r="BX8" s="42" t="s">
        <v>75</v>
      </c>
      <c r="BY8" s="42" t="s">
        <v>76</v>
      </c>
      <c r="BZ8" s="42" t="s">
        <v>77</v>
      </c>
      <c r="CA8" s="42" t="s">
        <v>78</v>
      </c>
      <c r="CB8" s="42" t="s">
        <v>79</v>
      </c>
      <c r="CC8" s="42" t="s">
        <v>80</v>
      </c>
      <c r="CD8" s="42" t="s">
        <v>81</v>
      </c>
      <c r="CE8" s="42" t="s">
        <v>82</v>
      </c>
      <c r="CF8" s="42" t="s">
        <v>83</v>
      </c>
      <c r="CG8" s="42" t="s">
        <v>84</v>
      </c>
      <c r="CH8" s="42" t="s">
        <v>85</v>
      </c>
      <c r="CI8" s="42" t="s">
        <v>86</v>
      </c>
      <c r="CJ8" s="42" t="s">
        <v>87</v>
      </c>
      <c r="CK8" s="42" t="s">
        <v>88</v>
      </c>
      <c r="CL8" s="42" t="s">
        <v>89</v>
      </c>
      <c r="CM8" s="42" t="s">
        <v>90</v>
      </c>
      <c r="CN8" s="42" t="s">
        <v>91</v>
      </c>
      <c r="CO8" s="42" t="s">
        <v>92</v>
      </c>
      <c r="CP8" s="42" t="s">
        <v>93</v>
      </c>
      <c r="CQ8" s="42" t="s">
        <v>94</v>
      </c>
      <c r="CR8" s="42" t="s">
        <v>95</v>
      </c>
      <c r="CS8" s="42" t="s">
        <v>96</v>
      </c>
      <c r="CT8" s="42" t="s">
        <v>97</v>
      </c>
      <c r="CU8" s="42" t="s">
        <v>98</v>
      </c>
      <c r="CV8" s="42" t="s">
        <v>99</v>
      </c>
      <c r="CW8" s="42" t="s">
        <v>100</v>
      </c>
      <c r="CX8" s="42" t="s">
        <v>101</v>
      </c>
      <c r="CY8" s="42" t="s">
        <v>102</v>
      </c>
      <c r="CZ8" s="42" t="s">
        <v>103</v>
      </c>
      <c r="DA8" s="42" t="s">
        <v>104</v>
      </c>
      <c r="DB8" s="42" t="s">
        <v>105</v>
      </c>
      <c r="DC8" s="42" t="s">
        <v>106</v>
      </c>
      <c r="DD8" s="42" t="s">
        <v>107</v>
      </c>
      <c r="DE8" s="42" t="s">
        <v>108</v>
      </c>
      <c r="DF8" s="42" t="s">
        <v>109</v>
      </c>
      <c r="DG8" s="42" t="s">
        <v>110</v>
      </c>
      <c r="DH8" s="42" t="s">
        <v>111</v>
      </c>
      <c r="DI8" s="42" t="s">
        <v>112</v>
      </c>
      <c r="DJ8" s="42" t="s">
        <v>113</v>
      </c>
      <c r="DK8" s="42" t="s">
        <v>114</v>
      </c>
      <c r="DL8" s="42" t="s">
        <v>115</v>
      </c>
      <c r="DM8" s="42" t="s">
        <v>116</v>
      </c>
      <c r="DN8" s="42" t="s">
        <v>117</v>
      </c>
      <c r="DO8" s="42" t="s">
        <v>118</v>
      </c>
      <c r="DP8" s="42" t="s">
        <v>119</v>
      </c>
      <c r="DQ8" s="42" t="s">
        <v>120</v>
      </c>
      <c r="DR8" s="42" t="s">
        <v>121</v>
      </c>
      <c r="DS8" s="42" t="s">
        <v>122</v>
      </c>
      <c r="DT8" s="42" t="s">
        <v>123</v>
      </c>
      <c r="DU8" s="42" t="s">
        <v>124</v>
      </c>
      <c r="DV8" s="42" t="s">
        <v>125</v>
      </c>
      <c r="DW8" s="42" t="s">
        <v>126</v>
      </c>
      <c r="DX8" s="42" t="s">
        <v>127</v>
      </c>
      <c r="DY8" s="42" t="s">
        <v>128</v>
      </c>
      <c r="DZ8" s="42" t="s">
        <v>129</v>
      </c>
      <c r="EA8" s="42" t="s">
        <v>130</v>
      </c>
      <c r="EB8" s="42" t="s">
        <v>131</v>
      </c>
      <c r="EC8" s="42" t="s">
        <v>132</v>
      </c>
      <c r="ED8" s="43" t="s">
        <v>133</v>
      </c>
      <c r="EE8" s="44" t="s">
        <v>134</v>
      </c>
      <c r="EF8" s="42" t="s">
        <v>135</v>
      </c>
    </row>
    <row r="9" spans="1:136" ht="16">
      <c r="A9" s="41"/>
      <c r="B9" s="39" t="s">
        <v>136</v>
      </c>
      <c r="C9" s="45">
        <v>0.109105830631824</v>
      </c>
      <c r="D9" s="45">
        <v>1.4576582608432649E-2</v>
      </c>
      <c r="E9" s="45">
        <v>-3.6154356576976902E-2</v>
      </c>
      <c r="F9" s="45">
        <v>-4.742600977062153E-3</v>
      </c>
      <c r="G9" s="45">
        <v>-5.7477531385562736E-3</v>
      </c>
      <c r="H9" s="45">
        <v>4.9378023156909527E-2</v>
      </c>
      <c r="I9" s="45">
        <v>0.18325176920476779</v>
      </c>
      <c r="J9" s="45">
        <v>0.1164863088741452</v>
      </c>
      <c r="K9" s="45">
        <v>-3.0594945598924051E-2</v>
      </c>
      <c r="L9" s="45">
        <v>1.9828051430277011E-2</v>
      </c>
      <c r="M9" s="45">
        <v>-2.0999006362740089E-2</v>
      </c>
      <c r="N9" s="45">
        <v>0.1497794247734946</v>
      </c>
      <c r="O9" s="45">
        <v>1.5463406170905081E-2</v>
      </c>
      <c r="P9" s="45">
        <v>-9.1792321477913982E-2</v>
      </c>
      <c r="Q9" s="45">
        <v>-7.7409013100986537E-2</v>
      </c>
      <c r="R9" s="45">
        <v>5.4776596014220982E-2</v>
      </c>
      <c r="S9" s="45">
        <v>-0.12533438670858049</v>
      </c>
      <c r="T9" s="45">
        <v>-0.1190534205538864</v>
      </c>
      <c r="U9" s="45">
        <v>-3.777005083138045E-2</v>
      </c>
      <c r="V9" s="45">
        <v>8.1183823152198617E-2</v>
      </c>
      <c r="W9" s="45">
        <v>8.4008967865119855E-2</v>
      </c>
      <c r="X9" s="45">
        <v>0.14701135657134901</v>
      </c>
      <c r="Y9" s="45">
        <v>-0.12536053701812139</v>
      </c>
      <c r="Z9" s="45">
        <v>0.1919535535452612</v>
      </c>
      <c r="AA9" s="45">
        <v>-8.4370782422902996E-2</v>
      </c>
      <c r="AB9" s="45">
        <v>7.2897613803716274E-2</v>
      </c>
      <c r="AC9" s="45">
        <v>0.10260456025692451</v>
      </c>
      <c r="AD9" s="45">
        <v>1.5770167253116588E-2</v>
      </c>
      <c r="AE9" s="45">
        <v>-0.15200716210156701</v>
      </c>
      <c r="AF9" s="45">
        <v>5.9250251506559243E-2</v>
      </c>
      <c r="AG9" s="45">
        <v>0.13005883770177931</v>
      </c>
      <c r="AH9" s="45">
        <v>0.11525639530312259</v>
      </c>
      <c r="AI9" s="45">
        <v>3.2606621901195412E-2</v>
      </c>
      <c r="AJ9" s="45">
        <v>2.79991148643382E-2</v>
      </c>
      <c r="AK9" s="45">
        <v>0.14657041796408479</v>
      </c>
      <c r="AL9" s="45">
        <v>4.0841921466891577E-2</v>
      </c>
      <c r="AM9" s="45">
        <v>0.13137636706820099</v>
      </c>
      <c r="AN9" s="45">
        <v>0.22143295930140211</v>
      </c>
      <c r="AO9" s="45">
        <v>-2.0941038924054418E-2</v>
      </c>
      <c r="AP9" s="45">
        <v>-0.13715995040864579</v>
      </c>
      <c r="AQ9" s="45">
        <v>-2.4882854865750599E-2</v>
      </c>
      <c r="AR9" s="45">
        <v>1.551397070984222E-2</v>
      </c>
      <c r="AS9" s="45">
        <v>3.4373036510765703E-2</v>
      </c>
      <c r="AT9" s="45">
        <v>6.3095686135752824E-2</v>
      </c>
      <c r="AU9" s="45">
        <v>4.3237695395113553E-2</v>
      </c>
      <c r="AV9" s="45">
        <v>-7.4230367380587331E-2</v>
      </c>
      <c r="AW9" s="45">
        <v>2.7994827208502701E-2</v>
      </c>
      <c r="AX9" s="45">
        <v>0.1198644178103629</v>
      </c>
      <c r="AY9" s="45">
        <v>7.6559571245744709E-2</v>
      </c>
      <c r="AZ9" s="45">
        <v>-2.1730386111293399E-2</v>
      </c>
      <c r="BA9" s="45">
        <v>-1.2464632784982711E-3</v>
      </c>
      <c r="BB9" s="45">
        <v>0.10099582217884891</v>
      </c>
      <c r="BC9" s="45">
        <v>2.9826929857085831E-2</v>
      </c>
      <c r="BD9" s="45">
        <v>8.6757683796749117E-3</v>
      </c>
      <c r="BE9" s="45">
        <v>6.8557206018591665E-2</v>
      </c>
      <c r="BF9" s="45">
        <v>0.15691259652648329</v>
      </c>
      <c r="BG9" s="45">
        <v>0.1592037331379933</v>
      </c>
      <c r="BH9" s="45">
        <v>6.1121667651573217E-2</v>
      </c>
      <c r="BI9" s="45">
        <v>9.6912851275401127E-2</v>
      </c>
      <c r="BJ9" s="45">
        <v>-5.4746248471514068E-2</v>
      </c>
      <c r="BK9" s="45">
        <v>-8.7492963132843785E-2</v>
      </c>
      <c r="BL9" s="45">
        <v>9.4426745861656128E-2</v>
      </c>
      <c r="BM9" s="45">
        <v>-2.2191058729398399E-2</v>
      </c>
      <c r="BN9" s="45">
        <v>1.562861243910833E-2</v>
      </c>
      <c r="BO9" s="45">
        <v>8.1418240100881306E-2</v>
      </c>
      <c r="BP9" s="45">
        <v>-1.8508942424783719E-2</v>
      </c>
      <c r="BQ9" s="45">
        <v>6.8729568027927734E-2</v>
      </c>
      <c r="BR9" s="45">
        <v>3.1023605185006549E-3</v>
      </c>
      <c r="BS9" s="45">
        <v>7.4964417651561921E-2</v>
      </c>
      <c r="BT9" s="45">
        <v>4.5201587698112312E-2</v>
      </c>
      <c r="BU9" s="45">
        <v>2.5677329398223779E-2</v>
      </c>
      <c r="BV9" s="45">
        <v>9.180403106274436E-2</v>
      </c>
      <c r="BW9" s="45">
        <v>-2.6353999034970911E-2</v>
      </c>
      <c r="BX9" s="45">
        <v>1.9394832235212069E-2</v>
      </c>
      <c r="BY9" s="45">
        <v>-7.6838899317359197E-2</v>
      </c>
      <c r="BZ9" s="45">
        <v>0.1133093139289441</v>
      </c>
      <c r="CA9" s="45">
        <v>-0.10735493495839039</v>
      </c>
      <c r="CB9" s="45">
        <v>4.0844788501696747E-2</v>
      </c>
      <c r="CC9" s="45">
        <v>-1.9801708972640539E-2</v>
      </c>
      <c r="CD9" s="45">
        <v>0.1883770899619405</v>
      </c>
      <c r="CE9" s="45">
        <v>5.5574905720929421E-2</v>
      </c>
      <c r="CF9" s="45">
        <v>7.4872074365934668E-2</v>
      </c>
      <c r="CG9" s="45">
        <v>0.1000001919024945</v>
      </c>
      <c r="CH9" s="45">
        <v>0.1360217220005796</v>
      </c>
      <c r="CI9" s="45">
        <v>-9.3741014702459921E-2</v>
      </c>
      <c r="CJ9" s="45">
        <v>3.9305991202356373E-3</v>
      </c>
      <c r="CK9" s="45">
        <v>5.6507776574398372E-2</v>
      </c>
      <c r="CL9" s="45">
        <v>0.26354577822564818</v>
      </c>
      <c r="CM9" s="45">
        <v>-9.5554349157474378E-3</v>
      </c>
      <c r="CN9" s="45">
        <v>-3.1511899508967982E-2</v>
      </c>
      <c r="CO9" s="45">
        <v>-2.2619031528730349E-2</v>
      </c>
      <c r="CP9" s="45">
        <v>0.13265560934539161</v>
      </c>
      <c r="CQ9" s="45">
        <v>0.1330727797426777</v>
      </c>
      <c r="CR9" s="45">
        <v>-1.4956408370414089E-2</v>
      </c>
      <c r="CS9" s="45">
        <v>-3.3419937997587537E-2</v>
      </c>
      <c r="CT9" s="45">
        <v>1.228120855821169E-2</v>
      </c>
      <c r="CU9" s="45">
        <v>0.11681498356736621</v>
      </c>
      <c r="CV9" s="45">
        <v>-3.1589453565969692E-3</v>
      </c>
      <c r="CW9" s="45">
        <v>3.8217758352757383E-2</v>
      </c>
      <c r="CX9" s="45">
        <v>0.13917409482071269</v>
      </c>
      <c r="CY9" s="45">
        <v>-2.3712287606589749E-2</v>
      </c>
      <c r="CZ9" s="45">
        <v>0.21835291106172269</v>
      </c>
      <c r="DA9" s="45">
        <v>-5.796736233046404E-2</v>
      </c>
      <c r="DB9" s="45">
        <v>-1.410421852050941E-2</v>
      </c>
      <c r="DC9" s="45">
        <v>0.11395608079284369</v>
      </c>
      <c r="DD9" s="45">
        <v>7.4472261891957006E-2</v>
      </c>
      <c r="DE9" s="45">
        <v>-8.9969275376677231E-4</v>
      </c>
      <c r="DF9" s="45">
        <v>9.7707180382245536E-4</v>
      </c>
      <c r="DG9" s="45">
        <v>-7.2980095070914866E-2</v>
      </c>
      <c r="DH9" s="45">
        <v>-2.384528684741952E-2</v>
      </c>
      <c r="DI9" s="45">
        <v>-0.101530671996864</v>
      </c>
      <c r="DJ9" s="45">
        <v>2.7692536462605249E-2</v>
      </c>
      <c r="DK9" s="45">
        <v>-4.9335152901351147E-2</v>
      </c>
      <c r="DL9" s="45">
        <v>-5.6993575669654463E-3</v>
      </c>
      <c r="DM9" s="45">
        <v>-3.698176006290884E-2</v>
      </c>
      <c r="DN9" s="45">
        <v>0.1098129862949979</v>
      </c>
      <c r="DO9" s="45">
        <v>4.2036825231170707E-2</v>
      </c>
      <c r="DP9" s="45">
        <v>8.4566668006112469E-2</v>
      </c>
      <c r="DQ9" s="45">
        <v>-0.11027981086457481</v>
      </c>
      <c r="DR9" s="45">
        <v>9.4328709127723676E-2</v>
      </c>
      <c r="DS9" s="45">
        <v>-7.1906912609422696E-2</v>
      </c>
      <c r="DT9" s="45">
        <v>-9.6236429507091506E-2</v>
      </c>
      <c r="DU9" s="45">
        <v>2.3455494098847921E-3</v>
      </c>
      <c r="DV9" s="45">
        <v>0.13401742358239299</v>
      </c>
      <c r="DW9" s="45">
        <v>9.4732519114383587E-2</v>
      </c>
      <c r="DX9" s="45">
        <v>-0.1037731978548066</v>
      </c>
      <c r="DY9" s="45">
        <v>7.5762154171076845E-2</v>
      </c>
      <c r="DZ9" s="45">
        <v>-3.1829720434029513E-2</v>
      </c>
      <c r="EA9" s="45">
        <v>0.16130801932992569</v>
      </c>
      <c r="EB9" s="45">
        <v>1.020353315832318E-2</v>
      </c>
      <c r="EC9" s="45">
        <v>7.3988425168607055E-2</v>
      </c>
      <c r="ED9" s="45">
        <v>-0.15737687498945321</v>
      </c>
      <c r="EE9" s="45">
        <v>7.9137553498671423E-2</v>
      </c>
      <c r="EF9" s="48">
        <v>-2.1049124928606201E-2</v>
      </c>
    </row>
    <row r="10" spans="1:136" ht="16">
      <c r="A10" s="41"/>
      <c r="B10" s="39" t="s">
        <v>137</v>
      </c>
      <c r="C10" s="49">
        <v>-0.24758870953733739</v>
      </c>
      <c r="D10" s="49">
        <v>-0.27469330301591988</v>
      </c>
      <c r="E10" s="49">
        <v>-8.4648385226775952E-2</v>
      </c>
      <c r="F10" s="49">
        <v>2.264463125499239E-2</v>
      </c>
      <c r="G10" s="49">
        <v>-4.968000079578011E-2</v>
      </c>
      <c r="H10" s="49">
        <v>-0.100759633161552</v>
      </c>
      <c r="I10" s="49">
        <v>-1.2522721374844691E-2</v>
      </c>
      <c r="J10" s="49">
        <v>7.8736550465264579E-2</v>
      </c>
      <c r="K10" s="49">
        <v>-3.418510024326199E-2</v>
      </c>
      <c r="L10" s="49">
        <v>8.8406797789969321E-2</v>
      </c>
      <c r="M10" s="49">
        <v>-3.063454560011507E-3</v>
      </c>
      <c r="N10" s="49">
        <v>-0.21221799304980321</v>
      </c>
      <c r="O10" s="49">
        <v>-3.6805388582279122E-2</v>
      </c>
      <c r="P10" s="49">
        <v>7.1033118877316462E-2</v>
      </c>
      <c r="Q10" s="49">
        <v>-7.1261132998910126E-2</v>
      </c>
      <c r="R10" s="49">
        <v>2.1560446706208151E-2</v>
      </c>
      <c r="S10" s="49">
        <v>0.10111125807516751</v>
      </c>
      <c r="T10" s="49">
        <v>4.3224739792793003E-2</v>
      </c>
      <c r="U10" s="49">
        <v>1.488194958969411E-2</v>
      </c>
      <c r="V10" s="49">
        <v>6.3260243037239986E-3</v>
      </c>
      <c r="W10" s="49">
        <v>-0.1435529784595129</v>
      </c>
      <c r="X10" s="49">
        <v>-6.4282172013507929E-2</v>
      </c>
      <c r="Y10" s="49">
        <v>-1.9034202878042191E-2</v>
      </c>
      <c r="Z10" s="49">
        <v>-2.0644556245472189E-2</v>
      </c>
      <c r="AA10" s="49">
        <v>3.3059540377865217E-2</v>
      </c>
      <c r="AB10" s="49">
        <v>-1.9418226776777941E-2</v>
      </c>
      <c r="AC10" s="49">
        <v>-6.3126838764061721E-2</v>
      </c>
      <c r="AD10" s="49">
        <v>-6.5629712146108229E-2</v>
      </c>
      <c r="AE10" s="49">
        <v>0.1379956892668254</v>
      </c>
      <c r="AF10" s="49">
        <v>-0.1005679184552228</v>
      </c>
      <c r="AG10" s="49">
        <v>-3.7969091150733998E-2</v>
      </c>
      <c r="AH10" s="49">
        <v>-4.5839537807496208E-2</v>
      </c>
      <c r="AI10" s="49">
        <v>-5.1034095516539722E-2</v>
      </c>
      <c r="AJ10" s="49">
        <v>-3.2204408877165632E-3</v>
      </c>
      <c r="AK10" s="49">
        <v>4.8952958975013116E-4</v>
      </c>
      <c r="AL10" s="49">
        <v>-0.1064467536119352</v>
      </c>
      <c r="AM10" s="49">
        <v>-1.3723973583554899E-2</v>
      </c>
      <c r="AN10" s="49">
        <v>-0.1219647076543238</v>
      </c>
      <c r="AO10" s="49">
        <v>-4.858966597382592E-2</v>
      </c>
      <c r="AP10" s="49">
        <v>-1.903150433663008E-3</v>
      </c>
      <c r="AQ10" s="49">
        <v>2.9067484813314101E-2</v>
      </c>
      <c r="AR10" s="49">
        <v>5.2635776863899968E-2</v>
      </c>
      <c r="AS10" s="49">
        <v>-1.289325857571229E-2</v>
      </c>
      <c r="AT10" s="49">
        <v>-2.131134772842519E-3</v>
      </c>
      <c r="AU10" s="49">
        <v>-0.15538438197178719</v>
      </c>
      <c r="AV10" s="49">
        <v>1.268178414302561E-2</v>
      </c>
      <c r="AW10" s="49">
        <v>-1.1942321618877561E-2</v>
      </c>
      <c r="AX10" s="49">
        <v>-4.2537914968475456E-3</v>
      </c>
      <c r="AY10" s="49">
        <v>2.930087158954232E-2</v>
      </c>
      <c r="AZ10" s="49">
        <v>-0.13412750113921701</v>
      </c>
      <c r="BA10" s="49">
        <v>-0.13711152966130111</v>
      </c>
      <c r="BB10" s="49">
        <v>1.7546605068716691E-3</v>
      </c>
      <c r="BC10" s="49">
        <v>2.5117126105990401E-2</v>
      </c>
      <c r="BD10" s="49">
        <v>-0.11960190660895841</v>
      </c>
      <c r="BE10" s="49">
        <v>0.1357616496399312</v>
      </c>
      <c r="BF10" s="49">
        <v>4.7091161676368357E-2</v>
      </c>
      <c r="BG10" s="49">
        <v>-2.605004393557599E-2</v>
      </c>
      <c r="BH10" s="49">
        <v>4.3752773670266483E-2</v>
      </c>
      <c r="BI10" s="49">
        <v>-8.1391827895093402E-2</v>
      </c>
      <c r="BJ10" s="49">
        <v>-0.10060082155953699</v>
      </c>
      <c r="BK10" s="49">
        <v>9.0490079041763594E-2</v>
      </c>
      <c r="BL10" s="49">
        <v>-3.0898458704964389E-2</v>
      </c>
      <c r="BM10" s="49">
        <v>5.8814186622603987E-2</v>
      </c>
      <c r="BN10" s="49">
        <v>8.1345639246770615E-2</v>
      </c>
      <c r="BO10" s="49">
        <v>-7.7164168976593351E-3</v>
      </c>
      <c r="BP10" s="49">
        <v>0.1067348704344353</v>
      </c>
      <c r="BQ10" s="49">
        <v>-2.7156341096342261E-2</v>
      </c>
      <c r="BR10" s="49">
        <v>-5.4431018659150447E-2</v>
      </c>
      <c r="BS10" s="49">
        <v>-6.822927751511014E-2</v>
      </c>
      <c r="BT10" s="49">
        <v>9.8612222991557266E-2</v>
      </c>
      <c r="BU10" s="49">
        <v>0.1283985422991091</v>
      </c>
      <c r="BV10" s="49">
        <v>-7.8402519476778718E-2</v>
      </c>
      <c r="BW10" s="49">
        <v>-0.1191337216524913</v>
      </c>
      <c r="BX10" s="49">
        <v>-4.6890096077604589E-2</v>
      </c>
      <c r="BY10" s="49">
        <v>0.10169834364209621</v>
      </c>
      <c r="BZ10" s="49">
        <v>-2.5680084240218899E-2</v>
      </c>
      <c r="CA10" s="49">
        <v>-8.3301790010408508E-2</v>
      </c>
      <c r="CB10" s="49">
        <v>-0.15782764847875469</v>
      </c>
      <c r="CC10" s="49">
        <v>-7.1052571704280934E-2</v>
      </c>
      <c r="CD10" s="49">
        <v>-7.3875492145199798E-2</v>
      </c>
      <c r="CE10" s="49">
        <v>-0.23678647002516851</v>
      </c>
      <c r="CF10" s="49">
        <v>3.2627706277002622E-2</v>
      </c>
      <c r="CG10" s="49">
        <v>1.3423084626575861E-2</v>
      </c>
      <c r="CH10" s="49">
        <v>-2.7966658799032269E-3</v>
      </c>
      <c r="CI10" s="49">
        <v>4.7925699911805238E-2</v>
      </c>
      <c r="CJ10" s="49">
        <v>-3.2520192681292038E-3</v>
      </c>
      <c r="CK10" s="49">
        <v>-7.570819035307215E-2</v>
      </c>
      <c r="CL10" s="49">
        <v>-4.439725585073561E-2</v>
      </c>
      <c r="CM10" s="49">
        <v>0.17898858319392719</v>
      </c>
      <c r="CN10" s="49">
        <v>5.799426642317386E-2</v>
      </c>
      <c r="CO10" s="49">
        <v>-0.13939018969183081</v>
      </c>
      <c r="CP10" s="49">
        <v>6.4714670503515537E-2</v>
      </c>
      <c r="CQ10" s="49">
        <v>-0.18118788880647541</v>
      </c>
      <c r="CR10" s="49">
        <v>-8.8633532328162568E-2</v>
      </c>
      <c r="CS10" s="49">
        <v>-2.532177470861038E-2</v>
      </c>
      <c r="CT10" s="49">
        <v>-0.11307907407472829</v>
      </c>
      <c r="CU10" s="49">
        <v>8.095957294189474E-3</v>
      </c>
      <c r="CV10" s="49">
        <v>-4.5200208394220349E-2</v>
      </c>
      <c r="CW10" s="49">
        <v>-5.8941225467328592E-2</v>
      </c>
      <c r="CX10" s="49">
        <v>-0.1077283016776811</v>
      </c>
      <c r="CY10" s="49">
        <v>-9.6503499496267492E-2</v>
      </c>
      <c r="CZ10" s="49">
        <v>-0.2103543453191653</v>
      </c>
      <c r="DA10" s="49">
        <v>-0.10996113735654101</v>
      </c>
      <c r="DB10" s="49">
        <v>-0.1908204716293295</v>
      </c>
      <c r="DC10" s="49">
        <v>-2.0727272402408872E-2</v>
      </c>
      <c r="DD10" s="49">
        <v>8.7029095351123936E-2</v>
      </c>
      <c r="DE10" s="49">
        <v>8.2024592921593045E-2</v>
      </c>
      <c r="DF10" s="49">
        <v>-0.166876664789437</v>
      </c>
      <c r="DG10" s="49">
        <v>0.22243808581717431</v>
      </c>
      <c r="DH10" s="49">
        <v>-0.144297746243673</v>
      </c>
      <c r="DI10" s="49">
        <v>-0.1196199522370443</v>
      </c>
      <c r="DJ10" s="49">
        <v>-0.10159274396951661</v>
      </c>
      <c r="DK10" s="49">
        <v>9.2855058740681395E-2</v>
      </c>
      <c r="DL10" s="49">
        <v>-4.2630490096108087E-2</v>
      </c>
      <c r="DM10" s="49">
        <v>8.2732072899953643E-2</v>
      </c>
      <c r="DN10" s="49">
        <v>-3.1049452465540091E-2</v>
      </c>
      <c r="DO10" s="49">
        <v>-9.8141990492640205E-2</v>
      </c>
      <c r="DP10" s="49">
        <v>-0.13058888143944061</v>
      </c>
      <c r="DQ10" s="49">
        <v>4.8655718251279387E-2</v>
      </c>
      <c r="DR10" s="49">
        <v>-3.9251909935401189E-2</v>
      </c>
      <c r="DS10" s="49">
        <v>-0.1610301993932845</v>
      </c>
      <c r="DT10" s="49">
        <v>-7.8883966483063367E-2</v>
      </c>
      <c r="DU10" s="49">
        <v>0.16407715854109439</v>
      </c>
      <c r="DV10" s="49">
        <v>7.5052515397744431E-3</v>
      </c>
      <c r="DW10" s="49">
        <v>-0.1016452501185193</v>
      </c>
      <c r="DX10" s="49">
        <v>-5.6040292492535823E-2</v>
      </c>
      <c r="DY10" s="49">
        <v>-0.1066566396478186</v>
      </c>
      <c r="DZ10" s="49">
        <v>-6.9186575508287662E-2</v>
      </c>
      <c r="EA10" s="49">
        <v>-0.12618865773840809</v>
      </c>
      <c r="EB10" s="49">
        <v>-6.4737118328050736E-2</v>
      </c>
      <c r="EC10" s="49">
        <v>5.142607344157852E-2</v>
      </c>
      <c r="ED10" s="50">
        <v>3.4496728436731378E-2</v>
      </c>
      <c r="EE10" s="51">
        <v>0.15767759835539891</v>
      </c>
      <c r="EF10" s="45">
        <v>0.24308193553486401</v>
      </c>
    </row>
    <row r="11" spans="1:136" ht="16">
      <c r="A11" s="41"/>
      <c r="B11" s="39" t="s">
        <v>138</v>
      </c>
      <c r="C11" s="51">
        <v>-5.4244781267602057E-2</v>
      </c>
      <c r="D11" s="51">
        <v>4.5377022463556939E-2</v>
      </c>
      <c r="E11" s="51">
        <v>-1.7752272607948309E-2</v>
      </c>
      <c r="F11" s="51">
        <v>-8.7687354470119203E-2</v>
      </c>
      <c r="G11" s="51">
        <v>0.1027592597916023</v>
      </c>
      <c r="H11" s="51">
        <v>2.5113717342445511E-3</v>
      </c>
      <c r="I11" s="51">
        <v>-1.8303552483615069E-2</v>
      </c>
      <c r="J11" s="51">
        <v>2.2110525104917209E-2</v>
      </c>
      <c r="K11" s="51">
        <v>7.7258045731841044E-2</v>
      </c>
      <c r="L11" s="51">
        <v>9.3440783982297517E-3</v>
      </c>
      <c r="M11" s="51">
        <v>5.3602181204841143E-2</v>
      </c>
      <c r="N11" s="51">
        <v>-6.7877357290963961E-2</v>
      </c>
      <c r="O11" s="51">
        <v>6.4929886491987929E-2</v>
      </c>
      <c r="P11" s="51">
        <v>4.8806817542238106E-3</v>
      </c>
      <c r="Q11" s="51">
        <v>1.919781824762783E-2</v>
      </c>
      <c r="R11" s="51">
        <v>-5.4653492448842392E-3</v>
      </c>
      <c r="S11" s="51">
        <v>3.6551467134004201E-2</v>
      </c>
      <c r="T11" s="51">
        <v>0.12918506866843241</v>
      </c>
      <c r="U11" s="51">
        <v>1.369240766293847E-2</v>
      </c>
      <c r="V11" s="51">
        <v>1.529525194063162E-2</v>
      </c>
      <c r="W11" s="51">
        <v>-0.10468571910271469</v>
      </c>
      <c r="X11" s="51">
        <v>-0.29384805056845642</v>
      </c>
      <c r="Y11" s="51">
        <v>5.9212485033458218E-2</v>
      </c>
      <c r="Z11" s="51">
        <v>-0.18494831245363619</v>
      </c>
      <c r="AA11" s="51">
        <v>9.8247438772127521E-2</v>
      </c>
      <c r="AB11" s="51">
        <v>-6.5734107189282197E-4</v>
      </c>
      <c r="AC11" s="51">
        <v>-0.1036861156532312</v>
      </c>
      <c r="AD11" s="51">
        <v>3.5450938075395509E-3</v>
      </c>
      <c r="AE11" s="51">
        <v>0.17560148677061019</v>
      </c>
      <c r="AF11" s="51">
        <v>-0.1550331010885124</v>
      </c>
      <c r="AG11" s="51">
        <v>-2.6328625232284051E-2</v>
      </c>
      <c r="AH11" s="51">
        <v>-4.9988101579694936E-3</v>
      </c>
      <c r="AI11" s="51">
        <v>2.8067714594873169E-2</v>
      </c>
      <c r="AJ11" s="51">
        <v>-2.2384193940381401E-2</v>
      </c>
      <c r="AK11" s="51">
        <v>-4.7020825392250949E-2</v>
      </c>
      <c r="AL11" s="51">
        <v>-0.10156151199043489</v>
      </c>
      <c r="AM11" s="51">
        <v>2.3525148704495701E-2</v>
      </c>
      <c r="AN11" s="51">
        <v>5.2525230105422573E-2</v>
      </c>
      <c r="AO11" s="51">
        <v>5.8502893637957562E-2</v>
      </c>
      <c r="AP11" s="51">
        <v>3.3447356041428761E-2</v>
      </c>
      <c r="AQ11" s="51">
        <v>1.430036545094069E-2</v>
      </c>
      <c r="AR11" s="51">
        <v>3.5903594729592501E-2</v>
      </c>
      <c r="AS11" s="51">
        <v>3.9782285287992311E-2</v>
      </c>
      <c r="AT11" s="51">
        <v>0.1484561956282951</v>
      </c>
      <c r="AU11" s="51">
        <v>-4.078729487218978E-2</v>
      </c>
      <c r="AV11" s="51">
        <v>0.13895895413073689</v>
      </c>
      <c r="AW11" s="51">
        <v>5.9863283397122782E-2</v>
      </c>
      <c r="AX11" s="51">
        <v>-0.1497898129881709</v>
      </c>
      <c r="AY11" s="51">
        <v>6.1595851435820623E-2</v>
      </c>
      <c r="AZ11" s="51">
        <v>-6.1949751488506538E-2</v>
      </c>
      <c r="BA11" s="51">
        <v>-2.389264381020083E-3</v>
      </c>
      <c r="BB11" s="51">
        <v>-0.14887029613688371</v>
      </c>
      <c r="BC11" s="51">
        <v>6.0350517971681748E-2</v>
      </c>
      <c r="BD11" s="51">
        <v>-1.468575255625916E-2</v>
      </c>
      <c r="BE11" s="51">
        <v>-0.14651529968819679</v>
      </c>
      <c r="BF11" s="51">
        <v>-0.2087626486148127</v>
      </c>
      <c r="BG11" s="51">
        <v>-0.20144325578474859</v>
      </c>
      <c r="BH11" s="51">
        <v>-0.11804991677814031</v>
      </c>
      <c r="BI11" s="51">
        <v>-7.7026576071686378E-2</v>
      </c>
      <c r="BJ11" s="51">
        <v>-3.6220317042829728E-2</v>
      </c>
      <c r="BK11" s="51">
        <v>-1.8907268725092598E-2</v>
      </c>
      <c r="BL11" s="51">
        <v>-0.17125563757433929</v>
      </c>
      <c r="BM11" s="51">
        <v>0.13291749710961351</v>
      </c>
      <c r="BN11" s="51">
        <v>-3.5907701607395578E-2</v>
      </c>
      <c r="BO11" s="51">
        <v>2.1344518209370389E-2</v>
      </c>
      <c r="BP11" s="51">
        <v>4.9634822871427897E-2</v>
      </c>
      <c r="BQ11" s="51">
        <v>-1.7211216417584319E-2</v>
      </c>
      <c r="BR11" s="51">
        <v>0.18982724311105359</v>
      </c>
      <c r="BS11" s="51">
        <v>-9.7605037382284945E-2</v>
      </c>
      <c r="BT11" s="51">
        <v>3.7831444138355132E-2</v>
      </c>
      <c r="BU11" s="51">
        <v>5.6008305208474198E-2</v>
      </c>
      <c r="BV11" s="51">
        <v>-0.1167370363031352</v>
      </c>
      <c r="BW11" s="51">
        <v>-0.1413229882478122</v>
      </c>
      <c r="BX11" s="51">
        <v>-3.3770258788579869E-3</v>
      </c>
      <c r="BY11" s="51">
        <v>0.13033606071126891</v>
      </c>
      <c r="BZ11" s="51">
        <v>3.1697731081681189E-2</v>
      </c>
      <c r="CA11" s="51">
        <v>4.0555037474470507E-2</v>
      </c>
      <c r="CB11" s="51">
        <v>-4.2037331365292897E-2</v>
      </c>
      <c r="CC11" s="51">
        <v>5.0013723389441531E-2</v>
      </c>
      <c r="CD11" s="51">
        <v>-6.8456279312897411E-2</v>
      </c>
      <c r="CE11" s="51">
        <v>-8.0832090081974353E-2</v>
      </c>
      <c r="CF11" s="51">
        <v>-1.948310790200239E-3</v>
      </c>
      <c r="CG11" s="51">
        <v>-0.1182090018050031</v>
      </c>
      <c r="CH11" s="51">
        <v>-3.67198859644461E-2</v>
      </c>
      <c r="CI11" s="51">
        <v>-8.3332793120616616E-2</v>
      </c>
      <c r="CJ11" s="51">
        <v>0.23067286701975129</v>
      </c>
      <c r="CK11" s="51">
        <v>0.1327785225954993</v>
      </c>
      <c r="CL11" s="51">
        <v>0.1412873189704931</v>
      </c>
      <c r="CM11" s="51">
        <v>-0.11268938730850959</v>
      </c>
      <c r="CN11" s="51">
        <v>0.22348855763592371</v>
      </c>
      <c r="CO11" s="51">
        <v>-0.10441916957268479</v>
      </c>
      <c r="CP11" s="51">
        <v>-1.442822447791231E-2</v>
      </c>
      <c r="CQ11" s="51">
        <v>-0.20723337326778599</v>
      </c>
      <c r="CR11" s="51">
        <v>-0.1348638695123113</v>
      </c>
      <c r="CS11" s="51">
        <v>7.3007738807373504E-2</v>
      </c>
      <c r="CT11" s="51">
        <v>-3.0218378407130288E-2</v>
      </c>
      <c r="CU11" s="51">
        <v>-0.28688917437274702</v>
      </c>
      <c r="CV11" s="51">
        <v>0.2307305381875536</v>
      </c>
      <c r="CW11" s="51">
        <v>9.1075698514216888E-2</v>
      </c>
      <c r="CX11" s="51">
        <v>-0.1224857321642277</v>
      </c>
      <c r="CY11" s="51">
        <v>7.8381925305362449E-2</v>
      </c>
      <c r="CZ11" s="51">
        <v>-4.5950103566863888E-2</v>
      </c>
      <c r="DA11" s="51">
        <v>8.2670164530151122E-2</v>
      </c>
      <c r="DB11" s="51">
        <v>0.14934927010032351</v>
      </c>
      <c r="DC11" s="51">
        <v>-4.7798705164587528E-2</v>
      </c>
      <c r="DD11" s="51">
        <v>-0.1645134604307108</v>
      </c>
      <c r="DE11" s="51">
        <v>-0.1105683533423189</v>
      </c>
      <c r="DF11" s="51">
        <v>5.7416867202733347E-2</v>
      </c>
      <c r="DG11" s="51">
        <v>-0.21489021548963169</v>
      </c>
      <c r="DH11" s="51">
        <v>6.2997155047871164E-2</v>
      </c>
      <c r="DI11" s="51">
        <v>6.7721109014009601E-2</v>
      </c>
      <c r="DJ11" s="51">
        <v>0.1188020770386063</v>
      </c>
      <c r="DK11" s="51">
        <v>7.2827306455158416E-3</v>
      </c>
      <c r="DL11" s="51">
        <v>7.1320599005857979E-2</v>
      </c>
      <c r="DM11" s="51">
        <v>2.1021900655620821E-2</v>
      </c>
      <c r="DN11" s="51">
        <v>-3.0403223939335849E-2</v>
      </c>
      <c r="DO11" s="51">
        <v>-9.694965661135331E-2</v>
      </c>
      <c r="DP11" s="51">
        <v>-0.23067649178859881</v>
      </c>
      <c r="DQ11" s="51">
        <v>0.238184312236043</v>
      </c>
      <c r="DR11" s="51">
        <v>3.5748752036958448E-3</v>
      </c>
      <c r="DS11" s="51">
        <v>0.13395561672683809</v>
      </c>
      <c r="DT11" s="51">
        <v>0.11510609642796051</v>
      </c>
      <c r="DU11" s="51">
        <v>0.1040797891887878</v>
      </c>
      <c r="DV11" s="51">
        <v>-5.4611063064875308E-2</v>
      </c>
      <c r="DW11" s="51">
        <v>-3.3290193961398547E-2</v>
      </c>
      <c r="DX11" s="51">
        <v>5.5094916778075383E-2</v>
      </c>
      <c r="DY11" s="51">
        <v>6.8793773385234666E-2</v>
      </c>
      <c r="DZ11" s="51">
        <v>1.4480773118257949E-2</v>
      </c>
      <c r="EA11" s="51">
        <v>-0.29313654086030699</v>
      </c>
      <c r="EB11" s="51">
        <v>-0.14097501940218221</v>
      </c>
      <c r="EC11" s="51">
        <v>-1.2209361583162239E-2</v>
      </c>
      <c r="ED11" s="52">
        <v>5.816768758959897E-2</v>
      </c>
      <c r="EE11" s="51">
        <v>-0.14440301349005499</v>
      </c>
      <c r="EF11" s="51">
        <v>6.7710153809902298E-3</v>
      </c>
    </row>
    <row r="13" spans="1:136" ht="20" customHeight="1">
      <c r="A13" s="56" t="s">
        <v>167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7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</row>
    <row r="14" spans="1:136" ht="16">
      <c r="A14" s="41"/>
      <c r="B14" s="39" t="s">
        <v>1</v>
      </c>
      <c r="C14" s="42" t="s">
        <v>2</v>
      </c>
      <c r="D14" s="42" t="s">
        <v>3</v>
      </c>
      <c r="E14" s="42" t="s">
        <v>4</v>
      </c>
      <c r="F14" s="42" t="s">
        <v>5</v>
      </c>
      <c r="G14" s="42" t="s">
        <v>6</v>
      </c>
      <c r="H14" s="42" t="s">
        <v>7</v>
      </c>
      <c r="I14" s="42" t="s">
        <v>8</v>
      </c>
      <c r="J14" s="42" t="s">
        <v>9</v>
      </c>
      <c r="K14" s="42" t="s">
        <v>10</v>
      </c>
      <c r="L14" s="42" t="s">
        <v>11</v>
      </c>
      <c r="M14" s="42" t="s">
        <v>12</v>
      </c>
      <c r="N14" s="42" t="s">
        <v>13</v>
      </c>
      <c r="O14" s="42" t="s">
        <v>14</v>
      </c>
      <c r="P14" s="42" t="s">
        <v>15</v>
      </c>
      <c r="Q14" s="42" t="s">
        <v>16</v>
      </c>
      <c r="R14" s="42" t="s">
        <v>17</v>
      </c>
      <c r="S14" s="42" t="s">
        <v>18</v>
      </c>
      <c r="T14" s="42" t="s">
        <v>19</v>
      </c>
      <c r="U14" s="42" t="s">
        <v>20</v>
      </c>
      <c r="V14" s="42" t="s">
        <v>21</v>
      </c>
      <c r="W14" s="42" t="s">
        <v>22</v>
      </c>
      <c r="X14" s="42" t="s">
        <v>23</v>
      </c>
      <c r="Y14" s="42" t="s">
        <v>24</v>
      </c>
      <c r="Z14" s="42" t="s">
        <v>25</v>
      </c>
      <c r="AA14" s="42" t="s">
        <v>26</v>
      </c>
      <c r="AB14" s="42" t="s">
        <v>27</v>
      </c>
      <c r="AC14" s="42" t="s">
        <v>28</v>
      </c>
      <c r="AD14" s="42" t="s">
        <v>29</v>
      </c>
      <c r="AE14" s="42" t="s">
        <v>30</v>
      </c>
      <c r="AF14" s="42" t="s">
        <v>31</v>
      </c>
      <c r="AG14" s="42" t="s">
        <v>32</v>
      </c>
      <c r="AH14" s="42" t="s">
        <v>33</v>
      </c>
      <c r="AI14" s="42" t="s">
        <v>34</v>
      </c>
      <c r="AJ14" s="42" t="s">
        <v>35</v>
      </c>
      <c r="AK14" s="42" t="s">
        <v>36</v>
      </c>
      <c r="AL14" s="42" t="s">
        <v>37</v>
      </c>
      <c r="AM14" s="42" t="s">
        <v>38</v>
      </c>
      <c r="AN14" s="42" t="s">
        <v>39</v>
      </c>
      <c r="AO14" s="42" t="s">
        <v>40</v>
      </c>
      <c r="AP14" s="42" t="s">
        <v>41</v>
      </c>
      <c r="AQ14" s="42" t="s">
        <v>42</v>
      </c>
      <c r="AR14" s="42" t="s">
        <v>43</v>
      </c>
      <c r="AS14" s="42" t="s">
        <v>44</v>
      </c>
      <c r="AT14" s="42" t="s">
        <v>45</v>
      </c>
      <c r="AU14" s="42" t="s">
        <v>46</v>
      </c>
      <c r="AV14" s="42" t="s">
        <v>47</v>
      </c>
      <c r="AW14" s="42" t="s">
        <v>48</v>
      </c>
      <c r="AX14" s="42" t="s">
        <v>49</v>
      </c>
      <c r="AY14" s="42" t="s">
        <v>50</v>
      </c>
      <c r="AZ14" s="42" t="s">
        <v>51</v>
      </c>
      <c r="BA14" s="42" t="s">
        <v>52</v>
      </c>
      <c r="BB14" s="42" t="s">
        <v>53</v>
      </c>
      <c r="BC14" s="42" t="s">
        <v>54</v>
      </c>
      <c r="BD14" s="42" t="s">
        <v>55</v>
      </c>
      <c r="BE14" s="42" t="s">
        <v>56</v>
      </c>
      <c r="BF14" s="42" t="s">
        <v>57</v>
      </c>
      <c r="BG14" s="42" t="s">
        <v>58</v>
      </c>
      <c r="BH14" s="42" t="s">
        <v>59</v>
      </c>
      <c r="BI14" s="42" t="s">
        <v>60</v>
      </c>
      <c r="BJ14" s="42" t="s">
        <v>61</v>
      </c>
      <c r="BK14" s="42" t="s">
        <v>62</v>
      </c>
      <c r="BL14" s="42" t="s">
        <v>63</v>
      </c>
      <c r="BM14" s="42" t="s">
        <v>64</v>
      </c>
      <c r="BN14" s="42" t="s">
        <v>65</v>
      </c>
      <c r="BO14" s="42" t="s">
        <v>66</v>
      </c>
      <c r="BP14" s="42" t="s">
        <v>67</v>
      </c>
      <c r="BQ14" s="42" t="s">
        <v>68</v>
      </c>
      <c r="BR14" s="42" t="s">
        <v>69</v>
      </c>
      <c r="BS14" s="42" t="s">
        <v>70</v>
      </c>
      <c r="BT14" s="42" t="s">
        <v>71</v>
      </c>
      <c r="BU14" s="42" t="s">
        <v>72</v>
      </c>
      <c r="BV14" s="42" t="s">
        <v>73</v>
      </c>
      <c r="BW14" s="42" t="s">
        <v>74</v>
      </c>
      <c r="BX14" s="42" t="s">
        <v>75</v>
      </c>
      <c r="BY14" s="42" t="s">
        <v>76</v>
      </c>
      <c r="BZ14" s="42" t="s">
        <v>77</v>
      </c>
      <c r="CA14" s="42" t="s">
        <v>78</v>
      </c>
      <c r="CB14" s="42" t="s">
        <v>79</v>
      </c>
      <c r="CC14" s="42" t="s">
        <v>80</v>
      </c>
      <c r="CD14" s="42" t="s">
        <v>81</v>
      </c>
      <c r="CE14" s="42" t="s">
        <v>82</v>
      </c>
      <c r="CF14" s="42" t="s">
        <v>83</v>
      </c>
      <c r="CG14" s="42" t="s">
        <v>84</v>
      </c>
      <c r="CH14" s="42" t="s">
        <v>85</v>
      </c>
      <c r="CI14" s="42" t="s">
        <v>86</v>
      </c>
      <c r="CJ14" s="42" t="s">
        <v>87</v>
      </c>
      <c r="CK14" s="42" t="s">
        <v>88</v>
      </c>
      <c r="CL14" s="42" t="s">
        <v>89</v>
      </c>
      <c r="CM14" s="42" t="s">
        <v>90</v>
      </c>
      <c r="CN14" s="42" t="s">
        <v>91</v>
      </c>
      <c r="CO14" s="42" t="s">
        <v>92</v>
      </c>
      <c r="CP14" s="42" t="s">
        <v>93</v>
      </c>
      <c r="CQ14" s="42" t="s">
        <v>94</v>
      </c>
      <c r="CR14" s="42" t="s">
        <v>95</v>
      </c>
      <c r="CS14" s="42" t="s">
        <v>96</v>
      </c>
      <c r="CT14" s="42" t="s">
        <v>97</v>
      </c>
      <c r="CU14" s="42" t="s">
        <v>98</v>
      </c>
      <c r="CV14" s="42" t="s">
        <v>99</v>
      </c>
      <c r="CW14" s="42" t="s">
        <v>100</v>
      </c>
      <c r="CX14" s="42" t="s">
        <v>101</v>
      </c>
      <c r="CY14" s="42" t="s">
        <v>102</v>
      </c>
      <c r="CZ14" s="42" t="s">
        <v>103</v>
      </c>
      <c r="DA14" s="42" t="s">
        <v>104</v>
      </c>
      <c r="DB14" s="42" t="s">
        <v>105</v>
      </c>
      <c r="DC14" s="42" t="s">
        <v>106</v>
      </c>
      <c r="DD14" s="42" t="s">
        <v>107</v>
      </c>
      <c r="DE14" s="42" t="s">
        <v>108</v>
      </c>
      <c r="DF14" s="42" t="s">
        <v>109</v>
      </c>
      <c r="DG14" s="42" t="s">
        <v>110</v>
      </c>
      <c r="DH14" s="42" t="s">
        <v>111</v>
      </c>
      <c r="DI14" s="42" t="s">
        <v>112</v>
      </c>
      <c r="DJ14" s="42" t="s">
        <v>113</v>
      </c>
      <c r="DK14" s="42" t="s">
        <v>114</v>
      </c>
      <c r="DL14" s="42" t="s">
        <v>115</v>
      </c>
      <c r="DM14" s="42" t="s">
        <v>116</v>
      </c>
      <c r="DN14" s="42" t="s">
        <v>117</v>
      </c>
      <c r="DO14" s="42" t="s">
        <v>118</v>
      </c>
      <c r="DP14" s="42" t="s">
        <v>119</v>
      </c>
      <c r="DQ14" s="42" t="s">
        <v>120</v>
      </c>
      <c r="DR14" s="42" t="s">
        <v>121</v>
      </c>
      <c r="DS14" s="42" t="s">
        <v>122</v>
      </c>
      <c r="DT14" s="42" t="s">
        <v>123</v>
      </c>
      <c r="DU14" s="42" t="s">
        <v>124</v>
      </c>
      <c r="DV14" s="42" t="s">
        <v>125</v>
      </c>
      <c r="DW14" s="42" t="s">
        <v>126</v>
      </c>
      <c r="DX14" s="42" t="s">
        <v>127</v>
      </c>
      <c r="DY14" s="42" t="s">
        <v>128</v>
      </c>
      <c r="DZ14" s="42" t="s">
        <v>129</v>
      </c>
      <c r="EA14" s="42" t="s">
        <v>130</v>
      </c>
      <c r="EB14" s="42" t="s">
        <v>131</v>
      </c>
      <c r="EC14" s="42" t="s">
        <v>132</v>
      </c>
      <c r="ED14" s="43" t="s">
        <v>133</v>
      </c>
      <c r="EE14" s="44" t="s">
        <v>134</v>
      </c>
      <c r="EF14" s="42" t="s">
        <v>135</v>
      </c>
    </row>
    <row r="15" spans="1:136" ht="16">
      <c r="A15" s="41"/>
      <c r="B15" s="39" t="s">
        <v>136</v>
      </c>
      <c r="C15" s="45">
        <f t="shared" ref="C15:AH15" si="0">(C3-C9)^2</f>
        <v>3.2263447398901191E-3</v>
      </c>
      <c r="D15" s="45">
        <f t="shared" si="0"/>
        <v>3.0283123704220036E-4</v>
      </c>
      <c r="E15" s="45">
        <f t="shared" si="0"/>
        <v>9.7891409348417982E-4</v>
      </c>
      <c r="F15" s="45">
        <f t="shared" si="0"/>
        <v>1.0099695332149779E-4</v>
      </c>
      <c r="G15" s="45">
        <f t="shared" si="0"/>
        <v>1.8867195160613666E-3</v>
      </c>
      <c r="H15" s="45">
        <f t="shared" si="0"/>
        <v>9.4297475986588545E-5</v>
      </c>
      <c r="I15" s="45">
        <f t="shared" si="0"/>
        <v>2.7615860684820845E-2</v>
      </c>
      <c r="J15" s="45">
        <f t="shared" si="0"/>
        <v>1.3067218093728343E-2</v>
      </c>
      <c r="K15" s="45">
        <f t="shared" si="0"/>
        <v>1.3376901228748983E-3</v>
      </c>
      <c r="L15" s="45">
        <f t="shared" si="0"/>
        <v>2.2767683918173095E-4</v>
      </c>
      <c r="M15" s="45">
        <f t="shared" si="0"/>
        <v>4.3877964498167891E-3</v>
      </c>
      <c r="N15" s="45">
        <f t="shared" si="0"/>
        <v>1.7760852157130563E-2</v>
      </c>
      <c r="O15" s="45">
        <f t="shared" si="0"/>
        <v>3.7715678528019094E-7</v>
      </c>
      <c r="P15" s="45">
        <f t="shared" si="0"/>
        <v>1.7544129996384866E-2</v>
      </c>
      <c r="Q15" s="45">
        <f t="shared" si="0"/>
        <v>8.5827727515410384E-3</v>
      </c>
      <c r="R15" s="45">
        <f t="shared" si="0"/>
        <v>6.6176918955611775E-4</v>
      </c>
      <c r="S15" s="45">
        <f t="shared" si="0"/>
        <v>2.1745212877501623E-2</v>
      </c>
      <c r="T15" s="45">
        <f t="shared" si="0"/>
        <v>6.8742531515200572E-2</v>
      </c>
      <c r="U15" s="45">
        <f t="shared" si="0"/>
        <v>1.4448600956734601E-4</v>
      </c>
      <c r="V15" s="45">
        <f t="shared" si="0"/>
        <v>1.5060047011482589E-2</v>
      </c>
      <c r="W15" s="45">
        <f t="shared" si="0"/>
        <v>1.5937653719222476E-2</v>
      </c>
      <c r="X15" s="45">
        <f t="shared" si="0"/>
        <v>3.8388724958108779E-2</v>
      </c>
      <c r="Y15" s="45">
        <f t="shared" si="0"/>
        <v>6.3156622196840042E-3</v>
      </c>
      <c r="Z15" s="45">
        <f t="shared" si="0"/>
        <v>6.3789584914218725E-2</v>
      </c>
      <c r="AA15" s="45">
        <f t="shared" si="0"/>
        <v>6.0690005311843003E-3</v>
      </c>
      <c r="AB15" s="45">
        <f t="shared" si="0"/>
        <v>9.7464456413517316E-3</v>
      </c>
      <c r="AC15" s="45">
        <f t="shared" si="0"/>
        <v>9.7687037871277641E-3</v>
      </c>
      <c r="AD15" s="45">
        <f t="shared" si="0"/>
        <v>2.4575987404413286E-3</v>
      </c>
      <c r="AE15" s="45">
        <f t="shared" si="0"/>
        <v>1.5957046463108322E-2</v>
      </c>
      <c r="AF15" s="45">
        <f t="shared" si="0"/>
        <v>1.28002864104959E-3</v>
      </c>
      <c r="AG15" s="45">
        <f t="shared" si="0"/>
        <v>3.6805863854546879E-2</v>
      </c>
      <c r="AH15" s="45">
        <f t="shared" si="0"/>
        <v>9.6945238430434962E-3</v>
      </c>
      <c r="AI15" s="45">
        <f t="shared" ref="AI15:BN15" si="1">(AI3-AI9)^2</f>
        <v>1.2298097035921108E-4</v>
      </c>
      <c r="AJ15" s="45">
        <f t="shared" si="1"/>
        <v>1.6376175076924153E-5</v>
      </c>
      <c r="AK15" s="45">
        <f t="shared" si="1"/>
        <v>1.6595542158407441E-2</v>
      </c>
      <c r="AL15" s="45">
        <f t="shared" si="1"/>
        <v>8.7342974410072494E-4</v>
      </c>
      <c r="AM15" s="45">
        <f t="shared" si="1"/>
        <v>1.4810919474704842E-2</v>
      </c>
      <c r="AN15" s="45">
        <f t="shared" si="1"/>
        <v>4.8721305643541477E-2</v>
      </c>
      <c r="AO15" s="45">
        <f t="shared" si="1"/>
        <v>3.8880222055282654E-4</v>
      </c>
      <c r="AP15" s="45">
        <f t="shared" si="1"/>
        <v>2.3106123771044249E-2</v>
      </c>
      <c r="AQ15" s="45">
        <f t="shared" si="1"/>
        <v>2.3204325507815812E-3</v>
      </c>
      <c r="AR15" s="45">
        <f t="shared" si="1"/>
        <v>2.8414865695686458E-5</v>
      </c>
      <c r="AS15" s="45">
        <f t="shared" si="1"/>
        <v>2.9417957880079051E-3</v>
      </c>
      <c r="AT15" s="45">
        <f t="shared" si="1"/>
        <v>7.1041721439123818E-3</v>
      </c>
      <c r="AU15" s="45">
        <f t="shared" si="1"/>
        <v>1.9645358462414024E-3</v>
      </c>
      <c r="AV15" s="45">
        <f t="shared" si="1"/>
        <v>1.4337429415358855E-2</v>
      </c>
      <c r="AW15" s="45">
        <f t="shared" si="1"/>
        <v>5.5558116575196107E-4</v>
      </c>
      <c r="AX15" s="45">
        <f t="shared" si="1"/>
        <v>1.145925193952602E-2</v>
      </c>
      <c r="AY15" s="45">
        <f t="shared" si="1"/>
        <v>1.1136696674564333E-2</v>
      </c>
      <c r="AZ15" s="45">
        <f t="shared" si="1"/>
        <v>6.4701886241643622E-6</v>
      </c>
      <c r="BA15" s="45">
        <f t="shared" si="1"/>
        <v>3.8036945782858733E-10</v>
      </c>
      <c r="BB15" s="45">
        <f t="shared" si="1"/>
        <v>1.2452140239924024E-2</v>
      </c>
      <c r="BC15" s="45">
        <f t="shared" si="1"/>
        <v>1.611517371195515E-5</v>
      </c>
      <c r="BD15" s="45">
        <f t="shared" si="1"/>
        <v>5.7795464285070842E-4</v>
      </c>
      <c r="BE15" s="45">
        <f t="shared" si="1"/>
        <v>8.4433190892290073E-3</v>
      </c>
      <c r="BF15" s="45">
        <f t="shared" si="1"/>
        <v>2.4017053880640998E-2</v>
      </c>
      <c r="BG15" s="45">
        <f t="shared" si="1"/>
        <v>1.8628842131675639E-2</v>
      </c>
      <c r="BH15" s="45">
        <f t="shared" si="1"/>
        <v>4.4214615596718972E-4</v>
      </c>
      <c r="BI15" s="45">
        <f t="shared" si="1"/>
        <v>7.3429569072214164E-3</v>
      </c>
      <c r="BJ15" s="45">
        <f t="shared" si="1"/>
        <v>3.1365858847005579E-6</v>
      </c>
      <c r="BK15" s="45">
        <f t="shared" si="1"/>
        <v>1.1903806752445612E-2</v>
      </c>
      <c r="BL15" s="45">
        <f t="shared" si="1"/>
        <v>1.8703908584069905E-2</v>
      </c>
      <c r="BM15" s="45">
        <f t="shared" si="1"/>
        <v>1.1211744802383309E-4</v>
      </c>
      <c r="BN15" s="45">
        <f t="shared" si="1"/>
        <v>1.5386493639171507E-4</v>
      </c>
      <c r="BO15" s="45">
        <f t="shared" ref="BO15:CT15" si="2">(BO3-BO9)^2</f>
        <v>5.1352338879779615E-3</v>
      </c>
      <c r="BP15" s="45">
        <f t="shared" si="2"/>
        <v>3.3151615393889057E-4</v>
      </c>
      <c r="BQ15" s="45">
        <f t="shared" si="2"/>
        <v>5.6868655617760113E-3</v>
      </c>
      <c r="BR15" s="45">
        <f t="shared" si="2"/>
        <v>3.239342023781391E-4</v>
      </c>
      <c r="BS15" s="45">
        <f t="shared" si="2"/>
        <v>9.4837687538887796E-3</v>
      </c>
      <c r="BT15" s="45">
        <f t="shared" si="2"/>
        <v>2.0046185714974892E-3</v>
      </c>
      <c r="BU15" s="45">
        <f t="shared" si="2"/>
        <v>1.0101419275315067E-3</v>
      </c>
      <c r="BV15" s="45">
        <f t="shared" si="2"/>
        <v>1.2767126312280268E-2</v>
      </c>
      <c r="BW15" s="45">
        <f t="shared" si="2"/>
        <v>8.1604833401717666E-6</v>
      </c>
      <c r="BX15" s="45">
        <f t="shared" si="2"/>
        <v>1.5135858997812304E-3</v>
      </c>
      <c r="BY15" s="45">
        <f t="shared" si="2"/>
        <v>4.8536219854675312E-3</v>
      </c>
      <c r="BZ15" s="45">
        <f t="shared" si="2"/>
        <v>1.8403710792085408E-2</v>
      </c>
      <c r="CA15" s="45">
        <f t="shared" si="2"/>
        <v>5.7804941701489728E-3</v>
      </c>
      <c r="CB15" s="45">
        <f t="shared" si="2"/>
        <v>5.5618052881149854E-3</v>
      </c>
      <c r="CC15" s="45">
        <f t="shared" si="2"/>
        <v>1.8613153554762282E-4</v>
      </c>
      <c r="CD15" s="45">
        <f t="shared" si="2"/>
        <v>4.9377966813044502E-2</v>
      </c>
      <c r="CE15" s="45">
        <f t="shared" si="2"/>
        <v>6.679642700991432E-3</v>
      </c>
      <c r="CF15" s="45">
        <f t="shared" si="2"/>
        <v>6.2952088119378486E-3</v>
      </c>
      <c r="CG15" s="45">
        <f t="shared" si="2"/>
        <v>1.7228229364751487E-2</v>
      </c>
      <c r="CH15" s="45">
        <f t="shared" si="2"/>
        <v>3.0822742391725239E-2</v>
      </c>
      <c r="CI15" s="45">
        <f t="shared" si="2"/>
        <v>8.0590703559728638E-3</v>
      </c>
      <c r="CJ15" s="45">
        <f t="shared" si="2"/>
        <v>4.8385949488176124E-5</v>
      </c>
      <c r="CK15" s="45">
        <f t="shared" si="2"/>
        <v>1.4505676564254477E-3</v>
      </c>
      <c r="CL15" s="45">
        <f t="shared" si="2"/>
        <v>6.262651270554756E-2</v>
      </c>
      <c r="CM15" s="45">
        <f t="shared" si="2"/>
        <v>9.6918293117848778E-8</v>
      </c>
      <c r="CN15" s="45">
        <f t="shared" si="2"/>
        <v>1.2185989503161864E-3</v>
      </c>
      <c r="CO15" s="45">
        <f t="shared" si="2"/>
        <v>9.455507631279639E-4</v>
      </c>
      <c r="CP15" s="45">
        <f t="shared" si="2"/>
        <v>1.5145589846333532E-2</v>
      </c>
      <c r="CQ15" s="45">
        <f t="shared" si="2"/>
        <v>1.3432113112883858E-2</v>
      </c>
      <c r="CR15" s="45">
        <f t="shared" si="2"/>
        <v>9.6966322128098274E-4</v>
      </c>
      <c r="CS15" s="45">
        <f t="shared" si="2"/>
        <v>9.9448042621749452E-4</v>
      </c>
      <c r="CT15" s="45">
        <f t="shared" si="2"/>
        <v>1.6487349033999226E-3</v>
      </c>
      <c r="CU15" s="45">
        <f t="shared" ref="CU15:DZ15" si="3">(CU3-CU9)^2</f>
        <v>1.3372027605310413E-2</v>
      </c>
      <c r="CV15" s="45">
        <f t="shared" si="3"/>
        <v>1.448064785329183E-4</v>
      </c>
      <c r="CW15" s="45">
        <f t="shared" si="3"/>
        <v>1.1254531101723897E-3</v>
      </c>
      <c r="CX15" s="45">
        <f t="shared" si="3"/>
        <v>1.2648873580914741E-2</v>
      </c>
      <c r="CY15" s="45">
        <f t="shared" si="3"/>
        <v>7.0436173471465264E-4</v>
      </c>
      <c r="CZ15" s="45">
        <f t="shared" si="3"/>
        <v>4.7612225291961144E-2</v>
      </c>
      <c r="DA15" s="45">
        <f t="shared" si="3"/>
        <v>8.7283384212422602E-3</v>
      </c>
      <c r="DB15" s="45">
        <f t="shared" si="3"/>
        <v>2.0160181477387527E-3</v>
      </c>
      <c r="DC15" s="45">
        <f t="shared" si="3"/>
        <v>1.2687238578743446E-2</v>
      </c>
      <c r="DD15" s="45">
        <f t="shared" si="3"/>
        <v>2.6149492082112092E-3</v>
      </c>
      <c r="DE15" s="45">
        <f t="shared" si="3"/>
        <v>5.6561708777685645E-4</v>
      </c>
      <c r="DF15" s="45">
        <f t="shared" si="3"/>
        <v>6.7833811164539097E-4</v>
      </c>
      <c r="DG15" s="45">
        <f t="shared" si="3"/>
        <v>3.3477951689085002E-3</v>
      </c>
      <c r="DH15" s="45">
        <f t="shared" si="3"/>
        <v>4.5977632227449296E-3</v>
      </c>
      <c r="DI15" s="45">
        <f t="shared" si="3"/>
        <v>1.8424279070191295E-2</v>
      </c>
      <c r="DJ15" s="45">
        <f t="shared" si="3"/>
        <v>2.1959959493399596E-4</v>
      </c>
      <c r="DK15" s="45">
        <f t="shared" si="3"/>
        <v>5.1922829815422679E-3</v>
      </c>
      <c r="DL15" s="45">
        <f t="shared" si="3"/>
        <v>5.5533128187677794E-4</v>
      </c>
      <c r="DM15" s="45">
        <f t="shared" si="3"/>
        <v>2.5256879458548519E-3</v>
      </c>
      <c r="DN15" s="45">
        <f t="shared" si="3"/>
        <v>8.1212751593832018E-3</v>
      </c>
      <c r="DO15" s="45">
        <f t="shared" si="3"/>
        <v>8.3390117830135617E-4</v>
      </c>
      <c r="DP15" s="45">
        <f t="shared" si="3"/>
        <v>3.5290037403896491E-3</v>
      </c>
      <c r="DQ15" s="45">
        <f t="shared" si="3"/>
        <v>1.948804731501786E-2</v>
      </c>
      <c r="DR15" s="45">
        <f t="shared" si="3"/>
        <v>5.2790743606574856E-3</v>
      </c>
      <c r="DS15" s="45">
        <f t="shared" si="3"/>
        <v>9.9539238786779949E-3</v>
      </c>
      <c r="DT15" s="45">
        <f t="shared" si="3"/>
        <v>1.5069598024041316E-2</v>
      </c>
      <c r="DU15" s="45">
        <f t="shared" si="3"/>
        <v>5.4155857878028046E-4</v>
      </c>
      <c r="DV15" s="45">
        <f t="shared" si="3"/>
        <v>1.2176998468898161E-2</v>
      </c>
      <c r="DW15" s="45">
        <f t="shared" si="3"/>
        <v>5.211910518372098E-3</v>
      </c>
      <c r="DX15" s="45">
        <f t="shared" si="3"/>
        <v>5.7930176536652389E-2</v>
      </c>
      <c r="DY15" s="45">
        <f t="shared" si="3"/>
        <v>8.1876211833783173E-4</v>
      </c>
      <c r="DZ15" s="45">
        <f t="shared" si="3"/>
        <v>3.4294054597911855E-3</v>
      </c>
      <c r="EA15" s="45">
        <f t="shared" ref="EA15:EF15" si="4">(EA3-EA9)^2</f>
        <v>1.9108087133522102E-2</v>
      </c>
      <c r="EB15" s="45">
        <f t="shared" si="4"/>
        <v>4.4201503507039032E-6</v>
      </c>
      <c r="EC15" s="45">
        <f t="shared" si="4"/>
        <v>1.5488207979929903E-3</v>
      </c>
      <c r="ED15" s="45">
        <f t="shared" si="4"/>
        <v>3.1660136195038588E-2</v>
      </c>
      <c r="EE15" s="45">
        <f t="shared" si="4"/>
        <v>4.2881323541993487E-3</v>
      </c>
      <c r="EF15" s="45">
        <f t="shared" si="4"/>
        <v>2.5904100133245693E-3</v>
      </c>
    </row>
    <row r="16" spans="1:136" ht="16">
      <c r="A16" s="41"/>
      <c r="B16" s="39" t="s">
        <v>137</v>
      </c>
      <c r="C16" s="45">
        <f t="shared" ref="C16:AH16" si="5">(C4-C10)^2</f>
        <v>4.5469735078367282E-2</v>
      </c>
      <c r="D16" s="45">
        <f t="shared" si="5"/>
        <v>6.1575606066751207E-2</v>
      </c>
      <c r="E16" s="45">
        <f t="shared" si="5"/>
        <v>4.3218325860993265E-3</v>
      </c>
      <c r="F16" s="45">
        <f t="shared" si="5"/>
        <v>7.4154351889825151E-4</v>
      </c>
      <c r="G16" s="45">
        <f t="shared" si="5"/>
        <v>1.610880465847737E-3</v>
      </c>
      <c r="H16" s="45">
        <f t="shared" si="5"/>
        <v>4.0386274512865588E-3</v>
      </c>
      <c r="I16" s="45">
        <f t="shared" si="5"/>
        <v>1.4806612857884966E-2</v>
      </c>
      <c r="J16" s="45">
        <f t="shared" si="5"/>
        <v>5.06566285650547E-2</v>
      </c>
      <c r="K16" s="45">
        <f t="shared" si="5"/>
        <v>1.8479168213082878E-2</v>
      </c>
      <c r="L16" s="45">
        <f t="shared" si="5"/>
        <v>4.0362422172122714E-3</v>
      </c>
      <c r="M16" s="45">
        <f t="shared" si="5"/>
        <v>2.1466129264761422E-2</v>
      </c>
      <c r="N16" s="45">
        <f t="shared" si="5"/>
        <v>2.1035454869310313E-4</v>
      </c>
      <c r="O16" s="45">
        <f t="shared" si="5"/>
        <v>7.825040331637674E-3</v>
      </c>
      <c r="P16" s="45">
        <f t="shared" si="5"/>
        <v>2.8262674482723564E-2</v>
      </c>
      <c r="Q16" s="45">
        <f t="shared" si="5"/>
        <v>1.582018395231629E-2</v>
      </c>
      <c r="R16" s="45">
        <f t="shared" si="5"/>
        <v>7.1692366618169856E-2</v>
      </c>
      <c r="S16" s="45">
        <f t="shared" si="5"/>
        <v>2.5554580810604851E-2</v>
      </c>
      <c r="T16" s="45">
        <f t="shared" si="5"/>
        <v>0.45685124446819053</v>
      </c>
      <c r="U16" s="45">
        <f t="shared" si="5"/>
        <v>9.6811754149345229E-4</v>
      </c>
      <c r="V16" s="45">
        <f t="shared" si="5"/>
        <v>4.1093111077034707E-2</v>
      </c>
      <c r="W16" s="45">
        <f t="shared" si="5"/>
        <v>3.3351141741179112E-2</v>
      </c>
      <c r="X16" s="45">
        <f t="shared" si="5"/>
        <v>1.5012274213720846E-2</v>
      </c>
      <c r="Y16" s="45">
        <f t="shared" si="5"/>
        <v>2.5344531440100165E-2</v>
      </c>
      <c r="Z16" s="45">
        <f t="shared" si="5"/>
        <v>8.6100886087691099E-3</v>
      </c>
      <c r="AA16" s="45">
        <f t="shared" si="5"/>
        <v>2.4297979670146092E-2</v>
      </c>
      <c r="AB16" s="45">
        <f t="shared" si="5"/>
        <v>0.2335625695621881</v>
      </c>
      <c r="AC16" s="45">
        <f t="shared" si="5"/>
        <v>3.3605422993899061E-4</v>
      </c>
      <c r="AD16" s="45">
        <f t="shared" si="5"/>
        <v>2.1895910125324325E-2</v>
      </c>
      <c r="AE16" s="45">
        <f t="shared" si="5"/>
        <v>0.13870330269049366</v>
      </c>
      <c r="AF16" s="45">
        <f t="shared" si="5"/>
        <v>2.0839244524502407E-2</v>
      </c>
      <c r="AG16" s="45">
        <f t="shared" si="5"/>
        <v>9.1651615312531631E-2</v>
      </c>
      <c r="AH16" s="45">
        <f t="shared" si="5"/>
        <v>2.9624930302673522E-2</v>
      </c>
      <c r="AI16" s="45">
        <f t="shared" ref="AI16:BN16" si="6">(AI4-AI10)^2</f>
        <v>1.9316613307650467E-3</v>
      </c>
      <c r="AJ16" s="45">
        <f t="shared" si="6"/>
        <v>7.3335658229028372E-3</v>
      </c>
      <c r="AK16" s="45">
        <f t="shared" si="6"/>
        <v>4.2666510565490251E-5</v>
      </c>
      <c r="AL16" s="45">
        <f t="shared" si="6"/>
        <v>5.4811393284410606E-2</v>
      </c>
      <c r="AM16" s="45">
        <f t="shared" si="6"/>
        <v>3.939758389970742E-2</v>
      </c>
      <c r="AN16" s="45">
        <f t="shared" si="6"/>
        <v>2.1097235603254445E-2</v>
      </c>
      <c r="AO16" s="45">
        <f t="shared" si="6"/>
        <v>0.26440134647061431</v>
      </c>
      <c r="AP16" s="45">
        <f t="shared" si="6"/>
        <v>0.13552340113013037</v>
      </c>
      <c r="AQ16" s="45">
        <f t="shared" si="6"/>
        <v>1.6419966727863541E-2</v>
      </c>
      <c r="AR16" s="45">
        <f t="shared" si="6"/>
        <v>0.44255025496767025</v>
      </c>
      <c r="AS16" s="45">
        <f t="shared" si="6"/>
        <v>2.5445275882018482E-2</v>
      </c>
      <c r="AT16" s="45">
        <f t="shared" si="6"/>
        <v>0.12831324893904889</v>
      </c>
      <c r="AU16" s="45">
        <f t="shared" si="6"/>
        <v>0.39939568375801388</v>
      </c>
      <c r="AV16" s="45">
        <f t="shared" si="6"/>
        <v>0.42824574764017953</v>
      </c>
      <c r="AW16" s="45">
        <f t="shared" si="6"/>
        <v>0.13084552037543848</v>
      </c>
      <c r="AX16" s="45">
        <f t="shared" si="6"/>
        <v>1.8642445637350933E-2</v>
      </c>
      <c r="AY16" s="45">
        <f t="shared" si="6"/>
        <v>4.540020637489986E-2</v>
      </c>
      <c r="AZ16" s="45">
        <f t="shared" si="6"/>
        <v>2.5802393962192586E-2</v>
      </c>
      <c r="BA16" s="45">
        <f t="shared" si="6"/>
        <v>1.5904627198054772E-2</v>
      </c>
      <c r="BB16" s="45">
        <f t="shared" si="6"/>
        <v>8.9564488423617779E-4</v>
      </c>
      <c r="BC16" s="45">
        <f t="shared" si="6"/>
        <v>1.927345800085015E-3</v>
      </c>
      <c r="BD16" s="45">
        <f t="shared" si="6"/>
        <v>1.2544217393304961E-2</v>
      </c>
      <c r="BE16" s="45">
        <f t="shared" si="6"/>
        <v>0.2475848114429009</v>
      </c>
      <c r="BF16" s="45">
        <f t="shared" si="6"/>
        <v>0.13660226797214789</v>
      </c>
      <c r="BG16" s="45">
        <f t="shared" si="6"/>
        <v>0.11001699124335941</v>
      </c>
      <c r="BH16" s="45">
        <f t="shared" si="6"/>
        <v>8.3490291407737824E-2</v>
      </c>
      <c r="BI16" s="45">
        <f t="shared" si="6"/>
        <v>6.7996861806388961E-2</v>
      </c>
      <c r="BJ16" s="45">
        <f t="shared" si="6"/>
        <v>7.5383844174149216E-3</v>
      </c>
      <c r="BK16" s="45">
        <f t="shared" si="6"/>
        <v>0.18966186115049063</v>
      </c>
      <c r="BL16" s="45">
        <f t="shared" si="6"/>
        <v>3.8233742841433598E-2</v>
      </c>
      <c r="BM16" s="45">
        <f t="shared" si="6"/>
        <v>5.9040290405798911E-2</v>
      </c>
      <c r="BN16" s="45">
        <f t="shared" si="6"/>
        <v>2.2758186821802339E-3</v>
      </c>
      <c r="BO16" s="45">
        <f t="shared" ref="BO16:CT16" si="7">(BO4-BO10)^2</f>
        <v>0.15031844749207005</v>
      </c>
      <c r="BP16" s="45">
        <f t="shared" si="7"/>
        <v>1.8870310182388543E-2</v>
      </c>
      <c r="BQ16" s="45">
        <f t="shared" si="7"/>
        <v>1.0482971915668959E-5</v>
      </c>
      <c r="BR16" s="45">
        <f t="shared" si="7"/>
        <v>3.1766134505015149E-4</v>
      </c>
      <c r="BS16" s="45">
        <f t="shared" si="7"/>
        <v>0.21104395930334588</v>
      </c>
      <c r="BT16" s="45">
        <f t="shared" si="7"/>
        <v>0.63689201615373781</v>
      </c>
      <c r="BU16" s="45">
        <f t="shared" si="7"/>
        <v>1.823571044360953E-2</v>
      </c>
      <c r="BV16" s="45">
        <f t="shared" si="7"/>
        <v>7.2156151505179456E-2</v>
      </c>
      <c r="BW16" s="45">
        <f t="shared" si="7"/>
        <v>8.9115021141729159E-3</v>
      </c>
      <c r="BX16" s="45">
        <f t="shared" si="7"/>
        <v>4.2152477876717408E-2</v>
      </c>
      <c r="BY16" s="45">
        <f t="shared" si="7"/>
        <v>0.50070434259714303</v>
      </c>
      <c r="BZ16" s="45">
        <f t="shared" si="7"/>
        <v>2.6965380020686495E-2</v>
      </c>
      <c r="CA16" s="45">
        <f t="shared" si="7"/>
        <v>7.546887100013594E-2</v>
      </c>
      <c r="CB16" s="45">
        <f t="shared" si="7"/>
        <v>3.6868233517475145E-3</v>
      </c>
      <c r="CC16" s="45">
        <f t="shared" si="7"/>
        <v>0.35680371450053416</v>
      </c>
      <c r="CD16" s="45">
        <f t="shared" si="7"/>
        <v>0.20757050739183344</v>
      </c>
      <c r="CE16" s="45">
        <f t="shared" si="7"/>
        <v>0.32140348698696147</v>
      </c>
      <c r="CF16" s="45">
        <f t="shared" si="7"/>
        <v>0.48787682868859894</v>
      </c>
      <c r="CG16" s="45">
        <f t="shared" si="7"/>
        <v>0.60077436152258212</v>
      </c>
      <c r="CH16" s="45">
        <f t="shared" si="7"/>
        <v>0.40045337502906753</v>
      </c>
      <c r="CI16" s="45">
        <f t="shared" si="7"/>
        <v>0.22664625424020901</v>
      </c>
      <c r="CJ16" s="45">
        <f t="shared" si="7"/>
        <v>0.57561821853784501</v>
      </c>
      <c r="CK16" s="45">
        <f t="shared" si="7"/>
        <v>7.4068007165432631E-2</v>
      </c>
      <c r="CL16" s="45">
        <f t="shared" si="7"/>
        <v>0.47112897036651991</v>
      </c>
      <c r="CM16" s="45">
        <f t="shared" si="7"/>
        <v>0.38246472773926055</v>
      </c>
      <c r="CN16" s="45">
        <f t="shared" si="7"/>
        <v>0.4091471752817018</v>
      </c>
      <c r="CO16" s="45">
        <f t="shared" si="7"/>
        <v>3.4634148018566652E-2</v>
      </c>
      <c r="CP16" s="45">
        <f t="shared" si="7"/>
        <v>0.3905886424155271</v>
      </c>
      <c r="CQ16" s="45">
        <f t="shared" si="7"/>
        <v>1.7940072760938165E-2</v>
      </c>
      <c r="CR16" s="45">
        <f t="shared" si="7"/>
        <v>0.25930137540031262</v>
      </c>
      <c r="CS16" s="45">
        <f t="shared" si="7"/>
        <v>0.28629015546721631</v>
      </c>
      <c r="CT16" s="45">
        <f t="shared" si="7"/>
        <v>9.1974985031631398E-3</v>
      </c>
      <c r="CU16" s="45">
        <f t="shared" ref="CU16:DZ16" si="8">(CU4-CU10)^2</f>
        <v>0.20178935232800047</v>
      </c>
      <c r="CV16" s="45">
        <f t="shared" si="8"/>
        <v>0.37214505581389179</v>
      </c>
      <c r="CW16" s="45">
        <f t="shared" si="8"/>
        <v>2.0343933073152902E-3</v>
      </c>
      <c r="CX16" s="45">
        <f t="shared" si="8"/>
        <v>1.9468426540040797E-2</v>
      </c>
      <c r="CY16" s="45">
        <f t="shared" si="8"/>
        <v>4.5813101856769243E-3</v>
      </c>
      <c r="CZ16" s="45">
        <f t="shared" si="8"/>
        <v>1.9200676758730557E-2</v>
      </c>
      <c r="DA16" s="45">
        <f t="shared" si="8"/>
        <v>0.13818920824843128</v>
      </c>
      <c r="DB16" s="45">
        <f t="shared" si="8"/>
        <v>2.4310721145711856E-2</v>
      </c>
      <c r="DC16" s="45">
        <f t="shared" si="8"/>
        <v>8.0344764416344149E-5</v>
      </c>
      <c r="DD16" s="45">
        <f t="shared" si="8"/>
        <v>1.2824110823841673E-2</v>
      </c>
      <c r="DE16" s="45">
        <f t="shared" si="8"/>
        <v>1.2128353703209929E-2</v>
      </c>
      <c r="DF16" s="45">
        <f t="shared" si="8"/>
        <v>1.8025364767448194E-2</v>
      </c>
      <c r="DG16" s="45">
        <f t="shared" si="8"/>
        <v>6.3984290321154574E-2</v>
      </c>
      <c r="DH16" s="45">
        <f t="shared" si="8"/>
        <v>1.5197842022569007E-2</v>
      </c>
      <c r="DI16" s="45">
        <f t="shared" si="8"/>
        <v>8.8375545483861812E-3</v>
      </c>
      <c r="DJ16" s="45">
        <f t="shared" si="8"/>
        <v>5.1185928640885238E-3</v>
      </c>
      <c r="DK16" s="45">
        <f t="shared" si="8"/>
        <v>1.4554969236095672E-2</v>
      </c>
      <c r="DL16" s="45">
        <f t="shared" si="8"/>
        <v>1.6319154465757707E-4</v>
      </c>
      <c r="DM16" s="45">
        <f t="shared" si="8"/>
        <v>1.5299103818974478E-2</v>
      </c>
      <c r="DN16" s="45">
        <f t="shared" si="8"/>
        <v>1.2142607153359847E-2</v>
      </c>
      <c r="DO16" s="45">
        <f t="shared" si="8"/>
        <v>0.45489665529604806</v>
      </c>
      <c r="DP16" s="45">
        <f t="shared" si="8"/>
        <v>1.1008898536736828E-2</v>
      </c>
      <c r="DQ16" s="45">
        <f t="shared" si="8"/>
        <v>6.8030115482813599E-3</v>
      </c>
      <c r="DR16" s="45">
        <f t="shared" si="8"/>
        <v>7.4480170071697575E-5</v>
      </c>
      <c r="DS16" s="45">
        <f t="shared" si="8"/>
        <v>1.7632846532746858E-2</v>
      </c>
      <c r="DT16" s="45">
        <f t="shared" si="8"/>
        <v>4.9570784013681197E-4</v>
      </c>
      <c r="DU16" s="45">
        <f t="shared" si="8"/>
        <v>4.0691996462872422E-2</v>
      </c>
      <c r="DV16" s="45">
        <f t="shared" si="8"/>
        <v>0.35122831149657296</v>
      </c>
      <c r="DW16" s="45">
        <f t="shared" si="8"/>
        <v>9.3548749805248535E-2</v>
      </c>
      <c r="DX16" s="45">
        <f t="shared" si="8"/>
        <v>3.9076465014648217E-5</v>
      </c>
      <c r="DY16" s="45">
        <f t="shared" si="8"/>
        <v>6.7432395355468298E-3</v>
      </c>
      <c r="DZ16" s="45">
        <f t="shared" si="8"/>
        <v>0.22755401159872313</v>
      </c>
      <c r="EA16" s="45">
        <f t="shared" ref="EA16:EF16" si="9">(EA4-EA10)^2</f>
        <v>0.1470266874662734</v>
      </c>
      <c r="EB16" s="45">
        <f t="shared" si="9"/>
        <v>1.6672651045224645E-3</v>
      </c>
      <c r="EC16" s="45">
        <f t="shared" si="9"/>
        <v>0.11203163696776239</v>
      </c>
      <c r="ED16" s="45">
        <f t="shared" si="9"/>
        <v>7.4419564861537321E-2</v>
      </c>
      <c r="EE16" s="45">
        <f t="shared" si="9"/>
        <v>3.060280492643996E-2</v>
      </c>
      <c r="EF16" s="45">
        <f t="shared" si="9"/>
        <v>7.3539078828988302E-2</v>
      </c>
    </row>
    <row r="17" spans="1:136" ht="16">
      <c r="A17" s="41"/>
      <c r="B17" s="39" t="s">
        <v>138</v>
      </c>
      <c r="C17" s="45">
        <f t="shared" ref="C17:AH17" si="10">(C5-C11)^2</f>
        <v>2.7363884050278318E-3</v>
      </c>
      <c r="D17" s="45">
        <f t="shared" si="10"/>
        <v>2.5977766199621025E-3</v>
      </c>
      <c r="E17" s="45">
        <f t="shared" si="10"/>
        <v>1.7036174906684398E-4</v>
      </c>
      <c r="F17" s="45">
        <f t="shared" si="10"/>
        <v>6.9285869677658037E-3</v>
      </c>
      <c r="G17" s="45">
        <f t="shared" si="10"/>
        <v>1.1565721415223914E-2</v>
      </c>
      <c r="H17" s="45">
        <f t="shared" si="10"/>
        <v>6.7254303194831333E-5</v>
      </c>
      <c r="I17" s="45">
        <f t="shared" si="10"/>
        <v>1.5798151321184766E-4</v>
      </c>
      <c r="J17" s="45">
        <f t="shared" si="10"/>
        <v>7.8340623328949249E-4</v>
      </c>
      <c r="K17" s="45">
        <f t="shared" si="10"/>
        <v>7.001803598315373E-3</v>
      </c>
      <c r="L17" s="45">
        <f t="shared" si="10"/>
        <v>2.8834649697822494E-4</v>
      </c>
      <c r="M17" s="45">
        <f t="shared" si="10"/>
        <v>3.5957998669303511E-3</v>
      </c>
      <c r="N17" s="45">
        <f t="shared" si="10"/>
        <v>6.4637803389157346E-3</v>
      </c>
      <c r="O17" s="45">
        <f t="shared" si="10"/>
        <v>1.6990488416845032E-3</v>
      </c>
      <c r="P17" s="45">
        <f t="shared" si="10"/>
        <v>6.6121822171987514E-5</v>
      </c>
      <c r="Q17" s="45">
        <f t="shared" si="10"/>
        <v>2.5100064647384714E-4</v>
      </c>
      <c r="R17" s="45">
        <f t="shared" si="10"/>
        <v>1.2888962361504572E-6</v>
      </c>
      <c r="S17" s="45">
        <f t="shared" si="10"/>
        <v>1.4086769149801919E-3</v>
      </c>
      <c r="T17" s="45">
        <f t="shared" si="10"/>
        <v>1.5269639976159988E-2</v>
      </c>
      <c r="U17" s="45">
        <f t="shared" si="10"/>
        <v>9.2877061205324322E-5</v>
      </c>
      <c r="V17" s="45">
        <f t="shared" si="10"/>
        <v>2.1336549191447129E-4</v>
      </c>
      <c r="W17" s="45">
        <f t="shared" si="10"/>
        <v>1.1289078144696244E-2</v>
      </c>
      <c r="X17" s="45">
        <f t="shared" si="10"/>
        <v>8.4928344566033306E-2</v>
      </c>
      <c r="Y17" s="45">
        <f t="shared" si="10"/>
        <v>4.9684189723139321E-3</v>
      </c>
      <c r="Z17" s="45">
        <f t="shared" si="10"/>
        <v>3.2693866006138148E-2</v>
      </c>
      <c r="AA17" s="45">
        <f t="shared" si="10"/>
        <v>1.1758622747194041E-2</v>
      </c>
      <c r="AB17" s="45">
        <f t="shared" si="10"/>
        <v>5.9632563930482234E-5</v>
      </c>
      <c r="AC17" s="45">
        <f t="shared" si="10"/>
        <v>7.6296041366961534E-3</v>
      </c>
      <c r="AD17" s="45">
        <f t="shared" si="10"/>
        <v>1.8261114205016927E-4</v>
      </c>
      <c r="AE17" s="45">
        <f t="shared" si="10"/>
        <v>3.4094574496521916E-2</v>
      </c>
      <c r="AF17" s="45">
        <f t="shared" si="10"/>
        <v>2.2352628452039492E-2</v>
      </c>
      <c r="AG17" s="45">
        <f t="shared" si="10"/>
        <v>3.8613184204325929E-4</v>
      </c>
      <c r="AH17" s="45">
        <f t="shared" si="10"/>
        <v>5.6493291433053327E-7</v>
      </c>
      <c r="AI17" s="45">
        <f t="shared" ref="AI17:BN17" si="11">(AI5-AI11)^2</f>
        <v>1.0093750082447164E-3</v>
      </c>
      <c r="AJ17" s="45">
        <f t="shared" si="11"/>
        <v>3.7425724449552226E-4</v>
      </c>
      <c r="AK17" s="45">
        <f t="shared" si="11"/>
        <v>1.7268009444113212E-3</v>
      </c>
      <c r="AL17" s="45">
        <f t="shared" si="11"/>
        <v>9.272391473296426E-3</v>
      </c>
      <c r="AM17" s="45">
        <f t="shared" si="11"/>
        <v>9.9682789267301086E-4</v>
      </c>
      <c r="AN17" s="45">
        <f t="shared" si="11"/>
        <v>2.6457843514904929E-3</v>
      </c>
      <c r="AO17" s="45">
        <f t="shared" si="11"/>
        <v>3.8094589177230212E-3</v>
      </c>
      <c r="AP17" s="45">
        <f t="shared" si="11"/>
        <v>1.5839611964691045E-3</v>
      </c>
      <c r="AQ17" s="45">
        <f t="shared" si="11"/>
        <v>2.8791391569946991E-4</v>
      </c>
      <c r="AR17" s="45">
        <f t="shared" si="11"/>
        <v>1.5000696893100185E-3</v>
      </c>
      <c r="AS17" s="45">
        <f t="shared" si="11"/>
        <v>1.7921583452304155E-3</v>
      </c>
      <c r="AT17" s="45">
        <f t="shared" si="11"/>
        <v>1.8005096511140493E-2</v>
      </c>
      <c r="AU17" s="45">
        <f t="shared" si="11"/>
        <v>8.1857493568269959E-4</v>
      </c>
      <c r="AV17" s="45">
        <f t="shared" si="11"/>
        <v>1.6831579180166711E-2</v>
      </c>
      <c r="AW17" s="45">
        <f t="shared" si="11"/>
        <v>4.9758454609124293E-3</v>
      </c>
      <c r="AX17" s="45">
        <f t="shared" si="11"/>
        <v>1.9158428225463171E-2</v>
      </c>
      <c r="AY17" s="45">
        <f t="shared" si="11"/>
        <v>3.9037242173654311E-3</v>
      </c>
      <c r="AZ17" s="45">
        <f t="shared" si="11"/>
        <v>5.1881202665098264E-3</v>
      </c>
      <c r="BA17" s="45">
        <f t="shared" si="11"/>
        <v>2.2743701388180886E-6</v>
      </c>
      <c r="BB17" s="45">
        <f t="shared" si="11"/>
        <v>2.0114911835350233E-2</v>
      </c>
      <c r="BC17" s="45">
        <f t="shared" si="11"/>
        <v>3.4651283853589713E-3</v>
      </c>
      <c r="BD17" s="45">
        <f t="shared" si="11"/>
        <v>3.6430156804783019E-6</v>
      </c>
      <c r="BE17" s="45">
        <f t="shared" si="11"/>
        <v>1.9678423021944006E-2</v>
      </c>
      <c r="BF17" s="45">
        <f t="shared" si="11"/>
        <v>4.3812956354207427E-2</v>
      </c>
      <c r="BG17" s="45">
        <f t="shared" si="11"/>
        <v>3.7705219198757717E-2</v>
      </c>
      <c r="BH17" s="45">
        <f t="shared" si="11"/>
        <v>1.289588310388933E-2</v>
      </c>
      <c r="BI17" s="45">
        <f t="shared" si="11"/>
        <v>5.9806066745909225E-3</v>
      </c>
      <c r="BJ17" s="45">
        <f t="shared" si="11"/>
        <v>1.2818369582926095E-3</v>
      </c>
      <c r="BK17" s="45">
        <f t="shared" si="11"/>
        <v>1.2324520151697966E-4</v>
      </c>
      <c r="BL17" s="45">
        <f t="shared" si="11"/>
        <v>2.8692261123843446E-2</v>
      </c>
      <c r="BM17" s="45">
        <f t="shared" si="11"/>
        <v>1.8472922042060594E-2</v>
      </c>
      <c r="BN17" s="45">
        <f t="shared" si="11"/>
        <v>1.234387945013879E-3</v>
      </c>
      <c r="BO17" s="45">
        <f t="shared" ref="BO17:CT17" si="12">(BO5-BO11)^2</f>
        <v>6.6168010643450779E-4</v>
      </c>
      <c r="BP17" s="45">
        <f t="shared" si="12"/>
        <v>2.5283668053246995E-3</v>
      </c>
      <c r="BQ17" s="45">
        <f t="shared" si="12"/>
        <v>3.2526053596609931E-4</v>
      </c>
      <c r="BR17" s="45">
        <f t="shared" si="12"/>
        <v>3.5820371479620777E-2</v>
      </c>
      <c r="BS17" s="45">
        <f t="shared" si="12"/>
        <v>9.3875885495693506E-3</v>
      </c>
      <c r="BT17" s="45">
        <f t="shared" si="12"/>
        <v>1.4115913265213675E-3</v>
      </c>
      <c r="BU17" s="45">
        <f t="shared" si="12"/>
        <v>3.5919209581470718E-3</v>
      </c>
      <c r="BV17" s="45">
        <f t="shared" si="12"/>
        <v>1.3242870990241403E-2</v>
      </c>
      <c r="BW17" s="45">
        <f t="shared" si="12"/>
        <v>1.8891747942069031E-2</v>
      </c>
      <c r="BX17" s="45">
        <f t="shared" si="12"/>
        <v>1.3961611456891382E-6</v>
      </c>
      <c r="BY17" s="45">
        <f t="shared" si="12"/>
        <v>1.7671219424878669E-2</v>
      </c>
      <c r="BZ17" s="45">
        <f t="shared" si="12"/>
        <v>8.6805080655368635E-4</v>
      </c>
      <c r="CA17" s="45">
        <f t="shared" si="12"/>
        <v>3.3566262397308733E-3</v>
      </c>
      <c r="CB17" s="45">
        <f t="shared" si="12"/>
        <v>5.4824539225146248E-4</v>
      </c>
      <c r="CC17" s="45">
        <f t="shared" si="12"/>
        <v>3.4706314517795717E-3</v>
      </c>
      <c r="CD17" s="45">
        <f t="shared" si="12"/>
        <v>3.8930037221721831E-3</v>
      </c>
      <c r="CE17" s="45">
        <f t="shared" si="12"/>
        <v>7.2910852514289056E-3</v>
      </c>
      <c r="CF17" s="45">
        <f t="shared" si="12"/>
        <v>9.2088891770742374E-6</v>
      </c>
      <c r="CG17" s="45">
        <f t="shared" si="12"/>
        <v>1.3720140374236019E-2</v>
      </c>
      <c r="CH17" s="45">
        <f t="shared" si="12"/>
        <v>1.1595831819376612E-3</v>
      </c>
      <c r="CI17" s="45">
        <f t="shared" si="12"/>
        <v>6.057753918971241E-3</v>
      </c>
      <c r="CJ17" s="45">
        <f t="shared" si="12"/>
        <v>5.7340439420941441E-2</v>
      </c>
      <c r="CK17" s="45">
        <f t="shared" si="12"/>
        <v>1.9385030214382079E-2</v>
      </c>
      <c r="CL17" s="45">
        <f t="shared" si="12"/>
        <v>2.2208040295413584E-2</v>
      </c>
      <c r="CM17" s="45">
        <f t="shared" si="12"/>
        <v>1.371058916120046E-2</v>
      </c>
      <c r="CN17" s="45">
        <f t="shared" si="12"/>
        <v>5.0734971865893617E-2</v>
      </c>
      <c r="CO17" s="45">
        <f t="shared" si="12"/>
        <v>1.1399149785662093E-2</v>
      </c>
      <c r="CP17" s="45">
        <f t="shared" si="12"/>
        <v>1.3098075870559826E-4</v>
      </c>
      <c r="CQ17" s="45">
        <f t="shared" si="12"/>
        <v>4.1202081103222696E-2</v>
      </c>
      <c r="CR17" s="45">
        <f t="shared" si="12"/>
        <v>1.8617811056052109E-2</v>
      </c>
      <c r="CS17" s="45">
        <f t="shared" si="12"/>
        <v>6.3300800015190324E-3</v>
      </c>
      <c r="CT17" s="45">
        <f t="shared" si="12"/>
        <v>9.0828420482342762E-4</v>
      </c>
      <c r="CU17" s="45">
        <f t="shared" ref="CU17:DZ17" si="13">(CU5-CU11)^2</f>
        <v>8.0265307143173564E-2</v>
      </c>
      <c r="CV17" s="45">
        <f t="shared" si="13"/>
        <v>5.3476485613961421E-2</v>
      </c>
      <c r="CW17" s="45">
        <f t="shared" si="13"/>
        <v>8.9184233129481847E-3</v>
      </c>
      <c r="CX17" s="45">
        <f t="shared" si="13"/>
        <v>1.456374981811224E-2</v>
      </c>
      <c r="CY17" s="45">
        <f t="shared" si="13"/>
        <v>6.4937209489551026E-3</v>
      </c>
      <c r="CZ17" s="45">
        <f t="shared" si="13"/>
        <v>2.1222565733199743E-3</v>
      </c>
      <c r="DA17" s="45">
        <f t="shared" si="13"/>
        <v>7.0524609619423053E-3</v>
      </c>
      <c r="DB17" s="45">
        <f t="shared" si="13"/>
        <v>2.3260859855443988E-2</v>
      </c>
      <c r="DC17" s="45">
        <f t="shared" si="13"/>
        <v>1.9330375389501292E-3</v>
      </c>
      <c r="DD17" s="45">
        <f t="shared" si="13"/>
        <v>2.5537556433808749E-2</v>
      </c>
      <c r="DE17" s="45">
        <f t="shared" si="13"/>
        <v>1.1242003196768135E-2</v>
      </c>
      <c r="DF17" s="45">
        <f t="shared" si="13"/>
        <v>6.5293104029908169E-3</v>
      </c>
      <c r="DG17" s="45">
        <f t="shared" si="13"/>
        <v>4.3937701905952975E-2</v>
      </c>
      <c r="DH17" s="45">
        <f t="shared" si="13"/>
        <v>4.531325748784132E-3</v>
      </c>
      <c r="DI17" s="45">
        <f t="shared" si="13"/>
        <v>6.5619027678584033E-3</v>
      </c>
      <c r="DJ17" s="45">
        <f t="shared" si="13"/>
        <v>1.2715645731367964E-2</v>
      </c>
      <c r="DK17" s="45">
        <f t="shared" si="13"/>
        <v>2.4627767485698978E-4</v>
      </c>
      <c r="DL17" s="45">
        <f t="shared" si="13"/>
        <v>5.4870824385999462E-3</v>
      </c>
      <c r="DM17" s="45">
        <f t="shared" si="13"/>
        <v>4.6555267632310683E-4</v>
      </c>
      <c r="DN17" s="45">
        <f t="shared" si="13"/>
        <v>7.4999844320845755E-4</v>
      </c>
      <c r="DO17" s="45">
        <f t="shared" si="13"/>
        <v>9.7679420411963171E-3</v>
      </c>
      <c r="DP17" s="45">
        <f t="shared" si="13"/>
        <v>5.0485946447017788E-2</v>
      </c>
      <c r="DQ17" s="45">
        <f t="shared" si="13"/>
        <v>5.8800287394250271E-2</v>
      </c>
      <c r="DR17" s="45">
        <f t="shared" si="13"/>
        <v>1.1396760627232721E-4</v>
      </c>
      <c r="DS17" s="45">
        <f t="shared" si="13"/>
        <v>1.893229867160303E-2</v>
      </c>
      <c r="DT17" s="45">
        <f t="shared" si="13"/>
        <v>1.3311714133531582E-2</v>
      </c>
      <c r="DU17" s="45">
        <f t="shared" si="13"/>
        <v>1.2046871834330454E-2</v>
      </c>
      <c r="DV17" s="45">
        <f t="shared" si="13"/>
        <v>2.648575407531442E-3</v>
      </c>
      <c r="DW17" s="45">
        <f t="shared" si="13"/>
        <v>6.9242545538874851E-4</v>
      </c>
      <c r="DX17" s="45">
        <f t="shared" si="13"/>
        <v>3.8172410299299603E-3</v>
      </c>
      <c r="DY17" s="45">
        <f t="shared" si="13"/>
        <v>5.1978930650569428E-3</v>
      </c>
      <c r="DZ17" s="45">
        <f t="shared" si="13"/>
        <v>2.7121726722404587E-4</v>
      </c>
      <c r="EA17" s="45">
        <f t="shared" ref="EA17:EF17" si="14">(EA5-EA11)^2</f>
        <v>8.4447162281981292E-2</v>
      </c>
      <c r="EB17" s="45">
        <f t="shared" si="14"/>
        <v>1.8331223391248715E-2</v>
      </c>
      <c r="EC17" s="45">
        <f t="shared" si="14"/>
        <v>5.7754327983801837E-5</v>
      </c>
      <c r="ED17" s="45">
        <f t="shared" si="14"/>
        <v>4.1693449027715556E-3</v>
      </c>
      <c r="EE17" s="45">
        <f t="shared" si="14"/>
        <v>1.9179606729115721E-2</v>
      </c>
      <c r="EF17" s="45">
        <f t="shared" si="14"/>
        <v>1.6809325733850212E-4</v>
      </c>
    </row>
    <row r="19" spans="1:136" ht="20" customHeight="1">
      <c r="A19" s="56" t="s">
        <v>168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7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</row>
    <row r="20" spans="1:136" ht="16">
      <c r="A20" s="41"/>
      <c r="B20" s="39" t="s">
        <v>1</v>
      </c>
      <c r="C20" s="42" t="s">
        <v>2</v>
      </c>
      <c r="D20" s="42" t="s">
        <v>3</v>
      </c>
      <c r="E20" s="42" t="s">
        <v>4</v>
      </c>
      <c r="F20" s="42" t="s">
        <v>5</v>
      </c>
      <c r="G20" s="42" t="s">
        <v>6</v>
      </c>
      <c r="H20" s="42" t="s">
        <v>7</v>
      </c>
      <c r="I20" s="42" t="s">
        <v>8</v>
      </c>
      <c r="J20" s="42" t="s">
        <v>9</v>
      </c>
      <c r="K20" s="42" t="s">
        <v>10</v>
      </c>
      <c r="L20" s="42" t="s">
        <v>11</v>
      </c>
      <c r="M20" s="42" t="s">
        <v>12</v>
      </c>
      <c r="N20" s="42" t="s">
        <v>13</v>
      </c>
      <c r="O20" s="42" t="s">
        <v>14</v>
      </c>
      <c r="P20" s="42" t="s">
        <v>15</v>
      </c>
      <c r="Q20" s="42" t="s">
        <v>16</v>
      </c>
      <c r="R20" s="42" t="s">
        <v>17</v>
      </c>
      <c r="S20" s="42" t="s">
        <v>18</v>
      </c>
      <c r="T20" s="42" t="s">
        <v>19</v>
      </c>
      <c r="U20" s="42" t="s">
        <v>20</v>
      </c>
      <c r="V20" s="42" t="s">
        <v>21</v>
      </c>
      <c r="W20" s="42" t="s">
        <v>22</v>
      </c>
      <c r="X20" s="42" t="s">
        <v>23</v>
      </c>
      <c r="Y20" s="42" t="s">
        <v>24</v>
      </c>
      <c r="Z20" s="42" t="s">
        <v>25</v>
      </c>
      <c r="AA20" s="42" t="s">
        <v>26</v>
      </c>
      <c r="AB20" s="42" t="s">
        <v>27</v>
      </c>
      <c r="AC20" s="42" t="s">
        <v>28</v>
      </c>
      <c r="AD20" s="42" t="s">
        <v>29</v>
      </c>
      <c r="AE20" s="42" t="s">
        <v>30</v>
      </c>
      <c r="AF20" s="42" t="s">
        <v>31</v>
      </c>
      <c r="AG20" s="42" t="s">
        <v>32</v>
      </c>
      <c r="AH20" s="42" t="s">
        <v>33</v>
      </c>
      <c r="AI20" s="42" t="s">
        <v>34</v>
      </c>
      <c r="AJ20" s="42" t="s">
        <v>35</v>
      </c>
      <c r="AK20" s="42" t="s">
        <v>36</v>
      </c>
      <c r="AL20" s="42" t="s">
        <v>37</v>
      </c>
      <c r="AM20" s="42" t="s">
        <v>38</v>
      </c>
      <c r="AN20" s="42" t="s">
        <v>39</v>
      </c>
      <c r="AO20" s="42" t="s">
        <v>40</v>
      </c>
      <c r="AP20" s="42" t="s">
        <v>41</v>
      </c>
      <c r="AQ20" s="42" t="s">
        <v>42</v>
      </c>
      <c r="AR20" s="42" t="s">
        <v>43</v>
      </c>
      <c r="AS20" s="42" t="s">
        <v>44</v>
      </c>
      <c r="AT20" s="42" t="s">
        <v>45</v>
      </c>
      <c r="AU20" s="42" t="s">
        <v>46</v>
      </c>
      <c r="AV20" s="42" t="s">
        <v>47</v>
      </c>
      <c r="AW20" s="42" t="s">
        <v>48</v>
      </c>
      <c r="AX20" s="42" t="s">
        <v>49</v>
      </c>
      <c r="AY20" s="42" t="s">
        <v>50</v>
      </c>
      <c r="AZ20" s="42" t="s">
        <v>51</v>
      </c>
      <c r="BA20" s="42" t="s">
        <v>52</v>
      </c>
      <c r="BB20" s="42" t="s">
        <v>53</v>
      </c>
      <c r="BC20" s="42" t="s">
        <v>54</v>
      </c>
      <c r="BD20" s="42" t="s">
        <v>55</v>
      </c>
      <c r="BE20" s="42" t="s">
        <v>56</v>
      </c>
      <c r="BF20" s="42" t="s">
        <v>57</v>
      </c>
      <c r="BG20" s="42" t="s">
        <v>58</v>
      </c>
      <c r="BH20" s="42" t="s">
        <v>59</v>
      </c>
      <c r="BI20" s="42" t="s">
        <v>60</v>
      </c>
      <c r="BJ20" s="42" t="s">
        <v>61</v>
      </c>
      <c r="BK20" s="42" t="s">
        <v>62</v>
      </c>
      <c r="BL20" s="42" t="s">
        <v>63</v>
      </c>
      <c r="BM20" s="42" t="s">
        <v>64</v>
      </c>
      <c r="BN20" s="42" t="s">
        <v>65</v>
      </c>
      <c r="BO20" s="42" t="s">
        <v>66</v>
      </c>
      <c r="BP20" s="42" t="s">
        <v>67</v>
      </c>
      <c r="BQ20" s="42" t="s">
        <v>68</v>
      </c>
      <c r="BR20" s="42" t="s">
        <v>69</v>
      </c>
      <c r="BS20" s="42" t="s">
        <v>70</v>
      </c>
      <c r="BT20" s="42" t="s">
        <v>71</v>
      </c>
      <c r="BU20" s="42" t="s">
        <v>72</v>
      </c>
      <c r="BV20" s="42" t="s">
        <v>73</v>
      </c>
      <c r="BW20" s="42" t="s">
        <v>74</v>
      </c>
      <c r="BX20" s="42" t="s">
        <v>75</v>
      </c>
      <c r="BY20" s="42" t="s">
        <v>76</v>
      </c>
      <c r="BZ20" s="42" t="s">
        <v>77</v>
      </c>
      <c r="CA20" s="42" t="s">
        <v>78</v>
      </c>
      <c r="CB20" s="42" t="s">
        <v>79</v>
      </c>
      <c r="CC20" s="42" t="s">
        <v>80</v>
      </c>
      <c r="CD20" s="42" t="s">
        <v>81</v>
      </c>
      <c r="CE20" s="42" t="s">
        <v>82</v>
      </c>
      <c r="CF20" s="42" t="s">
        <v>83</v>
      </c>
      <c r="CG20" s="42" t="s">
        <v>84</v>
      </c>
      <c r="CH20" s="42" t="s">
        <v>85</v>
      </c>
      <c r="CI20" s="42" t="s">
        <v>86</v>
      </c>
      <c r="CJ20" s="42" t="s">
        <v>87</v>
      </c>
      <c r="CK20" s="42" t="s">
        <v>88</v>
      </c>
      <c r="CL20" s="42" t="s">
        <v>89</v>
      </c>
      <c r="CM20" s="42" t="s">
        <v>90</v>
      </c>
      <c r="CN20" s="42" t="s">
        <v>91</v>
      </c>
      <c r="CO20" s="42" t="s">
        <v>92</v>
      </c>
      <c r="CP20" s="42" t="s">
        <v>93</v>
      </c>
      <c r="CQ20" s="42" t="s">
        <v>94</v>
      </c>
      <c r="CR20" s="42" t="s">
        <v>95</v>
      </c>
      <c r="CS20" s="42" t="s">
        <v>96</v>
      </c>
      <c r="CT20" s="42" t="s">
        <v>97</v>
      </c>
      <c r="CU20" s="42" t="s">
        <v>98</v>
      </c>
      <c r="CV20" s="42" t="s">
        <v>99</v>
      </c>
      <c r="CW20" s="42" t="s">
        <v>100</v>
      </c>
      <c r="CX20" s="42" t="s">
        <v>101</v>
      </c>
      <c r="CY20" s="42" t="s">
        <v>102</v>
      </c>
      <c r="CZ20" s="42" t="s">
        <v>103</v>
      </c>
      <c r="DA20" s="42" t="s">
        <v>104</v>
      </c>
      <c r="DB20" s="42" t="s">
        <v>105</v>
      </c>
      <c r="DC20" s="42" t="s">
        <v>106</v>
      </c>
      <c r="DD20" s="42" t="s">
        <v>107</v>
      </c>
      <c r="DE20" s="42" t="s">
        <v>108</v>
      </c>
      <c r="DF20" s="42" t="s">
        <v>109</v>
      </c>
      <c r="DG20" s="42" t="s">
        <v>110</v>
      </c>
      <c r="DH20" s="42" t="s">
        <v>111</v>
      </c>
      <c r="DI20" s="42" t="s">
        <v>112</v>
      </c>
      <c r="DJ20" s="42" t="s">
        <v>113</v>
      </c>
      <c r="DK20" s="42" t="s">
        <v>114</v>
      </c>
      <c r="DL20" s="42" t="s">
        <v>115</v>
      </c>
      <c r="DM20" s="42" t="s">
        <v>116</v>
      </c>
      <c r="DN20" s="42" t="s">
        <v>117</v>
      </c>
      <c r="DO20" s="42" t="s">
        <v>118</v>
      </c>
      <c r="DP20" s="42" t="s">
        <v>119</v>
      </c>
      <c r="DQ20" s="42" t="s">
        <v>120</v>
      </c>
      <c r="DR20" s="42" t="s">
        <v>121</v>
      </c>
      <c r="DS20" s="42" t="s">
        <v>122</v>
      </c>
      <c r="DT20" s="42" t="s">
        <v>123</v>
      </c>
      <c r="DU20" s="42" t="s">
        <v>124</v>
      </c>
      <c r="DV20" s="42" t="s">
        <v>125</v>
      </c>
      <c r="DW20" s="42" t="s">
        <v>126</v>
      </c>
      <c r="DX20" s="42" t="s">
        <v>127</v>
      </c>
      <c r="DY20" s="42" t="s">
        <v>128</v>
      </c>
      <c r="DZ20" s="42" t="s">
        <v>129</v>
      </c>
      <c r="EA20" s="42" t="s">
        <v>130</v>
      </c>
      <c r="EB20" s="42" t="s">
        <v>131</v>
      </c>
      <c r="EC20" s="42" t="s">
        <v>132</v>
      </c>
      <c r="ED20" s="43" t="s">
        <v>133</v>
      </c>
      <c r="EE20" s="44" t="s">
        <v>134</v>
      </c>
      <c r="EF20" s="42" t="s">
        <v>135</v>
      </c>
    </row>
    <row r="21" spans="1:136" ht="16">
      <c r="A21" s="41"/>
      <c r="B21" s="39" t="s">
        <v>136</v>
      </c>
      <c r="C21" s="45">
        <f t="shared" ref="C21:AH21" si="15">C9^2</f>
        <v>1.1904082277860264E-2</v>
      </c>
      <c r="D21" s="45">
        <f t="shared" si="15"/>
        <v>2.1247676054046116E-4</v>
      </c>
      <c r="E21" s="45">
        <f t="shared" si="15"/>
        <v>1.3071374994951929E-3</v>
      </c>
      <c r="F21" s="45">
        <f t="shared" si="15"/>
        <v>2.2492264027630889E-5</v>
      </c>
      <c r="G21" s="45">
        <f t="shared" si="15"/>
        <v>3.3036666141783492E-5</v>
      </c>
      <c r="H21" s="45">
        <f t="shared" si="15"/>
        <v>2.4381891708842936E-3</v>
      </c>
      <c r="I21" s="45">
        <f t="shared" si="15"/>
        <v>3.3581210916677484E-2</v>
      </c>
      <c r="J21" s="45">
        <f t="shared" si="15"/>
        <v>1.3569060155122757E-2</v>
      </c>
      <c r="K21" s="45">
        <f t="shared" si="15"/>
        <v>9.3605069620112215E-4</v>
      </c>
      <c r="L21" s="45">
        <f t="shared" si="15"/>
        <v>3.9315162352171023E-4</v>
      </c>
      <c r="M21" s="45">
        <f t="shared" si="15"/>
        <v>4.4095826822239875E-4</v>
      </c>
      <c r="N21" s="45">
        <f t="shared" si="15"/>
        <v>2.2433876085478928E-2</v>
      </c>
      <c r="O21" s="45">
        <f t="shared" si="15"/>
        <v>2.3911693040638534E-4</v>
      </c>
      <c r="P21" s="45">
        <f t="shared" si="15"/>
        <v>8.4258302823047079E-3</v>
      </c>
      <c r="Q21" s="45">
        <f t="shared" si="15"/>
        <v>5.9921553092687051E-3</v>
      </c>
      <c r="R21" s="45">
        <f t="shared" si="15"/>
        <v>3.0004754709051702E-3</v>
      </c>
      <c r="S21" s="45">
        <f t="shared" si="15"/>
        <v>1.5708708491616E-2</v>
      </c>
      <c r="T21" s="45">
        <f t="shared" si="15"/>
        <v>1.4173716945580542E-2</v>
      </c>
      <c r="U21" s="45">
        <f t="shared" si="15"/>
        <v>1.4265767398050631E-3</v>
      </c>
      <c r="V21" s="45">
        <f t="shared" si="15"/>
        <v>6.5908131416074602E-3</v>
      </c>
      <c r="W21" s="45">
        <f t="shared" si="15"/>
        <v>7.0575066817627407E-3</v>
      </c>
      <c r="X21" s="45">
        <f t="shared" si="15"/>
        <v>2.1612338960948319E-2</v>
      </c>
      <c r="Y21" s="45">
        <f t="shared" si="15"/>
        <v>1.5715264241471783E-2</v>
      </c>
      <c r="Z21" s="45">
        <f t="shared" si="15"/>
        <v>3.6846166718653456E-2</v>
      </c>
      <c r="AA21" s="45">
        <f t="shared" si="15"/>
        <v>7.1184289266528374E-3</v>
      </c>
      <c r="AB21" s="45">
        <f t="shared" si="15"/>
        <v>5.3140620982757656E-3</v>
      </c>
      <c r="AC21" s="45">
        <f t="shared" si="15"/>
        <v>1.0527695785516851E-2</v>
      </c>
      <c r="AD21" s="45">
        <f t="shared" si="15"/>
        <v>2.4869817519127077E-4</v>
      </c>
      <c r="AE21" s="45">
        <f t="shared" si="15"/>
        <v>2.3106177330172069E-2</v>
      </c>
      <c r="AF21" s="45">
        <f t="shared" si="15"/>
        <v>3.5105923035905259E-3</v>
      </c>
      <c r="AG21" s="45">
        <f t="shared" si="15"/>
        <v>1.6915301264337771E-2</v>
      </c>
      <c r="AH21" s="45">
        <f t="shared" si="15"/>
        <v>1.328403665826966E-2</v>
      </c>
      <c r="AI21" s="45">
        <f t="shared" ref="AI21:BN21" si="16">AI9^2</f>
        <v>1.0631917918075163E-3</v>
      </c>
      <c r="AJ21" s="45">
        <f t="shared" si="16"/>
        <v>7.8395043318640434E-4</v>
      </c>
      <c r="AK21" s="45">
        <f t="shared" si="16"/>
        <v>2.1482887422166509E-2</v>
      </c>
      <c r="AL21" s="45">
        <f t="shared" si="16"/>
        <v>1.668062549107739E-3</v>
      </c>
      <c r="AM21" s="45">
        <f t="shared" si="16"/>
        <v>1.7259749824038686E-2</v>
      </c>
      <c r="AN21" s="45">
        <f t="shared" si="16"/>
        <v>4.9032555464976403E-2</v>
      </c>
      <c r="AO21" s="45">
        <f t="shared" si="16"/>
        <v>4.3852711121876225E-4</v>
      </c>
      <c r="AP21" s="45">
        <f t="shared" si="16"/>
        <v>1.8812851996102171E-2</v>
      </c>
      <c r="AQ21" s="45">
        <f t="shared" si="16"/>
        <v>6.1915646627000822E-4</v>
      </c>
      <c r="AR21" s="45">
        <f t="shared" si="16"/>
        <v>2.4068328718584233E-4</v>
      </c>
      <c r="AS21" s="45">
        <f t="shared" si="16"/>
        <v>1.1815056389704321E-3</v>
      </c>
      <c r="AT21" s="45">
        <f t="shared" si="16"/>
        <v>3.9810656089414309E-3</v>
      </c>
      <c r="AU21" s="45">
        <f t="shared" si="16"/>
        <v>1.8694983030806238E-3</v>
      </c>
      <c r="AV21" s="45">
        <f t="shared" si="16"/>
        <v>5.5101474414569638E-3</v>
      </c>
      <c r="AW21" s="45">
        <f t="shared" si="16"/>
        <v>7.8371035043392316E-4</v>
      </c>
      <c r="AX21" s="45">
        <f t="shared" si="16"/>
        <v>1.4367478657017244E-2</v>
      </c>
      <c r="AY21" s="45">
        <f t="shared" si="16"/>
        <v>5.8613679493322605E-3</v>
      </c>
      <c r="AZ21" s="45">
        <f t="shared" si="16"/>
        <v>4.7220968054589304E-4</v>
      </c>
      <c r="BA21" s="45">
        <f t="shared" si="16"/>
        <v>1.5536707046446584E-6</v>
      </c>
      <c r="BB21" s="45">
        <f t="shared" si="16"/>
        <v>1.0200156097581669E-2</v>
      </c>
      <c r="BC21" s="45">
        <f t="shared" si="16"/>
        <v>8.8964574469951819E-4</v>
      </c>
      <c r="BD21" s="45">
        <f t="shared" si="16"/>
        <v>7.5268956977767048E-5</v>
      </c>
      <c r="BE21" s="45">
        <f t="shared" si="16"/>
        <v>4.7000904970756216E-3</v>
      </c>
      <c r="BF21" s="45">
        <f t="shared" si="16"/>
        <v>2.4621562948682934E-2</v>
      </c>
      <c r="BG21" s="45">
        <f t="shared" si="16"/>
        <v>2.5345828645073384E-2</v>
      </c>
      <c r="BH21" s="45">
        <f t="shared" si="16"/>
        <v>3.7358582565093718E-3</v>
      </c>
      <c r="BI21" s="45">
        <f t="shared" si="16"/>
        <v>9.3921007423280172E-3</v>
      </c>
      <c r="BJ21" s="45">
        <f t="shared" si="16"/>
        <v>2.9971517217047563E-3</v>
      </c>
      <c r="BK21" s="45">
        <f t="shared" si="16"/>
        <v>7.6550185977651616E-3</v>
      </c>
      <c r="BL21" s="45">
        <f t="shared" si="16"/>
        <v>8.9164103340217925E-3</v>
      </c>
      <c r="BM21" s="45">
        <f t="shared" si="16"/>
        <v>4.9244308753160887E-4</v>
      </c>
      <c r="BN21" s="45">
        <f t="shared" si="16"/>
        <v>2.4425352677185161E-4</v>
      </c>
      <c r="BO21" s="45">
        <f t="shared" ref="BO21:CT21" si="17">BO9^2</f>
        <v>6.6289298211247571E-3</v>
      </c>
      <c r="BP21" s="45">
        <f t="shared" si="17"/>
        <v>3.4258094968395863E-4</v>
      </c>
      <c r="BQ21" s="45">
        <f t="shared" si="17"/>
        <v>4.7237535213055463E-3</v>
      </c>
      <c r="BR21" s="45">
        <f t="shared" si="17"/>
        <v>9.6246407867516525E-6</v>
      </c>
      <c r="BS21" s="45">
        <f t="shared" si="17"/>
        <v>5.6196639138378088E-3</v>
      </c>
      <c r="BT21" s="45">
        <f t="shared" si="17"/>
        <v>2.0431835304301382E-3</v>
      </c>
      <c r="BU21" s="45">
        <f t="shared" si="17"/>
        <v>6.5932524502488709E-4</v>
      </c>
      <c r="BV21" s="45">
        <f t="shared" si="17"/>
        <v>8.427980119369332E-3</v>
      </c>
      <c r="BW21" s="45">
        <f t="shared" si="17"/>
        <v>6.9453326513524774E-4</v>
      </c>
      <c r="BX21" s="45">
        <f t="shared" si="17"/>
        <v>3.7615951743202121E-4</v>
      </c>
      <c r="BY21" s="45">
        <f t="shared" si="17"/>
        <v>5.9042164483032638E-3</v>
      </c>
      <c r="BZ21" s="45">
        <f t="shared" si="17"/>
        <v>1.2839000623048005E-2</v>
      </c>
      <c r="CA21" s="45">
        <f t="shared" si="17"/>
        <v>1.1525082059920233E-2</v>
      </c>
      <c r="CB21" s="45">
        <f t="shared" si="17"/>
        <v>1.6682967477483388E-3</v>
      </c>
      <c r="CC21" s="45">
        <f t="shared" si="17"/>
        <v>3.9210767823715285E-4</v>
      </c>
      <c r="CD21" s="45">
        <f t="shared" si="17"/>
        <v>3.548592802252902E-2</v>
      </c>
      <c r="CE21" s="45">
        <f t="shared" si="17"/>
        <v>3.0885701458901937E-3</v>
      </c>
      <c r="CF21" s="45">
        <f t="shared" si="17"/>
        <v>5.6058275198580514E-3</v>
      </c>
      <c r="CG21" s="45">
        <f t="shared" si="17"/>
        <v>1.0000038380535725E-2</v>
      </c>
      <c r="CH21" s="45">
        <f t="shared" si="17"/>
        <v>1.850190885600296E-2</v>
      </c>
      <c r="CI21" s="45">
        <f t="shared" si="17"/>
        <v>8.7873778374468071E-3</v>
      </c>
      <c r="CJ21" s="45">
        <f t="shared" si="17"/>
        <v>1.5449609443997168E-5</v>
      </c>
      <c r="CK21" s="45">
        <f t="shared" si="17"/>
        <v>3.1931288133821255E-3</v>
      </c>
      <c r="CL21" s="45">
        <f t="shared" si="17"/>
        <v>6.9456377220562526E-2</v>
      </c>
      <c r="CM21" s="45">
        <f t="shared" si="17"/>
        <v>9.1306336429085243E-5</v>
      </c>
      <c r="CN21" s="45">
        <f t="shared" si="17"/>
        <v>9.9299981066329653E-4</v>
      </c>
      <c r="CO21" s="45">
        <f t="shared" si="17"/>
        <v>5.1162058729769763E-4</v>
      </c>
      <c r="CP21" s="45">
        <f t="shared" si="17"/>
        <v>1.7597510690797149E-2</v>
      </c>
      <c r="CQ21" s="45">
        <f t="shared" si="17"/>
        <v>1.7708364708443211E-2</v>
      </c>
      <c r="CR21" s="45">
        <f t="shared" si="17"/>
        <v>2.2369415134259262E-4</v>
      </c>
      <c r="CS21" s="45">
        <f t="shared" si="17"/>
        <v>1.1168922557625953E-3</v>
      </c>
      <c r="CT21" s="45">
        <f t="shared" si="17"/>
        <v>1.5082808365029206E-4</v>
      </c>
      <c r="CU21" s="45">
        <f t="shared" ref="CU21:DZ21" si="18">CU9^2</f>
        <v>1.3645740385844037E-2</v>
      </c>
      <c r="CV21" s="45">
        <f t="shared" si="18"/>
        <v>9.9789357659655527E-6</v>
      </c>
      <c r="CW21" s="45">
        <f t="shared" si="18"/>
        <v>1.4605970535097568E-3</v>
      </c>
      <c r="CX21" s="45">
        <f t="shared" si="18"/>
        <v>1.9369428669164728E-2</v>
      </c>
      <c r="CY21" s="45">
        <f t="shared" si="18"/>
        <v>5.6227258353762984E-4</v>
      </c>
      <c r="CZ21" s="45">
        <f t="shared" si="18"/>
        <v>4.7677993769128582E-2</v>
      </c>
      <c r="DA21" s="45">
        <f t="shared" si="18"/>
        <v>3.3602150955513014E-3</v>
      </c>
      <c r="DB21" s="45">
        <f t="shared" si="18"/>
        <v>1.9892898007428065E-4</v>
      </c>
      <c r="DC21" s="45">
        <f t="shared" si="18"/>
        <v>1.298598834966512E-2</v>
      </c>
      <c r="DD21" s="45">
        <f t="shared" si="18"/>
        <v>5.5461177913042319E-3</v>
      </c>
      <c r="DE21" s="45">
        <f t="shared" si="18"/>
        <v>8.0944705118043796E-7</v>
      </c>
      <c r="DF21" s="45">
        <f t="shared" si="18"/>
        <v>9.5466930982486662E-7</v>
      </c>
      <c r="DG21" s="45">
        <f t="shared" si="18"/>
        <v>5.3260942765597724E-3</v>
      </c>
      <c r="DH21" s="45">
        <f t="shared" si="18"/>
        <v>5.6859770483571833E-4</v>
      </c>
      <c r="DI21" s="45">
        <f t="shared" si="18"/>
        <v>1.0308477356134783E-2</v>
      </c>
      <c r="DJ21" s="45">
        <f t="shared" si="18"/>
        <v>7.6687657573272126E-4</v>
      </c>
      <c r="DK21" s="45">
        <f t="shared" si="18"/>
        <v>2.4339573117996964E-3</v>
      </c>
      <c r="DL21" s="45">
        <f t="shared" si="18"/>
        <v>3.248267667612629E-5</v>
      </c>
      <c r="DM21" s="45">
        <f t="shared" si="18"/>
        <v>1.3676505773505593E-3</v>
      </c>
      <c r="DN21" s="45">
        <f t="shared" si="18"/>
        <v>1.2058891959025398E-2</v>
      </c>
      <c r="DO21" s="45">
        <f t="shared" si="18"/>
        <v>1.7670946755159902E-3</v>
      </c>
      <c r="DP21" s="45">
        <f t="shared" si="18"/>
        <v>7.1515213376560464E-3</v>
      </c>
      <c r="DQ21" s="45">
        <f t="shared" si="18"/>
        <v>1.2161636684326392E-2</v>
      </c>
      <c r="DR21" s="45">
        <f t="shared" si="18"/>
        <v>8.8979053657027001E-3</v>
      </c>
      <c r="DS21" s="45">
        <f t="shared" si="18"/>
        <v>5.1706040810191528E-3</v>
      </c>
      <c r="DT21" s="45">
        <f t="shared" si="18"/>
        <v>9.2614503642733919E-3</v>
      </c>
      <c r="DU21" s="45">
        <f t="shared" si="18"/>
        <v>5.5016020342108963E-6</v>
      </c>
      <c r="DV21" s="45">
        <f t="shared" si="18"/>
        <v>1.7960669823662546E-2</v>
      </c>
      <c r="DW21" s="45">
        <f t="shared" si="18"/>
        <v>8.9742501777570517E-3</v>
      </c>
      <c r="DX21" s="45">
        <f t="shared" si="18"/>
        <v>1.0768876593012837E-2</v>
      </c>
      <c r="DY21" s="45">
        <f t="shared" si="18"/>
        <v>5.7399040046420165E-3</v>
      </c>
      <c r="DZ21" s="45">
        <f t="shared" si="18"/>
        <v>1.0131311029084758E-3</v>
      </c>
      <c r="EA21" s="45">
        <f t="shared" ref="EA21:EF21" si="19">EA9^2</f>
        <v>2.6020277100143683E-2</v>
      </c>
      <c r="EB21" s="45">
        <f t="shared" si="19"/>
        <v>1.0411208891300061E-4</v>
      </c>
      <c r="EC21" s="45">
        <f t="shared" si="19"/>
        <v>5.4742870589305657E-3</v>
      </c>
      <c r="ED21" s="45">
        <f t="shared" si="19"/>
        <v>2.4767480781445986E-2</v>
      </c>
      <c r="EE21" s="45">
        <f t="shared" si="19"/>
        <v>6.2627523737550815E-3</v>
      </c>
      <c r="EF21" s="45">
        <f t="shared" si="19"/>
        <v>4.4306566026007104E-4</v>
      </c>
    </row>
    <row r="22" spans="1:136" ht="16">
      <c r="A22" s="41"/>
      <c r="B22" s="39" t="s">
        <v>137</v>
      </c>
      <c r="C22" s="45">
        <f t="shared" ref="C22:AH22" si="20">C10^2</f>
        <v>6.1300169090364023E-2</v>
      </c>
      <c r="D22" s="45">
        <f t="shared" si="20"/>
        <v>7.5456410721795972E-2</v>
      </c>
      <c r="E22" s="45">
        <f t="shared" si="20"/>
        <v>7.1653491215006608E-3</v>
      </c>
      <c r="F22" s="45">
        <f t="shared" si="20"/>
        <v>5.1277932467457823E-4</v>
      </c>
      <c r="G22" s="45">
        <f t="shared" si="20"/>
        <v>2.4681024790687124E-3</v>
      </c>
      <c r="H22" s="45">
        <f t="shared" si="20"/>
        <v>1.0152503674850528E-2</v>
      </c>
      <c r="I22" s="45">
        <f t="shared" si="20"/>
        <v>1.568185506319921E-4</v>
      </c>
      <c r="J22" s="45">
        <f t="shared" si="20"/>
        <v>6.1994443791691554E-3</v>
      </c>
      <c r="K22" s="45">
        <f t="shared" si="20"/>
        <v>1.1686210786418709E-3</v>
      </c>
      <c r="L22" s="45">
        <f t="shared" si="20"/>
        <v>7.8157618954765237E-3</v>
      </c>
      <c r="M22" s="45">
        <f t="shared" si="20"/>
        <v>9.384753841255295E-6</v>
      </c>
      <c r="N22" s="45">
        <f t="shared" si="20"/>
        <v>4.5036476574086326E-2</v>
      </c>
      <c r="O22" s="45">
        <f t="shared" si="20"/>
        <v>1.3546366286925624E-3</v>
      </c>
      <c r="P22" s="45">
        <f t="shared" si="20"/>
        <v>5.0457039774389721E-3</v>
      </c>
      <c r="Q22" s="45">
        <f t="shared" si="20"/>
        <v>5.0781490762883581E-3</v>
      </c>
      <c r="R22" s="45">
        <f t="shared" si="20"/>
        <v>4.6485286217124193E-4</v>
      </c>
      <c r="S22" s="45">
        <f t="shared" si="20"/>
        <v>1.0223486509543127E-2</v>
      </c>
      <c r="T22" s="45">
        <f t="shared" si="20"/>
        <v>1.8683781301546628E-3</v>
      </c>
      <c r="U22" s="45">
        <f t="shared" si="20"/>
        <v>2.2147242359019667E-4</v>
      </c>
      <c r="V22" s="45">
        <f t="shared" si="20"/>
        <v>4.0018583491306699E-5</v>
      </c>
      <c r="W22" s="45">
        <f t="shared" si="20"/>
        <v>2.0607457624597373E-2</v>
      </c>
      <c r="X22" s="45">
        <f t="shared" si="20"/>
        <v>4.1321976387742217E-3</v>
      </c>
      <c r="Y22" s="45">
        <f t="shared" si="20"/>
        <v>3.6230087920246964E-4</v>
      </c>
      <c r="Z22" s="45">
        <f t="shared" si="20"/>
        <v>4.2619770257246479E-4</v>
      </c>
      <c r="AA22" s="45">
        <f t="shared" si="20"/>
        <v>1.0929332099957007E-3</v>
      </c>
      <c r="AB22" s="45">
        <f t="shared" si="20"/>
        <v>3.7706753115437583E-4</v>
      </c>
      <c r="AC22" s="45">
        <f t="shared" si="20"/>
        <v>3.9849977723438457E-3</v>
      </c>
      <c r="AD22" s="45">
        <f t="shared" si="20"/>
        <v>4.3072591163810263E-3</v>
      </c>
      <c r="AE22" s="45">
        <f t="shared" si="20"/>
        <v>1.9042810256226231E-2</v>
      </c>
      <c r="AF22" s="45">
        <f t="shared" si="20"/>
        <v>1.0113906222416341E-2</v>
      </c>
      <c r="AG22" s="45">
        <f t="shared" si="20"/>
        <v>1.4416518828127469E-3</v>
      </c>
      <c r="AH22" s="45">
        <f t="shared" si="20"/>
        <v>2.1012632264048744E-3</v>
      </c>
      <c r="AI22" s="45">
        <f t="shared" ref="AI22:BN22" si="21">AI10^2</f>
        <v>2.6044789051912999E-3</v>
      </c>
      <c r="AJ22" s="45">
        <f t="shared" si="21"/>
        <v>1.0371239511276646E-5</v>
      </c>
      <c r="AK22" s="45">
        <f t="shared" si="21"/>
        <v>2.3963921924093171E-7</v>
      </c>
      <c r="AL22" s="45">
        <f t="shared" si="21"/>
        <v>1.1330911354520039E-2</v>
      </c>
      <c r="AM22" s="45">
        <f t="shared" si="21"/>
        <v>1.883474509221127E-4</v>
      </c>
      <c r="AN22" s="45">
        <f t="shared" si="21"/>
        <v>1.4875389913204669E-2</v>
      </c>
      <c r="AO22" s="45">
        <f t="shared" si="21"/>
        <v>2.3609556394479764E-3</v>
      </c>
      <c r="AP22" s="45">
        <f t="shared" si="21"/>
        <v>3.6219815731516953E-6</v>
      </c>
      <c r="AQ22" s="45">
        <f t="shared" si="21"/>
        <v>8.4491867337224593E-4</v>
      </c>
      <c r="AR22" s="45">
        <f t="shared" si="21"/>
        <v>2.7705250060662671E-3</v>
      </c>
      <c r="AS22" s="45">
        <f t="shared" si="21"/>
        <v>1.6623611670017849E-4</v>
      </c>
      <c r="AT22" s="45">
        <f t="shared" si="21"/>
        <v>4.541735420018535E-6</v>
      </c>
      <c r="AU22" s="45">
        <f t="shared" si="21"/>
        <v>2.4144306160754265E-2</v>
      </c>
      <c r="AV22" s="45">
        <f t="shared" si="21"/>
        <v>1.6082764905029582E-4</v>
      </c>
      <c r="AW22" s="45">
        <f t="shared" si="21"/>
        <v>1.4261904564871037E-4</v>
      </c>
      <c r="AX22" s="45">
        <f t="shared" si="21"/>
        <v>1.8094742098652484E-5</v>
      </c>
      <c r="AY22" s="45">
        <f t="shared" si="21"/>
        <v>8.5854107590684829E-4</v>
      </c>
      <c r="AZ22" s="45">
        <f t="shared" si="21"/>
        <v>1.7990186561850662E-2</v>
      </c>
      <c r="BA22" s="45">
        <f t="shared" si="21"/>
        <v>1.8799571566061855E-2</v>
      </c>
      <c r="BB22" s="45">
        <f t="shared" si="21"/>
        <v>3.0788334943751427E-6</v>
      </c>
      <c r="BC22" s="45">
        <f t="shared" si="21"/>
        <v>6.3087002382422445E-4</v>
      </c>
      <c r="BD22" s="45">
        <f t="shared" si="21"/>
        <v>1.4304616064498009E-2</v>
      </c>
      <c r="BE22" s="45">
        <f t="shared" si="21"/>
        <v>1.8431225512955431E-2</v>
      </c>
      <c r="BF22" s="45">
        <f t="shared" si="21"/>
        <v>2.2175775080298639E-3</v>
      </c>
      <c r="BG22" s="45">
        <f t="shared" si="21"/>
        <v>6.7860478904543942E-4</v>
      </c>
      <c r="BH22" s="45">
        <f t="shared" si="21"/>
        <v>1.9143052038415641E-3</v>
      </c>
      <c r="BI22" s="45">
        <f t="shared" si="21"/>
        <v>6.6246296481045049E-3</v>
      </c>
      <c r="BJ22" s="45">
        <f t="shared" si="21"/>
        <v>1.0120525298453803E-2</v>
      </c>
      <c r="BK22" s="45">
        <f t="shared" si="21"/>
        <v>8.1884544049846235E-3</v>
      </c>
      <c r="BL22" s="45">
        <f t="shared" si="21"/>
        <v>9.5471475034238963E-4</v>
      </c>
      <c r="BM22" s="45">
        <f t="shared" si="21"/>
        <v>3.4591085480784899E-3</v>
      </c>
      <c r="BN22" s="45">
        <f t="shared" si="21"/>
        <v>6.617113024465748E-3</v>
      </c>
      <c r="BO22" s="45">
        <f t="shared" ref="BO22:CT22" si="22">BO10^2</f>
        <v>5.9543089738482516E-5</v>
      </c>
      <c r="BP22" s="45">
        <f t="shared" si="22"/>
        <v>1.1392332566655691E-2</v>
      </c>
      <c r="BQ22" s="45">
        <f t="shared" si="22"/>
        <v>7.3746686174088762E-4</v>
      </c>
      <c r="BR22" s="45">
        <f t="shared" si="22"/>
        <v>2.962735792272784E-3</v>
      </c>
      <c r="BS22" s="45">
        <f t="shared" si="22"/>
        <v>4.6552343102339144E-3</v>
      </c>
      <c r="BT22" s="45">
        <f t="shared" si="22"/>
        <v>9.7243705233366149E-3</v>
      </c>
      <c r="BU22" s="45">
        <f t="shared" si="22"/>
        <v>1.6486185664536111E-2</v>
      </c>
      <c r="BV22" s="45">
        <f t="shared" si="22"/>
        <v>6.1469550603066659E-3</v>
      </c>
      <c r="BW22" s="45">
        <f t="shared" si="22"/>
        <v>1.4192843634773274E-2</v>
      </c>
      <c r="BX22" s="45">
        <f t="shared" si="22"/>
        <v>2.1986811101669893E-3</v>
      </c>
      <c r="BY22" s="45">
        <f t="shared" si="22"/>
        <v>1.034255309954589E-2</v>
      </c>
      <c r="BZ22" s="45">
        <f t="shared" si="22"/>
        <v>6.5946672658473903E-4</v>
      </c>
      <c r="CA22" s="45">
        <f t="shared" si="22"/>
        <v>6.9391882189381946E-3</v>
      </c>
      <c r="CB22" s="45">
        <f t="shared" si="22"/>
        <v>2.4909566624333357E-2</v>
      </c>
      <c r="CC22" s="45">
        <f t="shared" si="22"/>
        <v>5.0484679457919839E-3</v>
      </c>
      <c r="CD22" s="45">
        <f t="shared" si="22"/>
        <v>5.4575883396954768E-3</v>
      </c>
      <c r="CE22" s="45">
        <f t="shared" si="22"/>
        <v>5.6067832386980022E-2</v>
      </c>
      <c r="CF22" s="45">
        <f t="shared" si="22"/>
        <v>1.0645672168983563E-3</v>
      </c>
      <c r="CG22" s="45">
        <f t="shared" si="22"/>
        <v>1.8017920089221721E-4</v>
      </c>
      <c r="CH22" s="45">
        <f t="shared" si="22"/>
        <v>7.8213400438148902E-6</v>
      </c>
      <c r="CI22" s="45">
        <f t="shared" si="22"/>
        <v>2.2968727120364087E-3</v>
      </c>
      <c r="CJ22" s="45">
        <f t="shared" si="22"/>
        <v>1.0575629320283603E-5</v>
      </c>
      <c r="CK22" s="45">
        <f t="shared" si="22"/>
        <v>5.7317300865370067E-3</v>
      </c>
      <c r="CL22" s="45">
        <f t="shared" si="22"/>
        <v>1.9711163270756775E-3</v>
      </c>
      <c r="CM22" s="45">
        <f t="shared" si="22"/>
        <v>3.2036912913769394E-2</v>
      </c>
      <c r="CN22" s="45">
        <f t="shared" si="22"/>
        <v>3.3633349379620708E-3</v>
      </c>
      <c r="CO22" s="45">
        <f t="shared" si="22"/>
        <v>1.9429624982324575E-2</v>
      </c>
      <c r="CP22" s="45">
        <f t="shared" si="22"/>
        <v>4.1879885783785839E-3</v>
      </c>
      <c r="CQ22" s="45">
        <f t="shared" si="22"/>
        <v>3.2829051050147696E-2</v>
      </c>
      <c r="CR22" s="45">
        <f t="shared" si="22"/>
        <v>7.8559030529674386E-3</v>
      </c>
      <c r="CS22" s="45">
        <f t="shared" si="22"/>
        <v>6.411922743936203E-4</v>
      </c>
      <c r="CT22" s="45">
        <f t="shared" si="22"/>
        <v>1.2786876993597889E-2</v>
      </c>
      <c r="CU22" s="45">
        <f t="shared" ref="CU22:DZ22" si="23">CU10^2</f>
        <v>6.5544524509339751E-5</v>
      </c>
      <c r="CV22" s="45">
        <f t="shared" si="23"/>
        <v>2.0430588388809477E-3</v>
      </c>
      <c r="CW22" s="45">
        <f t="shared" si="23"/>
        <v>3.4740680595904648E-3</v>
      </c>
      <c r="CX22" s="45">
        <f t="shared" si="23"/>
        <v>1.160538698235747E-2</v>
      </c>
      <c r="CY22" s="45">
        <f t="shared" si="23"/>
        <v>9.3129254150261E-3</v>
      </c>
      <c r="CZ22" s="45">
        <f t="shared" si="23"/>
        <v>4.424895059465464E-2</v>
      </c>
      <c r="DA22" s="45">
        <f t="shared" si="23"/>
        <v>1.2091451728744079E-2</v>
      </c>
      <c r="DB22" s="45">
        <f t="shared" si="23"/>
        <v>3.6412452392839745E-2</v>
      </c>
      <c r="DC22" s="45">
        <f t="shared" si="23"/>
        <v>4.2961982124366043E-4</v>
      </c>
      <c r="DD22" s="45">
        <f t="shared" si="23"/>
        <v>7.5740634376350218E-3</v>
      </c>
      <c r="DE22" s="45">
        <f t="shared" si="23"/>
        <v>6.728033843953052E-3</v>
      </c>
      <c r="DF22" s="45">
        <f t="shared" si="23"/>
        <v>2.7847821251246123E-2</v>
      </c>
      <c r="DG22" s="45">
        <f t="shared" si="23"/>
        <v>4.9478702022008603E-2</v>
      </c>
      <c r="DH22" s="45">
        <f t="shared" si="23"/>
        <v>2.0821839571003448E-2</v>
      </c>
      <c r="DI22" s="45">
        <f t="shared" si="23"/>
        <v>1.4308932973192761E-2</v>
      </c>
      <c r="DJ22" s="45">
        <f t="shared" si="23"/>
        <v>1.0321085627255753E-2</v>
      </c>
      <c r="DK22" s="45">
        <f t="shared" si="23"/>
        <v>8.6220619337353931E-3</v>
      </c>
      <c r="DL22" s="45">
        <f t="shared" si="23"/>
        <v>1.8173586858343696E-3</v>
      </c>
      <c r="DM22" s="45">
        <f t="shared" si="23"/>
        <v>6.8445958863232442E-3</v>
      </c>
      <c r="DN22" s="45">
        <f t="shared" si="23"/>
        <v>9.6406849840983359E-4</v>
      </c>
      <c r="DO22" s="45">
        <f t="shared" si="23"/>
        <v>9.6318502978574808E-3</v>
      </c>
      <c r="DP22" s="45">
        <f t="shared" si="23"/>
        <v>1.7053455955604278E-2</v>
      </c>
      <c r="DQ22" s="45">
        <f t="shared" si="23"/>
        <v>2.3673789185478821E-3</v>
      </c>
      <c r="DR22" s="45">
        <f t="shared" si="23"/>
        <v>1.5407124335768466E-3</v>
      </c>
      <c r="DS22" s="45">
        <f t="shared" si="23"/>
        <v>2.5930725116640962E-2</v>
      </c>
      <c r="DT22" s="45">
        <f t="shared" si="23"/>
        <v>6.2226801681010647E-3</v>
      </c>
      <c r="DU22" s="45">
        <f t="shared" si="23"/>
        <v>2.6921313954919424E-2</v>
      </c>
      <c r="DV22" s="45">
        <f t="shared" si="23"/>
        <v>5.6328800675286651E-5</v>
      </c>
      <c r="DW22" s="45">
        <f t="shared" si="23"/>
        <v>1.0331756871656347E-2</v>
      </c>
      <c r="DX22" s="45">
        <f t="shared" si="23"/>
        <v>3.1405143826489668E-3</v>
      </c>
      <c r="DY22" s="45">
        <f t="shared" si="23"/>
        <v>1.137563878096463E-2</v>
      </c>
      <c r="DZ22" s="45">
        <f t="shared" si="23"/>
        <v>4.7867822305639905E-3</v>
      </c>
      <c r="EA22" s="45">
        <f t="shared" ref="EA22:EF22" si="24">EA10^2</f>
        <v>1.59235773418211E-2</v>
      </c>
      <c r="EB22" s="45">
        <f t="shared" si="24"/>
        <v>4.1908944894200424E-3</v>
      </c>
      <c r="EC22" s="45">
        <f t="shared" si="24"/>
        <v>2.6446410296186275E-3</v>
      </c>
      <c r="ED22" s="45">
        <f t="shared" si="24"/>
        <v>1.1900242728375913E-3</v>
      </c>
      <c r="EE22" s="45">
        <f t="shared" si="24"/>
        <v>2.4862225023126495E-2</v>
      </c>
      <c r="EF22" s="45">
        <f t="shared" si="24"/>
        <v>5.9088827383375786E-2</v>
      </c>
    </row>
    <row r="23" spans="1:136" ht="16">
      <c r="A23" s="41"/>
      <c r="B23" s="39" t="s">
        <v>138</v>
      </c>
      <c r="C23" s="45">
        <f t="shared" ref="C23:AH23" si="25">C11^2</f>
        <v>2.9424962947699911E-3</v>
      </c>
      <c r="D23" s="45">
        <f t="shared" si="25"/>
        <v>2.059074167658151E-3</v>
      </c>
      <c r="E23" s="45">
        <f t="shared" si="25"/>
        <v>3.1514318274691188E-4</v>
      </c>
      <c r="F23" s="45">
        <f t="shared" si="25"/>
        <v>7.6890721339683337E-3</v>
      </c>
      <c r="G23" s="45">
        <f t="shared" si="25"/>
        <v>1.0559465472918014E-2</v>
      </c>
      <c r="H23" s="45">
        <f t="shared" si="25"/>
        <v>6.3069879875624846E-6</v>
      </c>
      <c r="I23" s="45">
        <f t="shared" si="25"/>
        <v>3.3502003352045134E-4</v>
      </c>
      <c r="J23" s="45">
        <f t="shared" si="25"/>
        <v>4.8887532041517415E-4</v>
      </c>
      <c r="K23" s="45">
        <f t="shared" si="25"/>
        <v>5.9688056303032417E-3</v>
      </c>
      <c r="L23" s="45">
        <f t="shared" si="25"/>
        <v>8.7311801112263879E-5</v>
      </c>
      <c r="M23" s="45">
        <f t="shared" si="25"/>
        <v>2.873193829916625E-3</v>
      </c>
      <c r="N23" s="45">
        <f t="shared" si="25"/>
        <v>4.6073356328051786E-3</v>
      </c>
      <c r="O23" s="45">
        <f t="shared" si="25"/>
        <v>4.2158901598624366E-3</v>
      </c>
      <c r="P23" s="45">
        <f t="shared" si="25"/>
        <v>2.3821054386013211E-5</v>
      </c>
      <c r="Q23" s="45">
        <f t="shared" si="25"/>
        <v>3.6855622546895207E-4</v>
      </c>
      <c r="R23" s="45">
        <f t="shared" si="25"/>
        <v>2.9870042368556722E-5</v>
      </c>
      <c r="S23" s="45">
        <f t="shared" si="25"/>
        <v>1.3360097496481892E-3</v>
      </c>
      <c r="T23" s="45">
        <f t="shared" si="25"/>
        <v>1.6688781966867596E-2</v>
      </c>
      <c r="U23" s="45">
        <f t="shared" si="25"/>
        <v>1.8748202760809614E-4</v>
      </c>
      <c r="V23" s="45">
        <f t="shared" si="25"/>
        <v>2.3394473192739536E-4</v>
      </c>
      <c r="W23" s="45">
        <f t="shared" si="25"/>
        <v>1.0959099784052484E-2</v>
      </c>
      <c r="X23" s="45">
        <f t="shared" si="25"/>
        <v>8.6346676822882121E-2</v>
      </c>
      <c r="Y23" s="45">
        <f t="shared" si="25"/>
        <v>3.5061183838375133E-3</v>
      </c>
      <c r="Z23" s="45">
        <f t="shared" si="25"/>
        <v>3.4205878279447842E-2</v>
      </c>
      <c r="AA23" s="45">
        <f t="shared" si="25"/>
        <v>9.6525592252829466E-3</v>
      </c>
      <c r="AB23" s="45">
        <f t="shared" si="25"/>
        <v>4.3209728479720412E-7</v>
      </c>
      <c r="AC23" s="45">
        <f t="shared" si="25"/>
        <v>1.0750810579255237E-2</v>
      </c>
      <c r="AD23" s="45">
        <f t="shared" si="25"/>
        <v>1.2567690104255271E-5</v>
      </c>
      <c r="AE23" s="45">
        <f t="shared" si="25"/>
        <v>3.0835882156048783E-2</v>
      </c>
      <c r="AF23" s="45">
        <f t="shared" si="25"/>
        <v>2.4035262433120905E-2</v>
      </c>
      <c r="AG23" s="45">
        <f t="shared" si="25"/>
        <v>6.9319650662206438E-4</v>
      </c>
      <c r="AH23" s="45">
        <f t="shared" si="25"/>
        <v>2.4988102995418992E-5</v>
      </c>
      <c r="AI23" s="45">
        <f t="shared" ref="AI23:BN23" si="26">AI11^2</f>
        <v>7.8779660257925624E-4</v>
      </c>
      <c r="AJ23" s="45">
        <f t="shared" si="26"/>
        <v>5.0105213836060746E-4</v>
      </c>
      <c r="AK23" s="45">
        <f t="shared" si="26"/>
        <v>2.2109580205685515E-3</v>
      </c>
      <c r="AL23" s="45">
        <f t="shared" si="26"/>
        <v>1.0314740717783251E-2</v>
      </c>
      <c r="AM23" s="45">
        <f t="shared" si="26"/>
        <v>5.5343262156863572E-4</v>
      </c>
      <c r="AN23" s="45">
        <f t="shared" si="26"/>
        <v>2.7588997976275898E-3</v>
      </c>
      <c r="AO23" s="45">
        <f t="shared" si="26"/>
        <v>3.4225885640141755E-3</v>
      </c>
      <c r="AP23" s="45">
        <f t="shared" si="26"/>
        <v>1.118725626162101E-3</v>
      </c>
      <c r="AQ23" s="45">
        <f t="shared" si="26"/>
        <v>2.0450045203045813E-4</v>
      </c>
      <c r="AR23" s="45">
        <f t="shared" si="26"/>
        <v>1.2890681145068224E-3</v>
      </c>
      <c r="AS23" s="45">
        <f t="shared" si="26"/>
        <v>1.5826302227352094E-3</v>
      </c>
      <c r="AT23" s="45">
        <f t="shared" si="26"/>
        <v>2.2039242020426623E-2</v>
      </c>
      <c r="AU23" s="45">
        <f t="shared" si="26"/>
        <v>1.6636034229909587E-3</v>
      </c>
      <c r="AV23" s="45">
        <f t="shared" si="26"/>
        <v>1.9309590933108238E-2</v>
      </c>
      <c r="AW23" s="45">
        <f t="shared" si="26"/>
        <v>3.5836126990842362E-3</v>
      </c>
      <c r="AX23" s="45">
        <f t="shared" si="26"/>
        <v>2.2436988075031212E-2</v>
      </c>
      <c r="AY23" s="45">
        <f t="shared" si="26"/>
        <v>3.7940489141036855E-3</v>
      </c>
      <c r="AZ23" s="45">
        <f t="shared" si="26"/>
        <v>3.8377717094877179E-3</v>
      </c>
      <c r="BA23" s="45">
        <f t="shared" si="26"/>
        <v>5.7085842824112805E-6</v>
      </c>
      <c r="BB23" s="45">
        <f t="shared" si="26"/>
        <v>2.2162365071883454E-2</v>
      </c>
      <c r="BC23" s="45">
        <f t="shared" si="26"/>
        <v>3.6421850194502817E-3</v>
      </c>
      <c r="BD23" s="45">
        <f t="shared" si="26"/>
        <v>2.1567132814367246E-4</v>
      </c>
      <c r="BE23" s="45">
        <f t="shared" si="26"/>
        <v>2.1466733042722119E-2</v>
      </c>
      <c r="BF23" s="45">
        <f t="shared" si="26"/>
        <v>4.3581843456671758E-2</v>
      </c>
      <c r="BG23" s="45">
        <f t="shared" si="26"/>
        <v>4.0579385301159648E-2</v>
      </c>
      <c r="BH23" s="45">
        <f t="shared" si="26"/>
        <v>1.3935782851325853E-2</v>
      </c>
      <c r="BI23" s="45">
        <f t="shared" si="26"/>
        <v>5.9330934213272886E-3</v>
      </c>
      <c r="BJ23" s="45">
        <f t="shared" si="26"/>
        <v>1.3119113666831017E-3</v>
      </c>
      <c r="BK23" s="45">
        <f t="shared" si="26"/>
        <v>3.5748481064286472E-4</v>
      </c>
      <c r="BL23" s="45">
        <f t="shared" si="26"/>
        <v>2.9328493400993451E-2</v>
      </c>
      <c r="BM23" s="45">
        <f t="shared" si="26"/>
        <v>1.7667061037884114E-2</v>
      </c>
      <c r="BN23" s="45">
        <f t="shared" si="26"/>
        <v>1.2893630347257589E-3</v>
      </c>
      <c r="BO23" s="45">
        <f t="shared" ref="BO23:CT23" si="27">BO11^2</f>
        <v>4.555884575901441E-4</v>
      </c>
      <c r="BP23" s="45">
        <f t="shared" si="27"/>
        <v>2.4636156414780219E-3</v>
      </c>
      <c r="BQ23" s="45">
        <f t="shared" si="27"/>
        <v>2.9622597057292401E-4</v>
      </c>
      <c r="BR23" s="45">
        <f t="shared" si="27"/>
        <v>3.6034382227143044E-2</v>
      </c>
      <c r="BS23" s="45">
        <f t="shared" si="27"/>
        <v>9.5267433223972416E-3</v>
      </c>
      <c r="BT23" s="45">
        <f t="shared" si="27"/>
        <v>1.4312181655934848E-3</v>
      </c>
      <c r="BU23" s="45">
        <f t="shared" si="27"/>
        <v>3.1369302523255979E-3</v>
      </c>
      <c r="BV23" s="45">
        <f t="shared" si="27"/>
        <v>1.3627535644839506E-2</v>
      </c>
      <c r="BW23" s="45">
        <f t="shared" si="27"/>
        <v>1.9972187007291264E-2</v>
      </c>
      <c r="BX23" s="45">
        <f t="shared" si="27"/>
        <v>1.140430378647656E-5</v>
      </c>
      <c r="BY23" s="45">
        <f t="shared" si="27"/>
        <v>1.6987488721731576E-2</v>
      </c>
      <c r="BZ23" s="45">
        <f t="shared" si="27"/>
        <v>1.0047461557265778E-3</v>
      </c>
      <c r="CA23" s="45">
        <f t="shared" si="27"/>
        <v>1.6447110645557072E-3</v>
      </c>
      <c r="CB23" s="45">
        <f t="shared" si="27"/>
        <v>1.767137228315438E-3</v>
      </c>
      <c r="CC23" s="45">
        <f t="shared" si="27"/>
        <v>2.5013725272755708E-3</v>
      </c>
      <c r="CD23" s="45">
        <f t="shared" si="27"/>
        <v>4.6862621773654262E-3</v>
      </c>
      <c r="CE23" s="45">
        <f t="shared" si="27"/>
        <v>6.5338267870204162E-3</v>
      </c>
      <c r="CF23" s="45">
        <f t="shared" si="27"/>
        <v>3.7959149352106796E-6</v>
      </c>
      <c r="CG23" s="45">
        <f t="shared" si="27"/>
        <v>1.3973368107735227E-2</v>
      </c>
      <c r="CH23" s="45">
        <f t="shared" si="27"/>
        <v>1.3483500252419256E-3</v>
      </c>
      <c r="CI23" s="45">
        <f t="shared" si="27"/>
        <v>6.944354409283488E-3</v>
      </c>
      <c r="CJ23" s="45">
        <f t="shared" si="27"/>
        <v>5.3209971579111864E-2</v>
      </c>
      <c r="CK23" s="45">
        <f t="shared" si="27"/>
        <v>1.7630136062643516E-2</v>
      </c>
      <c r="CL23" s="45">
        <f t="shared" si="27"/>
        <v>1.9962106501869858E-2</v>
      </c>
      <c r="CM23" s="45">
        <f t="shared" si="27"/>
        <v>1.2698898011967283E-2</v>
      </c>
      <c r="CN23" s="45">
        <f t="shared" si="27"/>
        <v>4.9947135394185591E-2</v>
      </c>
      <c r="CO23" s="45">
        <f t="shared" si="27"/>
        <v>1.0903362974249101E-2</v>
      </c>
      <c r="CP23" s="45">
        <f t="shared" si="27"/>
        <v>2.0817366158502797E-4</v>
      </c>
      <c r="CQ23" s="45">
        <f t="shared" si="27"/>
        <v>4.2945670995945519E-2</v>
      </c>
      <c r="CR23" s="45">
        <f t="shared" si="27"/>
        <v>1.818826329983373E-2</v>
      </c>
      <c r="CS23" s="45">
        <f t="shared" si="27"/>
        <v>5.330129925765671E-3</v>
      </c>
      <c r="CT23" s="45">
        <f t="shared" si="27"/>
        <v>9.1315039355651805E-4</v>
      </c>
      <c r="CU23" s="45">
        <f t="shared" ref="CU23:DZ23" si="28">CU11^2</f>
        <v>8.2305398372276448E-2</v>
      </c>
      <c r="CV23" s="45">
        <f t="shared" si="28"/>
        <v>5.323658125231813E-2</v>
      </c>
      <c r="CW23" s="45">
        <f t="shared" si="28"/>
        <v>8.2947828598525283E-3</v>
      </c>
      <c r="CX23" s="45">
        <f t="shared" si="28"/>
        <v>1.5002754583806925E-2</v>
      </c>
      <c r="CY23" s="45">
        <f t="shared" si="28"/>
        <v>6.1437262145754186E-3</v>
      </c>
      <c r="CZ23" s="45">
        <f t="shared" si="28"/>
        <v>2.1114120178055175E-3</v>
      </c>
      <c r="DA23" s="45">
        <f t="shared" si="28"/>
        <v>6.8343561034422563E-3</v>
      </c>
      <c r="DB23" s="45">
        <f t="shared" si="28"/>
        <v>2.2305204479499383E-2</v>
      </c>
      <c r="DC23" s="45">
        <f t="shared" si="28"/>
        <v>2.2847162154111663E-3</v>
      </c>
      <c r="DD23" s="45">
        <f t="shared" si="28"/>
        <v>2.7064678662887049E-2</v>
      </c>
      <c r="DE23" s="45">
        <f t="shared" si="28"/>
        <v>1.2225360760831885E-2</v>
      </c>
      <c r="DF23" s="45">
        <f t="shared" si="28"/>
        <v>3.2966966393763162E-3</v>
      </c>
      <c r="DG23" s="45">
        <f t="shared" si="28"/>
        <v>4.6177804713180344E-2</v>
      </c>
      <c r="DH23" s="45">
        <f t="shared" si="28"/>
        <v>3.9686415441255191E-3</v>
      </c>
      <c r="DI23" s="45">
        <f t="shared" si="28"/>
        <v>4.5861486060873721E-3</v>
      </c>
      <c r="DJ23" s="45">
        <f t="shared" si="28"/>
        <v>1.4113933508686947E-2</v>
      </c>
      <c r="DK23" s="45">
        <f t="shared" si="28"/>
        <v>5.3038165655135587E-5</v>
      </c>
      <c r="DL23" s="45">
        <f t="shared" si="28"/>
        <v>5.0866278425543898E-3</v>
      </c>
      <c r="DM23" s="45">
        <f t="shared" si="28"/>
        <v>4.4192030717479113E-4</v>
      </c>
      <c r="DN23" s="45">
        <f t="shared" si="28"/>
        <v>9.2435602590540443E-4</v>
      </c>
      <c r="DO23" s="45">
        <f t="shared" si="28"/>
        <v>9.3992359170593232E-3</v>
      </c>
      <c r="DP23" s="45">
        <f t="shared" si="28"/>
        <v>5.3211643863895493E-2</v>
      </c>
      <c r="DQ23" s="45">
        <f t="shared" si="28"/>
        <v>5.6731766595356822E-2</v>
      </c>
      <c r="DR23" s="45">
        <f t="shared" si="28"/>
        <v>1.2779732721999408E-5</v>
      </c>
      <c r="DS23" s="45">
        <f t="shared" si="28"/>
        <v>1.7944107252667544E-2</v>
      </c>
      <c r="DT23" s="45">
        <f t="shared" si="28"/>
        <v>1.3249413434882942E-2</v>
      </c>
      <c r="DU23" s="45">
        <f t="shared" si="28"/>
        <v>1.0832602517582508E-2</v>
      </c>
      <c r="DV23" s="45">
        <f t="shared" si="28"/>
        <v>2.9823682090757879E-3</v>
      </c>
      <c r="DW23" s="45">
        <f t="shared" si="28"/>
        <v>1.1082370139875364E-3</v>
      </c>
      <c r="DX23" s="45">
        <f t="shared" si="28"/>
        <v>3.0354498547830525E-3</v>
      </c>
      <c r="DY23" s="45">
        <f t="shared" si="28"/>
        <v>4.7325832565790213E-3</v>
      </c>
      <c r="DZ23" s="45">
        <f t="shared" si="28"/>
        <v>2.0969279010246204E-4</v>
      </c>
      <c r="EA23" s="45">
        <f t="shared" ref="EA23:EF23" si="29">EA11^2</f>
        <v>8.5929031587546431E-2</v>
      </c>
      <c r="EB23" s="45">
        <f t="shared" si="29"/>
        <v>1.987395609544565E-2</v>
      </c>
      <c r="EC23" s="45">
        <f t="shared" si="29"/>
        <v>1.4906851026839793E-4</v>
      </c>
      <c r="ED23" s="45">
        <f t="shared" si="29"/>
        <v>3.3834798795211859E-3</v>
      </c>
      <c r="EE23" s="45">
        <f t="shared" si="29"/>
        <v>2.0852230305009004E-2</v>
      </c>
      <c r="EF23" s="45">
        <f t="shared" si="29"/>
        <v>4.5846649289606267E-5</v>
      </c>
    </row>
    <row r="25" spans="1:136" ht="20" customHeight="1">
      <c r="A25" s="57"/>
      <c r="B25" s="55">
        <v>1.6E-2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預測IC</vt:lpstr>
      <vt:lpstr>NN3勝率</vt:lpstr>
      <vt:lpstr>NN3累積報酬 </vt:lpstr>
      <vt:lpstr>NN3再投資累積報酬</vt:lpstr>
      <vt:lpstr>NN3夏普比率</vt:lpstr>
      <vt:lpstr>NN3樣本外R2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2025-09-28T10:54:12Z</dcterms:modified>
</cp:coreProperties>
</file>