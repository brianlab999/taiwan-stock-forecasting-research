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3"/>
  <workbookPr/>
  <mc:AlternateContent xmlns:mc="http://schemas.openxmlformats.org/markup-compatibility/2006">
    <mc:Choice Requires="x15">
      <x15ac:absPath xmlns:x15ac="http://schemas.microsoft.com/office/spreadsheetml/2010/11/ac" url="/Users/Brian/Documents/Brian/大專生計畫/"/>
    </mc:Choice>
  </mc:AlternateContent>
  <xr:revisionPtr revIDLastSave="0" documentId="13_ncr:1_{E434137A-6601-474D-AD71-3AFAD70C90DB}" xr6:coauthVersionLast="47" xr6:coauthVersionMax="47" xr10:uidLastSave="{00000000-0000-0000-0000-000000000000}"/>
  <bookViews>
    <workbookView xWindow="0" yWindow="760" windowWidth="29400" windowHeight="16660" activeTab="2" xr2:uid="{00000000-000D-0000-FFFF-FFFF00000000}"/>
  </bookViews>
  <sheets>
    <sheet name="預測IC" sheetId="2" r:id="rId1"/>
    <sheet name="預測XGBoost勝率" sheetId="4" r:id="rId2"/>
    <sheet name="預測XGBoost累積報酬 " sheetId="6" r:id="rId3"/>
    <sheet name="XGBoost再投資累積報酬" sheetId="8" r:id="rId4"/>
    <sheet name="預測XGBoost夏普比率" sheetId="9" r:id="rId5"/>
    <sheet name="XGBoost樣本外R2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8" i="4" l="1" a="1"/>
  <c r="EF8" i="4" s="1"/>
  <c r="EE8" i="4" a="1"/>
  <c r="EE8" i="4" s="1"/>
  <c r="ED8" i="4" a="1"/>
  <c r="ED8" i="4" s="1"/>
  <c r="EC8" i="4" a="1"/>
  <c r="EC8" i="4" s="1"/>
  <c r="EB8" i="4" a="1"/>
  <c r="EB8" i="4" s="1"/>
  <c r="EA8" i="4" a="1"/>
  <c r="EA8" i="4" s="1"/>
  <c r="DZ8" i="4" a="1"/>
  <c r="DZ8" i="4" s="1"/>
  <c r="DY8" i="4" a="1"/>
  <c r="DY8" i="4" s="1"/>
  <c r="DX8" i="4" a="1"/>
  <c r="DX8" i="4" s="1"/>
  <c r="DW8" i="4" a="1"/>
  <c r="DW8" i="4" s="1"/>
  <c r="DV8" i="4" a="1"/>
  <c r="DV8" i="4" s="1"/>
  <c r="DU8" i="4" a="1"/>
  <c r="DU8" i="4" s="1"/>
  <c r="DT8" i="4" a="1"/>
  <c r="DT8" i="4" s="1"/>
  <c r="DS8" i="4" a="1"/>
  <c r="DS8" i="4" s="1"/>
  <c r="DR8" i="4" a="1"/>
  <c r="DR8" i="4" s="1"/>
  <c r="DQ8" i="4" a="1"/>
  <c r="DQ8" i="4" s="1"/>
  <c r="DP8" i="4" a="1"/>
  <c r="DP8" i="4" s="1"/>
  <c r="DO8" i="4" a="1"/>
  <c r="DO8" i="4" s="1"/>
  <c r="DN8" i="4" a="1"/>
  <c r="DN8" i="4" s="1"/>
  <c r="DM8" i="4" a="1"/>
  <c r="DM8" i="4" s="1"/>
  <c r="DL8" i="4" a="1"/>
  <c r="DL8" i="4" s="1"/>
  <c r="DK8" i="4" a="1"/>
  <c r="DK8" i="4" s="1"/>
  <c r="DJ8" i="4" a="1"/>
  <c r="DJ8" i="4" s="1"/>
  <c r="DI8" i="4" a="1"/>
  <c r="DI8" i="4" s="1"/>
  <c r="DH8" i="4" a="1"/>
  <c r="DH8" i="4" s="1"/>
  <c r="DG8" i="4" a="1"/>
  <c r="DG8" i="4" s="1"/>
  <c r="DF8" i="4" a="1"/>
  <c r="DF8" i="4" s="1"/>
  <c r="DE8" i="4" a="1"/>
  <c r="DE8" i="4" s="1"/>
  <c r="DD8" i="4" a="1"/>
  <c r="DD8" i="4" s="1"/>
  <c r="DC8" i="4" a="1"/>
  <c r="DC8" i="4" s="1"/>
  <c r="DB8" i="4" a="1"/>
  <c r="DB8" i="4" s="1"/>
  <c r="DA8" i="4" a="1"/>
  <c r="DA8" i="4" s="1"/>
  <c r="CZ8" i="4" a="1"/>
  <c r="CZ8" i="4" s="1"/>
  <c r="CY8" i="4" a="1"/>
  <c r="CY8" i="4" s="1"/>
  <c r="CX8" i="4" a="1"/>
  <c r="CX8" i="4" s="1"/>
  <c r="CW8" i="4" a="1"/>
  <c r="CW8" i="4" s="1"/>
  <c r="CV8" i="4" a="1"/>
  <c r="CV8" i="4" s="1"/>
  <c r="CU8" i="4" a="1"/>
  <c r="CU8" i="4" s="1"/>
  <c r="CT8" i="4" a="1"/>
  <c r="CT8" i="4" s="1"/>
  <c r="CS8" i="4" a="1"/>
  <c r="CS8" i="4" s="1"/>
  <c r="CR8" i="4" a="1"/>
  <c r="CR8" i="4" s="1"/>
  <c r="CQ8" i="4" a="1"/>
  <c r="CQ8" i="4" s="1"/>
  <c r="CP8" i="4" a="1"/>
  <c r="CP8" i="4" s="1"/>
  <c r="CO8" i="4" a="1"/>
  <c r="CO8" i="4" s="1"/>
  <c r="CN8" i="4" a="1"/>
  <c r="CN8" i="4" s="1"/>
  <c r="CM8" i="4" a="1"/>
  <c r="CM8" i="4" s="1"/>
  <c r="CL8" i="4" a="1"/>
  <c r="CL8" i="4" s="1"/>
  <c r="CK8" i="4" a="1"/>
  <c r="CK8" i="4" s="1"/>
  <c r="CJ8" i="4" a="1"/>
  <c r="CJ8" i="4" s="1"/>
  <c r="CI8" i="4" a="1"/>
  <c r="CI8" i="4" s="1"/>
  <c r="CH8" i="4" a="1"/>
  <c r="CH8" i="4" s="1"/>
  <c r="CG8" i="4" a="1"/>
  <c r="CG8" i="4" s="1"/>
  <c r="CF8" i="4" a="1"/>
  <c r="CF8" i="4" s="1"/>
  <c r="CE8" i="4" a="1"/>
  <c r="CE8" i="4" s="1"/>
  <c r="CD8" i="4" a="1"/>
  <c r="CD8" i="4" s="1"/>
  <c r="CC8" i="4" a="1"/>
  <c r="CC8" i="4" s="1"/>
  <c r="CB8" i="4" a="1"/>
  <c r="CB8" i="4" s="1"/>
  <c r="CA8" i="4" a="1"/>
  <c r="CA8" i="4" s="1"/>
  <c r="BZ8" i="4" a="1"/>
  <c r="BZ8" i="4" s="1"/>
  <c r="BY8" i="4" a="1"/>
  <c r="BY8" i="4" s="1"/>
  <c r="BX8" i="4" a="1"/>
  <c r="BX8" i="4" s="1"/>
  <c r="BW8" i="4" a="1"/>
  <c r="BW8" i="4" s="1"/>
  <c r="BV8" i="4" a="1"/>
  <c r="BV8" i="4" s="1"/>
  <c r="BU8" i="4" a="1"/>
  <c r="BU8" i="4" s="1"/>
  <c r="BT8" i="4" a="1"/>
  <c r="BT8" i="4" s="1"/>
  <c r="BS8" i="4" a="1"/>
  <c r="BS8" i="4" s="1"/>
  <c r="BR8" i="4" a="1"/>
  <c r="BR8" i="4" s="1"/>
  <c r="BQ8" i="4" a="1"/>
  <c r="BQ8" i="4" s="1"/>
  <c r="BP8" i="4" a="1"/>
  <c r="BP8" i="4" s="1"/>
  <c r="BO8" i="4" a="1"/>
  <c r="BO8" i="4" s="1"/>
  <c r="BN8" i="4" a="1"/>
  <c r="BN8" i="4" s="1"/>
  <c r="BM8" i="4" a="1"/>
  <c r="BM8" i="4" s="1"/>
  <c r="BL8" i="4" a="1"/>
  <c r="BL8" i="4" s="1"/>
  <c r="BK8" i="4" a="1"/>
  <c r="BK8" i="4" s="1"/>
  <c r="BJ8" i="4" a="1"/>
  <c r="BJ8" i="4" s="1"/>
  <c r="BI8" i="4" a="1"/>
  <c r="BI8" i="4" s="1"/>
  <c r="BH8" i="4" a="1"/>
  <c r="BH8" i="4" s="1"/>
  <c r="BG8" i="4" a="1"/>
  <c r="BG8" i="4" s="1"/>
  <c r="BF8" i="4" a="1"/>
  <c r="BF8" i="4" s="1"/>
  <c r="BE8" i="4" a="1"/>
  <c r="BE8" i="4" s="1"/>
  <c r="BD8" i="4" a="1"/>
  <c r="BD8" i="4" s="1"/>
  <c r="BC8" i="4" a="1"/>
  <c r="BC8" i="4" s="1"/>
  <c r="BB8" i="4" a="1"/>
  <c r="BB8" i="4" s="1"/>
  <c r="BA8" i="4" a="1"/>
  <c r="BA8" i="4" s="1"/>
  <c r="AZ8" i="4" a="1"/>
  <c r="AZ8" i="4" s="1"/>
  <c r="AY8" i="4" a="1"/>
  <c r="AY8" i="4" s="1"/>
  <c r="AX8" i="4" a="1"/>
  <c r="AX8" i="4" s="1"/>
  <c r="AW8" i="4" a="1"/>
  <c r="AW8" i="4" s="1"/>
  <c r="AV8" i="4" a="1"/>
  <c r="AV8" i="4" s="1"/>
  <c r="AU8" i="4" a="1"/>
  <c r="AU8" i="4" s="1"/>
  <c r="AT8" i="4" a="1"/>
  <c r="AT8" i="4" s="1"/>
  <c r="AS8" i="4" a="1"/>
  <c r="AS8" i="4" s="1"/>
  <c r="AR8" i="4" a="1"/>
  <c r="AR8" i="4" s="1"/>
  <c r="AQ8" i="4" a="1"/>
  <c r="AQ8" i="4" s="1"/>
  <c r="AP8" i="4" a="1"/>
  <c r="AP8" i="4" s="1"/>
  <c r="AO8" i="4" a="1"/>
  <c r="AO8" i="4" s="1"/>
  <c r="AN8" i="4" a="1"/>
  <c r="AN8" i="4" s="1"/>
  <c r="AM8" i="4" a="1"/>
  <c r="AM8" i="4" s="1"/>
  <c r="AL8" i="4" a="1"/>
  <c r="AL8" i="4" s="1"/>
  <c r="AK8" i="4" a="1"/>
  <c r="AK8" i="4" s="1"/>
  <c r="AJ8" i="4" a="1"/>
  <c r="AJ8" i="4" s="1"/>
  <c r="AI8" i="4" a="1"/>
  <c r="AI8" i="4" s="1"/>
  <c r="AH8" i="4" a="1"/>
  <c r="AH8" i="4" s="1"/>
  <c r="AG8" i="4" a="1"/>
  <c r="AG8" i="4" s="1"/>
  <c r="AF8" i="4" a="1"/>
  <c r="AF8" i="4" s="1"/>
  <c r="AE8" i="4" a="1"/>
  <c r="AE8" i="4" s="1"/>
  <c r="AD8" i="4" a="1"/>
  <c r="AD8" i="4" s="1"/>
  <c r="AC8" i="4" a="1"/>
  <c r="AC8" i="4" s="1"/>
  <c r="AB8" i="4" a="1"/>
  <c r="AB8" i="4" s="1"/>
  <c r="AA8" i="4" a="1"/>
  <c r="AA8" i="4" s="1"/>
  <c r="Z8" i="4" a="1"/>
  <c r="Z8" i="4" s="1"/>
  <c r="Y8" i="4" a="1"/>
  <c r="Y8" i="4" s="1"/>
  <c r="X8" i="4" a="1"/>
  <c r="X8" i="4" s="1"/>
  <c r="W8" i="4" a="1"/>
  <c r="W8" i="4" s="1"/>
  <c r="V8" i="4" a="1"/>
  <c r="V8" i="4" s="1"/>
  <c r="U8" i="4" a="1"/>
  <c r="U8" i="4" s="1"/>
  <c r="T8" i="4" a="1"/>
  <c r="T8" i="4" s="1"/>
  <c r="S8" i="4" a="1"/>
  <c r="S8" i="4" s="1"/>
  <c r="R8" i="4" a="1"/>
  <c r="R8" i="4" s="1"/>
  <c r="Q8" i="4" a="1"/>
  <c r="Q8" i="4" s="1"/>
  <c r="P8" i="4" a="1"/>
  <c r="P8" i="4" s="1"/>
  <c r="O8" i="4" a="1"/>
  <c r="O8" i="4" s="1"/>
  <c r="N8" i="4" a="1"/>
  <c r="N8" i="4" s="1"/>
  <c r="M8" i="4" a="1"/>
  <c r="M8" i="4" s="1"/>
  <c r="L8" i="4" a="1"/>
  <c r="L8" i="4" s="1"/>
  <c r="K8" i="4" a="1"/>
  <c r="K8" i="4" s="1"/>
  <c r="J8" i="4" a="1"/>
  <c r="J8" i="4" s="1"/>
  <c r="I8" i="4" a="1"/>
  <c r="I8" i="4" s="1"/>
  <c r="H8" i="4" a="1"/>
  <c r="H8" i="4" s="1"/>
  <c r="G8" i="4" a="1"/>
  <c r="G8" i="4" s="1"/>
  <c r="F8" i="4" a="1"/>
  <c r="F8" i="4" s="1"/>
  <c r="E8" i="4" a="1"/>
  <c r="E8" i="4" s="1"/>
  <c r="D8" i="4" a="1"/>
  <c r="D8" i="4" s="1"/>
  <c r="C8" i="4" a="1"/>
  <c r="C8" i="4" s="1"/>
  <c r="EF8" i="2" a="1"/>
  <c r="EF8" i="2" s="1"/>
  <c r="C8" i="2" a="1"/>
  <c r="C8" i="2"/>
  <c r="EF31" i="11"/>
  <c r="EE31" i="11"/>
  <c r="ED31" i="11"/>
  <c r="EC31" i="11"/>
  <c r="EB31" i="11"/>
  <c r="EA31" i="11"/>
  <c r="DZ31" i="11"/>
  <c r="DY31" i="11"/>
  <c r="DX31" i="11"/>
  <c r="DW31" i="11"/>
  <c r="DV31" i="11"/>
  <c r="DU31" i="11"/>
  <c r="DT31" i="11"/>
  <c r="DS31" i="11"/>
  <c r="DR31" i="11"/>
  <c r="DQ31" i="11"/>
  <c r="DP31" i="11"/>
  <c r="DO31" i="11"/>
  <c r="DN31" i="11"/>
  <c r="DM31" i="11"/>
  <c r="DL31" i="11"/>
  <c r="DK31" i="11"/>
  <c r="DJ31" i="11"/>
  <c r="DI31" i="11"/>
  <c r="DH31" i="11"/>
  <c r="DG31" i="11"/>
  <c r="DF31" i="11"/>
  <c r="DE31" i="11"/>
  <c r="DD31" i="11"/>
  <c r="DC31" i="11"/>
  <c r="DB31" i="11"/>
  <c r="DA31" i="11"/>
  <c r="CZ31" i="11"/>
  <c r="CY31" i="11"/>
  <c r="CX31" i="11"/>
  <c r="CW31" i="11"/>
  <c r="CV31" i="11"/>
  <c r="CU31" i="11"/>
  <c r="CT31" i="11"/>
  <c r="CS31" i="11"/>
  <c r="CR31" i="11"/>
  <c r="CQ31" i="11"/>
  <c r="CP31" i="11"/>
  <c r="CO31" i="11"/>
  <c r="CN31" i="11"/>
  <c r="CM31" i="11"/>
  <c r="CL31" i="11"/>
  <c r="CK31" i="11"/>
  <c r="CJ31" i="11"/>
  <c r="CI31" i="11"/>
  <c r="CH31" i="11"/>
  <c r="CG31" i="11"/>
  <c r="CF31" i="11"/>
  <c r="CE31" i="11"/>
  <c r="CD31" i="11"/>
  <c r="CC31" i="11"/>
  <c r="CB31" i="11"/>
  <c r="CA31" i="11"/>
  <c r="BZ31" i="11"/>
  <c r="BY31" i="11"/>
  <c r="BX31" i="11"/>
  <c r="BW31" i="11"/>
  <c r="BV31" i="11"/>
  <c r="BU31" i="11"/>
  <c r="BT31" i="11"/>
  <c r="BS31" i="11"/>
  <c r="BR31" i="11"/>
  <c r="BQ31" i="11"/>
  <c r="BP31" i="11"/>
  <c r="BO31" i="11"/>
  <c r="BN31" i="11"/>
  <c r="BM31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EF30" i="11"/>
  <c r="EE30" i="11"/>
  <c r="ED30" i="11"/>
  <c r="EC30" i="11"/>
  <c r="EB30" i="11"/>
  <c r="EA30" i="11"/>
  <c r="DZ30" i="11"/>
  <c r="DY30" i="11"/>
  <c r="DX30" i="11"/>
  <c r="DW30" i="11"/>
  <c r="DV30" i="11"/>
  <c r="DU30" i="11"/>
  <c r="DT30" i="11"/>
  <c r="DS30" i="11"/>
  <c r="DR30" i="11"/>
  <c r="DQ30" i="11"/>
  <c r="DP30" i="11"/>
  <c r="DO30" i="11"/>
  <c r="DN30" i="11"/>
  <c r="DM30" i="11"/>
  <c r="DL30" i="11"/>
  <c r="DK30" i="11"/>
  <c r="DJ30" i="11"/>
  <c r="DI30" i="11"/>
  <c r="DH30" i="11"/>
  <c r="DG30" i="11"/>
  <c r="DF30" i="11"/>
  <c r="DE30" i="11"/>
  <c r="DD30" i="11"/>
  <c r="DC30" i="11"/>
  <c r="DB30" i="11"/>
  <c r="DA30" i="11"/>
  <c r="CZ30" i="11"/>
  <c r="CY30" i="11"/>
  <c r="CX30" i="11"/>
  <c r="CW30" i="11"/>
  <c r="CV30" i="11"/>
  <c r="CU30" i="11"/>
  <c r="CT30" i="11"/>
  <c r="CS30" i="11"/>
  <c r="CR30" i="11"/>
  <c r="CQ30" i="11"/>
  <c r="CP30" i="11"/>
  <c r="CO30" i="11"/>
  <c r="CN30" i="11"/>
  <c r="CM30" i="11"/>
  <c r="CL30" i="11"/>
  <c r="CK30" i="11"/>
  <c r="CJ30" i="11"/>
  <c r="CI30" i="11"/>
  <c r="CH30" i="11"/>
  <c r="CG30" i="11"/>
  <c r="CF30" i="11"/>
  <c r="CE30" i="11"/>
  <c r="CD30" i="11"/>
  <c r="CC30" i="11"/>
  <c r="CB30" i="11"/>
  <c r="CA30" i="11"/>
  <c r="BZ30" i="11"/>
  <c r="BY30" i="11"/>
  <c r="BX30" i="11"/>
  <c r="BW30" i="11"/>
  <c r="BV30" i="11"/>
  <c r="BU30" i="11"/>
  <c r="BT30" i="11"/>
  <c r="BS30" i="11"/>
  <c r="BR30" i="11"/>
  <c r="BQ30" i="11"/>
  <c r="BP30" i="11"/>
  <c r="BO30" i="11"/>
  <c r="BN30" i="11"/>
  <c r="BM30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EF29" i="11"/>
  <c r="EE29" i="11"/>
  <c r="ED29" i="11"/>
  <c r="EC29" i="11"/>
  <c r="EB29" i="11"/>
  <c r="EA29" i="11"/>
  <c r="DZ29" i="11"/>
  <c r="DY29" i="11"/>
  <c r="DX29" i="11"/>
  <c r="DW29" i="11"/>
  <c r="DV29" i="11"/>
  <c r="DU29" i="11"/>
  <c r="DT29" i="11"/>
  <c r="DS29" i="11"/>
  <c r="DR29" i="11"/>
  <c r="DQ29" i="11"/>
  <c r="DP29" i="11"/>
  <c r="DO29" i="11"/>
  <c r="DN29" i="11"/>
  <c r="DM29" i="11"/>
  <c r="DL29" i="11"/>
  <c r="DK29" i="11"/>
  <c r="DJ29" i="11"/>
  <c r="DI29" i="11"/>
  <c r="DH29" i="11"/>
  <c r="DG29" i="11"/>
  <c r="DF29" i="11"/>
  <c r="DE29" i="11"/>
  <c r="DD29" i="11"/>
  <c r="DC29" i="11"/>
  <c r="DB29" i="11"/>
  <c r="DA29" i="11"/>
  <c r="CZ29" i="11"/>
  <c r="CY29" i="11"/>
  <c r="CX29" i="11"/>
  <c r="CW29" i="11"/>
  <c r="CV29" i="11"/>
  <c r="CU29" i="11"/>
  <c r="CT29" i="11"/>
  <c r="CS29" i="11"/>
  <c r="CR29" i="11"/>
  <c r="CQ29" i="11"/>
  <c r="CP29" i="11"/>
  <c r="CO29" i="11"/>
  <c r="CN29" i="11"/>
  <c r="CM29" i="11"/>
  <c r="CL29" i="11"/>
  <c r="CK29" i="11"/>
  <c r="CJ29" i="11"/>
  <c r="CI29" i="11"/>
  <c r="CH29" i="11"/>
  <c r="CG29" i="11"/>
  <c r="CF29" i="11"/>
  <c r="CE29" i="11"/>
  <c r="CD29" i="11"/>
  <c r="CC29" i="11"/>
  <c r="CB29" i="11"/>
  <c r="CA29" i="11"/>
  <c r="BZ29" i="11"/>
  <c r="BY29" i="11"/>
  <c r="BX29" i="11"/>
  <c r="BW29" i="11"/>
  <c r="BV29" i="11"/>
  <c r="BU29" i="11"/>
  <c r="BT29" i="11"/>
  <c r="BS29" i="11"/>
  <c r="BR29" i="11"/>
  <c r="BQ29" i="11"/>
  <c r="BP29" i="11"/>
  <c r="BO29" i="11"/>
  <c r="BN29" i="11"/>
  <c r="BM29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EF28" i="11"/>
  <c r="EE28" i="11"/>
  <c r="ED28" i="11"/>
  <c r="EC28" i="11"/>
  <c r="EB28" i="11"/>
  <c r="EA28" i="11"/>
  <c r="DZ28" i="11"/>
  <c r="DY28" i="11"/>
  <c r="DX28" i="11"/>
  <c r="DW28" i="11"/>
  <c r="DV28" i="11"/>
  <c r="DU28" i="11"/>
  <c r="DT28" i="11"/>
  <c r="DS28" i="11"/>
  <c r="DR28" i="11"/>
  <c r="DQ28" i="11"/>
  <c r="DP28" i="11"/>
  <c r="DO28" i="11"/>
  <c r="DN28" i="11"/>
  <c r="DM28" i="11"/>
  <c r="DL28" i="11"/>
  <c r="DK28" i="11"/>
  <c r="DJ28" i="11"/>
  <c r="DI28" i="11"/>
  <c r="DH28" i="11"/>
  <c r="DG28" i="11"/>
  <c r="DF28" i="11"/>
  <c r="DE28" i="11"/>
  <c r="DD28" i="11"/>
  <c r="DC28" i="11"/>
  <c r="DB28" i="11"/>
  <c r="DA28" i="11"/>
  <c r="CZ28" i="11"/>
  <c r="CY28" i="11"/>
  <c r="CX28" i="11"/>
  <c r="CW28" i="11"/>
  <c r="CV28" i="11"/>
  <c r="CU28" i="11"/>
  <c r="CT28" i="11"/>
  <c r="CS28" i="11"/>
  <c r="CR28" i="11"/>
  <c r="CQ28" i="1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EF27" i="11"/>
  <c r="EE27" i="11"/>
  <c r="ED27" i="11"/>
  <c r="EC27" i="11"/>
  <c r="EB27" i="11"/>
  <c r="EA27" i="11"/>
  <c r="DZ27" i="11"/>
  <c r="DY27" i="11"/>
  <c r="DX27" i="11"/>
  <c r="DW27" i="11"/>
  <c r="DV27" i="11"/>
  <c r="DU27" i="11"/>
  <c r="DT27" i="11"/>
  <c r="DS27" i="11"/>
  <c r="DR27" i="11"/>
  <c r="DQ27" i="11"/>
  <c r="DP27" i="11"/>
  <c r="DO27" i="11"/>
  <c r="DN27" i="11"/>
  <c r="DM27" i="11"/>
  <c r="DL27" i="11"/>
  <c r="DK27" i="11"/>
  <c r="DJ27" i="11"/>
  <c r="DI27" i="11"/>
  <c r="DH27" i="11"/>
  <c r="DG27" i="11"/>
  <c r="DF27" i="11"/>
  <c r="DE27" i="11"/>
  <c r="DD27" i="11"/>
  <c r="DC27" i="11"/>
  <c r="DB27" i="11"/>
  <c r="DA27" i="11"/>
  <c r="CZ27" i="11"/>
  <c r="CY27" i="11"/>
  <c r="CX27" i="11"/>
  <c r="CW27" i="11"/>
  <c r="CV27" i="11"/>
  <c r="CU27" i="11"/>
  <c r="CT27" i="11"/>
  <c r="CS27" i="11"/>
  <c r="CR27" i="11"/>
  <c r="CQ27" i="11"/>
  <c r="CP27" i="11"/>
  <c r="CO27" i="11"/>
  <c r="CN27" i="11"/>
  <c r="CM27" i="11"/>
  <c r="CL27" i="11"/>
  <c r="CK27" i="11"/>
  <c r="CJ27" i="11"/>
  <c r="CI27" i="11"/>
  <c r="CH27" i="11"/>
  <c r="CG27" i="11"/>
  <c r="CF27" i="11"/>
  <c r="CE27" i="11"/>
  <c r="CD27" i="11"/>
  <c r="CC27" i="11"/>
  <c r="CB27" i="11"/>
  <c r="CA27" i="11"/>
  <c r="BZ27" i="11"/>
  <c r="BY27" i="11"/>
  <c r="BX27" i="11"/>
  <c r="BW27" i="11"/>
  <c r="BV27" i="11"/>
  <c r="BU27" i="11"/>
  <c r="BT27" i="11"/>
  <c r="BS27" i="11"/>
  <c r="BR27" i="11"/>
  <c r="BQ27" i="11"/>
  <c r="BP27" i="11"/>
  <c r="BO27" i="11"/>
  <c r="BN27" i="11"/>
  <c r="BM27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EF23" i="11"/>
  <c r="EE23" i="11"/>
  <c r="ED23" i="11"/>
  <c r="EC23" i="11"/>
  <c r="EB23" i="11"/>
  <c r="EA23" i="11"/>
  <c r="DZ23" i="11"/>
  <c r="DY23" i="11"/>
  <c r="DX23" i="11"/>
  <c r="DW23" i="11"/>
  <c r="DV23" i="11"/>
  <c r="DU23" i="11"/>
  <c r="DT23" i="11"/>
  <c r="DS23" i="11"/>
  <c r="DR23" i="11"/>
  <c r="DQ23" i="11"/>
  <c r="DP23" i="11"/>
  <c r="DO23" i="11"/>
  <c r="DN23" i="11"/>
  <c r="DM23" i="11"/>
  <c r="DL23" i="11"/>
  <c r="DK23" i="11"/>
  <c r="DJ23" i="11"/>
  <c r="DI23" i="11"/>
  <c r="DH23" i="11"/>
  <c r="DG23" i="11"/>
  <c r="DF23" i="11"/>
  <c r="DE23" i="11"/>
  <c r="DD23" i="11"/>
  <c r="DC23" i="11"/>
  <c r="DB23" i="11"/>
  <c r="DA23" i="11"/>
  <c r="CZ23" i="11"/>
  <c r="CY23" i="11"/>
  <c r="CX23" i="11"/>
  <c r="CW23" i="11"/>
  <c r="CV23" i="11"/>
  <c r="CU23" i="11"/>
  <c r="CT23" i="11"/>
  <c r="CS23" i="11"/>
  <c r="CR23" i="11"/>
  <c r="CQ23" i="11"/>
  <c r="CP23" i="11"/>
  <c r="CO23" i="11"/>
  <c r="CN23" i="11"/>
  <c r="CM23" i="11"/>
  <c r="CL23" i="11"/>
  <c r="CK23" i="11"/>
  <c r="CJ23" i="11"/>
  <c r="CI23" i="11"/>
  <c r="CH23" i="11"/>
  <c r="CG23" i="11"/>
  <c r="CF23" i="11"/>
  <c r="CE23" i="11"/>
  <c r="CD23" i="11"/>
  <c r="CC23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EF22" i="11"/>
  <c r="EE22" i="11"/>
  <c r="ED22" i="11"/>
  <c r="EC22" i="11"/>
  <c r="EB22" i="11"/>
  <c r="EA22" i="11"/>
  <c r="DZ22" i="11"/>
  <c r="DY22" i="11"/>
  <c r="DX22" i="11"/>
  <c r="DW22" i="11"/>
  <c r="DV22" i="11"/>
  <c r="DU22" i="11"/>
  <c r="DT22" i="11"/>
  <c r="DS22" i="11"/>
  <c r="DR22" i="11"/>
  <c r="DQ22" i="11"/>
  <c r="DP22" i="11"/>
  <c r="DO22" i="11"/>
  <c r="DN22" i="11"/>
  <c r="DM22" i="11"/>
  <c r="DL22" i="11"/>
  <c r="DK22" i="11"/>
  <c r="DJ22" i="11"/>
  <c r="DI22" i="11"/>
  <c r="DH22" i="11"/>
  <c r="DG22" i="11"/>
  <c r="DF22" i="11"/>
  <c r="DE22" i="11"/>
  <c r="DD22" i="11"/>
  <c r="DC22" i="11"/>
  <c r="DB22" i="11"/>
  <c r="DA22" i="11"/>
  <c r="CZ22" i="11"/>
  <c r="CY22" i="11"/>
  <c r="CX22" i="11"/>
  <c r="CW22" i="11"/>
  <c r="CV22" i="11"/>
  <c r="CU22" i="11"/>
  <c r="CT22" i="11"/>
  <c r="CS22" i="11"/>
  <c r="CR22" i="11"/>
  <c r="CQ22" i="11"/>
  <c r="CP22" i="11"/>
  <c r="CO22" i="11"/>
  <c r="CN22" i="11"/>
  <c r="CM22" i="11"/>
  <c r="CL22" i="11"/>
  <c r="CK22" i="11"/>
  <c r="CJ22" i="11"/>
  <c r="CI22" i="11"/>
  <c r="CH22" i="11"/>
  <c r="CG22" i="11"/>
  <c r="CF22" i="11"/>
  <c r="CE22" i="11"/>
  <c r="CD22" i="11"/>
  <c r="CC22" i="11"/>
  <c r="CB22" i="11"/>
  <c r="CA22" i="11"/>
  <c r="BZ22" i="11"/>
  <c r="BY22" i="11"/>
  <c r="BX22" i="11"/>
  <c r="BW22" i="11"/>
  <c r="BV22" i="11"/>
  <c r="BU22" i="11"/>
  <c r="BT22" i="11"/>
  <c r="BS22" i="11"/>
  <c r="BR22" i="11"/>
  <c r="BQ22" i="11"/>
  <c r="BP22" i="11"/>
  <c r="BO22" i="11"/>
  <c r="BN22" i="11"/>
  <c r="BM22" i="11"/>
  <c r="BL2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EF21" i="11"/>
  <c r="EE21" i="11"/>
  <c r="ED21" i="11"/>
  <c r="EC21" i="11"/>
  <c r="EB21" i="11"/>
  <c r="EA21" i="11"/>
  <c r="DZ21" i="11"/>
  <c r="DY21" i="11"/>
  <c r="DX21" i="11"/>
  <c r="DW21" i="11"/>
  <c r="DV21" i="11"/>
  <c r="DU21" i="11"/>
  <c r="DT21" i="11"/>
  <c r="DS21" i="11"/>
  <c r="DR21" i="11"/>
  <c r="DQ21" i="11"/>
  <c r="DP21" i="11"/>
  <c r="DO21" i="11"/>
  <c r="DN21" i="11"/>
  <c r="DM21" i="11"/>
  <c r="DL21" i="11"/>
  <c r="DK21" i="11"/>
  <c r="DJ21" i="11"/>
  <c r="DI21" i="11"/>
  <c r="DH21" i="11"/>
  <c r="DG21" i="11"/>
  <c r="DF21" i="11"/>
  <c r="DE21" i="11"/>
  <c r="DD21" i="11"/>
  <c r="DC21" i="11"/>
  <c r="DB21" i="11"/>
  <c r="DA21" i="11"/>
  <c r="CZ21" i="11"/>
  <c r="CY21" i="11"/>
  <c r="CX21" i="11"/>
  <c r="CW21" i="11"/>
  <c r="CV21" i="11"/>
  <c r="CU21" i="11"/>
  <c r="CT21" i="11"/>
  <c r="CS21" i="11"/>
  <c r="CR21" i="11"/>
  <c r="CQ21" i="11"/>
  <c r="CP21" i="11"/>
  <c r="CO21" i="11"/>
  <c r="CN21" i="11"/>
  <c r="CM21" i="11"/>
  <c r="CL21" i="11"/>
  <c r="CK21" i="11"/>
  <c r="CJ21" i="11"/>
  <c r="CI21" i="11"/>
  <c r="CH21" i="11"/>
  <c r="CG21" i="11"/>
  <c r="CF21" i="11"/>
  <c r="CE21" i="11"/>
  <c r="CD21" i="11"/>
  <c r="CC21" i="11"/>
  <c r="CB21" i="11"/>
  <c r="CA21" i="11"/>
  <c r="BZ21" i="11"/>
  <c r="BY21" i="11"/>
  <c r="BX21" i="11"/>
  <c r="BW21" i="11"/>
  <c r="BV21" i="11"/>
  <c r="BU21" i="11"/>
  <c r="BT21" i="11"/>
  <c r="BS21" i="11"/>
  <c r="BR21" i="11"/>
  <c r="BQ21" i="11"/>
  <c r="BP21" i="11"/>
  <c r="BO21" i="11"/>
  <c r="BN21" i="11"/>
  <c r="BM21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EF20" i="11"/>
  <c r="EE20" i="11"/>
  <c r="ED20" i="11"/>
  <c r="EC20" i="11"/>
  <c r="EB20" i="11"/>
  <c r="EA20" i="11"/>
  <c r="DZ20" i="11"/>
  <c r="DY20" i="11"/>
  <c r="DX20" i="11"/>
  <c r="DW20" i="11"/>
  <c r="DV20" i="11"/>
  <c r="DU20" i="11"/>
  <c r="DT20" i="11"/>
  <c r="DS20" i="11"/>
  <c r="DR20" i="11"/>
  <c r="DQ20" i="11"/>
  <c r="DP20" i="11"/>
  <c r="DO20" i="11"/>
  <c r="DN20" i="11"/>
  <c r="DM20" i="11"/>
  <c r="DL20" i="11"/>
  <c r="DK20" i="11"/>
  <c r="DJ20" i="11"/>
  <c r="DI20" i="11"/>
  <c r="DH20" i="11"/>
  <c r="DG20" i="11"/>
  <c r="DF20" i="11"/>
  <c r="DE20" i="11"/>
  <c r="DD20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EF19" i="11"/>
  <c r="EE19" i="11"/>
  <c r="ED19" i="11"/>
  <c r="EC19" i="11"/>
  <c r="EB19" i="11"/>
  <c r="EA19" i="11"/>
  <c r="DZ19" i="11"/>
  <c r="DY19" i="11"/>
  <c r="DX19" i="11"/>
  <c r="DW19" i="11"/>
  <c r="DV19" i="11"/>
  <c r="DU19" i="11"/>
  <c r="DT19" i="11"/>
  <c r="DS19" i="11"/>
  <c r="DR19" i="11"/>
  <c r="DQ19" i="11"/>
  <c r="DP19" i="11"/>
  <c r="DO19" i="11"/>
  <c r="DN19" i="11"/>
  <c r="DM19" i="11"/>
  <c r="DL19" i="11"/>
  <c r="DK19" i="11"/>
  <c r="DJ19" i="11"/>
  <c r="DI19" i="11"/>
  <c r="DH19" i="11"/>
  <c r="DG19" i="11"/>
  <c r="DF19" i="11"/>
  <c r="DE19" i="11"/>
  <c r="DD19" i="11"/>
  <c r="DC19" i="11"/>
  <c r="DB19" i="11"/>
  <c r="DA19" i="11"/>
  <c r="CZ19" i="11"/>
  <c r="CY19" i="11"/>
  <c r="CX19" i="11"/>
  <c r="CW19" i="11"/>
  <c r="CV19" i="11"/>
  <c r="CU19" i="11"/>
  <c r="CT19" i="11"/>
  <c r="CS19" i="11"/>
  <c r="CR19" i="11"/>
  <c r="CQ19" i="11"/>
  <c r="CP19" i="11"/>
  <c r="CO19" i="11"/>
  <c r="CN19" i="11"/>
  <c r="CM19" i="11"/>
  <c r="CL19" i="11"/>
  <c r="CK19" i="11"/>
  <c r="CJ19" i="11"/>
  <c r="CI19" i="11"/>
  <c r="CH19" i="11"/>
  <c r="CG19" i="11"/>
  <c r="CF19" i="11"/>
  <c r="CE19" i="11"/>
  <c r="CD19" i="11"/>
  <c r="CC19" i="11"/>
  <c r="CB19" i="11"/>
  <c r="CA19" i="11"/>
  <c r="BZ19" i="11"/>
  <c r="BY19" i="11"/>
  <c r="BX19" i="11"/>
  <c r="BW19" i="11"/>
  <c r="BV19" i="11"/>
  <c r="BU19" i="11"/>
  <c r="BT19" i="11"/>
  <c r="BS19" i="11"/>
  <c r="BR19" i="11"/>
  <c r="BQ19" i="11"/>
  <c r="BP19" i="11"/>
  <c r="BO19" i="11"/>
  <c r="BN19" i="11"/>
  <c r="BM19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33" i="11" s="1"/>
  <c r="EH27" i="9"/>
  <c r="EG27" i="9"/>
  <c r="EI27" i="9" s="1"/>
  <c r="EH26" i="9"/>
  <c r="EG26" i="9"/>
  <c r="EH25" i="9"/>
  <c r="EG25" i="9"/>
  <c r="EH24" i="9"/>
  <c r="EG24" i="9"/>
  <c r="EI24" i="9" s="1"/>
  <c r="EH23" i="9"/>
  <c r="EG23" i="9"/>
  <c r="EI23" i="9" s="1"/>
  <c r="EH22" i="9"/>
  <c r="EG22" i="9"/>
  <c r="EI22" i="9" s="1"/>
  <c r="EH21" i="9"/>
  <c r="EG21" i="9"/>
  <c r="EH20" i="9"/>
  <c r="EG20" i="9"/>
  <c r="EH19" i="9"/>
  <c r="EG19" i="9"/>
  <c r="EH18" i="9"/>
  <c r="EG18" i="9"/>
  <c r="EH17" i="9"/>
  <c r="EG17" i="9"/>
  <c r="EH16" i="9"/>
  <c r="EG16" i="9"/>
  <c r="EI16" i="9" s="1"/>
  <c r="EH15" i="9"/>
  <c r="EG15" i="9"/>
  <c r="EI15" i="9" s="1"/>
  <c r="EH14" i="9"/>
  <c r="EG14" i="9"/>
  <c r="EG18" i="8" a="1"/>
  <c r="EG18" i="8" s="1"/>
  <c r="EF18" i="8" a="1"/>
  <c r="EF18" i="8" s="1"/>
  <c r="EE18" i="8" a="1"/>
  <c r="EE18" i="8" s="1"/>
  <c r="ED18" i="8" a="1"/>
  <c r="ED18" i="8" s="1"/>
  <c r="EC18" i="8" a="1"/>
  <c r="EC18" i="8" s="1"/>
  <c r="EB18" i="8" a="1"/>
  <c r="EB18" i="8" s="1"/>
  <c r="EA18" i="8" a="1"/>
  <c r="EA18" i="8" s="1"/>
  <c r="DZ18" i="8" a="1"/>
  <c r="DZ18" i="8" s="1"/>
  <c r="DY18" i="8" a="1"/>
  <c r="DY18" i="8" s="1"/>
  <c r="DX18" i="8" a="1"/>
  <c r="DX18" i="8" s="1"/>
  <c r="DW18" i="8" a="1"/>
  <c r="DW18" i="8" s="1"/>
  <c r="DV18" i="8" a="1"/>
  <c r="DV18" i="8" s="1"/>
  <c r="DU18" i="8" a="1"/>
  <c r="DU18" i="8" s="1"/>
  <c r="DT18" i="8" a="1"/>
  <c r="DT18" i="8" s="1"/>
  <c r="DS18" i="8" a="1"/>
  <c r="DS18" i="8" s="1"/>
  <c r="DR18" i="8" a="1"/>
  <c r="DR18" i="8" s="1"/>
  <c r="DQ18" i="8" a="1"/>
  <c r="DQ18" i="8" s="1"/>
  <c r="DP18" i="8" a="1"/>
  <c r="DP18" i="8" s="1"/>
  <c r="DO18" i="8" a="1"/>
  <c r="DO18" i="8" s="1"/>
  <c r="DN18" i="8" a="1"/>
  <c r="DN18" i="8" s="1"/>
  <c r="DM18" i="8" a="1"/>
  <c r="DM18" i="8" s="1"/>
  <c r="DL18" i="8" a="1"/>
  <c r="DL18" i="8" s="1"/>
  <c r="DK18" i="8" a="1"/>
  <c r="DK18" i="8" s="1"/>
  <c r="DJ18" i="8" a="1"/>
  <c r="DJ18" i="8" s="1"/>
  <c r="DI18" i="8" a="1"/>
  <c r="DI18" i="8" s="1"/>
  <c r="DH18" i="8" a="1"/>
  <c r="DH18" i="8" s="1"/>
  <c r="DG18" i="8" a="1"/>
  <c r="DG18" i="8" s="1"/>
  <c r="DF18" i="8" a="1"/>
  <c r="DF18" i="8" s="1"/>
  <c r="DE18" i="8" a="1"/>
  <c r="DE18" i="8" s="1"/>
  <c r="DD18" i="8" a="1"/>
  <c r="DD18" i="8" s="1"/>
  <c r="DC18" i="8" a="1"/>
  <c r="DC18" i="8" s="1"/>
  <c r="DB18" i="8" a="1"/>
  <c r="DB18" i="8" s="1"/>
  <c r="DA18" i="8" a="1"/>
  <c r="DA18" i="8" s="1"/>
  <c r="CZ18" i="8" a="1"/>
  <c r="CZ18" i="8" s="1"/>
  <c r="CY18" i="8" a="1"/>
  <c r="CY18" i="8" s="1"/>
  <c r="CX18" i="8" a="1"/>
  <c r="CX18" i="8" s="1"/>
  <c r="CW18" i="8" a="1"/>
  <c r="CW18" i="8" s="1"/>
  <c r="CV18" i="8" a="1"/>
  <c r="CV18" i="8" s="1"/>
  <c r="CU18" i="8" a="1"/>
  <c r="CU18" i="8" s="1"/>
  <c r="CT18" i="8" a="1"/>
  <c r="CT18" i="8" s="1"/>
  <c r="CS18" i="8" a="1"/>
  <c r="CS18" i="8" s="1"/>
  <c r="CR18" i="8" a="1"/>
  <c r="CR18" i="8" s="1"/>
  <c r="CQ18" i="8" a="1"/>
  <c r="CQ18" i="8" s="1"/>
  <c r="CP18" i="8" a="1"/>
  <c r="CP18" i="8" s="1"/>
  <c r="CO18" i="8" a="1"/>
  <c r="CO18" i="8" s="1"/>
  <c r="CN18" i="8" a="1"/>
  <c r="CN18" i="8" s="1"/>
  <c r="CM18" i="8" a="1"/>
  <c r="CM18" i="8" s="1"/>
  <c r="CL18" i="8" a="1"/>
  <c r="CK18" i="8" a="1"/>
  <c r="CK18" i="8" s="1"/>
  <c r="CJ18" i="8" a="1"/>
  <c r="CJ18" i="8" s="1"/>
  <c r="CI18" i="8" a="1"/>
  <c r="CI18" i="8" s="1"/>
  <c r="CH18" i="8" a="1"/>
  <c r="CH18" i="8" s="1"/>
  <c r="CG18" i="8" a="1"/>
  <c r="CG18" i="8" s="1"/>
  <c r="CF18" i="8" a="1"/>
  <c r="CF18" i="8" s="1"/>
  <c r="CE18" i="8" a="1"/>
  <c r="CE18" i="8" s="1"/>
  <c r="CD18" i="8" a="1"/>
  <c r="CD18" i="8" s="1"/>
  <c r="CC18" i="8" a="1"/>
  <c r="CC18" i="8" s="1"/>
  <c r="CB18" i="8" a="1"/>
  <c r="CB18" i="8" s="1"/>
  <c r="CA18" i="8" a="1"/>
  <c r="CA18" i="8" s="1"/>
  <c r="BZ18" i="8" a="1"/>
  <c r="BZ18" i="8" s="1"/>
  <c r="BY18" i="8" a="1"/>
  <c r="BY18" i="8" s="1"/>
  <c r="BX18" i="8" a="1"/>
  <c r="BX18" i="8" s="1"/>
  <c r="BW18" i="8" a="1"/>
  <c r="BW18" i="8" s="1"/>
  <c r="BV18" i="8" a="1"/>
  <c r="BV18" i="8" s="1"/>
  <c r="BU18" i="8" a="1"/>
  <c r="BU18" i="8" s="1"/>
  <c r="BT18" i="8" a="1"/>
  <c r="BT18" i="8" s="1"/>
  <c r="BS18" i="8" a="1"/>
  <c r="BS18" i="8" s="1"/>
  <c r="BR18" i="8" a="1"/>
  <c r="BR18" i="8" s="1"/>
  <c r="BQ18" i="8" a="1"/>
  <c r="BQ18" i="8" s="1"/>
  <c r="BP18" i="8" a="1"/>
  <c r="BP18" i="8" s="1"/>
  <c r="BO18" i="8" a="1"/>
  <c r="BO18" i="8" s="1"/>
  <c r="BN18" i="8" a="1"/>
  <c r="BN18" i="8" s="1"/>
  <c r="BM18" i="8" a="1"/>
  <c r="BM18" i="8" s="1"/>
  <c r="BL18" i="8" a="1"/>
  <c r="BL18" i="8" s="1"/>
  <c r="BK18" i="8" a="1"/>
  <c r="BK18" i="8" s="1"/>
  <c r="BJ18" i="8" a="1"/>
  <c r="BJ18" i="8" s="1"/>
  <c r="BI18" i="8" a="1"/>
  <c r="BI18" i="8" s="1"/>
  <c r="BH18" i="8" a="1"/>
  <c r="BH18" i="8" s="1"/>
  <c r="BG18" i="8" a="1"/>
  <c r="BG18" i="8" s="1"/>
  <c r="BF18" i="8" a="1"/>
  <c r="BF18" i="8" s="1"/>
  <c r="BE18" i="8" a="1"/>
  <c r="BE18" i="8" s="1"/>
  <c r="BD18" i="8" a="1"/>
  <c r="BD18" i="8" s="1"/>
  <c r="BC18" i="8" a="1"/>
  <c r="BC18" i="8" s="1"/>
  <c r="BB18" i="8" a="1"/>
  <c r="BB18" i="8" s="1"/>
  <c r="BA18" i="8" a="1"/>
  <c r="BA18" i="8" s="1"/>
  <c r="AZ18" i="8" a="1"/>
  <c r="AZ18" i="8" s="1"/>
  <c r="AY18" i="8" a="1"/>
  <c r="AY18" i="8" s="1"/>
  <c r="AX18" i="8" a="1"/>
  <c r="AX18" i="8" s="1"/>
  <c r="AW18" i="8" a="1"/>
  <c r="AW18" i="8" s="1"/>
  <c r="AV18" i="8" a="1"/>
  <c r="AV18" i="8" s="1"/>
  <c r="AU18" i="8" a="1"/>
  <c r="AU18" i="8" s="1"/>
  <c r="AT18" i="8" a="1"/>
  <c r="AT18" i="8" s="1"/>
  <c r="AS18" i="8" a="1"/>
  <c r="AS18" i="8" s="1"/>
  <c r="AR18" i="8" a="1"/>
  <c r="AR18" i="8" s="1"/>
  <c r="AQ18" i="8" a="1"/>
  <c r="AQ18" i="8" s="1"/>
  <c r="AP18" i="8" a="1"/>
  <c r="AP18" i="8" s="1"/>
  <c r="AO18" i="8" a="1"/>
  <c r="AO18" i="8" s="1"/>
  <c r="AN18" i="8" a="1"/>
  <c r="AN18" i="8" s="1"/>
  <c r="AM18" i="8" a="1"/>
  <c r="AM18" i="8" s="1"/>
  <c r="AL18" i="8" a="1"/>
  <c r="AL18" i="8" s="1"/>
  <c r="AK18" i="8" a="1"/>
  <c r="AK18" i="8" s="1"/>
  <c r="AJ18" i="8" a="1"/>
  <c r="AJ18" i="8" s="1"/>
  <c r="AI18" i="8" a="1"/>
  <c r="AI18" i="8" s="1"/>
  <c r="AH18" i="8" a="1"/>
  <c r="AH18" i="8" s="1"/>
  <c r="AG18" i="8" a="1"/>
  <c r="AG18" i="8" s="1"/>
  <c r="AF18" i="8" a="1"/>
  <c r="AF18" i="8" s="1"/>
  <c r="AE18" i="8" a="1"/>
  <c r="AE18" i="8" s="1"/>
  <c r="AD18" i="8" a="1"/>
  <c r="AD18" i="8" s="1"/>
  <c r="AC18" i="8" a="1"/>
  <c r="AC18" i="8" s="1"/>
  <c r="AB18" i="8" a="1"/>
  <c r="AA18" i="8" a="1"/>
  <c r="AA18" i="8" s="1"/>
  <c r="Z18" i="8" a="1"/>
  <c r="Z18" i="8" s="1"/>
  <c r="Y18" i="8" a="1"/>
  <c r="Y18" i="8" s="1"/>
  <c r="X18" i="8" a="1"/>
  <c r="X18" i="8" s="1"/>
  <c r="W18" i="8" a="1"/>
  <c r="W18" i="8" s="1"/>
  <c r="V18" i="8" a="1"/>
  <c r="V18" i="8" s="1"/>
  <c r="U18" i="8" a="1"/>
  <c r="U18" i="8" s="1"/>
  <c r="T18" i="8" a="1"/>
  <c r="T18" i="8" s="1"/>
  <c r="S18" i="8" a="1"/>
  <c r="S18" i="8" s="1"/>
  <c r="R18" i="8" a="1"/>
  <c r="R18" i="8" s="1"/>
  <c r="Q18" i="8" a="1"/>
  <c r="Q18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 s="1"/>
  <c r="I18" i="8" a="1"/>
  <c r="I18" i="8" s="1"/>
  <c r="H18" i="8" a="1"/>
  <c r="H18" i="8" s="1"/>
  <c r="G18" i="8" a="1"/>
  <c r="G18" i="8" s="1"/>
  <c r="F18" i="8" a="1"/>
  <c r="F18" i="8" s="1"/>
  <c r="E18" i="8" a="1"/>
  <c r="E18" i="8" s="1"/>
  <c r="EG17" i="8" a="1"/>
  <c r="EG17" i="8" s="1"/>
  <c r="EF17" i="8" a="1"/>
  <c r="EF17" i="8" s="1"/>
  <c r="EE17" i="8" a="1"/>
  <c r="EE17" i="8" s="1"/>
  <c r="ED17" i="8" a="1"/>
  <c r="ED17" i="8" s="1"/>
  <c r="EC17" i="8" a="1"/>
  <c r="EC17" i="8" s="1"/>
  <c r="EB17" i="8" a="1"/>
  <c r="EB17" i="8" s="1"/>
  <c r="EA17" i="8" a="1"/>
  <c r="EA17" i="8" s="1"/>
  <c r="DZ17" i="8" a="1"/>
  <c r="DZ17" i="8" s="1"/>
  <c r="DY17" i="8" a="1"/>
  <c r="DY17" i="8" s="1"/>
  <c r="DX17" i="8" a="1"/>
  <c r="DX17" i="8" s="1"/>
  <c r="DW17" i="8" a="1"/>
  <c r="DW17" i="8" s="1"/>
  <c r="DV17" i="8" a="1"/>
  <c r="DV17" i="8"/>
  <c r="DU17" i="8" a="1"/>
  <c r="DU17" i="8" s="1"/>
  <c r="DT17" i="8" a="1"/>
  <c r="DT17" i="8" s="1"/>
  <c r="DS17" i="8" a="1"/>
  <c r="DS17" i="8" s="1"/>
  <c r="DR17" i="8" a="1"/>
  <c r="DR17" i="8" s="1"/>
  <c r="DQ17" i="8" a="1"/>
  <c r="DQ17" i="8" s="1"/>
  <c r="DP17" i="8" a="1"/>
  <c r="DP17" i="8" s="1"/>
  <c r="DO17" i="8" a="1"/>
  <c r="DO17" i="8" s="1"/>
  <c r="DN17" i="8" a="1"/>
  <c r="DN17" i="8" s="1"/>
  <c r="DM17" i="8" a="1"/>
  <c r="DM17" i="8" s="1"/>
  <c r="DL17" i="8" a="1"/>
  <c r="DL17" i="8" s="1"/>
  <c r="DK17" i="8" a="1"/>
  <c r="DK17" i="8" s="1"/>
  <c r="DJ17" i="8" a="1"/>
  <c r="DJ17" i="8" s="1"/>
  <c r="DI17" i="8" a="1"/>
  <c r="DI17" i="8" s="1"/>
  <c r="DH17" i="8" a="1"/>
  <c r="DH17" i="8" s="1"/>
  <c r="DG17" i="8" a="1"/>
  <c r="DG17" i="8" s="1"/>
  <c r="DF17" i="8" a="1"/>
  <c r="DF17" i="8" s="1"/>
  <c r="DE17" i="8" a="1"/>
  <c r="DE17" i="8" s="1"/>
  <c r="DD17" i="8" a="1"/>
  <c r="DD17" i="8" s="1"/>
  <c r="DC17" i="8" a="1"/>
  <c r="DC17" i="8" s="1"/>
  <c r="DB17" i="8" a="1"/>
  <c r="DB17" i="8" s="1"/>
  <c r="DA17" i="8" a="1"/>
  <c r="DA17" i="8" s="1"/>
  <c r="CZ17" i="8" a="1"/>
  <c r="CZ17" i="8" s="1"/>
  <c r="CY17" i="8" a="1"/>
  <c r="CY17" i="8" s="1"/>
  <c r="CX17" i="8" a="1"/>
  <c r="CX17" i="8" s="1"/>
  <c r="CW17" i="8" a="1"/>
  <c r="CW17" i="8" s="1"/>
  <c r="CV17" i="8" a="1"/>
  <c r="CV17" i="8" s="1"/>
  <c r="CU17" i="8" a="1"/>
  <c r="CU17" i="8" s="1"/>
  <c r="CT17" i="8" a="1"/>
  <c r="CT17" i="8" s="1"/>
  <c r="CS17" i="8" a="1"/>
  <c r="CS17" i="8" s="1"/>
  <c r="CR17" i="8" a="1"/>
  <c r="CR17" i="8" s="1"/>
  <c r="CQ17" i="8" a="1"/>
  <c r="CQ17" i="8" s="1"/>
  <c r="CP17" i="8" a="1"/>
  <c r="CP17" i="8" s="1"/>
  <c r="CO17" i="8" a="1"/>
  <c r="CO17" i="8" s="1"/>
  <c r="CN17" i="8" a="1"/>
  <c r="CN17" i="8" s="1"/>
  <c r="CM17" i="8" a="1"/>
  <c r="CM17" i="8" s="1"/>
  <c r="CL17" i="8" a="1"/>
  <c r="CL17" i="8" s="1"/>
  <c r="CK17" i="8" a="1"/>
  <c r="CK17" i="8" s="1"/>
  <c r="CJ17" i="8" a="1"/>
  <c r="CJ17" i="8" s="1"/>
  <c r="CI17" i="8" a="1"/>
  <c r="CI17" i="8" s="1"/>
  <c r="CH17" i="8" a="1"/>
  <c r="CH17" i="8" s="1"/>
  <c r="CG17" i="8" a="1"/>
  <c r="CG17" i="8" s="1"/>
  <c r="CF17" i="8" a="1"/>
  <c r="CF17" i="8" s="1"/>
  <c r="CE17" i="8" a="1"/>
  <c r="CE17" i="8" s="1"/>
  <c r="CD17" i="8" a="1"/>
  <c r="CD17" i="8" s="1"/>
  <c r="CC17" i="8" a="1"/>
  <c r="CC17" i="8" s="1"/>
  <c r="CB17" i="8" a="1"/>
  <c r="CB17" i="8" s="1"/>
  <c r="CA17" i="8" a="1"/>
  <c r="CA17" i="8" s="1"/>
  <c r="BZ17" i="8" a="1"/>
  <c r="BZ17" i="8" s="1"/>
  <c r="BY17" i="8" a="1"/>
  <c r="BY17" i="8" s="1"/>
  <c r="BX17" i="8" a="1"/>
  <c r="BX17" i="8" s="1"/>
  <c r="BW17" i="8" a="1"/>
  <c r="BW17" i="8" s="1"/>
  <c r="BV17" i="8" a="1"/>
  <c r="BV17" i="8" s="1"/>
  <c r="BU17" i="8" a="1"/>
  <c r="BU17" i="8" s="1"/>
  <c r="BT17" i="8" a="1"/>
  <c r="BT17" i="8" s="1"/>
  <c r="BS17" i="8" a="1"/>
  <c r="BS17" i="8" s="1"/>
  <c r="BR17" i="8" a="1"/>
  <c r="BR17" i="8" s="1"/>
  <c r="BQ17" i="8" a="1"/>
  <c r="BQ17" i="8" s="1"/>
  <c r="BP17" i="8" a="1"/>
  <c r="BP17" i="8" s="1"/>
  <c r="BO17" i="8" a="1"/>
  <c r="BO17" i="8" s="1"/>
  <c r="BN17" i="8" a="1"/>
  <c r="BN17" i="8" s="1"/>
  <c r="BM17" i="8" a="1"/>
  <c r="BM17" i="8" s="1"/>
  <c r="BL17" i="8" a="1"/>
  <c r="BL17" i="8" s="1"/>
  <c r="BK17" i="8" a="1"/>
  <c r="BK17" i="8" s="1"/>
  <c r="BJ17" i="8" a="1"/>
  <c r="BJ17" i="8" s="1"/>
  <c r="BI17" i="8" a="1"/>
  <c r="BI17" i="8" s="1"/>
  <c r="BH17" i="8" a="1"/>
  <c r="BH17" i="8" s="1"/>
  <c r="BG17" i="8" a="1"/>
  <c r="BG17" i="8" s="1"/>
  <c r="BF17" i="8" a="1"/>
  <c r="BF17" i="8" s="1"/>
  <c r="BE17" i="8" a="1"/>
  <c r="BE17" i="8" s="1"/>
  <c r="BD17" i="8" a="1"/>
  <c r="BD17" i="8" s="1"/>
  <c r="BC17" i="8" a="1"/>
  <c r="BC17" i="8" s="1"/>
  <c r="BB17" i="8" a="1"/>
  <c r="BB17" i="8" s="1"/>
  <c r="BA17" i="8" a="1"/>
  <c r="BA17" i="8" s="1"/>
  <c r="AZ17" i="8" a="1"/>
  <c r="AZ17" i="8" s="1"/>
  <c r="AY17" i="8" a="1"/>
  <c r="AY17" i="8" s="1"/>
  <c r="AX17" i="8" a="1"/>
  <c r="AX17" i="8" s="1"/>
  <c r="AW17" i="8" a="1"/>
  <c r="AW17" i="8" s="1"/>
  <c r="AV17" i="8" a="1"/>
  <c r="AV17" i="8" s="1"/>
  <c r="AU17" i="8" a="1"/>
  <c r="AU17" i="8" s="1"/>
  <c r="AT17" i="8" a="1"/>
  <c r="AT17" i="8" s="1"/>
  <c r="AS17" i="8" a="1"/>
  <c r="AS17" i="8" s="1"/>
  <c r="AR17" i="8" a="1"/>
  <c r="AR17" i="8" s="1"/>
  <c r="AQ17" i="8" a="1"/>
  <c r="AQ17" i="8" s="1"/>
  <c r="AP17" i="8" a="1"/>
  <c r="AP17" i="8" s="1"/>
  <c r="AO17" i="8" a="1"/>
  <c r="AO17" i="8" s="1"/>
  <c r="AN17" i="8" a="1"/>
  <c r="AN17" i="8" s="1"/>
  <c r="AM17" i="8" a="1"/>
  <c r="AM17" i="8" s="1"/>
  <c r="AL17" i="8" a="1"/>
  <c r="AL17" i="8" s="1"/>
  <c r="AK17" i="8" a="1"/>
  <c r="AK17" i="8" s="1"/>
  <c r="AJ17" i="8" a="1"/>
  <c r="AJ17" i="8" s="1"/>
  <c r="AI17" i="8" a="1"/>
  <c r="AI17" i="8" s="1"/>
  <c r="AH17" i="8" a="1"/>
  <c r="AH17" i="8" s="1"/>
  <c r="AG17" i="8" a="1"/>
  <c r="AG17" i="8" s="1"/>
  <c r="AF17" i="8" a="1"/>
  <c r="AF17" i="8" s="1"/>
  <c r="AE17" i="8" a="1"/>
  <c r="AE17" i="8" s="1"/>
  <c r="AD17" i="8" a="1"/>
  <c r="AD17" i="8" s="1"/>
  <c r="AC17" i="8" a="1"/>
  <c r="AC17" i="8" s="1"/>
  <c r="AB17" i="8" a="1"/>
  <c r="AB17" i="8" s="1"/>
  <c r="AA17" i="8" a="1"/>
  <c r="AA17" i="8" s="1"/>
  <c r="Z17" i="8" a="1"/>
  <c r="Z17" i="8" s="1"/>
  <c r="Y17" i="8" a="1"/>
  <c r="Y17" i="8" s="1"/>
  <c r="X17" i="8" a="1"/>
  <c r="X17" i="8" s="1"/>
  <c r="W17" i="8" a="1"/>
  <c r="W17" i="8" s="1"/>
  <c r="V17" i="8" a="1"/>
  <c r="V17" i="8" s="1"/>
  <c r="U17" i="8" a="1"/>
  <c r="U17" i="8" s="1"/>
  <c r="T17" i="8" a="1"/>
  <c r="T17" i="8" s="1"/>
  <c r="S17" i="8" a="1"/>
  <c r="S17" i="8" s="1"/>
  <c r="R17" i="8" a="1"/>
  <c r="R17" i="8" s="1"/>
  <c r="Q17" i="8" a="1"/>
  <c r="Q17" i="8" s="1"/>
  <c r="P17" i="8" a="1"/>
  <c r="P17" i="8" s="1"/>
  <c r="O17" i="8" a="1"/>
  <c r="O17" i="8" s="1"/>
  <c r="N17" i="8" a="1"/>
  <c r="N17" i="8" s="1"/>
  <c r="M17" i="8" a="1"/>
  <c r="M17" i="8" s="1"/>
  <c r="L17" i="8" a="1"/>
  <c r="L17" i="8" s="1"/>
  <c r="K17" i="8" a="1"/>
  <c r="K17" i="8" s="1"/>
  <c r="J17" i="8" a="1"/>
  <c r="J17" i="8" s="1"/>
  <c r="I17" i="8" a="1"/>
  <c r="I17" i="8" s="1"/>
  <c r="H17" i="8" a="1"/>
  <c r="H17" i="8" s="1"/>
  <c r="G17" i="8" a="1"/>
  <c r="G17" i="8" s="1"/>
  <c r="F17" i="8" a="1"/>
  <c r="F17" i="8" s="1"/>
  <c r="E17" i="8" a="1"/>
  <c r="E17" i="8" s="1"/>
  <c r="EG16" i="8" a="1"/>
  <c r="EG16" i="8" s="1"/>
  <c r="EF16" i="8" a="1"/>
  <c r="EF16" i="8" s="1"/>
  <c r="EE16" i="8" a="1"/>
  <c r="EE16" i="8" s="1"/>
  <c r="ED16" i="8" a="1"/>
  <c r="ED16" i="8" s="1"/>
  <c r="EC16" i="8" a="1"/>
  <c r="EC16" i="8" s="1"/>
  <c r="EB16" i="8" a="1"/>
  <c r="EB16" i="8" s="1"/>
  <c r="EA16" i="8" a="1"/>
  <c r="EA16" i="8" s="1"/>
  <c r="DZ16" i="8" a="1"/>
  <c r="DZ16" i="8" s="1"/>
  <c r="DY16" i="8" a="1"/>
  <c r="DY16" i="8" s="1"/>
  <c r="DX16" i="8" a="1"/>
  <c r="DX16" i="8" s="1"/>
  <c r="DW16" i="8" a="1"/>
  <c r="DW16" i="8" s="1"/>
  <c r="DV16" i="8" a="1"/>
  <c r="DV16" i="8" s="1"/>
  <c r="DU16" i="8" a="1"/>
  <c r="DU16" i="8" s="1"/>
  <c r="DT16" i="8" a="1"/>
  <c r="DT16" i="8" s="1"/>
  <c r="DS16" i="8" a="1"/>
  <c r="DS16" i="8" s="1"/>
  <c r="DR16" i="8" a="1"/>
  <c r="DR16" i="8" s="1"/>
  <c r="DQ16" i="8" a="1"/>
  <c r="DQ16" i="8" s="1"/>
  <c r="DP16" i="8" a="1"/>
  <c r="DP16" i="8" s="1"/>
  <c r="DO16" i="8" a="1"/>
  <c r="DO16" i="8" s="1"/>
  <c r="DN16" i="8" a="1"/>
  <c r="DN16" i="8" s="1"/>
  <c r="DM16" i="8" a="1"/>
  <c r="DM16" i="8" s="1"/>
  <c r="DL16" i="8" a="1"/>
  <c r="DL16" i="8" s="1"/>
  <c r="DK16" i="8" a="1"/>
  <c r="DK16" i="8" s="1"/>
  <c r="DJ16" i="8" a="1"/>
  <c r="DJ16" i="8" s="1"/>
  <c r="DI16" i="8" a="1"/>
  <c r="DI16" i="8" s="1"/>
  <c r="DH16" i="8" a="1"/>
  <c r="DH16" i="8" s="1"/>
  <c r="DG16" i="8" a="1"/>
  <c r="DG16" i="8" s="1"/>
  <c r="DF16" i="8" a="1"/>
  <c r="DF16" i="8" s="1"/>
  <c r="DE16" i="8" a="1"/>
  <c r="DE16" i="8" s="1"/>
  <c r="DD16" i="8" a="1"/>
  <c r="DD16" i="8" s="1"/>
  <c r="DC16" i="8" a="1"/>
  <c r="DC16" i="8" s="1"/>
  <c r="DB16" i="8" a="1"/>
  <c r="DB16" i="8" s="1"/>
  <c r="DA16" i="8" a="1"/>
  <c r="DA16" i="8" s="1"/>
  <c r="CZ16" i="8" a="1"/>
  <c r="CZ16" i="8" s="1"/>
  <c r="CY16" i="8" a="1"/>
  <c r="CY16" i="8" s="1"/>
  <c r="CX16" i="8" a="1"/>
  <c r="CX16" i="8" s="1"/>
  <c r="CW16" i="8" a="1"/>
  <c r="CW16" i="8" s="1"/>
  <c r="CV16" i="8" a="1"/>
  <c r="CV16" i="8" s="1"/>
  <c r="CU16" i="8" a="1"/>
  <c r="CU16" i="8" s="1"/>
  <c r="CT16" i="8" a="1"/>
  <c r="CT16" i="8" s="1"/>
  <c r="CS16" i="8" a="1"/>
  <c r="CS16" i="8" s="1"/>
  <c r="CR16" i="8" a="1"/>
  <c r="CR16" i="8" s="1"/>
  <c r="CQ16" i="8" a="1"/>
  <c r="CQ16" i="8" s="1"/>
  <c r="CP16" i="8" a="1"/>
  <c r="CP16" i="8"/>
  <c r="CO16" i="8" a="1"/>
  <c r="CO16" i="8" s="1"/>
  <c r="CN16" i="8" a="1"/>
  <c r="CN16" i="8" s="1"/>
  <c r="CM16" i="8" a="1"/>
  <c r="CM16" i="8" s="1"/>
  <c r="CL16" i="8" a="1"/>
  <c r="CL16" i="8" s="1"/>
  <c r="CK16" i="8" a="1"/>
  <c r="CK16" i="8" s="1"/>
  <c r="CJ16" i="8" a="1"/>
  <c r="CJ16" i="8" s="1"/>
  <c r="CI16" i="8" a="1"/>
  <c r="CI16" i="8" s="1"/>
  <c r="CH16" i="8" a="1"/>
  <c r="CH16" i="8" s="1"/>
  <c r="CG16" i="8" a="1"/>
  <c r="CG16" i="8" s="1"/>
  <c r="CF16" i="8" a="1"/>
  <c r="CF16" i="8" s="1"/>
  <c r="CE16" i="8" a="1"/>
  <c r="CE16" i="8" s="1"/>
  <c r="CD16" i="8" a="1"/>
  <c r="CD16" i="8" s="1"/>
  <c r="CC16" i="8" a="1"/>
  <c r="CC16" i="8" s="1"/>
  <c r="CB16" i="8" a="1"/>
  <c r="CB16" i="8" s="1"/>
  <c r="CA16" i="8" a="1"/>
  <c r="CA16" i="8" s="1"/>
  <c r="BZ16" i="8" a="1"/>
  <c r="BZ16" i="8" s="1"/>
  <c r="BY16" i="8" a="1"/>
  <c r="BY16" i="8" s="1"/>
  <c r="BX16" i="8" a="1"/>
  <c r="BX16" i="8" s="1"/>
  <c r="BW16" i="8" a="1"/>
  <c r="BW16" i="8" s="1"/>
  <c r="BV16" i="8" a="1"/>
  <c r="BV16" i="8" s="1"/>
  <c r="BU16" i="8" a="1"/>
  <c r="BU16" i="8" s="1"/>
  <c r="BT16" i="8" a="1"/>
  <c r="BT16" i="8" s="1"/>
  <c r="BS16" i="8" a="1"/>
  <c r="BS16" i="8"/>
  <c r="BR16" i="8" a="1"/>
  <c r="BR16" i="8" s="1"/>
  <c r="BQ16" i="8" a="1"/>
  <c r="BQ16" i="8" s="1"/>
  <c r="BP16" i="8" a="1"/>
  <c r="BP16" i="8" s="1"/>
  <c r="BO16" i="8" a="1"/>
  <c r="BO16" i="8" s="1"/>
  <c r="BN16" i="8" a="1"/>
  <c r="BN16" i="8" s="1"/>
  <c r="BM16" i="8" a="1"/>
  <c r="BM16" i="8" s="1"/>
  <c r="BL16" i="8" a="1"/>
  <c r="BL16" i="8" s="1"/>
  <c r="BK16" i="8" a="1"/>
  <c r="BK16" i="8" s="1"/>
  <c r="BJ16" i="8" a="1"/>
  <c r="BJ16" i="8" s="1"/>
  <c r="BI16" i="8" a="1"/>
  <c r="BI16" i="8" s="1"/>
  <c r="BH16" i="8" a="1"/>
  <c r="BH16" i="8" s="1"/>
  <c r="BG16" i="8" a="1"/>
  <c r="BG16" i="8" s="1"/>
  <c r="BF16" i="8" a="1"/>
  <c r="BF16" i="8" s="1"/>
  <c r="BE16" i="8" a="1"/>
  <c r="BE16" i="8" s="1"/>
  <c r="BD16" i="8" a="1"/>
  <c r="BD16" i="8" s="1"/>
  <c r="BC16" i="8" a="1"/>
  <c r="BC16" i="8" s="1"/>
  <c r="BB16" i="8" a="1"/>
  <c r="BB16" i="8" s="1"/>
  <c r="BA16" i="8" a="1"/>
  <c r="BA16" i="8" s="1"/>
  <c r="AZ16" i="8" a="1"/>
  <c r="AZ16" i="8" s="1"/>
  <c r="AY16" i="8" a="1"/>
  <c r="AY16" i="8" s="1"/>
  <c r="AX16" i="8" a="1"/>
  <c r="AX16" i="8" s="1"/>
  <c r="AW16" i="8" a="1"/>
  <c r="AW16" i="8" s="1"/>
  <c r="AV16" i="8" a="1"/>
  <c r="AV16" i="8" s="1"/>
  <c r="AU16" i="8" a="1"/>
  <c r="AU16" i="8" s="1"/>
  <c r="AT16" i="8" a="1"/>
  <c r="AT16" i="8" s="1"/>
  <c r="AS16" i="8" a="1"/>
  <c r="AS16" i="8" s="1"/>
  <c r="AR16" i="8" a="1"/>
  <c r="AR16" i="8" s="1"/>
  <c r="AQ16" i="8" a="1"/>
  <c r="AQ16" i="8" s="1"/>
  <c r="AP16" i="8" a="1"/>
  <c r="AP16" i="8" s="1"/>
  <c r="AO16" i="8" a="1"/>
  <c r="AO16" i="8" s="1"/>
  <c r="AN16" i="8" a="1"/>
  <c r="AN16" i="8" s="1"/>
  <c r="AM16" i="8" a="1"/>
  <c r="AM16" i="8" s="1"/>
  <c r="AL16" i="8" a="1"/>
  <c r="AL16" i="8" s="1"/>
  <c r="AK16" i="8" a="1"/>
  <c r="AK16" i="8" s="1"/>
  <c r="AJ16" i="8" a="1"/>
  <c r="AJ16" i="8" s="1"/>
  <c r="AI16" i="8" a="1"/>
  <c r="AI16" i="8" s="1"/>
  <c r="AH16" i="8" a="1"/>
  <c r="AH16" i="8" s="1"/>
  <c r="AG16" i="8" a="1"/>
  <c r="AG16" i="8" s="1"/>
  <c r="AF16" i="8" a="1"/>
  <c r="AF16" i="8" s="1"/>
  <c r="AE16" i="8" a="1"/>
  <c r="AE16" i="8" s="1"/>
  <c r="AD16" i="8" a="1"/>
  <c r="AD16" i="8" s="1"/>
  <c r="AC16" i="8" a="1"/>
  <c r="AC16" i="8" s="1"/>
  <c r="AB16" i="8" a="1"/>
  <c r="AB16" i="8" s="1"/>
  <c r="AA16" i="8" a="1"/>
  <c r="AA16" i="8" s="1"/>
  <c r="Z16" i="8" a="1"/>
  <c r="Z16" i="8" s="1"/>
  <c r="Y16" i="8" a="1"/>
  <c r="Y16" i="8" s="1"/>
  <c r="X16" i="8" a="1"/>
  <c r="X16" i="8" s="1"/>
  <c r="W16" i="8" a="1"/>
  <c r="W16" i="8" s="1"/>
  <c r="V16" i="8" a="1"/>
  <c r="V16" i="8" s="1"/>
  <c r="U16" i="8" a="1"/>
  <c r="U16" i="8" s="1"/>
  <c r="T16" i="8" a="1"/>
  <c r="T16" i="8" s="1"/>
  <c r="S16" i="8" a="1"/>
  <c r="S16" i="8" s="1"/>
  <c r="R16" i="8" a="1"/>
  <c r="R16" i="8" s="1"/>
  <c r="Q16" i="8" a="1"/>
  <c r="Q16" i="8" s="1"/>
  <c r="P16" i="8" a="1"/>
  <c r="P16" i="8" s="1"/>
  <c r="O16" i="8" a="1"/>
  <c r="O16" i="8" s="1"/>
  <c r="N16" i="8" a="1"/>
  <c r="N16" i="8" s="1"/>
  <c r="M16" i="8" a="1"/>
  <c r="M16" i="8" s="1"/>
  <c r="L16" i="8" a="1"/>
  <c r="L16" i="8" s="1"/>
  <c r="K16" i="8" a="1"/>
  <c r="K16" i="8" s="1"/>
  <c r="J16" i="8" a="1"/>
  <c r="J16" i="8" s="1"/>
  <c r="I16" i="8" a="1"/>
  <c r="I16" i="8" s="1"/>
  <c r="H16" i="8" a="1"/>
  <c r="H16" i="8" s="1"/>
  <c r="G16" i="8" a="1"/>
  <c r="G16" i="8" s="1"/>
  <c r="F16" i="8" a="1"/>
  <c r="F16" i="8" s="1"/>
  <c r="E16" i="8" a="1"/>
  <c r="E16" i="8" s="1"/>
  <c r="EG15" i="8" a="1"/>
  <c r="EG15" i="8" s="1"/>
  <c r="EF15" i="8" a="1"/>
  <c r="EF15" i="8" s="1"/>
  <c r="EE15" i="8" a="1"/>
  <c r="EE15" i="8" s="1"/>
  <c r="ED15" i="8" a="1"/>
  <c r="ED15" i="8" s="1"/>
  <c r="EC15" i="8" a="1"/>
  <c r="EC15" i="8" s="1"/>
  <c r="EB15" i="8" a="1"/>
  <c r="EB15" i="8" s="1"/>
  <c r="EA15" i="8" a="1"/>
  <c r="EA15" i="8" s="1"/>
  <c r="DZ15" i="8" a="1"/>
  <c r="DZ15" i="8" s="1"/>
  <c r="DY15" i="8" a="1"/>
  <c r="DY15" i="8" s="1"/>
  <c r="DX15" i="8" a="1"/>
  <c r="DX15" i="8" s="1"/>
  <c r="DW15" i="8" a="1"/>
  <c r="DW15" i="8" s="1"/>
  <c r="DV15" i="8" a="1"/>
  <c r="DV15" i="8" s="1"/>
  <c r="DU15" i="8" a="1"/>
  <c r="DU15" i="8" s="1"/>
  <c r="DT15" i="8" a="1"/>
  <c r="DT15" i="8"/>
  <c r="DS15" i="8" a="1"/>
  <c r="DS15" i="8" s="1"/>
  <c r="DR15" i="8" a="1"/>
  <c r="DR15" i="8" s="1"/>
  <c r="DQ15" i="8" a="1"/>
  <c r="DQ15" i="8" s="1"/>
  <c r="DP15" i="8" a="1"/>
  <c r="DP15" i="8" s="1"/>
  <c r="DO15" i="8" a="1"/>
  <c r="DO15" i="8" s="1"/>
  <c r="DN15" i="8" a="1"/>
  <c r="DN15" i="8" s="1"/>
  <c r="DM15" i="8" a="1"/>
  <c r="DM15" i="8" s="1"/>
  <c r="DL15" i="8" a="1"/>
  <c r="DL15" i="8" s="1"/>
  <c r="DK15" i="8" a="1"/>
  <c r="DK15" i="8" s="1"/>
  <c r="DJ15" i="8" a="1"/>
  <c r="DJ15" i="8" s="1"/>
  <c r="DI15" i="8" a="1"/>
  <c r="DI15" i="8" s="1"/>
  <c r="DH15" i="8" a="1"/>
  <c r="DH15" i="8" s="1"/>
  <c r="DG15" i="8" a="1"/>
  <c r="DG15" i="8" s="1"/>
  <c r="DF15" i="8" a="1"/>
  <c r="DF15" i="8" s="1"/>
  <c r="DE15" i="8" a="1"/>
  <c r="DE15" i="8" s="1"/>
  <c r="DD15" i="8" a="1"/>
  <c r="DD15" i="8" s="1"/>
  <c r="DC15" i="8" a="1"/>
  <c r="DC15" i="8" s="1"/>
  <c r="DB15" i="8" a="1"/>
  <c r="DB15" i="8" s="1"/>
  <c r="DA15" i="8" a="1"/>
  <c r="DA15" i="8" s="1"/>
  <c r="CZ15" i="8" a="1"/>
  <c r="CZ15" i="8" s="1"/>
  <c r="CY15" i="8" a="1"/>
  <c r="CY15" i="8" s="1"/>
  <c r="CX15" i="8" a="1"/>
  <c r="CX15" i="8" s="1"/>
  <c r="CW15" i="8" a="1"/>
  <c r="CW15" i="8" s="1"/>
  <c r="CV15" i="8" a="1"/>
  <c r="CV15" i="8" s="1"/>
  <c r="CU15" i="8" a="1"/>
  <c r="CU15" i="8" s="1"/>
  <c r="CT15" i="8" a="1"/>
  <c r="CT15" i="8" s="1"/>
  <c r="CS15" i="8" a="1"/>
  <c r="CS15" i="8" s="1"/>
  <c r="CR15" i="8" a="1"/>
  <c r="CR15" i="8" s="1"/>
  <c r="CQ15" i="8" a="1"/>
  <c r="CQ15" i="8" s="1"/>
  <c r="CP15" i="8" a="1"/>
  <c r="CP15" i="8" s="1"/>
  <c r="CO15" i="8" a="1"/>
  <c r="CO15" i="8" s="1"/>
  <c r="CN15" i="8" a="1"/>
  <c r="CN15" i="8" s="1"/>
  <c r="CM15" i="8" a="1"/>
  <c r="CM15" i="8" s="1"/>
  <c r="CL15" i="8" a="1"/>
  <c r="CL15" i="8" s="1"/>
  <c r="CK15" i="8" a="1"/>
  <c r="CK15" i="8" s="1"/>
  <c r="CJ15" i="8" a="1"/>
  <c r="CJ15" i="8" s="1"/>
  <c r="CI15" i="8" a="1"/>
  <c r="CI15" i="8" s="1"/>
  <c r="CH15" i="8" a="1"/>
  <c r="CH15" i="8" s="1"/>
  <c r="CG15" i="8" a="1"/>
  <c r="CG15" i="8"/>
  <c r="CF15" i="8" a="1"/>
  <c r="CF15" i="8" s="1"/>
  <c r="CE15" i="8" a="1"/>
  <c r="CE15" i="8" s="1"/>
  <c r="CD15" i="8" a="1"/>
  <c r="CD15" i="8" s="1"/>
  <c r="CC15" i="8" a="1"/>
  <c r="CC15" i="8" s="1"/>
  <c r="CB15" i="8" a="1"/>
  <c r="CB15" i="8" s="1"/>
  <c r="CA15" i="8" a="1"/>
  <c r="CA15" i="8" s="1"/>
  <c r="BZ15" i="8" a="1"/>
  <c r="BZ15" i="8" s="1"/>
  <c r="BY15" i="8" a="1"/>
  <c r="BY15" i="8" s="1"/>
  <c r="BX15" i="8" a="1"/>
  <c r="BX15" i="8" s="1"/>
  <c r="BW15" i="8" a="1"/>
  <c r="BW15" i="8" s="1"/>
  <c r="BV15" i="8" a="1"/>
  <c r="BV15" i="8" s="1"/>
  <c r="BU15" i="8" a="1"/>
  <c r="BU15" i="8" s="1"/>
  <c r="BT15" i="8" a="1"/>
  <c r="BT15" i="8" s="1"/>
  <c r="BS15" i="8" a="1"/>
  <c r="BS15" i="8" s="1"/>
  <c r="BR15" i="8" a="1"/>
  <c r="BR15" i="8" s="1"/>
  <c r="BQ15" i="8" a="1"/>
  <c r="BQ15" i="8" s="1"/>
  <c r="BP15" i="8" a="1"/>
  <c r="BP15" i="8" s="1"/>
  <c r="BO15" i="8" a="1"/>
  <c r="BO15" i="8" s="1"/>
  <c r="BN15" i="8" a="1"/>
  <c r="BN15" i="8" s="1"/>
  <c r="BM15" i="8" a="1"/>
  <c r="BM15" i="8" s="1"/>
  <c r="BL15" i="8" a="1"/>
  <c r="BL15" i="8" s="1"/>
  <c r="BK15" i="8" a="1"/>
  <c r="BK15" i="8" s="1"/>
  <c r="BJ15" i="8" a="1"/>
  <c r="BJ15" i="8" s="1"/>
  <c r="BI15" i="8" a="1"/>
  <c r="BI15" i="8" s="1"/>
  <c r="BH15" i="8" a="1"/>
  <c r="BH15" i="8" s="1"/>
  <c r="BG15" i="8" a="1"/>
  <c r="BG15" i="8" s="1"/>
  <c r="BF15" i="8" a="1"/>
  <c r="BF15" i="8" s="1"/>
  <c r="BE15" i="8" a="1"/>
  <c r="BE15" i="8" s="1"/>
  <c r="BD15" i="8" a="1"/>
  <c r="BD15" i="8" s="1"/>
  <c r="BC15" i="8" a="1"/>
  <c r="BC15" i="8" s="1"/>
  <c r="BB15" i="8" a="1"/>
  <c r="BB15" i="8" s="1"/>
  <c r="BA15" i="8" a="1"/>
  <c r="BA15" i="8" s="1"/>
  <c r="AZ15" i="8" a="1"/>
  <c r="AZ15" i="8" s="1"/>
  <c r="AY15" i="8" a="1"/>
  <c r="AY15" i="8" s="1"/>
  <c r="AX15" i="8" a="1"/>
  <c r="AX15" i="8" s="1"/>
  <c r="AW15" i="8" a="1"/>
  <c r="AW15" i="8" s="1"/>
  <c r="AV15" i="8" a="1"/>
  <c r="AV15" i="8" s="1"/>
  <c r="AU15" i="8" a="1"/>
  <c r="AU15" i="8" s="1"/>
  <c r="AT15" i="8" a="1"/>
  <c r="AT15" i="8" s="1"/>
  <c r="AS15" i="8" a="1"/>
  <c r="AS15" i="8" s="1"/>
  <c r="AR15" i="8" a="1"/>
  <c r="AR15" i="8" s="1"/>
  <c r="AQ15" i="8" a="1"/>
  <c r="AQ15" i="8" s="1"/>
  <c r="AP15" i="8" a="1"/>
  <c r="AP15" i="8" s="1"/>
  <c r="AO15" i="8" a="1"/>
  <c r="AO15" i="8" s="1"/>
  <c r="AN15" i="8" a="1"/>
  <c r="AN15" i="8" s="1"/>
  <c r="AM15" i="8" a="1"/>
  <c r="AM15" i="8" s="1"/>
  <c r="AL15" i="8" a="1"/>
  <c r="AL15" i="8" s="1"/>
  <c r="AK15" i="8" a="1"/>
  <c r="AK15" i="8" s="1"/>
  <c r="AJ15" i="8" a="1"/>
  <c r="AJ15" i="8" s="1"/>
  <c r="AI15" i="8" a="1"/>
  <c r="AI15" i="8" s="1"/>
  <c r="AH15" i="8" a="1"/>
  <c r="AH15" i="8" s="1"/>
  <c r="AG15" i="8" a="1"/>
  <c r="AG15" i="8" s="1"/>
  <c r="AF15" i="8" a="1"/>
  <c r="AF15" i="8" s="1"/>
  <c r="AE15" i="8" a="1"/>
  <c r="AE15" i="8" s="1"/>
  <c r="AD15" i="8" a="1"/>
  <c r="AD15" i="8" s="1"/>
  <c r="AC15" i="8" a="1"/>
  <c r="AC15" i="8" s="1"/>
  <c r="AB15" i="8" a="1"/>
  <c r="AB15" i="8" s="1"/>
  <c r="AA15" i="8" a="1"/>
  <c r="AA15" i="8" s="1"/>
  <c r="Z15" i="8" a="1"/>
  <c r="Z15" i="8" s="1"/>
  <c r="Y15" i="8" a="1"/>
  <c r="Y15" i="8" s="1"/>
  <c r="X15" i="8" a="1"/>
  <c r="X15" i="8" s="1"/>
  <c r="W15" i="8" a="1"/>
  <c r="W15" i="8" s="1"/>
  <c r="V15" i="8" a="1"/>
  <c r="V15" i="8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I15" i="8" a="1"/>
  <c r="I15" i="8" s="1"/>
  <c r="H15" i="8" a="1"/>
  <c r="H15" i="8" s="1"/>
  <c r="G15" i="8" a="1"/>
  <c r="G15" i="8" s="1"/>
  <c r="F15" i="8" a="1"/>
  <c r="F15" i="8" s="1"/>
  <c r="E15" i="8" a="1"/>
  <c r="E15" i="8" s="1"/>
  <c r="EG14" i="8" a="1"/>
  <c r="EG14" i="8" s="1"/>
  <c r="EF14" i="8" a="1"/>
  <c r="EF14" i="8" s="1"/>
  <c r="EE14" i="8" a="1"/>
  <c r="EE14" i="8" s="1"/>
  <c r="ED14" i="8" a="1"/>
  <c r="ED14" i="8" s="1"/>
  <c r="EC14" i="8" a="1"/>
  <c r="EC14" i="8" s="1"/>
  <c r="EB14" i="8" a="1"/>
  <c r="EB14" i="8" s="1"/>
  <c r="EA14" i="8" a="1"/>
  <c r="EA14" i="8" s="1"/>
  <c r="DZ14" i="8" a="1"/>
  <c r="DZ14" i="8" s="1"/>
  <c r="DY14" i="8" a="1"/>
  <c r="DY14" i="8" s="1"/>
  <c r="DX14" i="8" a="1"/>
  <c r="DX14" i="8" s="1"/>
  <c r="DW14" i="8" a="1"/>
  <c r="DW14" i="8" s="1"/>
  <c r="DV14" i="8" a="1"/>
  <c r="DV14" i="8" s="1"/>
  <c r="DU14" i="8" a="1"/>
  <c r="DU14" i="8" s="1"/>
  <c r="DT14" i="8" a="1"/>
  <c r="DT14" i="8" s="1"/>
  <c r="DS14" i="8" a="1"/>
  <c r="DS14" i="8" s="1"/>
  <c r="DR14" i="8" a="1"/>
  <c r="DR14" i="8" s="1"/>
  <c r="DQ14" i="8" a="1"/>
  <c r="DQ14" i="8" s="1"/>
  <c r="DP14" i="8" a="1"/>
  <c r="DP14" i="8" s="1"/>
  <c r="DO14" i="8" a="1"/>
  <c r="DO14" i="8" s="1"/>
  <c r="DN14" i="8" a="1"/>
  <c r="DN14" i="8" s="1"/>
  <c r="DM14" i="8" a="1"/>
  <c r="DM14" i="8" s="1"/>
  <c r="DL14" i="8" a="1"/>
  <c r="DL14" i="8" s="1"/>
  <c r="DK14" i="8" a="1"/>
  <c r="DK14" i="8" s="1"/>
  <c r="DJ14" i="8" a="1"/>
  <c r="DJ14" i="8" s="1"/>
  <c r="DI14" i="8" a="1"/>
  <c r="DI14" i="8" s="1"/>
  <c r="DH14" i="8" a="1"/>
  <c r="DH14" i="8" s="1"/>
  <c r="DG14" i="8" a="1"/>
  <c r="DG14" i="8" s="1"/>
  <c r="DF14" i="8" a="1"/>
  <c r="DF14" i="8" s="1"/>
  <c r="DE14" i="8" a="1"/>
  <c r="DE14" i="8" s="1"/>
  <c r="DD14" i="8" a="1"/>
  <c r="DD14" i="8" s="1"/>
  <c r="DC14" i="8" a="1"/>
  <c r="DC14" i="8" s="1"/>
  <c r="DB14" i="8" a="1"/>
  <c r="DB14" i="8" s="1"/>
  <c r="DA14" i="8" a="1"/>
  <c r="DA14" i="8" s="1"/>
  <c r="CZ14" i="8" a="1"/>
  <c r="CZ14" i="8" s="1"/>
  <c r="CY14" i="8" a="1"/>
  <c r="CY14" i="8" s="1"/>
  <c r="CX14" i="8" a="1"/>
  <c r="CX14" i="8" s="1"/>
  <c r="CW14" i="8" a="1"/>
  <c r="CW14" i="8" s="1"/>
  <c r="CV14" i="8" a="1"/>
  <c r="CV14" i="8" s="1"/>
  <c r="CU14" i="8" a="1"/>
  <c r="CU14" i="8" s="1"/>
  <c r="CT14" i="8" a="1"/>
  <c r="CT14" i="8" s="1"/>
  <c r="CS14" i="8" a="1"/>
  <c r="CS14" i="8" s="1"/>
  <c r="CR14" i="8" a="1"/>
  <c r="CR14" i="8" s="1"/>
  <c r="CQ14" i="8" a="1"/>
  <c r="CQ14" i="8" s="1"/>
  <c r="CP14" i="8" a="1"/>
  <c r="CP14" i="8" s="1"/>
  <c r="CO14" i="8" a="1"/>
  <c r="CO14" i="8" s="1"/>
  <c r="CN14" i="8" a="1"/>
  <c r="CN14" i="8" s="1"/>
  <c r="CM14" i="8" a="1"/>
  <c r="CM14" i="8" s="1"/>
  <c r="CL14" i="8" a="1"/>
  <c r="CL14" i="8" s="1"/>
  <c r="CK14" i="8" a="1"/>
  <c r="CK14" i="8" s="1"/>
  <c r="CJ14" i="8" a="1"/>
  <c r="CJ14" i="8" s="1"/>
  <c r="CI14" i="8" a="1"/>
  <c r="CI14" i="8" s="1"/>
  <c r="CH14" i="8" a="1"/>
  <c r="CH14" i="8" s="1"/>
  <c r="CG14" i="8" a="1"/>
  <c r="CG14" i="8" s="1"/>
  <c r="CF14" i="8" a="1"/>
  <c r="CF14" i="8" s="1"/>
  <c r="CE14" i="8" a="1"/>
  <c r="CE14" i="8" s="1"/>
  <c r="CD14" i="8" a="1"/>
  <c r="CD14" i="8" s="1"/>
  <c r="CC14" i="8" a="1"/>
  <c r="CC14" i="8" s="1"/>
  <c r="CB14" i="8" a="1"/>
  <c r="CB14" i="8" s="1"/>
  <c r="CA14" i="8" a="1"/>
  <c r="CA14" i="8" s="1"/>
  <c r="BZ14" i="8" a="1"/>
  <c r="BZ14" i="8" s="1"/>
  <c r="BY14" i="8" a="1"/>
  <c r="BY14" i="8" s="1"/>
  <c r="BX14" i="8" a="1"/>
  <c r="BX14" i="8" s="1"/>
  <c r="BW14" i="8" a="1"/>
  <c r="BW14" i="8" s="1"/>
  <c r="BV14" i="8" a="1"/>
  <c r="BV14" i="8" s="1"/>
  <c r="BU14" i="8" a="1"/>
  <c r="BU14" i="8" s="1"/>
  <c r="BT14" i="8" a="1"/>
  <c r="BT14" i="8" s="1"/>
  <c r="BS14" i="8" a="1"/>
  <c r="BS14" i="8" s="1"/>
  <c r="BR14" i="8" a="1"/>
  <c r="BR14" i="8" s="1"/>
  <c r="BQ14" i="8" a="1"/>
  <c r="BQ14" i="8" s="1"/>
  <c r="BP14" i="8" a="1"/>
  <c r="BP14" i="8" s="1"/>
  <c r="BO14" i="8" a="1"/>
  <c r="BO14" i="8" s="1"/>
  <c r="BN14" i="8" a="1"/>
  <c r="BN14" i="8" s="1"/>
  <c r="BM14" i="8" a="1"/>
  <c r="BM14" i="8" s="1"/>
  <c r="BL14" i="8" a="1"/>
  <c r="BL14" i="8" s="1"/>
  <c r="BK14" i="8" a="1"/>
  <c r="BK14" i="8" s="1"/>
  <c r="BJ14" i="8" a="1"/>
  <c r="BJ14" i="8" s="1"/>
  <c r="BI14" i="8" a="1"/>
  <c r="BI14" i="8" s="1"/>
  <c r="BH14" i="8" a="1"/>
  <c r="BH14" i="8" s="1"/>
  <c r="BG14" i="8" a="1"/>
  <c r="BG14" i="8" s="1"/>
  <c r="BF14" i="8" a="1"/>
  <c r="BF14" i="8" s="1"/>
  <c r="BE14" i="8" a="1"/>
  <c r="BE14" i="8" s="1"/>
  <c r="BD14" i="8" a="1"/>
  <c r="BD14" i="8" s="1"/>
  <c r="BC14" i="8" a="1"/>
  <c r="BC14" i="8" s="1"/>
  <c r="BB14" i="8" a="1"/>
  <c r="BB14" i="8" s="1"/>
  <c r="BA14" i="8" a="1"/>
  <c r="BA14" i="8" s="1"/>
  <c r="AZ14" i="8" a="1"/>
  <c r="AZ14" i="8" s="1"/>
  <c r="AY14" i="8" a="1"/>
  <c r="AY14" i="8" s="1"/>
  <c r="AX14" i="8" a="1"/>
  <c r="AX14" i="8" s="1"/>
  <c r="AW14" i="8" a="1"/>
  <c r="AW14" i="8" s="1"/>
  <c r="AV14" i="8" a="1"/>
  <c r="AV14" i="8" s="1"/>
  <c r="AU14" i="8" a="1"/>
  <c r="AU14" i="8" s="1"/>
  <c r="AT14" i="8" a="1"/>
  <c r="AT14" i="8" s="1"/>
  <c r="AS14" i="8" a="1"/>
  <c r="AS14" i="8" s="1"/>
  <c r="AR14" i="8" a="1"/>
  <c r="AR14" i="8" s="1"/>
  <c r="AQ14" i="8" a="1"/>
  <c r="AQ14" i="8" s="1"/>
  <c r="AP14" i="8" a="1"/>
  <c r="AP14" i="8" s="1"/>
  <c r="AO14" i="8" a="1"/>
  <c r="AO14" i="8" s="1"/>
  <c r="AN14" i="8" a="1"/>
  <c r="AN14" i="8" s="1"/>
  <c r="AM14" i="8" a="1"/>
  <c r="AM14" i="8" s="1"/>
  <c r="AL14" i="8" a="1"/>
  <c r="AL14" i="8" s="1"/>
  <c r="AK14" i="8" a="1"/>
  <c r="AK14" i="8" s="1"/>
  <c r="AJ14" i="8" a="1"/>
  <c r="AJ14" i="8" s="1"/>
  <c r="AI14" i="8" a="1"/>
  <c r="AI14" i="8" s="1"/>
  <c r="AH14" i="8" a="1"/>
  <c r="AH14" i="8" s="1"/>
  <c r="AG14" i="8" a="1"/>
  <c r="AG14" i="8" s="1"/>
  <c r="AF14" i="8" a="1"/>
  <c r="AF14" i="8" s="1"/>
  <c r="AE14" i="8" a="1"/>
  <c r="AE14" i="8" s="1"/>
  <c r="AD14" i="8" a="1"/>
  <c r="AD14" i="8" s="1"/>
  <c r="AC14" i="8" a="1"/>
  <c r="AC14" i="8" s="1"/>
  <c r="AB14" i="8" a="1"/>
  <c r="AB14" i="8" s="1"/>
  <c r="AA14" i="8" a="1"/>
  <c r="AA14" i="8" s="1"/>
  <c r="Z14" i="8" a="1"/>
  <c r="Z14" i="8" s="1"/>
  <c r="Y14" i="8" a="1"/>
  <c r="Y14" i="8" s="1"/>
  <c r="X14" i="8" a="1"/>
  <c r="X14" i="8" s="1"/>
  <c r="W14" i="8" a="1"/>
  <c r="W14" i="8" s="1"/>
  <c r="V14" i="8" a="1"/>
  <c r="V14" i="8" s="1"/>
  <c r="U14" i="8" a="1"/>
  <c r="U14" i="8" s="1"/>
  <c r="T14" i="8" a="1"/>
  <c r="T14" i="8" s="1"/>
  <c r="S14" i="8" a="1"/>
  <c r="S14" i="8" s="1"/>
  <c r="R14" i="8" a="1"/>
  <c r="R14" i="8" s="1"/>
  <c r="Q14" i="8" a="1"/>
  <c r="Q14" i="8" s="1"/>
  <c r="P14" i="8" a="1"/>
  <c r="P14" i="8" s="1"/>
  <c r="O14" i="8" a="1"/>
  <c r="O14" i="8" s="1"/>
  <c r="N14" i="8" a="1"/>
  <c r="N14" i="8" s="1"/>
  <c r="M14" i="8" a="1"/>
  <c r="M14" i="8" s="1"/>
  <c r="L14" i="8" a="1"/>
  <c r="L14" i="8" s="1"/>
  <c r="K14" i="8" a="1"/>
  <c r="K14" i="8" s="1"/>
  <c r="J14" i="8" a="1"/>
  <c r="J14" i="8" s="1"/>
  <c r="I14" i="8" a="1"/>
  <c r="I14" i="8" s="1"/>
  <c r="H14" i="8" a="1"/>
  <c r="H14" i="8" s="1"/>
  <c r="G14" i="8" a="1"/>
  <c r="G14" i="8" s="1"/>
  <c r="F14" i="8" a="1"/>
  <c r="F14" i="8" s="1"/>
  <c r="E14" i="8" a="1"/>
  <c r="E14" i="8" s="1"/>
  <c r="EG13" i="8" a="1"/>
  <c r="EG13" i="8" s="1"/>
  <c r="EF13" i="8" a="1"/>
  <c r="EF13" i="8" s="1"/>
  <c r="EE13" i="8" a="1"/>
  <c r="EE13" i="8" s="1"/>
  <c r="ED13" i="8" a="1"/>
  <c r="ED13" i="8" s="1"/>
  <c r="EC13" i="8" a="1"/>
  <c r="EC13" i="8" s="1"/>
  <c r="EB13" i="8" a="1"/>
  <c r="EB13" i="8" s="1"/>
  <c r="EA13" i="8" a="1"/>
  <c r="EA13" i="8" s="1"/>
  <c r="DZ13" i="8" a="1"/>
  <c r="DZ13" i="8" s="1"/>
  <c r="DY13" i="8" a="1"/>
  <c r="DY13" i="8" s="1"/>
  <c r="DX13" i="8" a="1"/>
  <c r="DX13" i="8" s="1"/>
  <c r="DW13" i="8" a="1"/>
  <c r="DW13" i="8" s="1"/>
  <c r="DV13" i="8" a="1"/>
  <c r="DV13" i="8" s="1"/>
  <c r="DU13" i="8" a="1"/>
  <c r="DU13" i="8" s="1"/>
  <c r="DT13" i="8" a="1"/>
  <c r="DT13" i="8" s="1"/>
  <c r="DS13" i="8" a="1"/>
  <c r="DS13" i="8" s="1"/>
  <c r="DR13" i="8" a="1"/>
  <c r="DR13" i="8" s="1"/>
  <c r="DQ13" i="8" a="1"/>
  <c r="DQ13" i="8" s="1"/>
  <c r="DP13" i="8" a="1"/>
  <c r="DP13" i="8" s="1"/>
  <c r="DO13" i="8" a="1"/>
  <c r="DO13" i="8" s="1"/>
  <c r="DN13" i="8" a="1"/>
  <c r="DN13" i="8" s="1"/>
  <c r="DM13" i="8" a="1"/>
  <c r="DM13" i="8" s="1"/>
  <c r="DL13" i="8" a="1"/>
  <c r="DL13" i="8" s="1"/>
  <c r="DK13" i="8" a="1"/>
  <c r="DK13" i="8" s="1"/>
  <c r="DJ13" i="8" a="1"/>
  <c r="DJ13" i="8" s="1"/>
  <c r="DI13" i="8" a="1"/>
  <c r="DI13" i="8" s="1"/>
  <c r="DH13" i="8" a="1"/>
  <c r="DH13" i="8" s="1"/>
  <c r="DG13" i="8" a="1"/>
  <c r="DG13" i="8" s="1"/>
  <c r="DF13" i="8" a="1"/>
  <c r="DF13" i="8" s="1"/>
  <c r="DE13" i="8" a="1"/>
  <c r="DE13" i="8" s="1"/>
  <c r="DD13" i="8" a="1"/>
  <c r="DD13" i="8" s="1"/>
  <c r="DC13" i="8" a="1"/>
  <c r="DC13" i="8" s="1"/>
  <c r="DB13" i="8" a="1"/>
  <c r="DB13" i="8" s="1"/>
  <c r="DA13" i="8" a="1"/>
  <c r="DA13" i="8" s="1"/>
  <c r="CZ13" i="8" a="1"/>
  <c r="CZ13" i="8" s="1"/>
  <c r="CY13" i="8" a="1"/>
  <c r="CY13" i="8" s="1"/>
  <c r="CX13" i="8" a="1"/>
  <c r="CX13" i="8" s="1"/>
  <c r="CW13" i="8" a="1"/>
  <c r="CW13" i="8" s="1"/>
  <c r="CV13" i="8" a="1"/>
  <c r="CV13" i="8" s="1"/>
  <c r="CU13" i="8" a="1"/>
  <c r="CU13" i="8" s="1"/>
  <c r="CT13" i="8" a="1"/>
  <c r="CT13" i="8" s="1"/>
  <c r="CS13" i="8" a="1"/>
  <c r="CS13" i="8" s="1"/>
  <c r="CR13" i="8" a="1"/>
  <c r="CR13" i="8" s="1"/>
  <c r="CQ13" i="8" a="1"/>
  <c r="CQ13" i="8" s="1"/>
  <c r="CP13" i="8" a="1"/>
  <c r="CP13" i="8" s="1"/>
  <c r="CO13" i="8" a="1"/>
  <c r="CO13" i="8"/>
  <c r="CN13" i="8" a="1"/>
  <c r="CN13" i="8" s="1"/>
  <c r="CM13" i="8" a="1"/>
  <c r="CM13" i="8" s="1"/>
  <c r="CL13" i="8" a="1"/>
  <c r="CL13" i="8" s="1"/>
  <c r="CK13" i="8" a="1"/>
  <c r="CK13" i="8" s="1"/>
  <c r="CJ13" i="8" a="1"/>
  <c r="CJ13" i="8" s="1"/>
  <c r="CI13" i="8" a="1"/>
  <c r="CI13" i="8" s="1"/>
  <c r="CH13" i="8" a="1"/>
  <c r="CH13" i="8" s="1"/>
  <c r="CG13" i="8" a="1"/>
  <c r="CG13" i="8" s="1"/>
  <c r="CF13" i="8" a="1"/>
  <c r="CF13" i="8" s="1"/>
  <c r="CE13" i="8" a="1"/>
  <c r="CE13" i="8" s="1"/>
  <c r="CD13" i="8" a="1"/>
  <c r="CD13" i="8" s="1"/>
  <c r="CC13" i="8" a="1"/>
  <c r="CC13" i="8" s="1"/>
  <c r="CB13" i="8" a="1"/>
  <c r="CB13" i="8" s="1"/>
  <c r="CA13" i="8" a="1"/>
  <c r="CA13" i="8" s="1"/>
  <c r="BZ13" i="8" a="1"/>
  <c r="BZ13" i="8" s="1"/>
  <c r="BY13" i="8" a="1"/>
  <c r="BY13" i="8" s="1"/>
  <c r="BX13" i="8" a="1"/>
  <c r="BX13" i="8" s="1"/>
  <c r="BW13" i="8" a="1"/>
  <c r="BW13" i="8" s="1"/>
  <c r="BV13" i="8" a="1"/>
  <c r="BV13" i="8" s="1"/>
  <c r="BU13" i="8" a="1"/>
  <c r="BU13" i="8" s="1"/>
  <c r="BT13" i="8" a="1"/>
  <c r="BT13" i="8" s="1"/>
  <c r="BS13" i="8" a="1"/>
  <c r="BS13" i="8" s="1"/>
  <c r="BR13" i="8" a="1"/>
  <c r="BR13" i="8" s="1"/>
  <c r="BQ13" i="8" a="1"/>
  <c r="BQ13" i="8" s="1"/>
  <c r="BP13" i="8" a="1"/>
  <c r="BP13" i="8" s="1"/>
  <c r="BO13" i="8" a="1"/>
  <c r="BO13" i="8" s="1"/>
  <c r="BN13" i="8" a="1"/>
  <c r="BN13" i="8" s="1"/>
  <c r="BM13" i="8" a="1"/>
  <c r="BM13" i="8" s="1"/>
  <c r="BL13" i="8" a="1"/>
  <c r="BL13" i="8" s="1"/>
  <c r="BK13" i="8" a="1"/>
  <c r="BK13" i="8" s="1"/>
  <c r="BJ13" i="8" a="1"/>
  <c r="BJ13" i="8" s="1"/>
  <c r="BI13" i="8" a="1"/>
  <c r="BI13" i="8" s="1"/>
  <c r="BH13" i="8" a="1"/>
  <c r="BH13" i="8" s="1"/>
  <c r="BG13" i="8" a="1"/>
  <c r="BG13" i="8" s="1"/>
  <c r="BF13" i="8" a="1"/>
  <c r="BF13" i="8" s="1"/>
  <c r="BE13" i="8" a="1"/>
  <c r="BE13" i="8" s="1"/>
  <c r="BD13" i="8" a="1"/>
  <c r="BD13" i="8" s="1"/>
  <c r="BC13" i="8" a="1"/>
  <c r="BC13" i="8" s="1"/>
  <c r="BB13" i="8" a="1"/>
  <c r="BB13" i="8" s="1"/>
  <c r="BA13" i="8" a="1"/>
  <c r="BA13" i="8" s="1"/>
  <c r="AZ13" i="8" a="1"/>
  <c r="AZ13" i="8" s="1"/>
  <c r="AY13" i="8" a="1"/>
  <c r="AY13" i="8" s="1"/>
  <c r="AX13" i="8" a="1"/>
  <c r="AX13" i="8" s="1"/>
  <c r="AW13" i="8" a="1"/>
  <c r="AW13" i="8" s="1"/>
  <c r="AV13" i="8" a="1"/>
  <c r="AV13" i="8" s="1"/>
  <c r="AU13" i="8" a="1"/>
  <c r="AU13" i="8" s="1"/>
  <c r="AT13" i="8" a="1"/>
  <c r="AT13" i="8" s="1"/>
  <c r="AS13" i="8" a="1"/>
  <c r="AS13" i="8" s="1"/>
  <c r="AR13" i="8" a="1"/>
  <c r="AR13" i="8" s="1"/>
  <c r="AQ13" i="8" a="1"/>
  <c r="AQ13" i="8" s="1"/>
  <c r="AP13" i="8" a="1"/>
  <c r="AP13" i="8" s="1"/>
  <c r="AO13" i="8" a="1"/>
  <c r="AO13" i="8" s="1"/>
  <c r="AN13" i="8" a="1"/>
  <c r="AN13" i="8" s="1"/>
  <c r="AM13" i="8" a="1"/>
  <c r="AM13" i="8" s="1"/>
  <c r="AL13" i="8" a="1"/>
  <c r="AL13" i="8" s="1"/>
  <c r="AK13" i="8" a="1"/>
  <c r="AK13" i="8" s="1"/>
  <c r="AJ13" i="8" a="1"/>
  <c r="AJ13" i="8" s="1"/>
  <c r="AI13" i="8" a="1"/>
  <c r="AI13" i="8" s="1"/>
  <c r="AH13" i="8" a="1"/>
  <c r="AH13" i="8" s="1"/>
  <c r="AG13" i="8" a="1"/>
  <c r="AG13" i="8" s="1"/>
  <c r="AF13" i="8" a="1"/>
  <c r="AF13" i="8" s="1"/>
  <c r="AE13" i="8" a="1"/>
  <c r="AE13" i="8" s="1"/>
  <c r="AD13" i="8" a="1"/>
  <c r="AD13" i="8" s="1"/>
  <c r="AC13" i="8" a="1"/>
  <c r="AC13" i="8" s="1"/>
  <c r="AB13" i="8" a="1"/>
  <c r="AB13" i="8" s="1"/>
  <c r="AA13" i="8" a="1"/>
  <c r="AA13" i="8" s="1"/>
  <c r="Z13" i="8" a="1"/>
  <c r="Z13" i="8" s="1"/>
  <c r="Y13" i="8" a="1"/>
  <c r="Y13" i="8" s="1"/>
  <c r="X13" i="8" a="1"/>
  <c r="X13" i="8" s="1"/>
  <c r="W13" i="8" a="1"/>
  <c r="W13" i="8" s="1"/>
  <c r="V13" i="8" a="1"/>
  <c r="V13" i="8" s="1"/>
  <c r="U13" i="8" a="1"/>
  <c r="U13" i="8" s="1"/>
  <c r="T13" i="8" a="1"/>
  <c r="T13" i="8" s="1"/>
  <c r="S13" i="8" a="1"/>
  <c r="S13" i="8" s="1"/>
  <c r="R13" i="8" a="1"/>
  <c r="R13" i="8" s="1"/>
  <c r="Q13" i="8" a="1"/>
  <c r="Q13" i="8" s="1"/>
  <c r="P13" i="8" a="1"/>
  <c r="P13" i="8" s="1"/>
  <c r="O13" i="8" a="1"/>
  <c r="O13" i="8" s="1"/>
  <c r="N13" i="8" a="1"/>
  <c r="N13" i="8" s="1"/>
  <c r="M13" i="8" a="1"/>
  <c r="M13" i="8" s="1"/>
  <c r="L13" i="8" a="1"/>
  <c r="L13" i="8" s="1"/>
  <c r="K13" i="8" a="1"/>
  <c r="K13" i="8" s="1"/>
  <c r="J13" i="8" a="1"/>
  <c r="J13" i="8" s="1"/>
  <c r="I13" i="8" a="1"/>
  <c r="I13" i="8" s="1"/>
  <c r="H13" i="8" a="1"/>
  <c r="H13" i="8" s="1"/>
  <c r="G13" i="8" a="1"/>
  <c r="G13" i="8" s="1"/>
  <c r="F13" i="8" a="1"/>
  <c r="F13" i="8" s="1"/>
  <c r="E13" i="8" a="1"/>
  <c r="E13" i="8" s="1"/>
  <c r="EG12" i="8" a="1"/>
  <c r="EG12" i="8" s="1"/>
  <c r="EF12" i="8" a="1"/>
  <c r="EF12" i="8" s="1"/>
  <c r="EE12" i="8" a="1"/>
  <c r="EE12" i="8" s="1"/>
  <c r="ED12" i="8" a="1"/>
  <c r="ED12" i="8" s="1"/>
  <c r="EC12" i="8" a="1"/>
  <c r="EC12" i="8" s="1"/>
  <c r="EB12" i="8" a="1"/>
  <c r="EB12" i="8" s="1"/>
  <c r="EA12" i="8" a="1"/>
  <c r="EA12" i="8" s="1"/>
  <c r="DZ12" i="8" a="1"/>
  <c r="DZ12" i="8" s="1"/>
  <c r="DY12" i="8" a="1"/>
  <c r="DY12" i="8" s="1"/>
  <c r="DX12" i="8" a="1"/>
  <c r="DX12" i="8" s="1"/>
  <c r="DW12" i="8" a="1"/>
  <c r="DW12" i="8" s="1"/>
  <c r="DV12" i="8" a="1"/>
  <c r="DV12" i="8" s="1"/>
  <c r="DU12" i="8" a="1"/>
  <c r="DU12" i="8" s="1"/>
  <c r="DT12" i="8" a="1"/>
  <c r="DT12" i="8" s="1"/>
  <c r="DS12" i="8" a="1"/>
  <c r="DS12" i="8" s="1"/>
  <c r="DR12" i="8" a="1"/>
  <c r="DR12" i="8" s="1"/>
  <c r="DQ12" i="8" a="1"/>
  <c r="DQ12" i="8" s="1"/>
  <c r="DP12" i="8" a="1"/>
  <c r="DP12" i="8" s="1"/>
  <c r="DO12" i="8" a="1"/>
  <c r="DO12" i="8" s="1"/>
  <c r="DN12" i="8" a="1"/>
  <c r="DN12" i="8" s="1"/>
  <c r="DM12" i="8" a="1"/>
  <c r="DM12" i="8" s="1"/>
  <c r="DL12" i="8" a="1"/>
  <c r="DL12" i="8" s="1"/>
  <c r="DK12" i="8" a="1"/>
  <c r="DK12" i="8" s="1"/>
  <c r="DJ12" i="8" a="1"/>
  <c r="DJ12" i="8" s="1"/>
  <c r="DI12" i="8" a="1"/>
  <c r="DI12" i="8" s="1"/>
  <c r="DH12" i="8" a="1"/>
  <c r="DH12" i="8" s="1"/>
  <c r="DG12" i="8" a="1"/>
  <c r="DG12" i="8" s="1"/>
  <c r="DF12" i="8" a="1"/>
  <c r="DF12" i="8" s="1"/>
  <c r="DE12" i="8" a="1"/>
  <c r="DE12" i="8" s="1"/>
  <c r="DD12" i="8" a="1"/>
  <c r="DD12" i="8" s="1"/>
  <c r="DC12" i="8" a="1"/>
  <c r="DC12" i="8" s="1"/>
  <c r="DB12" i="8" a="1"/>
  <c r="DB12" i="8" s="1"/>
  <c r="DA12" i="8" a="1"/>
  <c r="DA12" i="8" s="1"/>
  <c r="CZ12" i="8" a="1"/>
  <c r="CZ12" i="8" s="1"/>
  <c r="CY12" i="8" a="1"/>
  <c r="CY12" i="8" s="1"/>
  <c r="CX12" i="8" a="1"/>
  <c r="CX12" i="8" s="1"/>
  <c r="CW12" i="8" a="1"/>
  <c r="CW12" i="8" s="1"/>
  <c r="CV12" i="8" a="1"/>
  <c r="CV12" i="8" s="1"/>
  <c r="CU12" i="8" a="1"/>
  <c r="CU12" i="8" s="1"/>
  <c r="CT12" i="8" a="1"/>
  <c r="CT12" i="8" s="1"/>
  <c r="CS12" i="8" a="1"/>
  <c r="CS12" i="8" s="1"/>
  <c r="CR12" i="8" a="1"/>
  <c r="CR12" i="8" s="1"/>
  <c r="CQ12" i="8" a="1"/>
  <c r="CQ12" i="8" s="1"/>
  <c r="CP12" i="8" a="1"/>
  <c r="CP12" i="8" s="1"/>
  <c r="CO12" i="8" a="1"/>
  <c r="CO12" i="8" s="1"/>
  <c r="CN12" i="8" a="1"/>
  <c r="CN12" i="8" s="1"/>
  <c r="CM12" i="8" a="1"/>
  <c r="CM12" i="8" s="1"/>
  <c r="CL12" i="8" a="1"/>
  <c r="CL12" i="8" s="1"/>
  <c r="CK12" i="8" a="1"/>
  <c r="CK12" i="8" s="1"/>
  <c r="CJ12" i="8" a="1"/>
  <c r="CJ12" i="8" s="1"/>
  <c r="CI12" i="8" a="1"/>
  <c r="CI12" i="8" s="1"/>
  <c r="CH12" i="8" a="1"/>
  <c r="CH12" i="8" s="1"/>
  <c r="CG12" i="8" a="1"/>
  <c r="CG12" i="8" s="1"/>
  <c r="CF12" i="8" a="1"/>
  <c r="CF12" i="8" s="1"/>
  <c r="CE12" i="8" a="1"/>
  <c r="CE12" i="8" s="1"/>
  <c r="CD12" i="8" a="1"/>
  <c r="CD12" i="8" s="1"/>
  <c r="CC12" i="8" a="1"/>
  <c r="CC12" i="8" s="1"/>
  <c r="CB12" i="8" a="1"/>
  <c r="CB12" i="8" s="1"/>
  <c r="CA12" i="8" a="1"/>
  <c r="CA12" i="8" s="1"/>
  <c r="BZ12" i="8" a="1"/>
  <c r="BZ12" i="8" s="1"/>
  <c r="BY12" i="8" a="1"/>
  <c r="BY12" i="8" s="1"/>
  <c r="BX12" i="8" a="1"/>
  <c r="BX12" i="8" s="1"/>
  <c r="BW12" i="8" a="1"/>
  <c r="BW12" i="8" s="1"/>
  <c r="BV12" i="8" a="1"/>
  <c r="BV12" i="8" s="1"/>
  <c r="BU12" i="8" a="1"/>
  <c r="BU12" i="8" s="1"/>
  <c r="BT12" i="8" a="1"/>
  <c r="BT12" i="8" s="1"/>
  <c r="BS12" i="8" a="1"/>
  <c r="BS12" i="8" s="1"/>
  <c r="BR12" i="8" a="1"/>
  <c r="BR12" i="8" s="1"/>
  <c r="BQ12" i="8" a="1"/>
  <c r="BQ12" i="8" s="1"/>
  <c r="BP12" i="8" a="1"/>
  <c r="BP12" i="8" s="1"/>
  <c r="BO12" i="8" a="1"/>
  <c r="BO12" i="8" s="1"/>
  <c r="BN12" i="8" a="1"/>
  <c r="BN12" i="8" s="1"/>
  <c r="BM12" i="8" a="1"/>
  <c r="BM12" i="8" s="1"/>
  <c r="BL12" i="8" a="1"/>
  <c r="BL12" i="8" s="1"/>
  <c r="BK12" i="8" a="1"/>
  <c r="BK12" i="8" s="1"/>
  <c r="BJ12" i="8" a="1"/>
  <c r="BJ12" i="8" s="1"/>
  <c r="BI12" i="8" a="1"/>
  <c r="BI12" i="8" s="1"/>
  <c r="BH12" i="8" a="1"/>
  <c r="BH12" i="8" s="1"/>
  <c r="BG12" i="8" a="1"/>
  <c r="BG12" i="8" s="1"/>
  <c r="BF12" i="8" a="1"/>
  <c r="BF12" i="8" s="1"/>
  <c r="BE12" i="8" a="1"/>
  <c r="BE12" i="8" s="1"/>
  <c r="BD12" i="8" a="1"/>
  <c r="BD12" i="8" s="1"/>
  <c r="BC12" i="8" a="1"/>
  <c r="BC12" i="8" s="1"/>
  <c r="BB12" i="8" a="1"/>
  <c r="BB12" i="8" s="1"/>
  <c r="BA12" i="8" a="1"/>
  <c r="BA12" i="8" s="1"/>
  <c r="AZ12" i="8" a="1"/>
  <c r="AZ12" i="8" s="1"/>
  <c r="AY12" i="8" a="1"/>
  <c r="AY12" i="8" s="1"/>
  <c r="AX12" i="8" a="1"/>
  <c r="AX12" i="8" s="1"/>
  <c r="AW12" i="8" a="1"/>
  <c r="AW12" i="8" s="1"/>
  <c r="AV12" i="8" a="1"/>
  <c r="AV12" i="8" s="1"/>
  <c r="AU12" i="8" a="1"/>
  <c r="AU12" i="8" s="1"/>
  <c r="AT12" i="8" a="1"/>
  <c r="AT12" i="8" s="1"/>
  <c r="AS12" i="8" a="1"/>
  <c r="AS12" i="8" s="1"/>
  <c r="AR12" i="8" a="1"/>
  <c r="AR12" i="8" s="1"/>
  <c r="AQ12" i="8" a="1"/>
  <c r="AQ12" i="8" s="1"/>
  <c r="AP12" i="8" a="1"/>
  <c r="AP12" i="8" s="1"/>
  <c r="AO12" i="8" a="1"/>
  <c r="AO12" i="8" s="1"/>
  <c r="AN12" i="8" a="1"/>
  <c r="AN12" i="8" s="1"/>
  <c r="AM12" i="8" a="1"/>
  <c r="AM12" i="8" s="1"/>
  <c r="AL12" i="8" a="1"/>
  <c r="AL12" i="8" s="1"/>
  <c r="AK12" i="8" a="1"/>
  <c r="AK12" i="8" s="1"/>
  <c r="AJ12" i="8" a="1"/>
  <c r="AJ12" i="8" s="1"/>
  <c r="AI12" i="8" a="1"/>
  <c r="AI12" i="8" s="1"/>
  <c r="AH12" i="8" a="1"/>
  <c r="AH12" i="8" s="1"/>
  <c r="AG12" i="8" a="1"/>
  <c r="AG12" i="8" s="1"/>
  <c r="AF12" i="8" a="1"/>
  <c r="AF12" i="8" s="1"/>
  <c r="AE12" i="8" a="1"/>
  <c r="AE12" i="8" s="1"/>
  <c r="AD12" i="8" a="1"/>
  <c r="AD12" i="8" s="1"/>
  <c r="AC12" i="8" a="1"/>
  <c r="AC12" i="8" s="1"/>
  <c r="AB12" i="8" a="1"/>
  <c r="AB12" i="8" s="1"/>
  <c r="AA12" i="8" a="1"/>
  <c r="AA12" i="8" s="1"/>
  <c r="Z12" i="8" a="1"/>
  <c r="Z12" i="8" s="1"/>
  <c r="Y12" i="8" a="1"/>
  <c r="Y12" i="8" s="1"/>
  <c r="X12" i="8" a="1"/>
  <c r="X12" i="8" s="1"/>
  <c r="W12" i="8" a="1"/>
  <c r="W12" i="8" s="1"/>
  <c r="V12" i="8" a="1"/>
  <c r="V12" i="8" s="1"/>
  <c r="U12" i="8" a="1"/>
  <c r="U12" i="8" s="1"/>
  <c r="T12" i="8" a="1"/>
  <c r="T12" i="8" s="1"/>
  <c r="S12" i="8" a="1"/>
  <c r="S12" i="8" s="1"/>
  <c r="R12" i="8" a="1"/>
  <c r="R12" i="8" s="1"/>
  <c r="Q12" i="8" a="1"/>
  <c r="Q12" i="8" s="1"/>
  <c r="P12" i="8" a="1"/>
  <c r="P12" i="8" s="1"/>
  <c r="O12" i="8" a="1"/>
  <c r="O12" i="8" s="1"/>
  <c r="N12" i="8" a="1"/>
  <c r="N12" i="8" s="1"/>
  <c r="M12" i="8" a="1"/>
  <c r="M12" i="8" s="1"/>
  <c r="L12" i="8" a="1"/>
  <c r="L12" i="8" s="1"/>
  <c r="K12" i="8" a="1"/>
  <c r="K12" i="8" s="1"/>
  <c r="J12" i="8" a="1"/>
  <c r="J12" i="8" s="1"/>
  <c r="I12" i="8" a="1"/>
  <c r="I12" i="8" s="1"/>
  <c r="H12" i="8" a="1"/>
  <c r="H12" i="8" s="1"/>
  <c r="G12" i="8" a="1"/>
  <c r="G12" i="8" s="1"/>
  <c r="F12" i="8" a="1"/>
  <c r="F12" i="8" s="1"/>
  <c r="E12" i="8" a="1"/>
  <c r="E12" i="8" s="1"/>
  <c r="EG11" i="8" a="1"/>
  <c r="EG11" i="8" s="1"/>
  <c r="EF11" i="8" a="1"/>
  <c r="EF11" i="8" s="1"/>
  <c r="EE11" i="8" a="1"/>
  <c r="EE11" i="8" s="1"/>
  <c r="ED11" i="8" a="1"/>
  <c r="ED11" i="8" s="1"/>
  <c r="EC11" i="8" a="1"/>
  <c r="EC11" i="8" s="1"/>
  <c r="EB11" i="8" a="1"/>
  <c r="EB11" i="8" s="1"/>
  <c r="EA11" i="8" a="1"/>
  <c r="EA11" i="8" s="1"/>
  <c r="DZ11" i="8" a="1"/>
  <c r="DZ11" i="8" s="1"/>
  <c r="DY11" i="8" a="1"/>
  <c r="DY11" i="8" s="1"/>
  <c r="DX11" i="8" a="1"/>
  <c r="DX11" i="8" s="1"/>
  <c r="DW11" i="8" a="1"/>
  <c r="DW11" i="8" s="1"/>
  <c r="DV11" i="8" a="1"/>
  <c r="DV11" i="8" s="1"/>
  <c r="DU11" i="8" a="1"/>
  <c r="DU11" i="8" s="1"/>
  <c r="DT11" i="8" a="1"/>
  <c r="DT11" i="8" s="1"/>
  <c r="DS11" i="8" a="1"/>
  <c r="DS11" i="8" s="1"/>
  <c r="DR11" i="8" a="1"/>
  <c r="DR11" i="8" s="1"/>
  <c r="DQ11" i="8" a="1"/>
  <c r="DQ11" i="8" s="1"/>
  <c r="DP11" i="8" a="1"/>
  <c r="DP11" i="8" s="1"/>
  <c r="DO11" i="8" a="1"/>
  <c r="DO11" i="8" s="1"/>
  <c r="DN11" i="8" a="1"/>
  <c r="DN11" i="8" s="1"/>
  <c r="DM11" i="8" a="1"/>
  <c r="DM11" i="8" s="1"/>
  <c r="DL11" i="8" a="1"/>
  <c r="DL11" i="8" s="1"/>
  <c r="DK11" i="8" a="1"/>
  <c r="DK11" i="8" s="1"/>
  <c r="DJ11" i="8" a="1"/>
  <c r="DJ11" i="8" s="1"/>
  <c r="DI11" i="8" a="1"/>
  <c r="DI11" i="8" s="1"/>
  <c r="DH11" i="8" a="1"/>
  <c r="DH11" i="8" s="1"/>
  <c r="DG11" i="8" a="1"/>
  <c r="DG11" i="8" s="1"/>
  <c r="DF11" i="8" a="1"/>
  <c r="DF11" i="8" s="1"/>
  <c r="DE11" i="8" a="1"/>
  <c r="DE11" i="8" s="1"/>
  <c r="DD11" i="8" a="1"/>
  <c r="DD11" i="8" s="1"/>
  <c r="DC11" i="8" a="1"/>
  <c r="DC11" i="8" s="1"/>
  <c r="DB11" i="8" a="1"/>
  <c r="DB11" i="8" s="1"/>
  <c r="DA11" i="8" a="1"/>
  <c r="DA11" i="8" s="1"/>
  <c r="CZ11" i="8" a="1"/>
  <c r="CZ11" i="8" s="1"/>
  <c r="CY11" i="8" a="1"/>
  <c r="CY11" i="8" s="1"/>
  <c r="CX11" i="8" a="1"/>
  <c r="CX11" i="8" s="1"/>
  <c r="CW11" i="8" a="1"/>
  <c r="CW11" i="8" s="1"/>
  <c r="CV11" i="8" a="1"/>
  <c r="CV11" i="8" s="1"/>
  <c r="CU11" i="8" a="1"/>
  <c r="CU11" i="8" s="1"/>
  <c r="CT11" i="8" a="1"/>
  <c r="CT11" i="8" s="1"/>
  <c r="CS11" i="8" a="1"/>
  <c r="CS11" i="8" s="1"/>
  <c r="CR11" i="8" a="1"/>
  <c r="CR11" i="8" s="1"/>
  <c r="CQ11" i="8" a="1"/>
  <c r="CQ11" i="8" s="1"/>
  <c r="CP11" i="8" a="1"/>
  <c r="CP11" i="8" s="1"/>
  <c r="CO11" i="8" a="1"/>
  <c r="CO11" i="8"/>
  <c r="CN11" i="8" a="1"/>
  <c r="CN11" i="8" s="1"/>
  <c r="CM11" i="8" a="1"/>
  <c r="CM11" i="8" s="1"/>
  <c r="CL11" i="8" a="1"/>
  <c r="CL11" i="8" s="1"/>
  <c r="CK11" i="8" a="1"/>
  <c r="CK11" i="8" s="1"/>
  <c r="CJ11" i="8" a="1"/>
  <c r="CJ11" i="8" s="1"/>
  <c r="CI11" i="8" a="1"/>
  <c r="CI11" i="8" s="1"/>
  <c r="CH11" i="8" a="1"/>
  <c r="CH11" i="8" s="1"/>
  <c r="CG11" i="8" a="1"/>
  <c r="CG11" i="8" s="1"/>
  <c r="CF11" i="8" a="1"/>
  <c r="CF11" i="8" s="1"/>
  <c r="CE11" i="8" a="1"/>
  <c r="CE11" i="8" s="1"/>
  <c r="CD11" i="8" a="1"/>
  <c r="CD11" i="8" s="1"/>
  <c r="CC11" i="8" a="1"/>
  <c r="CC11" i="8" s="1"/>
  <c r="CB11" i="8" a="1"/>
  <c r="CB11" i="8" s="1"/>
  <c r="CA11" i="8" a="1"/>
  <c r="CA11" i="8" s="1"/>
  <c r="BZ11" i="8" a="1"/>
  <c r="BZ11" i="8" s="1"/>
  <c r="BY11" i="8" a="1"/>
  <c r="BY11" i="8" s="1"/>
  <c r="BX11" i="8" a="1"/>
  <c r="BX11" i="8" s="1"/>
  <c r="BW11" i="8" a="1"/>
  <c r="BW11" i="8" s="1"/>
  <c r="BV11" i="8" a="1"/>
  <c r="BV11" i="8" s="1"/>
  <c r="BU11" i="8" a="1"/>
  <c r="BU11" i="8" s="1"/>
  <c r="BT11" i="8" a="1"/>
  <c r="BT11" i="8" s="1"/>
  <c r="BS11" i="8" a="1"/>
  <c r="BS11" i="8" s="1"/>
  <c r="BR11" i="8" a="1"/>
  <c r="BR11" i="8" s="1"/>
  <c r="BQ11" i="8" a="1"/>
  <c r="BQ11" i="8" s="1"/>
  <c r="BP11" i="8" a="1"/>
  <c r="BP11" i="8" s="1"/>
  <c r="BO11" i="8" a="1"/>
  <c r="BO11" i="8" s="1"/>
  <c r="BN11" i="8" a="1"/>
  <c r="BN11" i="8" s="1"/>
  <c r="BM11" i="8" a="1"/>
  <c r="BM11" i="8" s="1"/>
  <c r="BL11" i="8" a="1"/>
  <c r="BL11" i="8" s="1"/>
  <c r="BK11" i="8" a="1"/>
  <c r="BK11" i="8" s="1"/>
  <c r="BJ11" i="8" a="1"/>
  <c r="BJ11" i="8" s="1"/>
  <c r="BI11" i="8" a="1"/>
  <c r="BI11" i="8" s="1"/>
  <c r="BH11" i="8" a="1"/>
  <c r="BH11" i="8" s="1"/>
  <c r="BG11" i="8" a="1"/>
  <c r="BG11" i="8" s="1"/>
  <c r="BF11" i="8" a="1"/>
  <c r="BF11" i="8" s="1"/>
  <c r="BE11" i="8" a="1"/>
  <c r="BE11" i="8" s="1"/>
  <c r="BD11" i="8" a="1"/>
  <c r="BD11" i="8" s="1"/>
  <c r="BC11" i="8" a="1"/>
  <c r="BC11" i="8" s="1"/>
  <c r="BB11" i="8" a="1"/>
  <c r="BB11" i="8" s="1"/>
  <c r="BA11" i="8" a="1"/>
  <c r="BA11" i="8" s="1"/>
  <c r="AZ11" i="8" a="1"/>
  <c r="AZ11" i="8" s="1"/>
  <c r="AY11" i="8" a="1"/>
  <c r="AY11" i="8" s="1"/>
  <c r="AX11" i="8" a="1"/>
  <c r="AX11" i="8" s="1"/>
  <c r="AW11" i="8" a="1"/>
  <c r="AW11" i="8" s="1"/>
  <c r="AV11" i="8" a="1"/>
  <c r="AV11" i="8" s="1"/>
  <c r="AU11" i="8" a="1"/>
  <c r="AU11" i="8" s="1"/>
  <c r="AT11" i="8" a="1"/>
  <c r="AT11" i="8" s="1"/>
  <c r="AS11" i="8" a="1"/>
  <c r="AS11" i="8" s="1"/>
  <c r="AR11" i="8" a="1"/>
  <c r="AR11" i="8" s="1"/>
  <c r="AQ11" i="8" a="1"/>
  <c r="AQ11" i="8" s="1"/>
  <c r="AP11" i="8" a="1"/>
  <c r="AP11" i="8" s="1"/>
  <c r="AO11" i="8" a="1"/>
  <c r="AO11" i="8" s="1"/>
  <c r="AN11" i="8" a="1"/>
  <c r="AN11" i="8" s="1"/>
  <c r="AM11" i="8" a="1"/>
  <c r="AM11" i="8" s="1"/>
  <c r="AL11" i="8" a="1"/>
  <c r="AL11" i="8" s="1"/>
  <c r="AK11" i="8" a="1"/>
  <c r="AK11" i="8" s="1"/>
  <c r="AJ11" i="8" a="1"/>
  <c r="AJ11" i="8" s="1"/>
  <c r="AI11" i="8" a="1"/>
  <c r="AI11" i="8" s="1"/>
  <c r="AH11" i="8" a="1"/>
  <c r="AH11" i="8" s="1"/>
  <c r="AG11" i="8" a="1"/>
  <c r="AG11" i="8" s="1"/>
  <c r="AF11" i="8" a="1"/>
  <c r="AF11" i="8" s="1"/>
  <c r="AE11" i="8" a="1"/>
  <c r="AE11" i="8" s="1"/>
  <c r="AD11" i="8" a="1"/>
  <c r="AD11" i="8" s="1"/>
  <c r="AC11" i="8" a="1"/>
  <c r="AC11" i="8" s="1"/>
  <c r="AB11" i="8" a="1"/>
  <c r="AB11" i="8" s="1"/>
  <c r="AA11" i="8" a="1"/>
  <c r="AA11" i="8" s="1"/>
  <c r="Z11" i="8" a="1"/>
  <c r="Z11" i="8" s="1"/>
  <c r="Y11" i="8" a="1"/>
  <c r="Y11" i="8" s="1"/>
  <c r="X11" i="8" a="1"/>
  <c r="X11" i="8" s="1"/>
  <c r="W11" i="8" a="1"/>
  <c r="W11" i="8" s="1"/>
  <c r="V11" i="8" a="1"/>
  <c r="V11" i="8" s="1"/>
  <c r="U11" i="8" a="1"/>
  <c r="U11" i="8" s="1"/>
  <c r="T11" i="8" a="1"/>
  <c r="T11" i="8" s="1"/>
  <c r="S11" i="8" a="1"/>
  <c r="S11" i="8" s="1"/>
  <c r="R11" i="8" a="1"/>
  <c r="R11" i="8" s="1"/>
  <c r="Q11" i="8" a="1"/>
  <c r="Q11" i="8" s="1"/>
  <c r="P11" i="8" a="1"/>
  <c r="P11" i="8" s="1"/>
  <c r="O11" i="8" a="1"/>
  <c r="O11" i="8" s="1"/>
  <c r="N11" i="8" a="1"/>
  <c r="N11" i="8" s="1"/>
  <c r="M11" i="8" a="1"/>
  <c r="M11" i="8" s="1"/>
  <c r="L11" i="8" a="1"/>
  <c r="L11" i="8" s="1"/>
  <c r="K11" i="8" a="1"/>
  <c r="K11" i="8"/>
  <c r="J11" i="8" a="1"/>
  <c r="J11" i="8"/>
  <c r="I11" i="8" a="1"/>
  <c r="I11" i="8"/>
  <c r="H11" i="8" a="1"/>
  <c r="H11" i="8"/>
  <c r="G11" i="8" a="1"/>
  <c r="G11" i="8"/>
  <c r="F11" i="8" a="1"/>
  <c r="F11" i="8"/>
  <c r="E11" i="8" a="1"/>
  <c r="E11" i="8"/>
  <c r="EG10" i="8" a="1"/>
  <c r="EG10" i="8"/>
  <c r="EF10" i="8" a="1"/>
  <c r="EF10" i="8"/>
  <c r="EE10" i="8" a="1"/>
  <c r="EE10" i="8"/>
  <c r="ED10" i="8" a="1"/>
  <c r="ED10" i="8"/>
  <c r="EC10" i="8" a="1"/>
  <c r="EC10" i="8"/>
  <c r="EB10" i="8" a="1"/>
  <c r="EB10" i="8"/>
  <c r="EA10" i="8" a="1"/>
  <c r="EA10" i="8"/>
  <c r="DZ10" i="8" a="1"/>
  <c r="DZ10" i="8"/>
  <c r="DY10" i="8" a="1"/>
  <c r="DY10" i="8"/>
  <c r="DX10" i="8" a="1"/>
  <c r="DX10" i="8"/>
  <c r="DW10" i="8" a="1"/>
  <c r="DW10" i="8"/>
  <c r="DV10" i="8" a="1"/>
  <c r="DV10" i="8"/>
  <c r="DU10" i="8" a="1"/>
  <c r="DU10" i="8"/>
  <c r="DT10" i="8" a="1"/>
  <c r="DT10" i="8"/>
  <c r="DS10" i="8" a="1"/>
  <c r="DS10" i="8"/>
  <c r="DR10" i="8" a="1"/>
  <c r="DR10" i="8"/>
  <c r="DQ10" i="8" a="1"/>
  <c r="DQ10" i="8"/>
  <c r="DP10" i="8" a="1"/>
  <c r="DP10" i="8"/>
  <c r="DO10" i="8" a="1"/>
  <c r="DO10" i="8"/>
  <c r="DN10" i="8" a="1"/>
  <c r="DN10" i="8"/>
  <c r="DM10" i="8" a="1"/>
  <c r="DM10" i="8"/>
  <c r="DL10" i="8" a="1"/>
  <c r="DL10" i="8"/>
  <c r="DK10" i="8" a="1"/>
  <c r="DK10" i="8"/>
  <c r="DJ10" i="8" a="1"/>
  <c r="DJ10" i="8"/>
  <c r="DI10" i="8" a="1"/>
  <c r="DI10" i="8"/>
  <c r="DH10" i="8" a="1"/>
  <c r="DH10" i="8"/>
  <c r="DG10" i="8" a="1"/>
  <c r="DG10" i="8"/>
  <c r="DF10" i="8" a="1"/>
  <c r="DF10" i="8"/>
  <c r="DE10" i="8" a="1"/>
  <c r="DE10" i="8"/>
  <c r="DD10" i="8" a="1"/>
  <c r="DD10" i="8"/>
  <c r="DC10" i="8" a="1"/>
  <c r="DC10" i="8"/>
  <c r="DB10" i="8" a="1"/>
  <c r="DB10" i="8"/>
  <c r="DA10" i="8" a="1"/>
  <c r="DA10" i="8"/>
  <c r="CZ10" i="8" a="1"/>
  <c r="CZ10" i="8"/>
  <c r="CY10" i="8" a="1"/>
  <c r="CY10" i="8"/>
  <c r="CX10" i="8" a="1"/>
  <c r="CX10" i="8"/>
  <c r="CW10" i="8" a="1"/>
  <c r="CW10" i="8"/>
  <c r="CV10" i="8" a="1"/>
  <c r="CV10" i="8"/>
  <c r="CU10" i="8" a="1"/>
  <c r="CU10" i="8"/>
  <c r="CT10" i="8" a="1"/>
  <c r="CT10" i="8"/>
  <c r="CS10" i="8" a="1"/>
  <c r="CS10" i="8"/>
  <c r="CR10" i="8" a="1"/>
  <c r="CR10" i="8"/>
  <c r="CQ10" i="8" a="1"/>
  <c r="CQ10" i="8"/>
  <c r="CP10" i="8" a="1"/>
  <c r="CP10" i="8"/>
  <c r="CO10" i="8" a="1"/>
  <c r="CO10" i="8"/>
  <c r="CN10" i="8" a="1"/>
  <c r="CN10" i="8"/>
  <c r="CM10" i="8" a="1"/>
  <c r="CM10" i="8"/>
  <c r="CL10" i="8" a="1"/>
  <c r="CL10" i="8"/>
  <c r="CK10" i="8" a="1"/>
  <c r="CK10" i="8"/>
  <c r="CJ10" i="8" a="1"/>
  <c r="CJ10" i="8"/>
  <c r="CI10" i="8" a="1"/>
  <c r="CI10" i="8"/>
  <c r="CH10" i="8" a="1"/>
  <c r="CH10" i="8"/>
  <c r="CG10" i="8" a="1"/>
  <c r="CG10" i="8"/>
  <c r="CF10" i="8" a="1"/>
  <c r="CF10" i="8"/>
  <c r="CE10" i="8" a="1"/>
  <c r="CE10" i="8"/>
  <c r="CD10" i="8" a="1"/>
  <c r="CD10" i="8"/>
  <c r="CC10" i="8" a="1"/>
  <c r="CC10" i="8"/>
  <c r="CB10" i="8" a="1"/>
  <c r="CB10" i="8"/>
  <c r="CA10" i="8" a="1"/>
  <c r="CA10" i="8"/>
  <c r="BZ10" i="8" a="1"/>
  <c r="BZ10" i="8"/>
  <c r="BY10" i="8" a="1"/>
  <c r="BY10" i="8"/>
  <c r="BX10" i="8" a="1"/>
  <c r="BX10" i="8"/>
  <c r="BW10" i="8" a="1"/>
  <c r="BW10" i="8"/>
  <c r="BV10" i="8" a="1"/>
  <c r="BV10" i="8"/>
  <c r="BU10" i="8" a="1"/>
  <c r="BU10" i="8"/>
  <c r="BT10" i="8" a="1"/>
  <c r="BT10" i="8"/>
  <c r="BS10" i="8" a="1"/>
  <c r="BS10" i="8"/>
  <c r="BR10" i="8" a="1"/>
  <c r="BR10" i="8"/>
  <c r="BQ10" i="8" a="1"/>
  <c r="BQ10" i="8"/>
  <c r="BP10" i="8" a="1"/>
  <c r="BP10" i="8"/>
  <c r="BO10" i="8" a="1"/>
  <c r="BO10" i="8"/>
  <c r="BN10" i="8" a="1"/>
  <c r="BN10" i="8"/>
  <c r="BM10" i="8" a="1"/>
  <c r="BM10" i="8"/>
  <c r="BL10" i="8" a="1"/>
  <c r="BL10" i="8"/>
  <c r="BK10" i="8" a="1"/>
  <c r="BK10" i="8"/>
  <c r="BJ10" i="8" a="1"/>
  <c r="BJ10" i="8"/>
  <c r="BI10" i="8" a="1"/>
  <c r="BI10" i="8"/>
  <c r="BH10" i="8" a="1"/>
  <c r="BH10" i="8"/>
  <c r="BG10" i="8" a="1"/>
  <c r="BG10" i="8"/>
  <c r="BF10" i="8" a="1"/>
  <c r="BF10" i="8"/>
  <c r="BE10" i="8" a="1"/>
  <c r="BE10" i="8"/>
  <c r="BD10" i="8" a="1"/>
  <c r="BD10" i="8"/>
  <c r="BC10" i="8" a="1"/>
  <c r="BC10" i="8"/>
  <c r="BB10" i="8" a="1"/>
  <c r="BB10" i="8"/>
  <c r="BA10" i="8" a="1"/>
  <c r="BA10" i="8"/>
  <c r="AZ10" i="8" a="1"/>
  <c r="AZ10" i="8"/>
  <c r="AY10" i="8" a="1"/>
  <c r="AY10" i="8"/>
  <c r="AX10" i="8" a="1"/>
  <c r="AX10" i="8"/>
  <c r="AW10" i="8" a="1"/>
  <c r="AW10" i="8"/>
  <c r="AV10" i="8" a="1"/>
  <c r="AV10" i="8"/>
  <c r="AU10" i="8" a="1"/>
  <c r="AU10" i="8"/>
  <c r="AT10" i="8" a="1"/>
  <c r="AT10" i="8"/>
  <c r="AS10" i="8" a="1"/>
  <c r="AS10" i="8"/>
  <c r="AR10" i="8" a="1"/>
  <c r="AR10" i="8"/>
  <c r="AQ10" i="8" a="1"/>
  <c r="AQ10" i="8"/>
  <c r="AP10" i="8" a="1"/>
  <c r="AP10" i="8"/>
  <c r="AO10" i="8" a="1"/>
  <c r="AO10" i="8"/>
  <c r="AN10" i="8" a="1"/>
  <c r="AN10" i="8"/>
  <c r="AM10" i="8" a="1"/>
  <c r="AM10" i="8"/>
  <c r="AL10" i="8" a="1"/>
  <c r="AL10" i="8"/>
  <c r="AK10" i="8" a="1"/>
  <c r="AK10" i="8"/>
  <c r="AJ10" i="8" a="1"/>
  <c r="AJ10" i="8"/>
  <c r="AI10" i="8" a="1"/>
  <c r="AI10" i="8"/>
  <c r="AH10" i="8" a="1"/>
  <c r="AH10" i="8"/>
  <c r="AG10" i="8" a="1"/>
  <c r="AG10" i="8"/>
  <c r="AF10" i="8" a="1"/>
  <c r="AF10" i="8"/>
  <c r="AE10" i="8" a="1"/>
  <c r="AE10" i="8"/>
  <c r="AD10" i="8" a="1"/>
  <c r="AD10" i="8"/>
  <c r="AC10" i="8" a="1"/>
  <c r="AC10" i="8"/>
  <c r="AB10" i="8" a="1"/>
  <c r="AB10" i="8"/>
  <c r="AA10" i="8" a="1"/>
  <c r="AA10" i="8"/>
  <c r="Z10" i="8" a="1"/>
  <c r="Z10" i="8"/>
  <c r="Y10" i="8" a="1"/>
  <c r="Y10" i="8"/>
  <c r="X10" i="8" a="1"/>
  <c r="X10" i="8"/>
  <c r="W10" i="8" a="1"/>
  <c r="W10" i="8"/>
  <c r="V10" i="8" a="1"/>
  <c r="V10" i="8"/>
  <c r="U10" i="8" a="1"/>
  <c r="U10" i="8"/>
  <c r="T10" i="8" a="1"/>
  <c r="T10" i="8"/>
  <c r="S10" i="8" a="1"/>
  <c r="S10" i="8"/>
  <c r="R10" i="8" a="1"/>
  <c r="R10" i="8"/>
  <c r="Q10" i="8" a="1"/>
  <c r="Q10" i="8"/>
  <c r="P10" i="8" a="1"/>
  <c r="P10" i="8"/>
  <c r="O10" i="8" a="1"/>
  <c r="O10" i="8"/>
  <c r="N10" i="8" a="1"/>
  <c r="N10" i="8"/>
  <c r="M10" i="8" a="1"/>
  <c r="M10" i="8"/>
  <c r="L10" i="8" a="1"/>
  <c r="L10" i="8"/>
  <c r="K10" i="8" a="1"/>
  <c r="K10" i="8"/>
  <c r="J10" i="8" a="1"/>
  <c r="J10" i="8"/>
  <c r="I10" i="8" a="1"/>
  <c r="I10" i="8"/>
  <c r="H10" i="8" a="1"/>
  <c r="H10" i="8"/>
  <c r="G10" i="8" a="1"/>
  <c r="G10" i="8"/>
  <c r="F10" i="8" a="1"/>
  <c r="F10" i="8"/>
  <c r="E10" i="8" a="1"/>
  <c r="E10" i="8"/>
  <c r="EG9" i="8" a="1"/>
  <c r="EG9" i="8"/>
  <c r="EF9" i="8" a="1"/>
  <c r="EF9" i="8"/>
  <c r="EE9" i="8" a="1"/>
  <c r="EE9" i="8"/>
  <c r="ED9" i="8" a="1"/>
  <c r="ED9" i="8"/>
  <c r="EC9" i="8" a="1"/>
  <c r="EC9" i="8"/>
  <c r="EB9" i="8" a="1"/>
  <c r="EB9" i="8"/>
  <c r="EA9" i="8" a="1"/>
  <c r="EA9" i="8"/>
  <c r="DZ9" i="8" a="1"/>
  <c r="DZ9" i="8"/>
  <c r="DY9" i="8" a="1"/>
  <c r="DY9" i="8"/>
  <c r="DX9" i="8" a="1"/>
  <c r="DX9" i="8"/>
  <c r="DW9" i="8" a="1"/>
  <c r="DW9" i="8"/>
  <c r="DV9" i="8" a="1"/>
  <c r="DV9" i="8"/>
  <c r="DU9" i="8" a="1"/>
  <c r="DU9" i="8"/>
  <c r="DT9" i="8" a="1"/>
  <c r="DT9" i="8"/>
  <c r="DS9" i="8" a="1"/>
  <c r="DS9" i="8"/>
  <c r="DR9" i="8" a="1"/>
  <c r="DR9" i="8"/>
  <c r="DQ9" i="8" a="1"/>
  <c r="DQ9" i="8"/>
  <c r="DP9" i="8" a="1"/>
  <c r="DP9" i="8"/>
  <c r="DO9" i="8" a="1"/>
  <c r="DO9" i="8"/>
  <c r="DN9" i="8" a="1"/>
  <c r="DN9" i="8"/>
  <c r="DM9" i="8" a="1"/>
  <c r="DM9" i="8"/>
  <c r="DL9" i="8" a="1"/>
  <c r="DL9" i="8"/>
  <c r="DK9" i="8" a="1"/>
  <c r="DK9" i="8"/>
  <c r="DJ9" i="8" a="1"/>
  <c r="DJ9" i="8"/>
  <c r="DI9" i="8" a="1"/>
  <c r="DI9" i="8"/>
  <c r="DH9" i="8" a="1"/>
  <c r="DH9" i="8"/>
  <c r="DG9" i="8" a="1"/>
  <c r="DG9" i="8"/>
  <c r="DF9" i="8" a="1"/>
  <c r="DF9" i="8"/>
  <c r="DE9" i="8" a="1"/>
  <c r="DE9" i="8"/>
  <c r="DD9" i="8" a="1"/>
  <c r="DD9" i="8"/>
  <c r="DC9" i="8" a="1"/>
  <c r="DC9" i="8"/>
  <c r="DB9" i="8" a="1"/>
  <c r="DB9" i="8"/>
  <c r="DA9" i="8" a="1"/>
  <c r="DA9" i="8"/>
  <c r="CZ9" i="8" a="1"/>
  <c r="CZ9" i="8"/>
  <c r="CY9" i="8" a="1"/>
  <c r="CY9" i="8"/>
  <c r="CX9" i="8" a="1"/>
  <c r="CX9" i="8"/>
  <c r="CW9" i="8" a="1"/>
  <c r="CW9" i="8"/>
  <c r="CV9" i="8" a="1"/>
  <c r="CV9" i="8"/>
  <c r="CU9" i="8" a="1"/>
  <c r="CU9" i="8"/>
  <c r="CT9" i="8" a="1"/>
  <c r="CT9" i="8"/>
  <c r="CS9" i="8" a="1"/>
  <c r="CS9" i="8"/>
  <c r="CR9" i="8" a="1"/>
  <c r="CR9" i="8"/>
  <c r="CQ9" i="8" a="1"/>
  <c r="CQ9" i="8"/>
  <c r="CP9" i="8" a="1"/>
  <c r="CP9" i="8"/>
  <c r="CO9" i="8" a="1"/>
  <c r="CO9" i="8"/>
  <c r="CN9" i="8" a="1"/>
  <c r="CN9" i="8"/>
  <c r="CM9" i="8" a="1"/>
  <c r="CM9" i="8"/>
  <c r="CL9" i="8" a="1"/>
  <c r="CL9" i="8"/>
  <c r="CK9" i="8" a="1"/>
  <c r="CK9" i="8"/>
  <c r="CJ9" i="8" a="1"/>
  <c r="CJ9" i="8"/>
  <c r="CI9" i="8" a="1"/>
  <c r="CI9" i="8"/>
  <c r="CH9" i="8" a="1"/>
  <c r="CH9" i="8"/>
  <c r="CG9" i="8" a="1"/>
  <c r="CG9" i="8"/>
  <c r="CF9" i="8" a="1"/>
  <c r="CF9" i="8"/>
  <c r="CE9" i="8" a="1"/>
  <c r="CE9" i="8"/>
  <c r="CD9" i="8" a="1"/>
  <c r="CD9" i="8"/>
  <c r="CC9" i="8" a="1"/>
  <c r="CC9" i="8"/>
  <c r="CB9" i="8" a="1"/>
  <c r="CB9" i="8"/>
  <c r="CA9" i="8" a="1"/>
  <c r="CA9" i="8"/>
  <c r="BZ9" i="8" a="1"/>
  <c r="BZ9" i="8"/>
  <c r="BY9" i="8" a="1"/>
  <c r="BY9" i="8"/>
  <c r="BX9" i="8" a="1"/>
  <c r="BX9" i="8"/>
  <c r="BW9" i="8" a="1"/>
  <c r="BW9" i="8"/>
  <c r="BV9" i="8" a="1"/>
  <c r="BV9" i="8"/>
  <c r="BU9" i="8" a="1"/>
  <c r="BU9" i="8"/>
  <c r="BT9" i="8" a="1"/>
  <c r="BT9" i="8"/>
  <c r="BS9" i="8" a="1"/>
  <c r="BS9" i="8"/>
  <c r="BR9" i="8" a="1"/>
  <c r="BR9" i="8"/>
  <c r="BQ9" i="8" a="1"/>
  <c r="BQ9" i="8"/>
  <c r="BP9" i="8" a="1"/>
  <c r="BP9" i="8"/>
  <c r="BO9" i="8" a="1"/>
  <c r="BO9" i="8"/>
  <c r="BN9" i="8" a="1"/>
  <c r="BN9" i="8"/>
  <c r="BM9" i="8" a="1"/>
  <c r="BM9" i="8"/>
  <c r="BL9" i="8" a="1"/>
  <c r="BL9" i="8"/>
  <c r="BK9" i="8" a="1"/>
  <c r="BK9" i="8"/>
  <c r="BJ9" i="8" a="1"/>
  <c r="BJ9" i="8"/>
  <c r="BI9" i="8" a="1"/>
  <c r="BI9" i="8"/>
  <c r="BH9" i="8" a="1"/>
  <c r="BH9" i="8"/>
  <c r="BG9" i="8" a="1"/>
  <c r="BG9" i="8"/>
  <c r="BF9" i="8" a="1"/>
  <c r="BF9" i="8"/>
  <c r="BE9" i="8" a="1"/>
  <c r="BE9" i="8"/>
  <c r="BD9" i="8" a="1"/>
  <c r="BD9" i="8"/>
  <c r="BC9" i="8" a="1"/>
  <c r="BC9" i="8"/>
  <c r="BB9" i="8" a="1"/>
  <c r="BB9" i="8"/>
  <c r="BA9" i="8" a="1"/>
  <c r="BA9" i="8"/>
  <c r="AZ9" i="8" a="1"/>
  <c r="AZ9" i="8"/>
  <c r="AY9" i="8" a="1"/>
  <c r="AY9" i="8"/>
  <c r="AX9" i="8" a="1"/>
  <c r="AX9" i="8"/>
  <c r="AW9" i="8" a="1"/>
  <c r="AW9" i="8"/>
  <c r="AV9" i="8" a="1"/>
  <c r="AV9" i="8"/>
  <c r="AU9" i="8" a="1"/>
  <c r="AU9" i="8"/>
  <c r="AT9" i="8" a="1"/>
  <c r="AT9" i="8"/>
  <c r="AS9" i="8" a="1"/>
  <c r="AS9" i="8"/>
  <c r="AR9" i="8" a="1"/>
  <c r="AR9" i="8"/>
  <c r="AQ9" i="8" a="1"/>
  <c r="AQ9" i="8"/>
  <c r="AP9" i="8" a="1"/>
  <c r="AP9" i="8"/>
  <c r="AO9" i="8" a="1"/>
  <c r="AO9" i="8"/>
  <c r="AN9" i="8" a="1"/>
  <c r="AN9" i="8"/>
  <c r="AM9" i="8" a="1"/>
  <c r="AM9" i="8"/>
  <c r="AL9" i="8" a="1"/>
  <c r="AL9" i="8"/>
  <c r="AK9" i="8" a="1"/>
  <c r="AK9" i="8"/>
  <c r="AJ9" i="8" a="1"/>
  <c r="AJ9" i="8"/>
  <c r="AI9" i="8" a="1"/>
  <c r="AI9" i="8"/>
  <c r="AH9" i="8" a="1"/>
  <c r="AH9" i="8"/>
  <c r="AG9" i="8" a="1"/>
  <c r="AG9" i="8"/>
  <c r="AF9" i="8" a="1"/>
  <c r="AF9" i="8"/>
  <c r="AE9" i="8" a="1"/>
  <c r="AE9" i="8"/>
  <c r="AD9" i="8" a="1"/>
  <c r="AD9" i="8"/>
  <c r="AC9" i="8" a="1"/>
  <c r="AC9" i="8"/>
  <c r="AB9" i="8" a="1"/>
  <c r="AB9" i="8"/>
  <c r="AA9" i="8" a="1"/>
  <c r="AA9" i="8"/>
  <c r="Z9" i="8" a="1"/>
  <c r="Z9" i="8"/>
  <c r="Y9" i="8" a="1"/>
  <c r="Y9" i="8"/>
  <c r="X9" i="8" a="1"/>
  <c r="X9" i="8"/>
  <c r="W9" i="8" a="1"/>
  <c r="W9" i="8"/>
  <c r="V9" i="8" a="1"/>
  <c r="V9" i="8"/>
  <c r="U9" i="8" a="1"/>
  <c r="U9" i="8"/>
  <c r="T9" i="8" a="1"/>
  <c r="T9" i="8"/>
  <c r="S9" i="8" a="1"/>
  <c r="S9" i="8"/>
  <c r="R9" i="8" a="1"/>
  <c r="R9" i="8"/>
  <c r="Q9" i="8" a="1"/>
  <c r="Q9" i="8"/>
  <c r="P9" i="8" a="1"/>
  <c r="P9" i="8"/>
  <c r="O9" i="8" a="1"/>
  <c r="O9" i="8"/>
  <c r="N9" i="8" a="1"/>
  <c r="N9" i="8"/>
  <c r="M9" i="8" a="1"/>
  <c r="M9" i="8"/>
  <c r="L9" i="8" a="1"/>
  <c r="L9" i="8"/>
  <c r="K9" i="8" a="1"/>
  <c r="K9" i="8"/>
  <c r="J9" i="8" a="1"/>
  <c r="J9" i="8"/>
  <c r="I9" i="8" a="1"/>
  <c r="I9" i="8"/>
  <c r="H9" i="8" a="1"/>
  <c r="H9" i="8"/>
  <c r="G9" i="8" a="1"/>
  <c r="G9" i="8"/>
  <c r="F9" i="8" a="1"/>
  <c r="F9" i="8"/>
  <c r="E9" i="8" a="1"/>
  <c r="E9" i="8"/>
  <c r="EG8" i="8" a="1"/>
  <c r="EG8" i="8"/>
  <c r="EF8" i="8" a="1"/>
  <c r="EF8" i="8"/>
  <c r="EE8" i="8" a="1"/>
  <c r="EE8" i="8"/>
  <c r="ED8" i="8" a="1"/>
  <c r="ED8" i="8"/>
  <c r="EC8" i="8" a="1"/>
  <c r="EC8" i="8"/>
  <c r="EB8" i="8" a="1"/>
  <c r="EB8" i="8"/>
  <c r="EA8" i="8" a="1"/>
  <c r="EA8" i="8"/>
  <c r="DZ8" i="8" a="1"/>
  <c r="DZ8" i="8"/>
  <c r="DY8" i="8" a="1"/>
  <c r="DY8" i="8"/>
  <c r="DX8" i="8" a="1"/>
  <c r="DX8" i="8"/>
  <c r="DW8" i="8" a="1"/>
  <c r="DW8" i="8"/>
  <c r="DV8" i="8" a="1"/>
  <c r="DV8" i="8"/>
  <c r="DU8" i="8" a="1"/>
  <c r="DU8" i="8"/>
  <c r="DT8" i="8" a="1"/>
  <c r="DT8" i="8"/>
  <c r="DS8" i="8" a="1"/>
  <c r="DS8" i="8"/>
  <c r="DR8" i="8" a="1"/>
  <c r="DR8" i="8"/>
  <c r="DQ8" i="8" a="1"/>
  <c r="DQ8" i="8"/>
  <c r="DP8" i="8" a="1"/>
  <c r="DP8" i="8"/>
  <c r="DO8" i="8" a="1"/>
  <c r="DO8" i="8"/>
  <c r="DN8" i="8" a="1"/>
  <c r="DN8" i="8"/>
  <c r="DM8" i="8" a="1"/>
  <c r="DM8" i="8"/>
  <c r="DL8" i="8" a="1"/>
  <c r="DL8" i="8"/>
  <c r="DK8" i="8" a="1"/>
  <c r="DK8" i="8"/>
  <c r="DJ8" i="8" a="1"/>
  <c r="DJ8" i="8"/>
  <c r="DI8" i="8" a="1"/>
  <c r="DI8" i="8"/>
  <c r="DH8" i="8" a="1"/>
  <c r="DH8" i="8"/>
  <c r="DG8" i="8" a="1"/>
  <c r="DG8" i="8"/>
  <c r="DF8" i="8" a="1"/>
  <c r="DF8" i="8"/>
  <c r="DE8" i="8" a="1"/>
  <c r="DE8" i="8"/>
  <c r="DD8" i="8" a="1"/>
  <c r="DD8" i="8"/>
  <c r="DC8" i="8" a="1"/>
  <c r="DC8" i="8"/>
  <c r="DB8" i="8" a="1"/>
  <c r="DB8" i="8"/>
  <c r="DA8" i="8" a="1"/>
  <c r="DA8" i="8"/>
  <c r="CZ8" i="8" a="1"/>
  <c r="CZ8" i="8"/>
  <c r="CY8" i="8" a="1"/>
  <c r="CY8" i="8"/>
  <c r="CX8" i="8" a="1"/>
  <c r="CX8" i="8"/>
  <c r="CW8" i="8" a="1"/>
  <c r="CW8" i="8"/>
  <c r="CV8" i="8" a="1"/>
  <c r="CV8" i="8"/>
  <c r="CU8" i="8" a="1"/>
  <c r="CU8" i="8"/>
  <c r="CT8" i="8" a="1"/>
  <c r="CT8" i="8"/>
  <c r="CS8" i="8" a="1"/>
  <c r="CS8" i="8"/>
  <c r="CR8" i="8" a="1"/>
  <c r="CR8" i="8"/>
  <c r="CQ8" i="8" a="1"/>
  <c r="CQ8" i="8"/>
  <c r="CP8" i="8" a="1"/>
  <c r="CP8" i="8"/>
  <c r="CO8" i="8" a="1"/>
  <c r="CO8" i="8"/>
  <c r="CN8" i="8" a="1"/>
  <c r="CN8" i="8"/>
  <c r="CM8" i="8" a="1"/>
  <c r="CM8" i="8"/>
  <c r="CL8" i="8" a="1"/>
  <c r="CL8" i="8"/>
  <c r="CK8" i="8" a="1"/>
  <c r="CK8" i="8"/>
  <c r="CJ8" i="8" a="1"/>
  <c r="CJ8" i="8"/>
  <c r="CI8" i="8" a="1"/>
  <c r="CI8" i="8"/>
  <c r="CH8" i="8" a="1"/>
  <c r="CH8" i="8"/>
  <c r="CG8" i="8" a="1"/>
  <c r="CG8" i="8"/>
  <c r="CF8" i="8" a="1"/>
  <c r="CF8" i="8"/>
  <c r="CE8" i="8" a="1"/>
  <c r="CE8" i="8"/>
  <c r="CD8" i="8" a="1"/>
  <c r="CD8" i="8"/>
  <c r="CC8" i="8" a="1"/>
  <c r="CC8" i="8"/>
  <c r="CB8" i="8" a="1"/>
  <c r="CB8" i="8"/>
  <c r="CA8" i="8" a="1"/>
  <c r="CA8" i="8"/>
  <c r="BZ8" i="8" a="1"/>
  <c r="BZ8" i="8"/>
  <c r="BY8" i="8" a="1"/>
  <c r="BY8" i="8"/>
  <c r="BX8" i="8" a="1"/>
  <c r="BX8" i="8"/>
  <c r="BW8" i="8" a="1"/>
  <c r="BW8" i="8"/>
  <c r="BV8" i="8" a="1"/>
  <c r="BV8" i="8"/>
  <c r="BU8" i="8" a="1"/>
  <c r="BU8" i="8"/>
  <c r="BT8" i="8" a="1"/>
  <c r="BT8" i="8"/>
  <c r="BS8" i="8" a="1"/>
  <c r="BS8" i="8"/>
  <c r="BR8" i="8" a="1"/>
  <c r="BR8" i="8"/>
  <c r="BQ8" i="8" a="1"/>
  <c r="BQ8" i="8"/>
  <c r="BP8" i="8" a="1"/>
  <c r="BP8" i="8"/>
  <c r="BO8" i="8" a="1"/>
  <c r="BO8" i="8"/>
  <c r="BN8" i="8" a="1"/>
  <c r="BN8" i="8"/>
  <c r="BM8" i="8" a="1"/>
  <c r="BM8" i="8"/>
  <c r="BL8" i="8" a="1"/>
  <c r="BL8" i="8"/>
  <c r="BK8" i="8" a="1"/>
  <c r="BK8" i="8"/>
  <c r="BJ8" i="8" a="1"/>
  <c r="BJ8" i="8"/>
  <c r="BI8" i="8" a="1"/>
  <c r="BI8" i="8"/>
  <c r="BH8" i="8" a="1"/>
  <c r="BH8" i="8"/>
  <c r="BG8" i="8" a="1"/>
  <c r="BG8" i="8"/>
  <c r="BF8" i="8" a="1"/>
  <c r="BF8" i="8"/>
  <c r="BE8" i="8" a="1"/>
  <c r="BE8" i="8"/>
  <c r="BD8" i="8" a="1"/>
  <c r="BD8" i="8"/>
  <c r="BC8" i="8" a="1"/>
  <c r="BC8" i="8"/>
  <c r="BB8" i="8" a="1"/>
  <c r="BB8" i="8"/>
  <c r="BA8" i="8" a="1"/>
  <c r="BA8" i="8"/>
  <c r="AZ8" i="8" a="1"/>
  <c r="AZ8" i="8"/>
  <c r="AY8" i="8" a="1"/>
  <c r="AY8" i="8"/>
  <c r="AX8" i="8" a="1"/>
  <c r="AX8" i="8"/>
  <c r="AW8" i="8" a="1"/>
  <c r="AW8" i="8"/>
  <c r="AV8" i="8" a="1"/>
  <c r="AV8" i="8"/>
  <c r="AU8" i="8" a="1"/>
  <c r="AU8" i="8"/>
  <c r="AT8" i="8" a="1"/>
  <c r="AT8" i="8"/>
  <c r="AS8" i="8" a="1"/>
  <c r="AS8" i="8"/>
  <c r="AR8" i="8" a="1"/>
  <c r="AR8" i="8"/>
  <c r="AQ8" i="8" a="1"/>
  <c r="AQ8" i="8"/>
  <c r="AP8" i="8" a="1"/>
  <c r="AP8" i="8"/>
  <c r="AO8" i="8" a="1"/>
  <c r="AO8" i="8"/>
  <c r="AN8" i="8" a="1"/>
  <c r="AN8" i="8"/>
  <c r="AM8" i="8" a="1"/>
  <c r="AM8" i="8"/>
  <c r="AL8" i="8" a="1"/>
  <c r="AL8" i="8"/>
  <c r="AK8" i="8" a="1"/>
  <c r="AK8" i="8"/>
  <c r="AJ8" i="8" a="1"/>
  <c r="AJ8" i="8"/>
  <c r="AI8" i="8" a="1"/>
  <c r="AI8" i="8"/>
  <c r="AH8" i="8" a="1"/>
  <c r="AH8" i="8"/>
  <c r="AG8" i="8" a="1"/>
  <c r="AG8" i="8"/>
  <c r="AF8" i="8" a="1"/>
  <c r="AF8" i="8"/>
  <c r="AE8" i="8" a="1"/>
  <c r="AE8" i="8"/>
  <c r="AD8" i="8" a="1"/>
  <c r="AD8" i="8"/>
  <c r="AC8" i="8" a="1"/>
  <c r="AC8" i="8"/>
  <c r="AB8" i="8" a="1"/>
  <c r="AB8" i="8"/>
  <c r="AA8" i="8" a="1"/>
  <c r="AA8" i="8"/>
  <c r="Z8" i="8" a="1"/>
  <c r="Z8" i="8"/>
  <c r="Y8" i="8" a="1"/>
  <c r="Y8" i="8"/>
  <c r="X8" i="8" a="1"/>
  <c r="X8" i="8"/>
  <c r="W8" i="8" a="1"/>
  <c r="W8" i="8"/>
  <c r="V8" i="8" a="1"/>
  <c r="V8" i="8"/>
  <c r="U8" i="8" a="1"/>
  <c r="U8" i="8"/>
  <c r="T8" i="8" a="1"/>
  <c r="T8" i="8"/>
  <c r="S8" i="8" a="1"/>
  <c r="S8" i="8"/>
  <c r="R8" i="8" a="1"/>
  <c r="R8" i="8"/>
  <c r="Q8" i="8" a="1"/>
  <c r="Q8" i="8"/>
  <c r="P8" i="8" a="1"/>
  <c r="P8" i="8"/>
  <c r="O8" i="8" a="1"/>
  <c r="O8" i="8"/>
  <c r="N8" i="8" a="1"/>
  <c r="N8" i="8"/>
  <c r="M8" i="8" a="1"/>
  <c r="M8" i="8"/>
  <c r="L8" i="8" a="1"/>
  <c r="L8" i="8"/>
  <c r="K8" i="8" a="1"/>
  <c r="K8" i="8"/>
  <c r="J8" i="8" a="1"/>
  <c r="J8" i="8"/>
  <c r="I8" i="8" a="1"/>
  <c r="I8" i="8"/>
  <c r="H8" i="8" a="1"/>
  <c r="H8" i="8"/>
  <c r="G8" i="8" a="1"/>
  <c r="G8" i="8"/>
  <c r="F8" i="8" a="1"/>
  <c r="F8" i="8"/>
  <c r="E8" i="8" a="1"/>
  <c r="E8" i="8"/>
  <c r="EG7" i="8" a="1"/>
  <c r="EG7" i="8"/>
  <c r="EF7" i="8" a="1"/>
  <c r="EF7" i="8"/>
  <c r="EE7" i="8" a="1"/>
  <c r="EE7" i="8"/>
  <c r="ED7" i="8" a="1"/>
  <c r="ED7" i="8"/>
  <c r="EC7" i="8" a="1"/>
  <c r="EC7" i="8"/>
  <c r="EB7" i="8" a="1"/>
  <c r="EB7" i="8"/>
  <c r="EA7" i="8" a="1"/>
  <c r="EA7" i="8"/>
  <c r="DZ7" i="8" a="1"/>
  <c r="DZ7" i="8"/>
  <c r="DY7" i="8" a="1"/>
  <c r="DY7" i="8"/>
  <c r="DX7" i="8" a="1"/>
  <c r="DX7" i="8"/>
  <c r="DW7" i="8" a="1"/>
  <c r="DW7" i="8"/>
  <c r="DV7" i="8" a="1"/>
  <c r="DV7" i="8"/>
  <c r="DU7" i="8" a="1"/>
  <c r="DU7" i="8"/>
  <c r="DT7" i="8" a="1"/>
  <c r="DT7" i="8"/>
  <c r="DS7" i="8" a="1"/>
  <c r="DS7" i="8"/>
  <c r="DR7" i="8" a="1"/>
  <c r="DR7" i="8"/>
  <c r="DQ7" i="8" a="1"/>
  <c r="DQ7" i="8"/>
  <c r="DP7" i="8" a="1"/>
  <c r="DP7" i="8"/>
  <c r="DO7" i="8" a="1"/>
  <c r="DO7" i="8"/>
  <c r="DN7" i="8" a="1"/>
  <c r="DN7" i="8"/>
  <c r="DM7" i="8" a="1"/>
  <c r="DM7" i="8"/>
  <c r="DL7" i="8" a="1"/>
  <c r="DL7" i="8"/>
  <c r="DK7" i="8" a="1"/>
  <c r="DK7" i="8"/>
  <c r="DJ7" i="8" a="1"/>
  <c r="DJ7" i="8"/>
  <c r="DI7" i="8" a="1"/>
  <c r="DI7" i="8"/>
  <c r="DH7" i="8" a="1"/>
  <c r="DH7" i="8"/>
  <c r="DG7" i="8" a="1"/>
  <c r="DG7" i="8"/>
  <c r="DF7" i="8" a="1"/>
  <c r="DF7" i="8"/>
  <c r="DE7" i="8" a="1"/>
  <c r="DE7" i="8"/>
  <c r="DD7" i="8" a="1"/>
  <c r="DD7" i="8"/>
  <c r="DC7" i="8" a="1"/>
  <c r="DC7" i="8"/>
  <c r="DB7" i="8" a="1"/>
  <c r="DB7" i="8"/>
  <c r="DA7" i="8" a="1"/>
  <c r="DA7" i="8"/>
  <c r="CZ7" i="8" a="1"/>
  <c r="CZ7" i="8"/>
  <c r="CY7" i="8" a="1"/>
  <c r="CY7" i="8"/>
  <c r="CX7" i="8" a="1"/>
  <c r="CX7" i="8"/>
  <c r="CW7" i="8" a="1"/>
  <c r="CW7" i="8"/>
  <c r="CV7" i="8" a="1"/>
  <c r="CV7" i="8"/>
  <c r="CU7" i="8" a="1"/>
  <c r="CU7" i="8"/>
  <c r="CT7" i="8" a="1"/>
  <c r="CT7" i="8"/>
  <c r="CS7" i="8" a="1"/>
  <c r="CS7" i="8"/>
  <c r="CR7" i="8" a="1"/>
  <c r="CR7" i="8"/>
  <c r="CQ7" i="8" a="1"/>
  <c r="CQ7" i="8"/>
  <c r="CP7" i="8" a="1"/>
  <c r="CP7" i="8"/>
  <c r="CO7" i="8" a="1"/>
  <c r="CO7" i="8"/>
  <c r="CN7" i="8" a="1"/>
  <c r="CN7" i="8"/>
  <c r="CM7" i="8" a="1"/>
  <c r="CM7" i="8"/>
  <c r="CL7" i="8" a="1"/>
  <c r="CL7" i="8"/>
  <c r="CK7" i="8" a="1"/>
  <c r="CK7" i="8"/>
  <c r="CJ7" i="8" a="1"/>
  <c r="CJ7" i="8"/>
  <c r="CI7" i="8" a="1"/>
  <c r="CI7" i="8"/>
  <c r="CH7" i="8" a="1"/>
  <c r="CH7" i="8"/>
  <c r="CG7" i="8" a="1"/>
  <c r="CG7" i="8"/>
  <c r="CF7" i="8" a="1"/>
  <c r="CF7" i="8"/>
  <c r="CE7" i="8" a="1"/>
  <c r="CE7" i="8"/>
  <c r="CD7" i="8" a="1"/>
  <c r="CD7" i="8"/>
  <c r="CC7" i="8" a="1"/>
  <c r="CC7" i="8"/>
  <c r="CB7" i="8" a="1"/>
  <c r="CB7" i="8"/>
  <c r="CA7" i="8" a="1"/>
  <c r="CA7" i="8"/>
  <c r="BZ7" i="8" a="1"/>
  <c r="BZ7" i="8"/>
  <c r="BY7" i="8" a="1"/>
  <c r="BY7" i="8"/>
  <c r="BX7" i="8" a="1"/>
  <c r="BX7" i="8"/>
  <c r="BW7" i="8" a="1"/>
  <c r="BW7" i="8"/>
  <c r="BV7" i="8" a="1"/>
  <c r="BV7" i="8"/>
  <c r="BU7" i="8" a="1"/>
  <c r="BU7" i="8"/>
  <c r="BT7" i="8" a="1"/>
  <c r="BT7" i="8"/>
  <c r="BS7" i="8" a="1"/>
  <c r="BS7" i="8"/>
  <c r="BR7" i="8" a="1"/>
  <c r="BR7" i="8"/>
  <c r="BQ7" i="8" a="1"/>
  <c r="BQ7" i="8"/>
  <c r="BP7" i="8" a="1"/>
  <c r="BP7" i="8"/>
  <c r="BO7" i="8" a="1"/>
  <c r="BO7" i="8"/>
  <c r="BN7" i="8" a="1"/>
  <c r="BN7" i="8"/>
  <c r="BM7" i="8" a="1"/>
  <c r="BM7" i="8"/>
  <c r="BL7" i="8" a="1"/>
  <c r="BL7" i="8"/>
  <c r="BK7" i="8" a="1"/>
  <c r="BK7" i="8"/>
  <c r="BJ7" i="8" a="1"/>
  <c r="BJ7" i="8"/>
  <c r="BI7" i="8" a="1"/>
  <c r="BI7" i="8"/>
  <c r="BH7" i="8" a="1"/>
  <c r="BH7" i="8"/>
  <c r="BG7" i="8" a="1"/>
  <c r="BG7" i="8"/>
  <c r="BF7" i="8" a="1"/>
  <c r="BF7" i="8"/>
  <c r="BE7" i="8" a="1"/>
  <c r="BE7" i="8"/>
  <c r="BD7" i="8" a="1"/>
  <c r="BD7" i="8"/>
  <c r="BC7" i="8" a="1"/>
  <c r="BC7" i="8"/>
  <c r="BB7" i="8" a="1"/>
  <c r="BB7" i="8"/>
  <c r="BA7" i="8" a="1"/>
  <c r="BA7" i="8"/>
  <c r="AZ7" i="8" a="1"/>
  <c r="AZ7" i="8"/>
  <c r="AY7" i="8" a="1"/>
  <c r="AY7" i="8" s="1"/>
  <c r="AX7" i="8" a="1"/>
  <c r="AX7" i="8" s="1"/>
  <c r="AW7" i="8" a="1"/>
  <c r="AW7" i="8" s="1"/>
  <c r="AV7" i="8" a="1"/>
  <c r="AV7" i="8" s="1"/>
  <c r="AU7" i="8" a="1"/>
  <c r="AU7" i="8" s="1"/>
  <c r="AT7" i="8" a="1"/>
  <c r="AT7" i="8" s="1"/>
  <c r="AS7" i="8" a="1"/>
  <c r="AS7" i="8" s="1"/>
  <c r="AR7" i="8" a="1"/>
  <c r="AR7" i="8" s="1"/>
  <c r="AQ7" i="8" a="1"/>
  <c r="AQ7" i="8" s="1"/>
  <c r="AP7" i="8" a="1"/>
  <c r="AP7" i="8" s="1"/>
  <c r="AO7" i="8" a="1"/>
  <c r="AO7" i="8" s="1"/>
  <c r="AN7" i="8" a="1"/>
  <c r="AN7" i="8" s="1"/>
  <c r="AM7" i="8" a="1"/>
  <c r="AM7" i="8" s="1"/>
  <c r="AL7" i="8" a="1"/>
  <c r="AL7" i="8" s="1"/>
  <c r="AK7" i="8" a="1"/>
  <c r="AK7" i="8" s="1"/>
  <c r="AJ7" i="8" a="1"/>
  <c r="AJ7" i="8" s="1"/>
  <c r="AI7" i="8" a="1"/>
  <c r="AI7" i="8" s="1"/>
  <c r="AH7" i="8" a="1"/>
  <c r="AH7" i="8" s="1"/>
  <c r="AG7" i="8" a="1"/>
  <c r="AG7" i="8" s="1"/>
  <c r="AF7" i="8" a="1"/>
  <c r="AF7" i="8" s="1"/>
  <c r="AE7" i="8" a="1"/>
  <c r="AE7" i="8" s="1"/>
  <c r="AD7" i="8" a="1"/>
  <c r="AD7" i="8" s="1"/>
  <c r="AC7" i="8" a="1"/>
  <c r="AC7" i="8" s="1"/>
  <c r="AB7" i="8" a="1"/>
  <c r="AB7" i="8" s="1"/>
  <c r="AA7" i="8" a="1"/>
  <c r="AA7" i="8" s="1"/>
  <c r="Z7" i="8" a="1"/>
  <c r="Z7" i="8" s="1"/>
  <c r="Y7" i="8" a="1"/>
  <c r="Y7" i="8" s="1"/>
  <c r="X7" i="8" a="1"/>
  <c r="X7" i="8" s="1"/>
  <c r="W7" i="8" a="1"/>
  <c r="W7" i="8" s="1"/>
  <c r="V7" i="8" a="1"/>
  <c r="V7" i="8" s="1"/>
  <c r="U7" i="8" a="1"/>
  <c r="U7" i="8" s="1"/>
  <c r="T7" i="8" a="1"/>
  <c r="T7" i="8" s="1"/>
  <c r="S7" i="8" a="1"/>
  <c r="S7" i="8" s="1"/>
  <c r="R7" i="8" a="1"/>
  <c r="R7" i="8" s="1"/>
  <c r="Q7" i="8" a="1"/>
  <c r="Q7" i="8" s="1"/>
  <c r="P7" i="8" a="1"/>
  <c r="P7" i="8" s="1"/>
  <c r="O7" i="8" a="1"/>
  <c r="O7" i="8" s="1"/>
  <c r="N7" i="8" a="1"/>
  <c r="N7" i="8" s="1"/>
  <c r="M7" i="8" a="1"/>
  <c r="M7" i="8" s="1"/>
  <c r="L7" i="8" a="1"/>
  <c r="L7" i="8" s="1"/>
  <c r="K7" i="8" a="1"/>
  <c r="K7" i="8" s="1"/>
  <c r="J7" i="8" a="1"/>
  <c r="J7" i="8" s="1"/>
  <c r="I7" i="8" a="1"/>
  <c r="I7" i="8" s="1"/>
  <c r="H7" i="8" a="1"/>
  <c r="H7" i="8" s="1"/>
  <c r="G7" i="8" a="1"/>
  <c r="G7" i="8" s="1"/>
  <c r="F7" i="8" a="1"/>
  <c r="F7" i="8" s="1"/>
  <c r="E7" i="8" a="1"/>
  <c r="E7" i="8" s="1"/>
  <c r="EG6" i="8" a="1"/>
  <c r="EG6" i="8" s="1"/>
  <c r="EF6" i="8" a="1"/>
  <c r="EF6" i="8" s="1"/>
  <c r="EE6" i="8" a="1"/>
  <c r="EE6" i="8" s="1"/>
  <c r="ED6" i="8" a="1"/>
  <c r="ED6" i="8" s="1"/>
  <c r="EC6" i="8" a="1"/>
  <c r="EC6" i="8" s="1"/>
  <c r="EB6" i="8" a="1"/>
  <c r="EB6" i="8" s="1"/>
  <c r="EA6" i="8" a="1"/>
  <c r="EA6" i="8" s="1"/>
  <c r="DZ6" i="8" a="1"/>
  <c r="DZ6" i="8" s="1"/>
  <c r="DY6" i="8" a="1"/>
  <c r="DY6" i="8" s="1"/>
  <c r="DX6" i="8" a="1"/>
  <c r="DX6" i="8" s="1"/>
  <c r="DW6" i="8" a="1"/>
  <c r="DW6" i="8" s="1"/>
  <c r="DV6" i="8" a="1"/>
  <c r="DV6" i="8" s="1"/>
  <c r="DU6" i="8" a="1"/>
  <c r="DU6" i="8" s="1"/>
  <c r="DT6" i="8" a="1"/>
  <c r="DT6" i="8" s="1"/>
  <c r="DS6" i="8" a="1"/>
  <c r="DS6" i="8" s="1"/>
  <c r="DR6" i="8" a="1"/>
  <c r="DR6" i="8" s="1"/>
  <c r="DQ6" i="8" a="1"/>
  <c r="DQ6" i="8" s="1"/>
  <c r="DP6" i="8" a="1"/>
  <c r="DP6" i="8" s="1"/>
  <c r="DO6" i="8" a="1"/>
  <c r="DO6" i="8" s="1"/>
  <c r="DN6" i="8" a="1"/>
  <c r="DN6" i="8" s="1"/>
  <c r="DM6" i="8" a="1"/>
  <c r="DM6" i="8" s="1"/>
  <c r="DL6" i="8" a="1"/>
  <c r="DL6" i="8" s="1"/>
  <c r="DK6" i="8" a="1"/>
  <c r="DK6" i="8" s="1"/>
  <c r="DJ6" i="8" a="1"/>
  <c r="DJ6" i="8" s="1"/>
  <c r="DI6" i="8" a="1"/>
  <c r="DI6" i="8" s="1"/>
  <c r="DH6" i="8" a="1"/>
  <c r="DH6" i="8" s="1"/>
  <c r="DG6" i="8" a="1"/>
  <c r="DG6" i="8" s="1"/>
  <c r="DF6" i="8" a="1"/>
  <c r="DF6" i="8" s="1"/>
  <c r="DE6" i="8" a="1"/>
  <c r="DE6" i="8" s="1"/>
  <c r="DD6" i="8" a="1"/>
  <c r="DD6" i="8" s="1"/>
  <c r="DC6" i="8" a="1"/>
  <c r="DC6" i="8" s="1"/>
  <c r="DB6" i="8" a="1"/>
  <c r="DB6" i="8" s="1"/>
  <c r="DA6" i="8" a="1"/>
  <c r="DA6" i="8" s="1"/>
  <c r="CZ6" i="8" a="1"/>
  <c r="CZ6" i="8" s="1"/>
  <c r="CY6" i="8" a="1"/>
  <c r="CY6" i="8" s="1"/>
  <c r="CX6" i="8" a="1"/>
  <c r="CX6" i="8" s="1"/>
  <c r="CW6" i="8" a="1"/>
  <c r="CW6" i="8" s="1"/>
  <c r="CV6" i="8" a="1"/>
  <c r="CV6" i="8" s="1"/>
  <c r="CU6" i="8" a="1"/>
  <c r="CU6" i="8" s="1"/>
  <c r="CT6" i="8" a="1"/>
  <c r="CT6" i="8" s="1"/>
  <c r="CS6" i="8" a="1"/>
  <c r="CS6" i="8" s="1"/>
  <c r="CR6" i="8" a="1"/>
  <c r="CR6" i="8" s="1"/>
  <c r="CQ6" i="8" a="1"/>
  <c r="CQ6" i="8" s="1"/>
  <c r="CP6" i="8" a="1"/>
  <c r="CP6" i="8" s="1"/>
  <c r="CO6" i="8" a="1"/>
  <c r="CO6" i="8" s="1"/>
  <c r="CN6" i="8" a="1"/>
  <c r="CN6" i="8" s="1"/>
  <c r="CM6" i="8" a="1"/>
  <c r="CM6" i="8" s="1"/>
  <c r="CL6" i="8" a="1"/>
  <c r="CL6" i="8" s="1"/>
  <c r="CK6" i="8" a="1"/>
  <c r="CK6" i="8" s="1"/>
  <c r="CJ6" i="8" a="1"/>
  <c r="CJ6" i="8" s="1"/>
  <c r="CI6" i="8" a="1"/>
  <c r="CI6" i="8" s="1"/>
  <c r="CH6" i="8" a="1"/>
  <c r="CH6" i="8" s="1"/>
  <c r="CG6" i="8" a="1"/>
  <c r="CG6" i="8" s="1"/>
  <c r="CF6" i="8" a="1"/>
  <c r="CF6" i="8" s="1"/>
  <c r="CE6" i="8" a="1"/>
  <c r="CE6" i="8" s="1"/>
  <c r="CD6" i="8" a="1"/>
  <c r="CD6" i="8" s="1"/>
  <c r="CC6" i="8" a="1"/>
  <c r="CC6" i="8" s="1"/>
  <c r="CB6" i="8" a="1"/>
  <c r="CB6" i="8" s="1"/>
  <c r="CA6" i="8" a="1"/>
  <c r="CA6" i="8" s="1"/>
  <c r="BZ6" i="8" a="1"/>
  <c r="BZ6" i="8" s="1"/>
  <c r="BY6" i="8" a="1"/>
  <c r="BY6" i="8" s="1"/>
  <c r="BX6" i="8" a="1"/>
  <c r="BX6" i="8" s="1"/>
  <c r="BW6" i="8" a="1"/>
  <c r="BW6" i="8" s="1"/>
  <c r="BV6" i="8" a="1"/>
  <c r="BV6" i="8" s="1"/>
  <c r="BU6" i="8" a="1"/>
  <c r="BU6" i="8" s="1"/>
  <c r="BT6" i="8" a="1"/>
  <c r="BT6" i="8" s="1"/>
  <c r="BS6" i="8" a="1"/>
  <c r="BS6" i="8" s="1"/>
  <c r="BR6" i="8" a="1"/>
  <c r="BR6" i="8" s="1"/>
  <c r="BQ6" i="8" a="1"/>
  <c r="BQ6" i="8" s="1"/>
  <c r="BP6" i="8" a="1"/>
  <c r="BP6" i="8" s="1"/>
  <c r="BO6" i="8" a="1"/>
  <c r="BO6" i="8" s="1"/>
  <c r="BN6" i="8" a="1"/>
  <c r="BN6" i="8" s="1"/>
  <c r="BM6" i="8" a="1"/>
  <c r="BM6" i="8" s="1"/>
  <c r="BL6" i="8" a="1"/>
  <c r="BL6" i="8" s="1"/>
  <c r="BK6" i="8" a="1"/>
  <c r="BK6" i="8" s="1"/>
  <c r="BJ6" i="8" a="1"/>
  <c r="BJ6" i="8" s="1"/>
  <c r="BI6" i="8" a="1"/>
  <c r="BI6" i="8" s="1"/>
  <c r="BH6" i="8" a="1"/>
  <c r="BH6" i="8" s="1"/>
  <c r="BG6" i="8" a="1"/>
  <c r="BG6" i="8" s="1"/>
  <c r="BF6" i="8" a="1"/>
  <c r="BF6" i="8" s="1"/>
  <c r="BE6" i="8" a="1"/>
  <c r="BE6" i="8" s="1"/>
  <c r="BD6" i="8" a="1"/>
  <c r="BD6" i="8" s="1"/>
  <c r="BC6" i="8" a="1"/>
  <c r="BC6" i="8" s="1"/>
  <c r="BB6" i="8" a="1"/>
  <c r="BB6" i="8" s="1"/>
  <c r="BA6" i="8" a="1"/>
  <c r="BA6" i="8" s="1"/>
  <c r="AZ6" i="8" a="1"/>
  <c r="AZ6" i="8" s="1"/>
  <c r="AY6" i="8" a="1"/>
  <c r="AY6" i="8" s="1"/>
  <c r="AX6" i="8" a="1"/>
  <c r="AX6" i="8" s="1"/>
  <c r="AW6" i="8" a="1"/>
  <c r="AW6" i="8" s="1"/>
  <c r="AV6" i="8" a="1"/>
  <c r="AV6" i="8" s="1"/>
  <c r="AU6" i="8" a="1"/>
  <c r="AU6" i="8" s="1"/>
  <c r="AT6" i="8" a="1"/>
  <c r="AT6" i="8" s="1"/>
  <c r="AS6" i="8" a="1"/>
  <c r="AS6" i="8" s="1"/>
  <c r="AR6" i="8" a="1"/>
  <c r="AR6" i="8" s="1"/>
  <c r="AQ6" i="8" a="1"/>
  <c r="AQ6" i="8" s="1"/>
  <c r="AP6" i="8" a="1"/>
  <c r="AP6" i="8" s="1"/>
  <c r="AO6" i="8" a="1"/>
  <c r="AO6" i="8" s="1"/>
  <c r="AN6" i="8" a="1"/>
  <c r="AN6" i="8" s="1"/>
  <c r="AM6" i="8" a="1"/>
  <c r="AM6" i="8" s="1"/>
  <c r="AL6" i="8" a="1"/>
  <c r="AL6" i="8" s="1"/>
  <c r="AK6" i="8" a="1"/>
  <c r="AK6" i="8" s="1"/>
  <c r="AJ6" i="8" a="1"/>
  <c r="AJ6" i="8" s="1"/>
  <c r="AI6" i="8" a="1"/>
  <c r="AI6" i="8" s="1"/>
  <c r="AH6" i="8" a="1"/>
  <c r="AH6" i="8" s="1"/>
  <c r="AG6" i="8" a="1"/>
  <c r="AG6" i="8" s="1"/>
  <c r="AF6" i="8" a="1"/>
  <c r="AF6" i="8" s="1"/>
  <c r="AE6" i="8" a="1"/>
  <c r="AE6" i="8" s="1"/>
  <c r="AD6" i="8" a="1"/>
  <c r="AD6" i="8" s="1"/>
  <c r="AC6" i="8" a="1"/>
  <c r="AC6" i="8" s="1"/>
  <c r="AB6" i="8" a="1"/>
  <c r="AB6" i="8" s="1"/>
  <c r="AA6" i="8" a="1"/>
  <c r="AA6" i="8" s="1"/>
  <c r="Z6" i="8" a="1"/>
  <c r="Z6" i="8" s="1"/>
  <c r="Y6" i="8" a="1"/>
  <c r="Y6" i="8" s="1"/>
  <c r="X6" i="8" a="1"/>
  <c r="X6" i="8" s="1"/>
  <c r="W6" i="8" a="1"/>
  <c r="W6" i="8" s="1"/>
  <c r="V6" i="8" a="1"/>
  <c r="V6" i="8" s="1"/>
  <c r="U6" i="8" a="1"/>
  <c r="U6" i="8" s="1"/>
  <c r="T6" i="8" a="1"/>
  <c r="T6" i="8" s="1"/>
  <c r="S6" i="8" a="1"/>
  <c r="S6" i="8" s="1"/>
  <c r="R6" i="8" a="1"/>
  <c r="R6" i="8" s="1"/>
  <c r="Q6" i="8" a="1"/>
  <c r="Q6" i="8" s="1"/>
  <c r="P6" i="8" a="1"/>
  <c r="P6" i="8" s="1"/>
  <c r="O6" i="8" a="1"/>
  <c r="O6" i="8" s="1"/>
  <c r="N6" i="8" a="1"/>
  <c r="N6" i="8" s="1"/>
  <c r="M6" i="8" a="1"/>
  <c r="M6" i="8" s="1"/>
  <c r="L6" i="8" a="1"/>
  <c r="L6" i="8" s="1"/>
  <c r="K6" i="8" a="1"/>
  <c r="K6" i="8" s="1"/>
  <c r="J6" i="8" a="1"/>
  <c r="J6" i="8" s="1"/>
  <c r="I6" i="8" a="1"/>
  <c r="I6" i="8" s="1"/>
  <c r="H6" i="8" a="1"/>
  <c r="H6" i="8" s="1"/>
  <c r="G6" i="8" a="1"/>
  <c r="G6" i="8" s="1"/>
  <c r="F6" i="8" a="1"/>
  <c r="F6" i="8" s="1"/>
  <c r="E6" i="8" a="1"/>
  <c r="E6" i="8" s="1"/>
  <c r="EG5" i="8" a="1"/>
  <c r="EG5" i="8" s="1"/>
  <c r="EF5" i="8" a="1"/>
  <c r="EF5" i="8" s="1"/>
  <c r="EE5" i="8" a="1"/>
  <c r="EE5" i="8" s="1"/>
  <c r="ED5" i="8" a="1"/>
  <c r="ED5" i="8" s="1"/>
  <c r="EC5" i="8" a="1"/>
  <c r="EC5" i="8" s="1"/>
  <c r="EB5" i="8" a="1"/>
  <c r="EB5" i="8" s="1"/>
  <c r="EA5" i="8" a="1"/>
  <c r="EA5" i="8" s="1"/>
  <c r="DZ5" i="8" a="1"/>
  <c r="DZ5" i="8" s="1"/>
  <c r="DY5" i="8" a="1"/>
  <c r="DY5" i="8" s="1"/>
  <c r="DX5" i="8" a="1"/>
  <c r="DX5" i="8" s="1"/>
  <c r="DW5" i="8" a="1"/>
  <c r="DW5" i="8" s="1"/>
  <c r="DV5" i="8" a="1"/>
  <c r="DV5" i="8" s="1"/>
  <c r="DU5" i="8" a="1"/>
  <c r="DU5" i="8" s="1"/>
  <c r="DT5" i="8" a="1"/>
  <c r="DT5" i="8" s="1"/>
  <c r="DS5" i="8" a="1"/>
  <c r="DS5" i="8" s="1"/>
  <c r="DR5" i="8" a="1"/>
  <c r="DR5" i="8" s="1"/>
  <c r="DQ5" i="8" a="1"/>
  <c r="DQ5" i="8" s="1"/>
  <c r="DP5" i="8" a="1"/>
  <c r="DP5" i="8" s="1"/>
  <c r="DO5" i="8" a="1"/>
  <c r="DO5" i="8" s="1"/>
  <c r="DN5" i="8" a="1"/>
  <c r="DN5" i="8" s="1"/>
  <c r="DM5" i="8" a="1"/>
  <c r="DM5" i="8" s="1"/>
  <c r="DL5" i="8" a="1"/>
  <c r="DL5" i="8" s="1"/>
  <c r="DK5" i="8" a="1"/>
  <c r="DK5" i="8" s="1"/>
  <c r="DJ5" i="8" a="1"/>
  <c r="DJ5" i="8" s="1"/>
  <c r="DI5" i="8" a="1"/>
  <c r="DI5" i="8" s="1"/>
  <c r="DH5" i="8" a="1"/>
  <c r="DH5" i="8" s="1"/>
  <c r="DG5" i="8" a="1"/>
  <c r="DG5" i="8" s="1"/>
  <c r="DF5" i="8" a="1"/>
  <c r="DF5" i="8" s="1"/>
  <c r="DE5" i="8" a="1"/>
  <c r="DE5" i="8" s="1"/>
  <c r="DD5" i="8" a="1"/>
  <c r="DD5" i="8" s="1"/>
  <c r="DC5" i="8" a="1"/>
  <c r="DC5" i="8" s="1"/>
  <c r="DB5" i="8" a="1"/>
  <c r="DB5" i="8" s="1"/>
  <c r="DA5" i="8" a="1"/>
  <c r="DA5" i="8" s="1"/>
  <c r="CZ5" i="8" a="1"/>
  <c r="CZ5" i="8" s="1"/>
  <c r="CY5" i="8" a="1"/>
  <c r="CY5" i="8" s="1"/>
  <c r="CX5" i="8" a="1"/>
  <c r="CX5" i="8" s="1"/>
  <c r="CW5" i="8" a="1"/>
  <c r="CW5" i="8" s="1"/>
  <c r="CV5" i="8" a="1"/>
  <c r="CV5" i="8" s="1"/>
  <c r="CU5" i="8" a="1"/>
  <c r="CU5" i="8" s="1"/>
  <c r="CT5" i="8" a="1"/>
  <c r="CT5" i="8" s="1"/>
  <c r="CS5" i="8" a="1"/>
  <c r="CS5" i="8" s="1"/>
  <c r="CR5" i="8" a="1"/>
  <c r="CR5" i="8" s="1"/>
  <c r="CQ5" i="8" a="1"/>
  <c r="CQ5" i="8" s="1"/>
  <c r="CP5" i="8" a="1"/>
  <c r="CP5" i="8" s="1"/>
  <c r="CO5" i="8" a="1"/>
  <c r="CO5" i="8" s="1"/>
  <c r="CN5" i="8" a="1"/>
  <c r="CN5" i="8" s="1"/>
  <c r="CM5" i="8" a="1"/>
  <c r="CM5" i="8" s="1"/>
  <c r="CL5" i="8" a="1"/>
  <c r="CL5" i="8" s="1"/>
  <c r="CK5" i="8" a="1"/>
  <c r="CK5" i="8" s="1"/>
  <c r="CJ5" i="8" a="1"/>
  <c r="CJ5" i="8" s="1"/>
  <c r="CI5" i="8" a="1"/>
  <c r="CI5" i="8" s="1"/>
  <c r="CH5" i="8" a="1"/>
  <c r="CH5" i="8" s="1"/>
  <c r="CG5" i="8" a="1"/>
  <c r="CG5" i="8" s="1"/>
  <c r="CF5" i="8" a="1"/>
  <c r="CF5" i="8" s="1"/>
  <c r="CE5" i="8" a="1"/>
  <c r="CE5" i="8" s="1"/>
  <c r="CD5" i="8" a="1"/>
  <c r="CD5" i="8" s="1"/>
  <c r="CC5" i="8" a="1"/>
  <c r="CC5" i="8" s="1"/>
  <c r="CB5" i="8" a="1"/>
  <c r="CB5" i="8" s="1"/>
  <c r="CA5" i="8" a="1"/>
  <c r="CA5" i="8" s="1"/>
  <c r="BZ5" i="8" a="1"/>
  <c r="BZ5" i="8" s="1"/>
  <c r="BY5" i="8" a="1"/>
  <c r="BY5" i="8" s="1"/>
  <c r="BX5" i="8" a="1"/>
  <c r="BX5" i="8" s="1"/>
  <c r="BW5" i="8" a="1"/>
  <c r="BW5" i="8" s="1"/>
  <c r="BV5" i="8" a="1"/>
  <c r="BV5" i="8" s="1"/>
  <c r="BU5" i="8" a="1"/>
  <c r="BU5" i="8" s="1"/>
  <c r="BT5" i="8" a="1"/>
  <c r="BT5" i="8" s="1"/>
  <c r="BS5" i="8" a="1"/>
  <c r="BS5" i="8" s="1"/>
  <c r="BR5" i="8" a="1"/>
  <c r="BR5" i="8" s="1"/>
  <c r="BQ5" i="8" a="1"/>
  <c r="BQ5" i="8" s="1"/>
  <c r="BP5" i="8" a="1"/>
  <c r="BP5" i="8" s="1"/>
  <c r="BO5" i="8" a="1"/>
  <c r="BO5" i="8" s="1"/>
  <c r="BN5" i="8" a="1"/>
  <c r="BN5" i="8" s="1"/>
  <c r="BM5" i="8" a="1"/>
  <c r="BM5" i="8" s="1"/>
  <c r="BL5" i="8" a="1"/>
  <c r="BL5" i="8" s="1"/>
  <c r="BK5" i="8" a="1"/>
  <c r="BK5" i="8" s="1"/>
  <c r="BJ5" i="8" a="1"/>
  <c r="BJ5" i="8" s="1"/>
  <c r="BI5" i="8" a="1"/>
  <c r="BI5" i="8" s="1"/>
  <c r="BH5" i="8" a="1"/>
  <c r="BH5" i="8" s="1"/>
  <c r="BG5" i="8" a="1"/>
  <c r="BG5" i="8" s="1"/>
  <c r="BF5" i="8" a="1"/>
  <c r="BF5" i="8" s="1"/>
  <c r="BE5" i="8" a="1"/>
  <c r="BE5" i="8" s="1"/>
  <c r="BD5" i="8" a="1"/>
  <c r="BD5" i="8" s="1"/>
  <c r="BC5" i="8" a="1"/>
  <c r="BC5" i="8" s="1"/>
  <c r="BB5" i="8" a="1"/>
  <c r="BB5" i="8" s="1"/>
  <c r="BA5" i="8" a="1"/>
  <c r="BA5" i="8" s="1"/>
  <c r="AZ5" i="8" a="1"/>
  <c r="AZ5" i="8" s="1"/>
  <c r="AY5" i="8" a="1"/>
  <c r="AY5" i="8" s="1"/>
  <c r="AX5" i="8" a="1"/>
  <c r="AX5" i="8" s="1"/>
  <c r="AW5" i="8" a="1"/>
  <c r="AW5" i="8" s="1"/>
  <c r="AV5" i="8" a="1"/>
  <c r="AV5" i="8" s="1"/>
  <c r="AU5" i="8" a="1"/>
  <c r="AU5" i="8" s="1"/>
  <c r="AT5" i="8" a="1"/>
  <c r="AT5" i="8" s="1"/>
  <c r="AS5" i="8" a="1"/>
  <c r="AS5" i="8" s="1"/>
  <c r="AR5" i="8" a="1"/>
  <c r="AR5" i="8" s="1"/>
  <c r="AQ5" i="8" a="1"/>
  <c r="AQ5" i="8" s="1"/>
  <c r="AP5" i="8" a="1"/>
  <c r="AP5" i="8" s="1"/>
  <c r="AO5" i="8" a="1"/>
  <c r="AO5" i="8" s="1"/>
  <c r="AN5" i="8" a="1"/>
  <c r="AN5" i="8" s="1"/>
  <c r="AM5" i="8" a="1"/>
  <c r="AM5" i="8" s="1"/>
  <c r="AL5" i="8" a="1"/>
  <c r="AL5" i="8" s="1"/>
  <c r="AK5" i="8" a="1"/>
  <c r="AK5" i="8" s="1"/>
  <c r="AJ5" i="8" a="1"/>
  <c r="AJ5" i="8" s="1"/>
  <c r="AI5" i="8" a="1"/>
  <c r="AI5" i="8" s="1"/>
  <c r="AH5" i="8" a="1"/>
  <c r="AH5" i="8" s="1"/>
  <c r="AG5" i="8" a="1"/>
  <c r="AG5" i="8" s="1"/>
  <c r="AF5" i="8" a="1"/>
  <c r="AF5" i="8" s="1"/>
  <c r="AE5" i="8" a="1"/>
  <c r="AE5" i="8" s="1"/>
  <c r="AD5" i="8" a="1"/>
  <c r="AD5" i="8" s="1"/>
  <c r="AC5" i="8" a="1"/>
  <c r="AC5" i="8" s="1"/>
  <c r="AB5" i="8" a="1"/>
  <c r="AB5" i="8" s="1"/>
  <c r="AA5" i="8" a="1"/>
  <c r="AA5" i="8" s="1"/>
  <c r="Z5" i="8" a="1"/>
  <c r="Z5" i="8" s="1"/>
  <c r="Y5" i="8" a="1"/>
  <c r="Y5" i="8" s="1"/>
  <c r="X5" i="8" a="1"/>
  <c r="X5" i="8" s="1"/>
  <c r="W5" i="8" a="1"/>
  <c r="W5" i="8" s="1"/>
  <c r="V5" i="8" a="1"/>
  <c r="V5" i="8" s="1"/>
  <c r="U5" i="8" a="1"/>
  <c r="U5" i="8" s="1"/>
  <c r="T5" i="8" a="1"/>
  <c r="T5" i="8" s="1"/>
  <c r="S5" i="8" a="1"/>
  <c r="S5" i="8" s="1"/>
  <c r="R5" i="8" a="1"/>
  <c r="R5" i="8" s="1"/>
  <c r="Q5" i="8" a="1"/>
  <c r="Q5" i="8" s="1"/>
  <c r="P5" i="8" a="1"/>
  <c r="P5" i="8" s="1"/>
  <c r="O5" i="8" a="1"/>
  <c r="O5" i="8" s="1"/>
  <c r="N5" i="8" a="1"/>
  <c r="N5" i="8" s="1"/>
  <c r="M5" i="8" a="1"/>
  <c r="M5" i="8" s="1"/>
  <c r="L5" i="8" a="1"/>
  <c r="L5" i="8" s="1"/>
  <c r="K5" i="8" a="1"/>
  <c r="K5" i="8" s="1"/>
  <c r="J5" i="8" a="1"/>
  <c r="J5" i="8" s="1"/>
  <c r="I5" i="8" a="1"/>
  <c r="I5" i="8" s="1"/>
  <c r="H5" i="8" a="1"/>
  <c r="H5" i="8" s="1"/>
  <c r="G5" i="8" a="1"/>
  <c r="G5" i="8" s="1"/>
  <c r="F5" i="8" a="1"/>
  <c r="F5" i="8" s="1"/>
  <c r="E5" i="8" a="1"/>
  <c r="E5" i="8" s="1"/>
  <c r="C23" i="6"/>
  <c r="D23" i="6" s="1"/>
  <c r="E23" i="6" s="1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CV23" i="6" s="1"/>
  <c r="CW23" i="6" s="1"/>
  <c r="CX23" i="6" s="1"/>
  <c r="CY23" i="6" s="1"/>
  <c r="CZ23" i="6" s="1"/>
  <c r="DA23" i="6" s="1"/>
  <c r="DB23" i="6" s="1"/>
  <c r="DC23" i="6" s="1"/>
  <c r="DD23" i="6" s="1"/>
  <c r="DE23" i="6" s="1"/>
  <c r="DF23" i="6" s="1"/>
  <c r="DG23" i="6" s="1"/>
  <c r="DH23" i="6" s="1"/>
  <c r="DI23" i="6" s="1"/>
  <c r="DJ23" i="6" s="1"/>
  <c r="DK23" i="6" s="1"/>
  <c r="DL23" i="6" s="1"/>
  <c r="DM23" i="6" s="1"/>
  <c r="DN23" i="6" s="1"/>
  <c r="DO23" i="6" s="1"/>
  <c r="DP23" i="6" s="1"/>
  <c r="DQ23" i="6" s="1"/>
  <c r="DR23" i="6" s="1"/>
  <c r="DS23" i="6" s="1"/>
  <c r="DT23" i="6" s="1"/>
  <c r="DU23" i="6" s="1"/>
  <c r="DV23" i="6" s="1"/>
  <c r="DW23" i="6" s="1"/>
  <c r="DX23" i="6" s="1"/>
  <c r="DY23" i="6" s="1"/>
  <c r="DZ23" i="6" s="1"/>
  <c r="EA23" i="6" s="1"/>
  <c r="EB23" i="6" s="1"/>
  <c r="EC23" i="6" s="1"/>
  <c r="ED23" i="6" s="1"/>
  <c r="EE23" i="6" s="1"/>
  <c r="C22" i="6"/>
  <c r="D22" i="6" s="1"/>
  <c r="E22" i="6" s="1"/>
  <c r="F22" i="6" s="1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AJ22" i="6" s="1"/>
  <c r="AK22" i="6" s="1"/>
  <c r="AL22" i="6" s="1"/>
  <c r="AM22" i="6" s="1"/>
  <c r="AN22" i="6" s="1"/>
  <c r="AO22" i="6" s="1"/>
  <c r="AP22" i="6" s="1"/>
  <c r="AQ22" i="6" s="1"/>
  <c r="AR22" i="6" s="1"/>
  <c r="AS22" i="6" s="1"/>
  <c r="AT22" i="6" s="1"/>
  <c r="AU22" i="6" s="1"/>
  <c r="AV22" i="6" s="1"/>
  <c r="AW22" i="6" s="1"/>
  <c r="AX22" i="6" s="1"/>
  <c r="AY22" i="6" s="1"/>
  <c r="AZ22" i="6" s="1"/>
  <c r="BA22" i="6" s="1"/>
  <c r="BB22" i="6" s="1"/>
  <c r="BC22" i="6" s="1"/>
  <c r="BD22" i="6" s="1"/>
  <c r="BE22" i="6" s="1"/>
  <c r="BF22" i="6" s="1"/>
  <c r="BG22" i="6" s="1"/>
  <c r="BH22" i="6" s="1"/>
  <c r="BI22" i="6" s="1"/>
  <c r="BJ22" i="6" s="1"/>
  <c r="BK22" i="6" s="1"/>
  <c r="BL22" i="6" s="1"/>
  <c r="BM22" i="6" s="1"/>
  <c r="BN22" i="6" s="1"/>
  <c r="BO22" i="6" s="1"/>
  <c r="BP22" i="6" s="1"/>
  <c r="BQ22" i="6" s="1"/>
  <c r="BR22" i="6" s="1"/>
  <c r="BS22" i="6" s="1"/>
  <c r="BT22" i="6" s="1"/>
  <c r="BU22" i="6" s="1"/>
  <c r="BV22" i="6" s="1"/>
  <c r="BW22" i="6" s="1"/>
  <c r="BX22" i="6" s="1"/>
  <c r="BY22" i="6" s="1"/>
  <c r="BZ22" i="6" s="1"/>
  <c r="CA22" i="6" s="1"/>
  <c r="CB22" i="6" s="1"/>
  <c r="CC22" i="6" s="1"/>
  <c r="CD22" i="6" s="1"/>
  <c r="CE22" i="6" s="1"/>
  <c r="CF22" i="6" s="1"/>
  <c r="CG22" i="6" s="1"/>
  <c r="CH22" i="6" s="1"/>
  <c r="CI22" i="6" s="1"/>
  <c r="CJ22" i="6" s="1"/>
  <c r="CK22" i="6" s="1"/>
  <c r="CL22" i="6" s="1"/>
  <c r="CM22" i="6" s="1"/>
  <c r="CN22" i="6" s="1"/>
  <c r="CO22" i="6" s="1"/>
  <c r="CP22" i="6" s="1"/>
  <c r="CQ22" i="6" s="1"/>
  <c r="CR22" i="6" s="1"/>
  <c r="CS22" i="6" s="1"/>
  <c r="CT22" i="6" s="1"/>
  <c r="CU22" i="6" s="1"/>
  <c r="CV22" i="6" s="1"/>
  <c r="CW22" i="6" s="1"/>
  <c r="CX22" i="6" s="1"/>
  <c r="CY22" i="6" s="1"/>
  <c r="CZ22" i="6" s="1"/>
  <c r="DA22" i="6" s="1"/>
  <c r="DB22" i="6" s="1"/>
  <c r="DC22" i="6" s="1"/>
  <c r="DD22" i="6" s="1"/>
  <c r="DE22" i="6" s="1"/>
  <c r="DF22" i="6" s="1"/>
  <c r="DG22" i="6" s="1"/>
  <c r="DH22" i="6" s="1"/>
  <c r="DI22" i="6" s="1"/>
  <c r="DJ22" i="6" s="1"/>
  <c r="DK22" i="6" s="1"/>
  <c r="DL22" i="6" s="1"/>
  <c r="DM22" i="6" s="1"/>
  <c r="DN22" i="6" s="1"/>
  <c r="DO22" i="6" s="1"/>
  <c r="DP22" i="6" s="1"/>
  <c r="DQ22" i="6" s="1"/>
  <c r="DR22" i="6" s="1"/>
  <c r="DS22" i="6" s="1"/>
  <c r="DT22" i="6" s="1"/>
  <c r="DU22" i="6" s="1"/>
  <c r="DV22" i="6" s="1"/>
  <c r="DW22" i="6" s="1"/>
  <c r="DX22" i="6" s="1"/>
  <c r="DY22" i="6" s="1"/>
  <c r="DZ22" i="6" s="1"/>
  <c r="EA22" i="6" s="1"/>
  <c r="EB22" i="6" s="1"/>
  <c r="EC22" i="6" s="1"/>
  <c r="ED22" i="6" s="1"/>
  <c r="EE22" i="6" s="1"/>
  <c r="C21" i="6"/>
  <c r="D21" i="6" s="1"/>
  <c r="E21" i="6" s="1"/>
  <c r="F21" i="6" s="1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AG21" i="6" s="1"/>
  <c r="AH21" i="6" s="1"/>
  <c r="AI21" i="6" s="1"/>
  <c r="AJ21" i="6" s="1"/>
  <c r="AK21" i="6" s="1"/>
  <c r="AL21" i="6" s="1"/>
  <c r="AM21" i="6" s="1"/>
  <c r="AN21" i="6" s="1"/>
  <c r="AO21" i="6" s="1"/>
  <c r="AP21" i="6" s="1"/>
  <c r="AQ21" i="6" s="1"/>
  <c r="AR21" i="6" s="1"/>
  <c r="AS21" i="6" s="1"/>
  <c r="AT21" i="6" s="1"/>
  <c r="AU21" i="6" s="1"/>
  <c r="AV21" i="6" s="1"/>
  <c r="AW21" i="6" s="1"/>
  <c r="AX21" i="6" s="1"/>
  <c r="AY21" i="6" s="1"/>
  <c r="AZ21" i="6" s="1"/>
  <c r="BA21" i="6" s="1"/>
  <c r="BB21" i="6" s="1"/>
  <c r="BC21" i="6" s="1"/>
  <c r="BD21" i="6" s="1"/>
  <c r="BE21" i="6" s="1"/>
  <c r="BF21" i="6" s="1"/>
  <c r="BG21" i="6" s="1"/>
  <c r="BH21" i="6" s="1"/>
  <c r="BI21" i="6" s="1"/>
  <c r="BJ21" i="6" s="1"/>
  <c r="BK21" i="6" s="1"/>
  <c r="BL21" i="6" s="1"/>
  <c r="BM21" i="6" s="1"/>
  <c r="BN21" i="6" s="1"/>
  <c r="BO21" i="6" s="1"/>
  <c r="BP21" i="6" s="1"/>
  <c r="BQ21" i="6" s="1"/>
  <c r="BR21" i="6" s="1"/>
  <c r="BS21" i="6" s="1"/>
  <c r="BT21" i="6" s="1"/>
  <c r="BU21" i="6" s="1"/>
  <c r="BV21" i="6" s="1"/>
  <c r="BW21" i="6" s="1"/>
  <c r="BX21" i="6" s="1"/>
  <c r="BY21" i="6" s="1"/>
  <c r="BZ21" i="6" s="1"/>
  <c r="CA21" i="6" s="1"/>
  <c r="CB21" i="6" s="1"/>
  <c r="CC21" i="6" s="1"/>
  <c r="CD21" i="6" s="1"/>
  <c r="CE21" i="6" s="1"/>
  <c r="CF21" i="6" s="1"/>
  <c r="CG21" i="6" s="1"/>
  <c r="CH21" i="6" s="1"/>
  <c r="CI21" i="6" s="1"/>
  <c r="CJ21" i="6" s="1"/>
  <c r="CK21" i="6" s="1"/>
  <c r="CL21" i="6" s="1"/>
  <c r="CM21" i="6" s="1"/>
  <c r="CN21" i="6" s="1"/>
  <c r="CO21" i="6" s="1"/>
  <c r="CP21" i="6" s="1"/>
  <c r="CQ21" i="6" s="1"/>
  <c r="CR21" i="6" s="1"/>
  <c r="CS21" i="6" s="1"/>
  <c r="CT21" i="6" s="1"/>
  <c r="CU21" i="6" s="1"/>
  <c r="CV21" i="6" s="1"/>
  <c r="CW21" i="6" s="1"/>
  <c r="CX21" i="6" s="1"/>
  <c r="CY21" i="6" s="1"/>
  <c r="CZ21" i="6" s="1"/>
  <c r="DA21" i="6" s="1"/>
  <c r="DB21" i="6" s="1"/>
  <c r="DC21" i="6" s="1"/>
  <c r="DD21" i="6" s="1"/>
  <c r="DE21" i="6" s="1"/>
  <c r="DF21" i="6" s="1"/>
  <c r="DG21" i="6" s="1"/>
  <c r="DH21" i="6" s="1"/>
  <c r="DI21" i="6" s="1"/>
  <c r="DJ21" i="6" s="1"/>
  <c r="DK21" i="6" s="1"/>
  <c r="DL21" i="6" s="1"/>
  <c r="DM21" i="6" s="1"/>
  <c r="DN21" i="6" s="1"/>
  <c r="DO21" i="6" s="1"/>
  <c r="DP21" i="6" s="1"/>
  <c r="DQ21" i="6" s="1"/>
  <c r="DR21" i="6" s="1"/>
  <c r="DS21" i="6" s="1"/>
  <c r="DT21" i="6" s="1"/>
  <c r="DU21" i="6" s="1"/>
  <c r="DV21" i="6" s="1"/>
  <c r="DW21" i="6" s="1"/>
  <c r="DX21" i="6" s="1"/>
  <c r="DY21" i="6" s="1"/>
  <c r="DZ21" i="6" s="1"/>
  <c r="EA21" i="6" s="1"/>
  <c r="EB21" i="6" s="1"/>
  <c r="EC21" i="6" s="1"/>
  <c r="ED21" i="6" s="1"/>
  <c r="EE21" i="6" s="1"/>
  <c r="C20" i="6"/>
  <c r="D20" i="6" s="1"/>
  <c r="E20" i="6" s="1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AG20" i="6" s="1"/>
  <c r="AH20" i="6" s="1"/>
  <c r="AI20" i="6" s="1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BJ20" i="6" s="1"/>
  <c r="BK20" i="6" s="1"/>
  <c r="BL20" i="6" s="1"/>
  <c r="BM20" i="6" s="1"/>
  <c r="BN20" i="6" s="1"/>
  <c r="BO20" i="6" s="1"/>
  <c r="BP20" i="6" s="1"/>
  <c r="BQ20" i="6" s="1"/>
  <c r="BR20" i="6" s="1"/>
  <c r="BS20" i="6" s="1"/>
  <c r="BT20" i="6" s="1"/>
  <c r="BU20" i="6" s="1"/>
  <c r="BV20" i="6" s="1"/>
  <c r="BW20" i="6" s="1"/>
  <c r="BX20" i="6" s="1"/>
  <c r="BY20" i="6" s="1"/>
  <c r="BZ20" i="6" s="1"/>
  <c r="CA20" i="6" s="1"/>
  <c r="CB20" i="6" s="1"/>
  <c r="CC20" i="6" s="1"/>
  <c r="CD20" i="6" s="1"/>
  <c r="CE20" i="6" s="1"/>
  <c r="CF20" i="6" s="1"/>
  <c r="CG20" i="6" s="1"/>
  <c r="CH20" i="6" s="1"/>
  <c r="CI20" i="6" s="1"/>
  <c r="CJ20" i="6" s="1"/>
  <c r="CK20" i="6" s="1"/>
  <c r="CL20" i="6" s="1"/>
  <c r="CM20" i="6" s="1"/>
  <c r="CN20" i="6" s="1"/>
  <c r="CO20" i="6" s="1"/>
  <c r="CP20" i="6" s="1"/>
  <c r="CQ20" i="6" s="1"/>
  <c r="CR20" i="6" s="1"/>
  <c r="CS20" i="6" s="1"/>
  <c r="CT20" i="6" s="1"/>
  <c r="CU20" i="6" s="1"/>
  <c r="CV20" i="6" s="1"/>
  <c r="CW20" i="6" s="1"/>
  <c r="CX20" i="6" s="1"/>
  <c r="CY20" i="6" s="1"/>
  <c r="CZ20" i="6" s="1"/>
  <c r="DA20" i="6" s="1"/>
  <c r="DB20" i="6" s="1"/>
  <c r="DC20" i="6" s="1"/>
  <c r="DD20" i="6" s="1"/>
  <c r="DE20" i="6" s="1"/>
  <c r="DF20" i="6" s="1"/>
  <c r="DG20" i="6" s="1"/>
  <c r="DH20" i="6" s="1"/>
  <c r="DI20" i="6" s="1"/>
  <c r="DJ20" i="6" s="1"/>
  <c r="DK20" i="6" s="1"/>
  <c r="DL20" i="6" s="1"/>
  <c r="DM20" i="6" s="1"/>
  <c r="DN20" i="6" s="1"/>
  <c r="DO20" i="6" s="1"/>
  <c r="DP20" i="6" s="1"/>
  <c r="DQ20" i="6" s="1"/>
  <c r="DR20" i="6" s="1"/>
  <c r="DS20" i="6" s="1"/>
  <c r="DT20" i="6" s="1"/>
  <c r="DU20" i="6" s="1"/>
  <c r="DV20" i="6" s="1"/>
  <c r="DW20" i="6" s="1"/>
  <c r="DX20" i="6" s="1"/>
  <c r="DY20" i="6" s="1"/>
  <c r="DZ20" i="6" s="1"/>
  <c r="EA20" i="6" s="1"/>
  <c r="EB20" i="6" s="1"/>
  <c r="EC20" i="6" s="1"/>
  <c r="ED20" i="6" s="1"/>
  <c r="EE20" i="6" s="1"/>
  <c r="C19" i="6"/>
  <c r="D19" i="6" s="1"/>
  <c r="E19" i="6" s="1"/>
  <c r="F19" i="6" s="1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AJ19" i="6" s="1"/>
  <c r="AK19" i="6" s="1"/>
  <c r="AL19" i="6" s="1"/>
  <c r="AM19" i="6" s="1"/>
  <c r="AN19" i="6" s="1"/>
  <c r="AO19" i="6" s="1"/>
  <c r="AP19" i="6" s="1"/>
  <c r="AQ19" i="6" s="1"/>
  <c r="AR19" i="6" s="1"/>
  <c r="AS19" i="6" s="1"/>
  <c r="AT19" i="6" s="1"/>
  <c r="AU19" i="6" s="1"/>
  <c r="AV19" i="6" s="1"/>
  <c r="AW19" i="6" s="1"/>
  <c r="AX19" i="6" s="1"/>
  <c r="AY19" i="6" s="1"/>
  <c r="AZ19" i="6" s="1"/>
  <c r="BA19" i="6" s="1"/>
  <c r="BB19" i="6" s="1"/>
  <c r="BC19" i="6" s="1"/>
  <c r="BD19" i="6" s="1"/>
  <c r="BE19" i="6" s="1"/>
  <c r="BF19" i="6" s="1"/>
  <c r="BG19" i="6" s="1"/>
  <c r="BH19" i="6" s="1"/>
  <c r="BI19" i="6" s="1"/>
  <c r="BJ19" i="6" s="1"/>
  <c r="BK19" i="6" s="1"/>
  <c r="BL19" i="6" s="1"/>
  <c r="BM19" i="6" s="1"/>
  <c r="BN19" i="6" s="1"/>
  <c r="BO19" i="6" s="1"/>
  <c r="BP19" i="6" s="1"/>
  <c r="BQ19" i="6" s="1"/>
  <c r="BR19" i="6" s="1"/>
  <c r="BS19" i="6" s="1"/>
  <c r="BT19" i="6" s="1"/>
  <c r="BU19" i="6" s="1"/>
  <c r="BV19" i="6" s="1"/>
  <c r="BW19" i="6" s="1"/>
  <c r="BX19" i="6" s="1"/>
  <c r="BY19" i="6" s="1"/>
  <c r="BZ19" i="6" s="1"/>
  <c r="CA19" i="6" s="1"/>
  <c r="CB19" i="6" s="1"/>
  <c r="CC19" i="6" s="1"/>
  <c r="CD19" i="6" s="1"/>
  <c r="CE19" i="6" s="1"/>
  <c r="CF19" i="6" s="1"/>
  <c r="CG19" i="6" s="1"/>
  <c r="CH19" i="6" s="1"/>
  <c r="CI19" i="6" s="1"/>
  <c r="CJ19" i="6" s="1"/>
  <c r="CK19" i="6" s="1"/>
  <c r="CL19" i="6" s="1"/>
  <c r="CM19" i="6" s="1"/>
  <c r="CN19" i="6" s="1"/>
  <c r="CO19" i="6" s="1"/>
  <c r="CP19" i="6" s="1"/>
  <c r="CQ19" i="6" s="1"/>
  <c r="CR19" i="6" s="1"/>
  <c r="CS19" i="6" s="1"/>
  <c r="CT19" i="6" s="1"/>
  <c r="CU19" i="6" s="1"/>
  <c r="CV19" i="6" s="1"/>
  <c r="CW19" i="6" s="1"/>
  <c r="CX19" i="6" s="1"/>
  <c r="CY19" i="6" s="1"/>
  <c r="CZ19" i="6" s="1"/>
  <c r="DA19" i="6" s="1"/>
  <c r="DB19" i="6" s="1"/>
  <c r="DC19" i="6" s="1"/>
  <c r="DD19" i="6" s="1"/>
  <c r="DE19" i="6" s="1"/>
  <c r="DF19" i="6" s="1"/>
  <c r="DG19" i="6" s="1"/>
  <c r="DH19" i="6" s="1"/>
  <c r="DI19" i="6" s="1"/>
  <c r="DJ19" i="6" s="1"/>
  <c r="DK19" i="6" s="1"/>
  <c r="DL19" i="6" s="1"/>
  <c r="DM19" i="6" s="1"/>
  <c r="DN19" i="6" s="1"/>
  <c r="DO19" i="6" s="1"/>
  <c r="DP19" i="6" s="1"/>
  <c r="DQ19" i="6" s="1"/>
  <c r="DR19" i="6" s="1"/>
  <c r="DS19" i="6" s="1"/>
  <c r="DT19" i="6" s="1"/>
  <c r="DU19" i="6" s="1"/>
  <c r="DV19" i="6" s="1"/>
  <c r="DW19" i="6" s="1"/>
  <c r="DX19" i="6" s="1"/>
  <c r="DY19" i="6" s="1"/>
  <c r="DZ19" i="6" s="1"/>
  <c r="EA19" i="6" s="1"/>
  <c r="EB19" i="6" s="1"/>
  <c r="EC19" i="6" s="1"/>
  <c r="ED19" i="6" s="1"/>
  <c r="EE19" i="6" s="1"/>
  <c r="C18" i="6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C17" i="6"/>
  <c r="D17" i="6" s="1"/>
  <c r="E17" i="6" s="1"/>
  <c r="F17" i="6" s="1"/>
  <c r="G17" i="6" s="1"/>
  <c r="H17" i="6" s="1"/>
  <c r="I17" i="6" s="1"/>
  <c r="J17" i="6" s="1"/>
  <c r="K17" i="6" s="1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AG17" i="6" s="1"/>
  <c r="AH17" i="6" s="1"/>
  <c r="AI17" i="6" s="1"/>
  <c r="AJ17" i="6" s="1"/>
  <c r="AK17" i="6" s="1"/>
  <c r="AL17" i="6" s="1"/>
  <c r="AM17" i="6" s="1"/>
  <c r="AN17" i="6" s="1"/>
  <c r="AO17" i="6" s="1"/>
  <c r="AP17" i="6" s="1"/>
  <c r="AQ17" i="6" s="1"/>
  <c r="AR17" i="6" s="1"/>
  <c r="AS17" i="6" s="1"/>
  <c r="AT17" i="6" s="1"/>
  <c r="AU17" i="6" s="1"/>
  <c r="AV17" i="6" s="1"/>
  <c r="AW17" i="6" s="1"/>
  <c r="AX17" i="6" s="1"/>
  <c r="AY17" i="6" s="1"/>
  <c r="AZ17" i="6" s="1"/>
  <c r="BA17" i="6" s="1"/>
  <c r="BB17" i="6" s="1"/>
  <c r="BC17" i="6" s="1"/>
  <c r="BD17" i="6" s="1"/>
  <c r="BE17" i="6" s="1"/>
  <c r="BF17" i="6" s="1"/>
  <c r="BG17" i="6" s="1"/>
  <c r="BH17" i="6" s="1"/>
  <c r="BI17" i="6" s="1"/>
  <c r="BJ17" i="6" s="1"/>
  <c r="BK17" i="6" s="1"/>
  <c r="BL17" i="6" s="1"/>
  <c r="BM17" i="6" s="1"/>
  <c r="BN17" i="6" s="1"/>
  <c r="BO17" i="6" s="1"/>
  <c r="BP17" i="6" s="1"/>
  <c r="BQ17" i="6" s="1"/>
  <c r="BR17" i="6" s="1"/>
  <c r="BS17" i="6" s="1"/>
  <c r="BT17" i="6" s="1"/>
  <c r="BU17" i="6" s="1"/>
  <c r="BV17" i="6" s="1"/>
  <c r="BW17" i="6" s="1"/>
  <c r="BX17" i="6" s="1"/>
  <c r="BY17" i="6" s="1"/>
  <c r="BZ17" i="6" s="1"/>
  <c r="CA17" i="6" s="1"/>
  <c r="CB17" i="6" s="1"/>
  <c r="CC17" i="6" s="1"/>
  <c r="CD17" i="6" s="1"/>
  <c r="CE17" i="6" s="1"/>
  <c r="CF17" i="6" s="1"/>
  <c r="CG17" i="6" s="1"/>
  <c r="CH17" i="6" s="1"/>
  <c r="CI17" i="6" s="1"/>
  <c r="CJ17" i="6" s="1"/>
  <c r="CK17" i="6" s="1"/>
  <c r="CL17" i="6" s="1"/>
  <c r="CM17" i="6" s="1"/>
  <c r="CN17" i="6" s="1"/>
  <c r="CO17" i="6" s="1"/>
  <c r="CP17" i="6" s="1"/>
  <c r="CQ17" i="6" s="1"/>
  <c r="CR17" i="6" s="1"/>
  <c r="CS17" i="6" s="1"/>
  <c r="CT17" i="6" s="1"/>
  <c r="CU17" i="6" s="1"/>
  <c r="CV17" i="6" s="1"/>
  <c r="CW17" i="6" s="1"/>
  <c r="CX17" i="6" s="1"/>
  <c r="CY17" i="6" s="1"/>
  <c r="CZ17" i="6" s="1"/>
  <c r="DA17" i="6" s="1"/>
  <c r="DB17" i="6" s="1"/>
  <c r="DC17" i="6" s="1"/>
  <c r="DD17" i="6" s="1"/>
  <c r="DE17" i="6" s="1"/>
  <c r="DF17" i="6" s="1"/>
  <c r="DG17" i="6" s="1"/>
  <c r="DH17" i="6" s="1"/>
  <c r="DI17" i="6" s="1"/>
  <c r="DJ17" i="6" s="1"/>
  <c r="DK17" i="6" s="1"/>
  <c r="DL17" i="6" s="1"/>
  <c r="DM17" i="6" s="1"/>
  <c r="DN17" i="6" s="1"/>
  <c r="DO17" i="6" s="1"/>
  <c r="DP17" i="6" s="1"/>
  <c r="DQ17" i="6" s="1"/>
  <c r="DR17" i="6" s="1"/>
  <c r="DS17" i="6" s="1"/>
  <c r="DT17" i="6" s="1"/>
  <c r="DU17" i="6" s="1"/>
  <c r="DV17" i="6" s="1"/>
  <c r="DW17" i="6" s="1"/>
  <c r="DX17" i="6" s="1"/>
  <c r="DY17" i="6" s="1"/>
  <c r="DZ17" i="6" s="1"/>
  <c r="EA17" i="6" s="1"/>
  <c r="EB17" i="6" s="1"/>
  <c r="EC17" i="6" s="1"/>
  <c r="ED17" i="6" s="1"/>
  <c r="EE17" i="6" s="1"/>
  <c r="C16" i="6"/>
  <c r="D16" i="6" s="1"/>
  <c r="E16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AG16" i="6" s="1"/>
  <c r="AH16" i="6" s="1"/>
  <c r="AI16" i="6" s="1"/>
  <c r="AJ16" i="6" s="1"/>
  <c r="AK16" i="6" s="1"/>
  <c r="AL16" i="6" s="1"/>
  <c r="AM16" i="6" s="1"/>
  <c r="AN16" i="6" s="1"/>
  <c r="AO16" i="6" s="1"/>
  <c r="AP16" i="6" s="1"/>
  <c r="AQ16" i="6" s="1"/>
  <c r="AR16" i="6" s="1"/>
  <c r="AS16" i="6" s="1"/>
  <c r="AT16" i="6" s="1"/>
  <c r="AU16" i="6" s="1"/>
  <c r="AV16" i="6" s="1"/>
  <c r="AW16" i="6" s="1"/>
  <c r="AX16" i="6" s="1"/>
  <c r="AY16" i="6" s="1"/>
  <c r="AZ16" i="6" s="1"/>
  <c r="BA16" i="6" s="1"/>
  <c r="BB16" i="6" s="1"/>
  <c r="BC16" i="6" s="1"/>
  <c r="BD16" i="6" s="1"/>
  <c r="BE16" i="6" s="1"/>
  <c r="BF16" i="6" s="1"/>
  <c r="BG16" i="6" s="1"/>
  <c r="BH16" i="6" s="1"/>
  <c r="BI16" i="6" s="1"/>
  <c r="BJ16" i="6" s="1"/>
  <c r="BK16" i="6" s="1"/>
  <c r="BL16" i="6" s="1"/>
  <c r="BM16" i="6" s="1"/>
  <c r="BN16" i="6" s="1"/>
  <c r="BO16" i="6" s="1"/>
  <c r="BP16" i="6" s="1"/>
  <c r="BQ16" i="6" s="1"/>
  <c r="BR16" i="6" s="1"/>
  <c r="BS16" i="6" s="1"/>
  <c r="BT16" i="6" s="1"/>
  <c r="BU16" i="6" s="1"/>
  <c r="BV16" i="6" s="1"/>
  <c r="BW16" i="6" s="1"/>
  <c r="BX16" i="6" s="1"/>
  <c r="BY16" i="6" s="1"/>
  <c r="BZ16" i="6" s="1"/>
  <c r="CA16" i="6" s="1"/>
  <c r="CB16" i="6" s="1"/>
  <c r="CC16" i="6" s="1"/>
  <c r="CD16" i="6" s="1"/>
  <c r="CE16" i="6" s="1"/>
  <c r="CF16" i="6" s="1"/>
  <c r="CG16" i="6" s="1"/>
  <c r="CH16" i="6" s="1"/>
  <c r="CI16" i="6" s="1"/>
  <c r="CJ16" i="6" s="1"/>
  <c r="CK16" i="6" s="1"/>
  <c r="CL16" i="6" s="1"/>
  <c r="CM16" i="6" s="1"/>
  <c r="CN16" i="6" s="1"/>
  <c r="CO16" i="6" s="1"/>
  <c r="CP16" i="6" s="1"/>
  <c r="CQ16" i="6" s="1"/>
  <c r="CR16" i="6" s="1"/>
  <c r="CS16" i="6" s="1"/>
  <c r="CT16" i="6" s="1"/>
  <c r="CU16" i="6" s="1"/>
  <c r="CV16" i="6" s="1"/>
  <c r="CW16" i="6" s="1"/>
  <c r="CX16" i="6" s="1"/>
  <c r="CY16" i="6" s="1"/>
  <c r="CZ16" i="6" s="1"/>
  <c r="DA16" i="6" s="1"/>
  <c r="DB16" i="6" s="1"/>
  <c r="DC16" i="6" s="1"/>
  <c r="DD16" i="6" s="1"/>
  <c r="DE16" i="6" s="1"/>
  <c r="DF16" i="6" s="1"/>
  <c r="DG16" i="6" s="1"/>
  <c r="DH16" i="6" s="1"/>
  <c r="DI16" i="6" s="1"/>
  <c r="DJ16" i="6" s="1"/>
  <c r="DK16" i="6" s="1"/>
  <c r="DL16" i="6" s="1"/>
  <c r="DM16" i="6" s="1"/>
  <c r="DN16" i="6" s="1"/>
  <c r="DO16" i="6" s="1"/>
  <c r="DP16" i="6" s="1"/>
  <c r="DQ16" i="6" s="1"/>
  <c r="DR16" i="6" s="1"/>
  <c r="DS16" i="6" s="1"/>
  <c r="DT16" i="6" s="1"/>
  <c r="DU16" i="6" s="1"/>
  <c r="DV16" i="6" s="1"/>
  <c r="DW16" i="6" s="1"/>
  <c r="DX16" i="6" s="1"/>
  <c r="DY16" i="6" s="1"/>
  <c r="DZ16" i="6" s="1"/>
  <c r="EA16" i="6" s="1"/>
  <c r="EB16" i="6" s="1"/>
  <c r="EC16" i="6" s="1"/>
  <c r="ED16" i="6" s="1"/>
  <c r="EE16" i="6" s="1"/>
  <c r="C15" i="6"/>
  <c r="D15" i="6" s="1"/>
  <c r="E15" i="6" s="1"/>
  <c r="F15" i="6" s="1"/>
  <c r="G15" i="6" s="1"/>
  <c r="H15" i="6" s="1"/>
  <c r="I15" i="6" s="1"/>
  <c r="J15" i="6" s="1"/>
  <c r="K15" i="6" s="1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AG15" i="6" s="1"/>
  <c r="AH15" i="6" s="1"/>
  <c r="AI15" i="6" s="1"/>
  <c r="AJ15" i="6" s="1"/>
  <c r="AK15" i="6" s="1"/>
  <c r="AL15" i="6" s="1"/>
  <c r="AM15" i="6" s="1"/>
  <c r="AN15" i="6" s="1"/>
  <c r="AO15" i="6" s="1"/>
  <c r="AP15" i="6" s="1"/>
  <c r="AQ15" i="6" s="1"/>
  <c r="AR15" i="6" s="1"/>
  <c r="AS15" i="6" s="1"/>
  <c r="AT15" i="6" s="1"/>
  <c r="AU15" i="6" s="1"/>
  <c r="AV15" i="6" s="1"/>
  <c r="AW15" i="6" s="1"/>
  <c r="AX15" i="6" s="1"/>
  <c r="AY15" i="6" s="1"/>
  <c r="AZ15" i="6" s="1"/>
  <c r="BA15" i="6" s="1"/>
  <c r="BB15" i="6" s="1"/>
  <c r="BC15" i="6" s="1"/>
  <c r="BD15" i="6" s="1"/>
  <c r="BE15" i="6" s="1"/>
  <c r="BF15" i="6" s="1"/>
  <c r="BG15" i="6" s="1"/>
  <c r="BH15" i="6" s="1"/>
  <c r="BI15" i="6" s="1"/>
  <c r="BJ15" i="6" s="1"/>
  <c r="BK15" i="6" s="1"/>
  <c r="BL15" i="6" s="1"/>
  <c r="BM15" i="6" s="1"/>
  <c r="BN15" i="6" s="1"/>
  <c r="BO15" i="6" s="1"/>
  <c r="BP15" i="6" s="1"/>
  <c r="BQ15" i="6" s="1"/>
  <c r="BR15" i="6" s="1"/>
  <c r="BS15" i="6" s="1"/>
  <c r="BT15" i="6" s="1"/>
  <c r="BU15" i="6" s="1"/>
  <c r="BV15" i="6" s="1"/>
  <c r="BW15" i="6" s="1"/>
  <c r="BX15" i="6" s="1"/>
  <c r="BY15" i="6" s="1"/>
  <c r="BZ15" i="6" s="1"/>
  <c r="CA15" i="6" s="1"/>
  <c r="CB15" i="6" s="1"/>
  <c r="CC15" i="6" s="1"/>
  <c r="CD15" i="6" s="1"/>
  <c r="CE15" i="6" s="1"/>
  <c r="CF15" i="6" s="1"/>
  <c r="CG15" i="6" s="1"/>
  <c r="CH15" i="6" s="1"/>
  <c r="CI15" i="6" s="1"/>
  <c r="CJ15" i="6" s="1"/>
  <c r="CK15" i="6" s="1"/>
  <c r="CL15" i="6" s="1"/>
  <c r="CM15" i="6" s="1"/>
  <c r="CN15" i="6" s="1"/>
  <c r="CO15" i="6" s="1"/>
  <c r="CP15" i="6" s="1"/>
  <c r="CQ15" i="6" s="1"/>
  <c r="CR15" i="6" s="1"/>
  <c r="CS15" i="6" s="1"/>
  <c r="CT15" i="6" s="1"/>
  <c r="CU15" i="6" s="1"/>
  <c r="CV15" i="6" s="1"/>
  <c r="CW15" i="6" s="1"/>
  <c r="CX15" i="6" s="1"/>
  <c r="CY15" i="6" s="1"/>
  <c r="CZ15" i="6" s="1"/>
  <c r="DA15" i="6" s="1"/>
  <c r="DB15" i="6" s="1"/>
  <c r="DC15" i="6" s="1"/>
  <c r="DD15" i="6" s="1"/>
  <c r="DE15" i="6" s="1"/>
  <c r="DF15" i="6" s="1"/>
  <c r="DG15" i="6" s="1"/>
  <c r="DH15" i="6" s="1"/>
  <c r="DI15" i="6" s="1"/>
  <c r="DJ15" i="6" s="1"/>
  <c r="DK15" i="6" s="1"/>
  <c r="DL15" i="6" s="1"/>
  <c r="DM15" i="6" s="1"/>
  <c r="DN15" i="6" s="1"/>
  <c r="DO15" i="6" s="1"/>
  <c r="DP15" i="6" s="1"/>
  <c r="DQ15" i="6" s="1"/>
  <c r="DR15" i="6" s="1"/>
  <c r="DS15" i="6" s="1"/>
  <c r="DT15" i="6" s="1"/>
  <c r="DU15" i="6" s="1"/>
  <c r="DV15" i="6" s="1"/>
  <c r="DW15" i="6" s="1"/>
  <c r="DX15" i="6" s="1"/>
  <c r="DY15" i="6" s="1"/>
  <c r="DZ15" i="6" s="1"/>
  <c r="EA15" i="6" s="1"/>
  <c r="EB15" i="6" s="1"/>
  <c r="EC15" i="6" s="1"/>
  <c r="ED15" i="6" s="1"/>
  <c r="EE15" i="6" s="1"/>
  <c r="C14" i="6"/>
  <c r="D14" i="6" s="1"/>
  <c r="E14" i="6" s="1"/>
  <c r="F14" i="6" s="1"/>
  <c r="G14" i="6" s="1"/>
  <c r="H14" i="6" s="1"/>
  <c r="I14" i="6" s="1"/>
  <c r="J14" i="6" s="1"/>
  <c r="K14" i="6" s="1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CV14" i="6" s="1"/>
  <c r="CW14" i="6" s="1"/>
  <c r="CX14" i="6" s="1"/>
  <c r="CY14" i="6" s="1"/>
  <c r="CZ14" i="6" s="1"/>
  <c r="DA14" i="6" s="1"/>
  <c r="DB14" i="6" s="1"/>
  <c r="DC14" i="6" s="1"/>
  <c r="DD14" i="6" s="1"/>
  <c r="DE14" i="6" s="1"/>
  <c r="DF14" i="6" s="1"/>
  <c r="DG14" i="6" s="1"/>
  <c r="DH14" i="6" s="1"/>
  <c r="DI14" i="6" s="1"/>
  <c r="DJ14" i="6" s="1"/>
  <c r="DK14" i="6" s="1"/>
  <c r="DL14" i="6" s="1"/>
  <c r="DM14" i="6" s="1"/>
  <c r="DN14" i="6" s="1"/>
  <c r="DO14" i="6" s="1"/>
  <c r="DP14" i="6" s="1"/>
  <c r="DQ14" i="6" s="1"/>
  <c r="DR14" i="6" s="1"/>
  <c r="DS14" i="6" s="1"/>
  <c r="DT14" i="6" s="1"/>
  <c r="DU14" i="6" s="1"/>
  <c r="DV14" i="6" s="1"/>
  <c r="DW14" i="6" s="1"/>
  <c r="DX14" i="6" s="1"/>
  <c r="DY14" i="6" s="1"/>
  <c r="DZ14" i="6" s="1"/>
  <c r="EA14" i="6" s="1"/>
  <c r="EB14" i="6" s="1"/>
  <c r="EC14" i="6" s="1"/>
  <c r="ED14" i="6" s="1"/>
  <c r="EE14" i="6" s="1"/>
  <c r="C13" i="6"/>
  <c r="D13" i="6" s="1"/>
  <c r="E13" i="6" s="1"/>
  <c r="F13" i="6" s="1"/>
  <c r="G13" i="6" s="1"/>
  <c r="H13" i="6" s="1"/>
  <c r="I13" i="6" s="1"/>
  <c r="J13" i="6" s="1"/>
  <c r="K13" i="6" s="1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AG13" i="6" s="1"/>
  <c r="AH13" i="6" s="1"/>
  <c r="AI13" i="6" s="1"/>
  <c r="AJ13" i="6" s="1"/>
  <c r="AK13" i="6" s="1"/>
  <c r="AL13" i="6" s="1"/>
  <c r="AM13" i="6" s="1"/>
  <c r="AN13" i="6" s="1"/>
  <c r="AO13" i="6" s="1"/>
  <c r="AP13" i="6" s="1"/>
  <c r="AQ13" i="6" s="1"/>
  <c r="AR13" i="6" s="1"/>
  <c r="AS13" i="6" s="1"/>
  <c r="AT13" i="6" s="1"/>
  <c r="AU13" i="6" s="1"/>
  <c r="AV13" i="6" s="1"/>
  <c r="AW13" i="6" s="1"/>
  <c r="AX13" i="6" s="1"/>
  <c r="AY13" i="6" s="1"/>
  <c r="AZ13" i="6" s="1"/>
  <c r="BA13" i="6" s="1"/>
  <c r="BB13" i="6" s="1"/>
  <c r="BC13" i="6" s="1"/>
  <c r="BD13" i="6" s="1"/>
  <c r="BE13" i="6" s="1"/>
  <c r="BF13" i="6" s="1"/>
  <c r="BG13" i="6" s="1"/>
  <c r="BH13" i="6" s="1"/>
  <c r="BI13" i="6" s="1"/>
  <c r="BJ13" i="6" s="1"/>
  <c r="BK13" i="6" s="1"/>
  <c r="BL13" i="6" s="1"/>
  <c r="BM13" i="6" s="1"/>
  <c r="BN13" i="6" s="1"/>
  <c r="BO13" i="6" s="1"/>
  <c r="BP13" i="6" s="1"/>
  <c r="BQ13" i="6" s="1"/>
  <c r="BR13" i="6" s="1"/>
  <c r="BS13" i="6" s="1"/>
  <c r="BT13" i="6" s="1"/>
  <c r="BU13" i="6" s="1"/>
  <c r="BV13" i="6" s="1"/>
  <c r="BW13" i="6" s="1"/>
  <c r="BX13" i="6" s="1"/>
  <c r="BY13" i="6" s="1"/>
  <c r="BZ13" i="6" s="1"/>
  <c r="CA13" i="6" s="1"/>
  <c r="CB13" i="6" s="1"/>
  <c r="CC13" i="6" s="1"/>
  <c r="CD13" i="6" s="1"/>
  <c r="CE13" i="6" s="1"/>
  <c r="CF13" i="6" s="1"/>
  <c r="CG13" i="6" s="1"/>
  <c r="CH13" i="6" s="1"/>
  <c r="CI13" i="6" s="1"/>
  <c r="CJ13" i="6" s="1"/>
  <c r="CK13" i="6" s="1"/>
  <c r="CL13" i="6" s="1"/>
  <c r="CM13" i="6" s="1"/>
  <c r="CN13" i="6" s="1"/>
  <c r="CO13" i="6" s="1"/>
  <c r="CP13" i="6" s="1"/>
  <c r="CQ13" i="6" s="1"/>
  <c r="CR13" i="6" s="1"/>
  <c r="CS13" i="6" s="1"/>
  <c r="CT13" i="6" s="1"/>
  <c r="CU13" i="6" s="1"/>
  <c r="CV13" i="6" s="1"/>
  <c r="CW13" i="6" s="1"/>
  <c r="CX13" i="6" s="1"/>
  <c r="CY13" i="6" s="1"/>
  <c r="CZ13" i="6" s="1"/>
  <c r="DA13" i="6" s="1"/>
  <c r="DB13" i="6" s="1"/>
  <c r="DC13" i="6" s="1"/>
  <c r="DD13" i="6" s="1"/>
  <c r="DE13" i="6" s="1"/>
  <c r="DF13" i="6" s="1"/>
  <c r="DG13" i="6" s="1"/>
  <c r="DH13" i="6" s="1"/>
  <c r="DI13" i="6" s="1"/>
  <c r="DJ13" i="6" s="1"/>
  <c r="DK13" i="6" s="1"/>
  <c r="DL13" i="6" s="1"/>
  <c r="DM13" i="6" s="1"/>
  <c r="DN13" i="6" s="1"/>
  <c r="DO13" i="6" s="1"/>
  <c r="DP13" i="6" s="1"/>
  <c r="DQ13" i="6" s="1"/>
  <c r="DR13" i="6" s="1"/>
  <c r="DS13" i="6" s="1"/>
  <c r="DT13" i="6" s="1"/>
  <c r="DU13" i="6" s="1"/>
  <c r="DV13" i="6" s="1"/>
  <c r="DW13" i="6" s="1"/>
  <c r="DX13" i="6" s="1"/>
  <c r="DY13" i="6" s="1"/>
  <c r="DZ13" i="6" s="1"/>
  <c r="EA13" i="6" s="1"/>
  <c r="EB13" i="6" s="1"/>
  <c r="EC13" i="6" s="1"/>
  <c r="ED13" i="6" s="1"/>
  <c r="EE13" i="6" s="1"/>
  <c r="C12" i="6"/>
  <c r="D12" i="6" s="1"/>
  <c r="E12" i="6" s="1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C11" i="6"/>
  <c r="D11" i="6" s="1"/>
  <c r="E11" i="6" s="1"/>
  <c r="F11" i="6" s="1"/>
  <c r="G11" i="6" s="1"/>
  <c r="H11" i="6" s="1"/>
  <c r="I11" i="6" s="1"/>
  <c r="J11" i="6" s="1"/>
  <c r="K11" i="6" s="1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AG11" i="6" s="1"/>
  <c r="AH11" i="6" s="1"/>
  <c r="AI11" i="6" s="1"/>
  <c r="AJ11" i="6" s="1"/>
  <c r="AK11" i="6" s="1"/>
  <c r="AL11" i="6" s="1"/>
  <c r="AM11" i="6" s="1"/>
  <c r="AN11" i="6" s="1"/>
  <c r="AO11" i="6" s="1"/>
  <c r="AP11" i="6" s="1"/>
  <c r="AQ11" i="6" s="1"/>
  <c r="AR11" i="6" s="1"/>
  <c r="AS11" i="6" s="1"/>
  <c r="AT11" i="6" s="1"/>
  <c r="AU11" i="6" s="1"/>
  <c r="AV11" i="6" s="1"/>
  <c r="AW11" i="6" s="1"/>
  <c r="AX11" i="6" s="1"/>
  <c r="AY11" i="6" s="1"/>
  <c r="AZ11" i="6" s="1"/>
  <c r="BA11" i="6" s="1"/>
  <c r="BB11" i="6" s="1"/>
  <c r="BC11" i="6" s="1"/>
  <c r="BD11" i="6" s="1"/>
  <c r="BE11" i="6" s="1"/>
  <c r="BF11" i="6" s="1"/>
  <c r="BG11" i="6" s="1"/>
  <c r="BH11" i="6" s="1"/>
  <c r="BI11" i="6" s="1"/>
  <c r="BJ11" i="6" s="1"/>
  <c r="BK11" i="6" s="1"/>
  <c r="BL11" i="6" s="1"/>
  <c r="BM11" i="6" s="1"/>
  <c r="BN11" i="6" s="1"/>
  <c r="BO11" i="6" s="1"/>
  <c r="BP11" i="6" s="1"/>
  <c r="BQ11" i="6" s="1"/>
  <c r="BR11" i="6" s="1"/>
  <c r="BS11" i="6" s="1"/>
  <c r="BT11" i="6" s="1"/>
  <c r="BU11" i="6" s="1"/>
  <c r="BV11" i="6" s="1"/>
  <c r="BW11" i="6" s="1"/>
  <c r="BX11" i="6" s="1"/>
  <c r="BY11" i="6" s="1"/>
  <c r="BZ11" i="6" s="1"/>
  <c r="CA11" i="6" s="1"/>
  <c r="CB11" i="6" s="1"/>
  <c r="CC11" i="6" s="1"/>
  <c r="CD11" i="6" s="1"/>
  <c r="CE11" i="6" s="1"/>
  <c r="CF11" i="6" s="1"/>
  <c r="CG11" i="6" s="1"/>
  <c r="CH11" i="6" s="1"/>
  <c r="CI11" i="6" s="1"/>
  <c r="CJ11" i="6" s="1"/>
  <c r="CK11" i="6" s="1"/>
  <c r="CL11" i="6" s="1"/>
  <c r="CM11" i="6" s="1"/>
  <c r="CN11" i="6" s="1"/>
  <c r="CO11" i="6" s="1"/>
  <c r="CP11" i="6" s="1"/>
  <c r="CQ11" i="6" s="1"/>
  <c r="CR11" i="6" s="1"/>
  <c r="CS11" i="6" s="1"/>
  <c r="CT11" i="6" s="1"/>
  <c r="CU11" i="6" s="1"/>
  <c r="CV11" i="6" s="1"/>
  <c r="CW11" i="6" s="1"/>
  <c r="CX11" i="6" s="1"/>
  <c r="CY11" i="6" s="1"/>
  <c r="CZ11" i="6" s="1"/>
  <c r="DA11" i="6" s="1"/>
  <c r="DB11" i="6" s="1"/>
  <c r="DC11" i="6" s="1"/>
  <c r="DD11" i="6" s="1"/>
  <c r="DE11" i="6" s="1"/>
  <c r="DF11" i="6" s="1"/>
  <c r="DG11" i="6" s="1"/>
  <c r="DH11" i="6" s="1"/>
  <c r="DI11" i="6" s="1"/>
  <c r="DJ11" i="6" s="1"/>
  <c r="DK11" i="6" s="1"/>
  <c r="DL11" i="6" s="1"/>
  <c r="DM11" i="6" s="1"/>
  <c r="DN11" i="6" s="1"/>
  <c r="DO11" i="6" s="1"/>
  <c r="DP11" i="6" s="1"/>
  <c r="DQ11" i="6" s="1"/>
  <c r="DR11" i="6" s="1"/>
  <c r="DS11" i="6" s="1"/>
  <c r="DT11" i="6" s="1"/>
  <c r="DU11" i="6" s="1"/>
  <c r="DV11" i="6" s="1"/>
  <c r="DW11" i="6" s="1"/>
  <c r="DX11" i="6" s="1"/>
  <c r="DY11" i="6" s="1"/>
  <c r="DZ11" i="6" s="1"/>
  <c r="EA11" i="6" s="1"/>
  <c r="EB11" i="6" s="1"/>
  <c r="EC11" i="6" s="1"/>
  <c r="ED11" i="6" s="1"/>
  <c r="EE11" i="6" s="1"/>
  <c r="C10" i="6"/>
  <c r="D10" i="6" s="1"/>
  <c r="E10" i="6" s="1"/>
  <c r="F10" i="6" s="1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S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U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EF25" i="4"/>
  <c r="EE25" i="4"/>
  <c r="ED25" i="4"/>
  <c r="EC25" i="4"/>
  <c r="EB25" i="4"/>
  <c r="EA25" i="4"/>
  <c r="DZ25" i="4"/>
  <c r="DY25" i="4"/>
  <c r="DW25" i="4"/>
  <c r="DV25" i="4"/>
  <c r="DU25" i="4"/>
  <c r="DT25" i="4"/>
  <c r="DS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U25" i="4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EF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S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U24" i="4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EF23" i="4"/>
  <c r="EE23" i="4"/>
  <c r="ED23" i="4"/>
  <c r="EC23" i="4"/>
  <c r="EA23" i="4"/>
  <c r="DZ23" i="4"/>
  <c r="DY23" i="4"/>
  <c r="DX23" i="4"/>
  <c r="DW23" i="4"/>
  <c r="DV23" i="4"/>
  <c r="DU23" i="4"/>
  <c r="DT23" i="4"/>
  <c r="DS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U23" i="4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EF22" i="4"/>
  <c r="EE22" i="4"/>
  <c r="ED22" i="4"/>
  <c r="EC22" i="4"/>
  <c r="EA22" i="4"/>
  <c r="DZ22" i="4"/>
  <c r="DY22" i="4"/>
  <c r="DX22" i="4"/>
  <c r="DW22" i="4"/>
  <c r="DT22" i="4"/>
  <c r="DS22" i="4"/>
  <c r="DR22" i="4"/>
  <c r="DQ22" i="4"/>
  <c r="DP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U22" i="4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EF21" i="4"/>
  <c r="EE21" i="4"/>
  <c r="ED21" i="4"/>
  <c r="EC21" i="4"/>
  <c r="EB21" i="4"/>
  <c r="EA21" i="4"/>
  <c r="DZ21" i="4"/>
  <c r="DY21" i="4"/>
  <c r="DX21" i="4"/>
  <c r="DW21" i="4"/>
  <c r="DU21" i="4"/>
  <c r="DT21" i="4"/>
  <c r="DS21" i="4"/>
  <c r="DR21" i="4"/>
  <c r="DQ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EF20" i="4"/>
  <c r="EE20" i="4"/>
  <c r="ED20" i="4"/>
  <c r="EC20" i="4"/>
  <c r="EB20" i="4"/>
  <c r="EA20" i="4"/>
  <c r="DZ20" i="4"/>
  <c r="DY20" i="4"/>
  <c r="DX20" i="4"/>
  <c r="DW20" i="4"/>
  <c r="DV20" i="4"/>
  <c r="DU20" i="4"/>
  <c r="DS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U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EF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S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U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EF18" i="4"/>
  <c r="EC18" i="4"/>
  <c r="EB18" i="4"/>
  <c r="EA18" i="4"/>
  <c r="DZ18" i="4"/>
  <c r="DY18" i="4"/>
  <c r="DX18" i="4"/>
  <c r="DW18" i="4"/>
  <c r="DV18" i="4"/>
  <c r="DU18" i="4"/>
  <c r="DT18" i="4"/>
  <c r="DS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EF17" i="4"/>
  <c r="EE17" i="4"/>
  <c r="EC17" i="4"/>
  <c r="EB17" i="4"/>
  <c r="EA17" i="4"/>
  <c r="DZ17" i="4"/>
  <c r="DY17" i="4"/>
  <c r="DX17" i="4"/>
  <c r="DW17" i="4"/>
  <c r="DU17" i="4"/>
  <c r="DT17" i="4"/>
  <c r="DS17" i="4"/>
  <c r="DR17" i="4"/>
  <c r="DP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U17" i="4"/>
  <c r="BT17" i="4"/>
  <c r="BS17" i="4"/>
  <c r="BR17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EF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S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U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EF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S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EF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S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EE8" i="2" a="1"/>
  <c r="EE8" i="2" s="1"/>
  <c r="ED8" i="2" a="1"/>
  <c r="ED8" i="2" s="1"/>
  <c r="EC8" i="2" a="1"/>
  <c r="EC8" i="2" s="1"/>
  <c r="EB8" i="2" a="1"/>
  <c r="EB8" i="2" s="1"/>
  <c r="EA8" i="2" a="1"/>
  <c r="EA8" i="2" s="1"/>
  <c r="DZ8" i="2" a="1"/>
  <c r="DZ8" i="2" s="1"/>
  <c r="DY8" i="2" a="1"/>
  <c r="DY8" i="2" s="1"/>
  <c r="DX8" i="2" a="1"/>
  <c r="DX8" i="2" s="1"/>
  <c r="DW8" i="2" a="1"/>
  <c r="DW8" i="2" s="1"/>
  <c r="DV8" i="2" a="1"/>
  <c r="DV8" i="2" s="1"/>
  <c r="DU8" i="2" a="1"/>
  <c r="DU8" i="2" s="1"/>
  <c r="DT8" i="2" a="1"/>
  <c r="DT8" i="2" s="1"/>
  <c r="DS8" i="2" a="1"/>
  <c r="DS8" i="2"/>
  <c r="DR8" i="2" a="1"/>
  <c r="DR8" i="2" s="1"/>
  <c r="DQ8" i="2" a="1"/>
  <c r="DQ8" i="2" s="1"/>
  <c r="DP8" i="2" a="1"/>
  <c r="DP8" i="2" s="1"/>
  <c r="DO8" i="2" a="1"/>
  <c r="DO8" i="2" s="1"/>
  <c r="DN8" i="2" a="1"/>
  <c r="DN8" i="2" s="1"/>
  <c r="DM8" i="2" a="1"/>
  <c r="DM8" i="2" s="1"/>
  <c r="DL8" i="2" a="1"/>
  <c r="DL8" i="2" s="1"/>
  <c r="DK8" i="2" a="1"/>
  <c r="DK8" i="2" s="1"/>
  <c r="DJ8" i="2" a="1"/>
  <c r="DJ8" i="2" s="1"/>
  <c r="DI8" i="2" a="1"/>
  <c r="DI8" i="2" s="1"/>
  <c r="DH8" i="2" a="1"/>
  <c r="DH8" i="2" s="1"/>
  <c r="DG8" i="2" a="1"/>
  <c r="DG8" i="2" s="1"/>
  <c r="DF8" i="2" a="1"/>
  <c r="DF8" i="2" s="1"/>
  <c r="DE8" i="2" a="1"/>
  <c r="DE8" i="2" s="1"/>
  <c r="DD8" i="2" a="1"/>
  <c r="DD8" i="2" s="1"/>
  <c r="DC8" i="2" a="1"/>
  <c r="DC8" i="2" s="1"/>
  <c r="DB8" i="2" a="1"/>
  <c r="DB8" i="2" s="1"/>
  <c r="DA8" i="2" a="1"/>
  <c r="DA8" i="2" s="1"/>
  <c r="CZ8" i="2" a="1"/>
  <c r="CZ8" i="2"/>
  <c r="CY8" i="2" a="1"/>
  <c r="CY8" i="2" s="1"/>
  <c r="CX8" i="2" a="1"/>
  <c r="CX8" i="2" s="1"/>
  <c r="CW8" i="2" a="1"/>
  <c r="CW8" i="2" s="1"/>
  <c r="CV8" i="2" a="1"/>
  <c r="CV8" i="2" s="1"/>
  <c r="CU8" i="2" a="1"/>
  <c r="CU8" i="2" s="1"/>
  <c r="CT8" i="2" a="1"/>
  <c r="CT8" i="2" s="1"/>
  <c r="CS8" i="2" a="1"/>
  <c r="CS8" i="2" s="1"/>
  <c r="CR8" i="2" a="1"/>
  <c r="CR8" i="2" s="1"/>
  <c r="CQ8" i="2" a="1"/>
  <c r="CQ8" i="2"/>
  <c r="CP8" i="2" a="1"/>
  <c r="CP8" i="2" s="1"/>
  <c r="CO8" i="2" a="1"/>
  <c r="CO8" i="2" s="1"/>
  <c r="CN8" i="2" a="1"/>
  <c r="CN8" i="2" s="1"/>
  <c r="CM8" i="2" a="1"/>
  <c r="CM8" i="2" s="1"/>
  <c r="CL8" i="2" a="1"/>
  <c r="CL8" i="2" s="1"/>
  <c r="CK8" i="2" a="1"/>
  <c r="CK8" i="2" s="1"/>
  <c r="CJ8" i="2" a="1"/>
  <c r="CJ8" i="2" s="1"/>
  <c r="CI8" i="2" a="1"/>
  <c r="CI8" i="2" s="1"/>
  <c r="CH8" i="2" a="1"/>
  <c r="CH8" i="2" s="1"/>
  <c r="CG8" i="2" a="1"/>
  <c r="CG8" i="2" s="1"/>
  <c r="CF8" i="2" a="1"/>
  <c r="CF8" i="2"/>
  <c r="CE8" i="2" a="1"/>
  <c r="CE8" i="2" s="1"/>
  <c r="CD8" i="2" a="1"/>
  <c r="CD8" i="2" s="1"/>
  <c r="CC8" i="2" a="1"/>
  <c r="CC8" i="2" s="1"/>
  <c r="CB8" i="2" a="1"/>
  <c r="CB8" i="2" s="1"/>
  <c r="CA8" i="2" a="1"/>
  <c r="CA8" i="2" s="1"/>
  <c r="BZ8" i="2" a="1"/>
  <c r="BZ8" i="2" s="1"/>
  <c r="BY8" i="2" a="1"/>
  <c r="BY8" i="2" s="1"/>
  <c r="BX8" i="2" a="1"/>
  <c r="BX8" i="2" s="1"/>
  <c r="BW8" i="2" a="1"/>
  <c r="BW8" i="2"/>
  <c r="BV8" i="2" a="1"/>
  <c r="BV8" i="2" s="1"/>
  <c r="BU8" i="2" a="1"/>
  <c r="BU8" i="2" s="1"/>
  <c r="BT8" i="2" a="1"/>
  <c r="BT8" i="2" s="1"/>
  <c r="BS8" i="2" a="1"/>
  <c r="BS8" i="2" s="1"/>
  <c r="BR8" i="2" a="1"/>
  <c r="BR8" i="2" s="1"/>
  <c r="BQ8" i="2" a="1"/>
  <c r="BQ8" i="2" s="1"/>
  <c r="BP8" i="2" a="1"/>
  <c r="BP8" i="2" s="1"/>
  <c r="BO8" i="2" a="1"/>
  <c r="BO8" i="2" s="1"/>
  <c r="BN8" i="2" a="1"/>
  <c r="BN8" i="2"/>
  <c r="BM8" i="2" a="1"/>
  <c r="BM8" i="2" s="1"/>
  <c r="BL8" i="2" a="1"/>
  <c r="BL8" i="2"/>
  <c r="BK8" i="2" a="1"/>
  <c r="BK8" i="2" s="1"/>
  <c r="BJ8" i="2" a="1"/>
  <c r="BJ8" i="2" s="1"/>
  <c r="BI8" i="2" a="1"/>
  <c r="BI8" i="2" s="1"/>
  <c r="BH8" i="2" a="1"/>
  <c r="BH8" i="2" s="1"/>
  <c r="BG8" i="2" a="1"/>
  <c r="BG8" i="2" s="1"/>
  <c r="BF8" i="2" a="1"/>
  <c r="BF8" i="2" s="1"/>
  <c r="BE8" i="2" a="1"/>
  <c r="BE8" i="2" s="1"/>
  <c r="BD8" i="2" a="1"/>
  <c r="BD8" i="2" s="1"/>
  <c r="BC8" i="2" a="1"/>
  <c r="BC8" i="2"/>
  <c r="BB8" i="2" a="1"/>
  <c r="BB8" i="2" s="1"/>
  <c r="BA8" i="2" a="1"/>
  <c r="BA8" i="2" s="1"/>
  <c r="AZ8" i="2" a="1"/>
  <c r="AZ8" i="2" s="1"/>
  <c r="AY8" i="2" a="1"/>
  <c r="AY8" i="2" s="1"/>
  <c r="AX8" i="2" a="1"/>
  <c r="AX8" i="2" s="1"/>
  <c r="AW8" i="2" a="1"/>
  <c r="AW8" i="2" s="1"/>
  <c r="AV8" i="2" a="1"/>
  <c r="AV8" i="2" s="1"/>
  <c r="AU8" i="2" a="1"/>
  <c r="AU8" i="2" s="1"/>
  <c r="AT8" i="2" a="1"/>
  <c r="AT8" i="2" s="1"/>
  <c r="AS8" i="2" a="1"/>
  <c r="AS8" i="2" s="1"/>
  <c r="AR8" i="2" a="1"/>
  <c r="AR8" i="2" s="1"/>
  <c r="AQ8" i="2" a="1"/>
  <c r="AQ8" i="2" s="1"/>
  <c r="AP8" i="2" a="1"/>
  <c r="AP8" i="2"/>
  <c r="AO8" i="2" a="1"/>
  <c r="AO8" i="2" s="1"/>
  <c r="AN8" i="2" a="1"/>
  <c r="AN8" i="2" s="1"/>
  <c r="AM8" i="2" a="1"/>
  <c r="AM8" i="2" s="1"/>
  <c r="AL8" i="2" a="1"/>
  <c r="AL8" i="2" s="1"/>
  <c r="AK8" i="2" a="1"/>
  <c r="AK8" i="2" s="1"/>
  <c r="AJ8" i="2" a="1"/>
  <c r="AJ8" i="2" s="1"/>
  <c r="AI8" i="2" a="1"/>
  <c r="AI8" i="2" s="1"/>
  <c r="AH8" i="2" a="1"/>
  <c r="AH8" i="2" s="1"/>
  <c r="AG8" i="2" a="1"/>
  <c r="AG8" i="2" s="1"/>
  <c r="AF8" i="2" a="1"/>
  <c r="AF8" i="2" s="1"/>
  <c r="AE8" i="2" a="1"/>
  <c r="AE8" i="2" s="1"/>
  <c r="AD8" i="2" a="1"/>
  <c r="AD8" i="2" s="1"/>
  <c r="AC8" i="2" a="1"/>
  <c r="AC8" i="2"/>
  <c r="AB8" i="2" a="1"/>
  <c r="AB8" i="2" s="1"/>
  <c r="AA8" i="2" a="1"/>
  <c r="AA8" i="2" s="1"/>
  <c r="Z8" i="2" a="1"/>
  <c r="Z8" i="2" s="1"/>
  <c r="Y8" i="2" a="1"/>
  <c r="Y8" i="2" s="1"/>
  <c r="X8" i="2" a="1"/>
  <c r="X8" i="2" s="1"/>
  <c r="W8" i="2" a="1"/>
  <c r="W8" i="2" s="1"/>
  <c r="V8" i="2" a="1"/>
  <c r="V8" i="2" s="1"/>
  <c r="U8" i="2" a="1"/>
  <c r="U8" i="2" s="1"/>
  <c r="T8" i="2" a="1"/>
  <c r="T8" i="2"/>
  <c r="S8" i="2" a="1"/>
  <c r="S8" i="2" s="1"/>
  <c r="R8" i="2" a="1"/>
  <c r="R8" i="2" s="1"/>
  <c r="Q8" i="2" a="1"/>
  <c r="Q8" i="2" s="1"/>
  <c r="P8" i="2" a="1"/>
  <c r="P8" i="2" s="1"/>
  <c r="O8" i="2" a="1"/>
  <c r="O8" i="2" s="1"/>
  <c r="N8" i="2" a="1"/>
  <c r="N8" i="2"/>
  <c r="M8" i="2" a="1"/>
  <c r="M8" i="2"/>
  <c r="L8" i="2" a="1"/>
  <c r="L8" i="2"/>
  <c r="K8" i="2" a="1"/>
  <c r="K8" i="2"/>
  <c r="J8" i="2" a="1"/>
  <c r="J8" i="2"/>
  <c r="I8" i="2" a="1"/>
  <c r="I8" i="2"/>
  <c r="H8" i="2" a="1"/>
  <c r="H8" i="2"/>
  <c r="G8" i="2" a="1"/>
  <c r="G8" i="2"/>
  <c r="F8" i="2" a="1"/>
  <c r="F8" i="2"/>
  <c r="E8" i="2" a="1"/>
  <c r="E8" i="2"/>
  <c r="D8" i="2" a="1"/>
  <c r="D8" i="2"/>
  <c r="EF9" i="4" l="1"/>
  <c r="EF10" i="4"/>
  <c r="EE9" i="4"/>
  <c r="EE10" i="4"/>
  <c r="ED9" i="4"/>
  <c r="ED10" i="4"/>
  <c r="EC9" i="4"/>
  <c r="EC10" i="4"/>
  <c r="EB9" i="4"/>
  <c r="EB10" i="4"/>
  <c r="EA9" i="4"/>
  <c r="EA10" i="4"/>
  <c r="DZ9" i="4"/>
  <c r="DZ10" i="4"/>
  <c r="DY10" i="4"/>
  <c r="DY9" i="4"/>
  <c r="DX10" i="4"/>
  <c r="DX9" i="4"/>
  <c r="DW9" i="4"/>
  <c r="DW10" i="4"/>
  <c r="DV9" i="4"/>
  <c r="DV10" i="4"/>
  <c r="DU9" i="4"/>
  <c r="DU10" i="4"/>
  <c r="DT10" i="4"/>
  <c r="DT9" i="4"/>
  <c r="DS9" i="4"/>
  <c r="DS10" i="4"/>
  <c r="DR9" i="4"/>
  <c r="DR10" i="4"/>
  <c r="DQ9" i="4"/>
  <c r="DQ10" i="4"/>
  <c r="DP10" i="4"/>
  <c r="DP9" i="4"/>
  <c r="DO10" i="4"/>
  <c r="DO9" i="4"/>
  <c r="DN9" i="4"/>
  <c r="DN10" i="4"/>
  <c r="DM10" i="4"/>
  <c r="DM9" i="4"/>
  <c r="DL9" i="4"/>
  <c r="DL10" i="4"/>
  <c r="DK10" i="4"/>
  <c r="DK9" i="4"/>
  <c r="DJ9" i="4"/>
  <c r="DJ10" i="4"/>
  <c r="DI10" i="4"/>
  <c r="DI9" i="4"/>
  <c r="DH9" i="4"/>
  <c r="DH10" i="4"/>
  <c r="DG10" i="4"/>
  <c r="DG9" i="4"/>
  <c r="DF9" i="4"/>
  <c r="DF10" i="4"/>
  <c r="DE10" i="4"/>
  <c r="DE9" i="4"/>
  <c r="DD9" i="4"/>
  <c r="DD10" i="4"/>
  <c r="DC9" i="4"/>
  <c r="DC10" i="4"/>
  <c r="DB9" i="4"/>
  <c r="DB10" i="4"/>
  <c r="DA9" i="4"/>
  <c r="DA10" i="4"/>
  <c r="CZ10" i="4"/>
  <c r="CZ9" i="4"/>
  <c r="CY9" i="4"/>
  <c r="CY10" i="4"/>
  <c r="CX9" i="4"/>
  <c r="CX10" i="4"/>
  <c r="CW10" i="4"/>
  <c r="CW9" i="4"/>
  <c r="CV10" i="4"/>
  <c r="CV9" i="4"/>
  <c r="CU9" i="4"/>
  <c r="CU10" i="4"/>
  <c r="CT9" i="4"/>
  <c r="CT10" i="4"/>
  <c r="CS9" i="4"/>
  <c r="CS10" i="4"/>
  <c r="CR9" i="4"/>
  <c r="CR10" i="4"/>
  <c r="CQ9" i="4"/>
  <c r="CQ10" i="4"/>
  <c r="CP9" i="4"/>
  <c r="CP10" i="4"/>
  <c r="CO10" i="4"/>
  <c r="CO9" i="4"/>
  <c r="CN10" i="4"/>
  <c r="CN9" i="4"/>
  <c r="CM9" i="4"/>
  <c r="CM10" i="4"/>
  <c r="CL9" i="4"/>
  <c r="CL10" i="4"/>
  <c r="CK9" i="4"/>
  <c r="CK10" i="4"/>
  <c r="CJ10" i="4"/>
  <c r="CJ9" i="4"/>
  <c r="CI9" i="4"/>
  <c r="CI10" i="4"/>
  <c r="CH10" i="4"/>
  <c r="CH9" i="4"/>
  <c r="CG9" i="4"/>
  <c r="CG10" i="4"/>
  <c r="CF10" i="4"/>
  <c r="CF9" i="4"/>
  <c r="CE9" i="4"/>
  <c r="CE10" i="4"/>
  <c r="CD9" i="4"/>
  <c r="CD10" i="4"/>
  <c r="CC10" i="4"/>
  <c r="CC9" i="4"/>
  <c r="CB9" i="4"/>
  <c r="CB10" i="4"/>
  <c r="CA9" i="4"/>
  <c r="CA10" i="4"/>
  <c r="BZ10" i="4"/>
  <c r="BZ9" i="4"/>
  <c r="BY10" i="4"/>
  <c r="BY9" i="4"/>
  <c r="BX9" i="4"/>
  <c r="BX10" i="4"/>
  <c r="BW10" i="4"/>
  <c r="BW9" i="4"/>
  <c r="BV10" i="4"/>
  <c r="BV9" i="4"/>
  <c r="BU9" i="4"/>
  <c r="BU10" i="4"/>
  <c r="BT9" i="4"/>
  <c r="BT10" i="4"/>
  <c r="BS10" i="4"/>
  <c r="BS9" i="4"/>
  <c r="BR10" i="4"/>
  <c r="BR9" i="4"/>
  <c r="BQ10" i="4"/>
  <c r="BQ9" i="4"/>
  <c r="BP9" i="4"/>
  <c r="BP10" i="4"/>
  <c r="BO10" i="4"/>
  <c r="BO9" i="4"/>
  <c r="BN10" i="4"/>
  <c r="BN9" i="4"/>
  <c r="BM9" i="4"/>
  <c r="BM10" i="4"/>
  <c r="BL9" i="4"/>
  <c r="BL10" i="4"/>
  <c r="BK10" i="4"/>
  <c r="BK9" i="4"/>
  <c r="BJ9" i="4"/>
  <c r="BJ10" i="4"/>
  <c r="BI9" i="4"/>
  <c r="BI10" i="4"/>
  <c r="BH9" i="4"/>
  <c r="BH10" i="4"/>
  <c r="BG9" i="4"/>
  <c r="BG10" i="4"/>
  <c r="BF10" i="4"/>
  <c r="BF9" i="4"/>
  <c r="BE9" i="4"/>
  <c r="BE10" i="4"/>
  <c r="BD9" i="4"/>
  <c r="BD10" i="4"/>
  <c r="BC10" i="4"/>
  <c r="BC9" i="4"/>
  <c r="BB10" i="4"/>
  <c r="BB9" i="4"/>
  <c r="BA9" i="4"/>
  <c r="BA10" i="4"/>
  <c r="AZ9" i="4"/>
  <c r="AZ10" i="4"/>
  <c r="AY10" i="4"/>
  <c r="AY9" i="4"/>
  <c r="AX9" i="4"/>
  <c r="AX10" i="4"/>
  <c r="AW9" i="4"/>
  <c r="AW10" i="4"/>
  <c r="AV9" i="4"/>
  <c r="AV10" i="4"/>
  <c r="AU9" i="4"/>
  <c r="AU10" i="4"/>
  <c r="AT10" i="4"/>
  <c r="AT9" i="4"/>
  <c r="AS10" i="4"/>
  <c r="AS9" i="4"/>
  <c r="AR9" i="4"/>
  <c r="AR10" i="4"/>
  <c r="AQ9" i="4"/>
  <c r="AQ10" i="4"/>
  <c r="AP9" i="4"/>
  <c r="AP10" i="4"/>
  <c r="AO9" i="4"/>
  <c r="AO10" i="4"/>
  <c r="AN10" i="4"/>
  <c r="AN9" i="4"/>
  <c r="AM10" i="4"/>
  <c r="AM9" i="4"/>
  <c r="AL10" i="4"/>
  <c r="AL9" i="4"/>
  <c r="AK9" i="4"/>
  <c r="AK10" i="4"/>
  <c r="AJ10" i="4"/>
  <c r="AJ9" i="4"/>
  <c r="AI10" i="4"/>
  <c r="AI9" i="4"/>
  <c r="AH10" i="4"/>
  <c r="AH9" i="4"/>
  <c r="AG9" i="4"/>
  <c r="AG10" i="4"/>
  <c r="AF10" i="4"/>
  <c r="AF9" i="4"/>
  <c r="AE10" i="4"/>
  <c r="AE9" i="4"/>
  <c r="AD10" i="4"/>
  <c r="AD9" i="4"/>
  <c r="AC9" i="4"/>
  <c r="AC10" i="4"/>
  <c r="AB10" i="4"/>
  <c r="AB9" i="4"/>
  <c r="AA10" i="4"/>
  <c r="AA9" i="4"/>
  <c r="Z10" i="4"/>
  <c r="Z9" i="4"/>
  <c r="Y9" i="4"/>
  <c r="Y10" i="4"/>
  <c r="X10" i="4"/>
  <c r="X9" i="4"/>
  <c r="W10" i="4"/>
  <c r="W9" i="4"/>
  <c r="V10" i="4"/>
  <c r="V9" i="4"/>
  <c r="U9" i="4"/>
  <c r="U10" i="4"/>
  <c r="T10" i="4"/>
  <c r="T9" i="4"/>
  <c r="S9" i="4"/>
  <c r="S10" i="4"/>
  <c r="R10" i="4"/>
  <c r="R9" i="4"/>
  <c r="Q9" i="4"/>
  <c r="Q10" i="4"/>
  <c r="P10" i="4"/>
  <c r="P9" i="4"/>
  <c r="O10" i="4"/>
  <c r="O9" i="4"/>
  <c r="N10" i="4"/>
  <c r="N9" i="4"/>
  <c r="M9" i="4"/>
  <c r="M10" i="4"/>
  <c r="L9" i="4"/>
  <c r="L10" i="4"/>
  <c r="K10" i="4"/>
  <c r="K9" i="4"/>
  <c r="J9" i="4"/>
  <c r="J10" i="4"/>
  <c r="I10" i="4"/>
  <c r="I9" i="4"/>
  <c r="H10" i="4"/>
  <c r="H9" i="4"/>
  <c r="G9" i="4"/>
  <c r="G10" i="4"/>
  <c r="F9" i="4"/>
  <c r="F10" i="4"/>
  <c r="E10" i="4"/>
  <c r="E9" i="4"/>
  <c r="D10" i="4"/>
  <c r="D9" i="4"/>
  <c r="C9" i="4"/>
  <c r="C10" i="4"/>
  <c r="EI26" i="9"/>
  <c r="EI25" i="9"/>
  <c r="EI20" i="9"/>
  <c r="EI18" i="9"/>
  <c r="EF10" i="2"/>
  <c r="EF9" i="2"/>
  <c r="C9" i="2"/>
  <c r="C10" i="2"/>
  <c r="N10" i="2"/>
  <c r="N9" i="2"/>
  <c r="M10" i="2"/>
  <c r="M9" i="2"/>
  <c r="L9" i="2"/>
  <c r="L10" i="2"/>
  <c r="K10" i="2"/>
  <c r="K9" i="2"/>
  <c r="J10" i="2"/>
  <c r="J9" i="2"/>
  <c r="I10" i="2"/>
  <c r="I9" i="2"/>
  <c r="H10" i="2"/>
  <c r="H9" i="2"/>
  <c r="G9" i="2"/>
  <c r="G10" i="2"/>
  <c r="F10" i="2"/>
  <c r="F9" i="2"/>
  <c r="E9" i="2"/>
  <c r="E10" i="2"/>
  <c r="D10" i="2"/>
  <c r="D9" i="2"/>
  <c r="EI19" i="9"/>
  <c r="EI17" i="9"/>
  <c r="EI21" i="9"/>
  <c r="EI14" i="9"/>
  <c r="CL18" i="8"/>
  <c r="AB18" i="8"/>
  <c r="EG26" i="4"/>
  <c r="EH26" i="4"/>
  <c r="EH25" i="4"/>
  <c r="EG25" i="4"/>
  <c r="EG24" i="4"/>
  <c r="EH24" i="4"/>
  <c r="EG23" i="4"/>
  <c r="EH23" i="4"/>
  <c r="EH22" i="4"/>
  <c r="EG22" i="4"/>
  <c r="EH21" i="4"/>
  <c r="EG21" i="4"/>
  <c r="EH20" i="4"/>
  <c r="EG20" i="4"/>
  <c r="EH19" i="4"/>
  <c r="EG19" i="4"/>
  <c r="EG18" i="4"/>
  <c r="EH18" i="4"/>
  <c r="EH17" i="4"/>
  <c r="EG17" i="4"/>
  <c r="EH16" i="4"/>
  <c r="EG16" i="4"/>
  <c r="EH15" i="4"/>
  <c r="EG15" i="4"/>
  <c r="EH14" i="4"/>
  <c r="EG14" i="4"/>
  <c r="EE9" i="2"/>
  <c r="EE10" i="2"/>
  <c r="ED9" i="2"/>
  <c r="ED10" i="2"/>
  <c r="EC9" i="2"/>
  <c r="EC10" i="2"/>
  <c r="EB10" i="2"/>
  <c r="EB9" i="2"/>
  <c r="EA10" i="2"/>
  <c r="EA9" i="2"/>
  <c r="DZ10" i="2"/>
  <c r="DZ9" i="2"/>
  <c r="DY10" i="2"/>
  <c r="DY9" i="2"/>
  <c r="DX10" i="2"/>
  <c r="DX9" i="2"/>
  <c r="DW10" i="2"/>
  <c r="DW9" i="2"/>
  <c r="DV10" i="2"/>
  <c r="DV9" i="2"/>
  <c r="DU9" i="2"/>
  <c r="DU10" i="2"/>
  <c r="DT9" i="2"/>
  <c r="DT10" i="2"/>
  <c r="DS10" i="2"/>
  <c r="DS9" i="2"/>
  <c r="DR10" i="2"/>
  <c r="DR9" i="2"/>
  <c r="DQ10" i="2"/>
  <c r="DQ9" i="2"/>
  <c r="DP10" i="2"/>
  <c r="DP9" i="2"/>
  <c r="DO10" i="2"/>
  <c r="DO9" i="2"/>
  <c r="DN9" i="2"/>
  <c r="DN10" i="2"/>
  <c r="DM9" i="2"/>
  <c r="DM10" i="2"/>
  <c r="DL9" i="2"/>
  <c r="DL10" i="2"/>
  <c r="DK9" i="2"/>
  <c r="DK10" i="2"/>
  <c r="DJ9" i="2"/>
  <c r="DJ10" i="2"/>
  <c r="DI9" i="2"/>
  <c r="DI10" i="2"/>
  <c r="DH9" i="2"/>
  <c r="DH10" i="2"/>
  <c r="DG9" i="2"/>
  <c r="DG10" i="2"/>
  <c r="DF9" i="2"/>
  <c r="DF10" i="2"/>
  <c r="DE9" i="2"/>
  <c r="DE10" i="2"/>
  <c r="DD9" i="2"/>
  <c r="DD10" i="2"/>
  <c r="DC9" i="2"/>
  <c r="DC10" i="2"/>
  <c r="DB9" i="2"/>
  <c r="DB10" i="2"/>
  <c r="DA9" i="2"/>
  <c r="DA10" i="2"/>
  <c r="CZ9" i="2"/>
  <c r="CZ10" i="2"/>
  <c r="CY9" i="2"/>
  <c r="CY10" i="2"/>
  <c r="CX9" i="2"/>
  <c r="CX10" i="2"/>
  <c r="CW9" i="2"/>
  <c r="CW10" i="2"/>
  <c r="CV9" i="2"/>
  <c r="CV10" i="2"/>
  <c r="CU9" i="2"/>
  <c r="CU10" i="2"/>
  <c r="CT9" i="2"/>
  <c r="CT10" i="2"/>
  <c r="CS9" i="2"/>
  <c r="CS10" i="2"/>
  <c r="CR9" i="2"/>
  <c r="CR10" i="2"/>
  <c r="CQ9" i="2"/>
  <c r="CQ10" i="2"/>
  <c r="CP9" i="2"/>
  <c r="CP10" i="2"/>
  <c r="CO9" i="2"/>
  <c r="CO10" i="2"/>
  <c r="CN9" i="2"/>
  <c r="CN10" i="2"/>
  <c r="CM9" i="2"/>
  <c r="CM10" i="2"/>
  <c r="CL9" i="2"/>
  <c r="CL10" i="2"/>
  <c r="CK9" i="2"/>
  <c r="CK10" i="2"/>
  <c r="CJ9" i="2"/>
  <c r="CJ10" i="2"/>
  <c r="CI9" i="2"/>
  <c r="CI10" i="2"/>
  <c r="CH9" i="2"/>
  <c r="CH10" i="2"/>
  <c r="CG9" i="2"/>
  <c r="CG10" i="2"/>
  <c r="CF10" i="2"/>
  <c r="CF9" i="2"/>
  <c r="CE9" i="2"/>
  <c r="CE10" i="2"/>
  <c r="CD9" i="2"/>
  <c r="CD10" i="2"/>
  <c r="CC9" i="2"/>
  <c r="CC10" i="2"/>
  <c r="CB10" i="2"/>
  <c r="CB9" i="2"/>
  <c r="CA10" i="2"/>
  <c r="CA9" i="2"/>
  <c r="BZ10" i="2"/>
  <c r="BZ9" i="2"/>
  <c r="BY10" i="2"/>
  <c r="BY9" i="2"/>
  <c r="BX10" i="2"/>
  <c r="BX9" i="2"/>
  <c r="BW10" i="2"/>
  <c r="BW9" i="2"/>
  <c r="BV9" i="2"/>
  <c r="BV10" i="2"/>
  <c r="BU9" i="2"/>
  <c r="BU10" i="2"/>
  <c r="BT9" i="2"/>
  <c r="BT10" i="2"/>
  <c r="BS9" i="2"/>
  <c r="BS10" i="2"/>
  <c r="BR9" i="2"/>
  <c r="BR10" i="2"/>
  <c r="BQ9" i="2"/>
  <c r="BQ10" i="2"/>
  <c r="BP9" i="2"/>
  <c r="BP10" i="2"/>
  <c r="BO9" i="2"/>
  <c r="BO10" i="2"/>
  <c r="BN9" i="2"/>
  <c r="BN10" i="2"/>
  <c r="BM9" i="2"/>
  <c r="BM10" i="2"/>
  <c r="BL9" i="2"/>
  <c r="BL10" i="2"/>
  <c r="BK9" i="2"/>
  <c r="BK10" i="2"/>
  <c r="BJ9" i="2"/>
  <c r="BJ10" i="2"/>
  <c r="BI10" i="2"/>
  <c r="BI9" i="2"/>
  <c r="BH10" i="2"/>
  <c r="BH9" i="2"/>
  <c r="BG10" i="2"/>
  <c r="BG9" i="2"/>
  <c r="BF10" i="2"/>
  <c r="BF9" i="2"/>
  <c r="BE10" i="2"/>
  <c r="BE9" i="2"/>
  <c r="BD10" i="2"/>
  <c r="BD9" i="2"/>
  <c r="BC10" i="2"/>
  <c r="BC9" i="2"/>
  <c r="BB10" i="2"/>
  <c r="BB9" i="2"/>
  <c r="BA10" i="2"/>
  <c r="BA9" i="2"/>
  <c r="AZ10" i="2"/>
  <c r="AZ9" i="2"/>
  <c r="AY10" i="2"/>
  <c r="AY9" i="2"/>
  <c r="AX10" i="2"/>
  <c r="AX9" i="2"/>
  <c r="AW10" i="2"/>
  <c r="AW9" i="2"/>
  <c r="AV10" i="2"/>
  <c r="AV9" i="2"/>
  <c r="AU10" i="2"/>
  <c r="AU9" i="2"/>
  <c r="AT9" i="2"/>
  <c r="AT10" i="2"/>
  <c r="AS9" i="2"/>
  <c r="AS10" i="2"/>
  <c r="AR9" i="2"/>
  <c r="AR10" i="2"/>
  <c r="AQ10" i="2"/>
  <c r="AQ9" i="2"/>
  <c r="AP9" i="2"/>
  <c r="AP10" i="2"/>
  <c r="AO9" i="2"/>
  <c r="AO10" i="2"/>
  <c r="AN9" i="2"/>
  <c r="AN10" i="2"/>
  <c r="AM10" i="2"/>
  <c r="AM9" i="2"/>
  <c r="AL10" i="2"/>
  <c r="AL9" i="2"/>
  <c r="AK9" i="2"/>
  <c r="AK10" i="2"/>
  <c r="AJ9" i="2"/>
  <c r="AJ10" i="2"/>
  <c r="AI9" i="2"/>
  <c r="AI10" i="2"/>
  <c r="AH9" i="2"/>
  <c r="AH10" i="2"/>
  <c r="AG9" i="2"/>
  <c r="AG10" i="2"/>
  <c r="AF10" i="2"/>
  <c r="AF9" i="2"/>
  <c r="AE10" i="2"/>
  <c r="AE9" i="2"/>
  <c r="AD9" i="2"/>
  <c r="AD10" i="2"/>
  <c r="AC9" i="2"/>
  <c r="AC10" i="2"/>
  <c r="AB9" i="2"/>
  <c r="AB10" i="2"/>
  <c r="AA9" i="2"/>
  <c r="AA10" i="2"/>
  <c r="Z9" i="2"/>
  <c r="Z10" i="2"/>
  <c r="Y10" i="2"/>
  <c r="Y9" i="2"/>
  <c r="X10" i="2"/>
  <c r="X9" i="2"/>
  <c r="W10" i="2"/>
  <c r="W9" i="2"/>
  <c r="V10" i="2"/>
  <c r="V9" i="2"/>
  <c r="U10" i="2"/>
  <c r="U9" i="2"/>
  <c r="T9" i="2"/>
  <c r="T10" i="2"/>
  <c r="S9" i="2"/>
  <c r="S10" i="2"/>
  <c r="R9" i="2"/>
  <c r="R10" i="2"/>
  <c r="Q9" i="2"/>
  <c r="Q10" i="2"/>
  <c r="P9" i="2"/>
  <c r="P10" i="2"/>
  <c r="O9" i="2"/>
  <c r="O10" i="2"/>
</calcChain>
</file>

<file path=xl/sharedStrings.xml><?xml version="1.0" encoding="utf-8"?>
<sst xmlns="http://schemas.openxmlformats.org/spreadsheetml/2006/main" count="1963" uniqueCount="258">
  <si>
    <t>Real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</si>
  <si>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</si>
  <si>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</si>
  <si>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</si>
  <si>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</si>
  <si>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</si>
  <si>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</si>
  <si>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</si>
  <si>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</si>
  <si>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</si>
  <si>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</si>
  <si>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</si>
  <si>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</si>
  <si>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</si>
  <si>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</si>
  <si>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</si>
  <si>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</si>
  <si>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</si>
  <si>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</si>
  <si>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</si>
  <si>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</si>
  <si>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</si>
  <si>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</si>
  <si>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</si>
  <si>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</si>
  <si>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</si>
  <si>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</si>
  <si>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</si>
  <si>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</si>
  <si>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</si>
  <si>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</si>
  <si>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</si>
  <si>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</si>
  <si>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</si>
  <si>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</si>
  <si>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</si>
  <si>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</si>
  <si>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</si>
  <si>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</si>
  <si>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</si>
  <si>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</si>
  <si>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</si>
  <si>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</si>
  <si>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</si>
  <si>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</si>
  <si>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</si>
  <si>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</si>
  <si>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</si>
  <si>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</si>
  <si>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</si>
  <si>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</si>
  <si>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</si>
  <si>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</si>
  <si>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</si>
  <si>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</si>
  <si>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</si>
  <si>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</si>
  <si>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</si>
  <si>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</si>
  <si>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</si>
  <si>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</si>
  <si>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</si>
  <si>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</si>
  <si>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</si>
  <si>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</si>
  <si>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</si>
  <si>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</si>
  <si>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</si>
  <si>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</si>
  <si>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</si>
  <si>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</si>
  <si>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</si>
  <si>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</si>
  <si>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</si>
  <si>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</si>
  <si>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</si>
  <si>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</si>
  <si>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</si>
  <si>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</si>
  <si>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</si>
  <si>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</si>
  <si>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</si>
  <si>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</si>
  <si>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</si>
  <si>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</si>
  <si>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</si>
  <si>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</si>
  <si>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</si>
  <si>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</si>
  <si>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</si>
  <si>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</si>
  <si>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</si>
  <si>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</si>
  <si>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</si>
  <si>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</si>
  <si>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</si>
  <si>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</si>
  <si>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</si>
  <si>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</si>
  <si>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</si>
  <si>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</si>
  <si>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</si>
  <si>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</si>
  <si>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</si>
  <si>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</si>
  <si>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</si>
  <si>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</si>
  <si>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</si>
  <si>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</si>
  <si>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</si>
  <si>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</si>
  <si>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</si>
  <si>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</si>
  <si>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</si>
  <si>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</si>
  <si>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</si>
  <si>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</si>
  <si>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</si>
  <si>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</si>
  <si>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</si>
  <si>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</si>
  <si>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</si>
  <si>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</si>
  <si>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</si>
  <si>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</si>
  <si>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</si>
  <si>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</si>
  <si>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</si>
  <si>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</si>
  <si>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</si>
  <si>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</si>
  <si>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</si>
  <si>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</si>
  <si>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</si>
  <si>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</si>
  <si>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</si>
  <si>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mom1</t>
  </si>
  <si>
    <t>mom12</t>
  </si>
  <si>
    <t>chmom</t>
  </si>
  <si>
    <t>retvol</t>
  </si>
  <si>
    <t>maxret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</si>
  <si>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</si>
  <si>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</si>
  <si>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</si>
  <si>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</si>
  <si>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</si>
  <si>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</si>
  <si>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</si>
  <si>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TWⅡ</t>
  </si>
  <si>
    <t>台泥</t>
  </si>
  <si>
    <t>希華</t>
  </si>
  <si>
    <t>天仁</t>
  </si>
  <si>
    <t>京城</t>
  </si>
  <si>
    <t>志信</t>
  </si>
  <si>
    <t>瑞昱</t>
  </si>
  <si>
    <t>寶徠</t>
  </si>
  <si>
    <t>基泰</t>
  </si>
  <si>
    <t>威健</t>
  </si>
  <si>
    <t>群光</t>
  </si>
  <si>
    <t>憶聲</t>
  </si>
  <si>
    <t>中石化</t>
  </si>
  <si>
    <t>工信</t>
  </si>
  <si>
    <t>達欣工</t>
  </si>
  <si>
    <t>凱衛</t>
  </si>
  <si>
    <t>松翰</t>
  </si>
  <si>
    <t>燁輝</t>
  </si>
  <si>
    <t>奇鋐</t>
  </si>
  <si>
    <t>得力</t>
  </si>
  <si>
    <t>創見</t>
  </si>
  <si>
    <t>飛寶企業</t>
  </si>
  <si>
    <t>新普</t>
  </si>
  <si>
    <t>三圓</t>
  </si>
  <si>
    <t>豐謙</t>
  </si>
  <si>
    <t>華友聯</t>
  </si>
  <si>
    <t>光罩</t>
  </si>
  <si>
    <t>凌網</t>
  </si>
  <si>
    <t>新潤</t>
  </si>
  <si>
    <t>均豪</t>
  </si>
  <si>
    <t>力特</t>
  </si>
  <si>
    <t>聯上發</t>
  </si>
  <si>
    <t>漢平</t>
  </si>
  <si>
    <t>巨路</t>
  </si>
  <si>
    <t>北基</t>
  </si>
  <si>
    <t>上福</t>
  </si>
  <si>
    <t>歐格</t>
  </si>
  <si>
    <t>三星</t>
  </si>
  <si>
    <t>加捷生醫</t>
  </si>
  <si>
    <t>福華</t>
  </si>
  <si>
    <t>臺鹽</t>
  </si>
  <si>
    <t>立康</t>
  </si>
  <si>
    <t>廣積</t>
  </si>
  <si>
    <t>郡都開發</t>
  </si>
  <si>
    <t>嘉晶</t>
  </si>
  <si>
    <t>神基</t>
  </si>
  <si>
    <t>揚博</t>
  </si>
  <si>
    <t>固緯</t>
  </si>
  <si>
    <t>杏輝</t>
  </si>
  <si>
    <t>桂盟</t>
  </si>
  <si>
    <t>寶成</t>
  </si>
  <si>
    <t>陞泰</t>
  </si>
  <si>
    <t>美好證</t>
  </si>
  <si>
    <t>昱捷</t>
  </si>
  <si>
    <t>統懋</t>
  </si>
  <si>
    <t>大展證</t>
  </si>
  <si>
    <t>台半</t>
  </si>
  <si>
    <t>沛亨</t>
  </si>
  <si>
    <t>新光鋼</t>
  </si>
  <si>
    <t>鉅橡</t>
  </si>
  <si>
    <t>皇田</t>
  </si>
  <si>
    <t>倚強科</t>
  </si>
  <si>
    <t>廣宇</t>
  </si>
  <si>
    <t>瑞軒</t>
  </si>
  <si>
    <t>南紡</t>
  </si>
  <si>
    <t>偉詮電</t>
  </si>
  <si>
    <t>年興</t>
  </si>
  <si>
    <t>新門</t>
  </si>
  <si>
    <t>江興鍛</t>
  </si>
  <si>
    <t>宏璟</t>
  </si>
  <si>
    <t>中鋼</t>
  </si>
  <si>
    <t>聚亨</t>
  </si>
  <si>
    <t>榮運</t>
  </si>
  <si>
    <t>櫻花建</t>
  </si>
  <si>
    <t>光洋科</t>
  </si>
  <si>
    <t>華祺</t>
  </si>
  <si>
    <t>銘異</t>
  </si>
  <si>
    <t>佳總</t>
  </si>
  <si>
    <t>啟碁</t>
  </si>
  <si>
    <t>國產</t>
  </si>
  <si>
    <t>中華食</t>
  </si>
  <si>
    <t>正文</t>
  </si>
  <si>
    <t>來思達</t>
  </si>
  <si>
    <t>南良</t>
  </si>
  <si>
    <t>霖宏</t>
  </si>
  <si>
    <t>久正</t>
  </si>
  <si>
    <t>至上</t>
  </si>
  <si>
    <t>精金</t>
  </si>
  <si>
    <t>Predict</t>
  </si>
  <si>
    <t>SUM</t>
  </si>
  <si>
    <t>勝率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</si>
  <si>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</si>
  <si>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</si>
  <si>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</si>
  <si>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</si>
  <si>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</si>
  <si>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</si>
  <si>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</si>
  <si>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</si>
  <si>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</si>
  <si>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</si>
  <si>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</si>
  <si>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</si>
  <si>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</si>
  <si>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</si>
  <si>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平均值</t>
  </si>
  <si>
    <t>標準差</t>
  </si>
  <si>
    <t>夏普比率</t>
  </si>
  <si>
    <t>(預測-真實)^2</t>
  </si>
  <si>
    <t>真實^2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</si>
</sst>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1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b/>
      <sz val="12"/>
      <color theme="1"/>
      <name val="Microsoft JhengHei"/>
      <family val="2"/>
      <charset val="136"/>
    </font>
    <font>
      <b/>
      <sz val="12"/>
      <color theme="1"/>
      <name val="Noto Sans HK Black"/>
      <family val="2"/>
      <charset val="136"/>
    </font>
    <font>
      <sz val="12"/>
      <color rgb="FF000000"/>
      <name val="Calibri"/>
      <family val="2"/>
    </font>
    <font>
      <b/>
      <sz val="12"/>
      <color theme="1"/>
      <name val="Noto Sans HK Black"/>
      <charset val="136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1" fillId="5" borderId="1" xfId="0" applyNumberFormat="1" applyFont="1" applyFill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0" borderId="2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10" fillId="3" borderId="0" xfId="0" applyFont="1" applyFill="1" applyAlignment="1">
      <alignment horizontal="center" vertical="center"/>
    </xf>
    <xf numFmtId="176" fontId="3" fillId="4" borderId="0" xfId="0" applyNumberFormat="1" applyFont="1" applyFill="1" applyAlignment="1">
      <alignment horizontal="center" vertical="center"/>
    </xf>
    <xf numFmtId="176" fontId="3" fillId="8" borderId="0" xfId="0" applyNumberFormat="1" applyFont="1" applyFill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'預測XGBoost累積報酬 '!$A$19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'預測XGBoost累積報酬 '!$B$19:$EE$19</c:f>
              <c:numCache>
                <c:formatCode>General</c:formatCode>
                <c:ptCount val="134"/>
                <c:pt idx="0">
                  <c:v>0.89783896967174559</c:v>
                </c:pt>
                <c:pt idx="1">
                  <c:v>1.8999218338135386</c:v>
                </c:pt>
                <c:pt idx="2">
                  <c:v>2.6805265657466699</c:v>
                </c:pt>
                <c:pt idx="3">
                  <c:v>3.9648149238579968</c:v>
                </c:pt>
                <c:pt idx="4">
                  <c:v>4.7674498082293502</c:v>
                </c:pt>
                <c:pt idx="5">
                  <c:v>5.4923635837920459</c:v>
                </c:pt>
                <c:pt idx="6">
                  <c:v>6.1935181917645554</c:v>
                </c:pt>
                <c:pt idx="7">
                  <c:v>7.0796078487503564</c:v>
                </c:pt>
                <c:pt idx="8">
                  <c:v>8.1058544008066225</c:v>
                </c:pt>
                <c:pt idx="9">
                  <c:v>8.9756124240571005</c:v>
                </c:pt>
                <c:pt idx="10">
                  <c:v>10.231819808245968</c:v>
                </c:pt>
                <c:pt idx="11">
                  <c:v>11.219660563817255</c:v>
                </c:pt>
                <c:pt idx="12">
                  <c:v>11.325725414196954</c:v>
                </c:pt>
                <c:pt idx="13">
                  <c:v>11.356492966463041</c:v>
                </c:pt>
                <c:pt idx="14">
                  <c:v>11.165023576322158</c:v>
                </c:pt>
                <c:pt idx="15">
                  <c:v>11.079605502227919</c:v>
                </c:pt>
                <c:pt idx="16">
                  <c:v>11.082836592842632</c:v>
                </c:pt>
                <c:pt idx="17">
                  <c:v>11.172161412591418</c:v>
                </c:pt>
                <c:pt idx="18">
                  <c:v>11.208311034426719</c:v>
                </c:pt>
                <c:pt idx="19">
                  <c:v>11.221498215533854</c:v>
                </c:pt>
                <c:pt idx="20">
                  <c:v>11.250760372524722</c:v>
                </c:pt>
                <c:pt idx="21">
                  <c:v>11.330295026467542</c:v>
                </c:pt>
                <c:pt idx="22">
                  <c:v>11.328185920183131</c:v>
                </c:pt>
                <c:pt idx="23">
                  <c:v>11.375609962470453</c:v>
                </c:pt>
                <c:pt idx="24">
                  <c:v>11.287175070926034</c:v>
                </c:pt>
                <c:pt idx="25">
                  <c:v>11.265888471479579</c:v>
                </c:pt>
                <c:pt idx="26">
                  <c:v>11.287849729349505</c:v>
                </c:pt>
                <c:pt idx="27">
                  <c:v>11.415466487484963</c:v>
                </c:pt>
                <c:pt idx="28">
                  <c:v>11.33363644919595</c:v>
                </c:pt>
                <c:pt idx="29">
                  <c:v>11.581466460236967</c:v>
                </c:pt>
                <c:pt idx="30">
                  <c:v>11.552979987138052</c:v>
                </c:pt>
                <c:pt idx="31">
                  <c:v>11.541392562665582</c:v>
                </c:pt>
                <c:pt idx="32">
                  <c:v>11.503378628169177</c:v>
                </c:pt>
                <c:pt idx="33">
                  <c:v>11.484425290120189</c:v>
                </c:pt>
                <c:pt idx="34">
                  <c:v>11.446558752022867</c:v>
                </c:pt>
                <c:pt idx="35">
                  <c:v>11.3449403182402</c:v>
                </c:pt>
                <c:pt idx="36">
                  <c:v>11.578092327003963</c:v>
                </c:pt>
                <c:pt idx="37">
                  <c:v>11.574003578812212</c:v>
                </c:pt>
                <c:pt idx="38">
                  <c:v>11.486908652067015</c:v>
                </c:pt>
                <c:pt idx="39">
                  <c:v>11.374682180065346</c:v>
                </c:pt>
                <c:pt idx="40">
                  <c:v>11.577362513566001</c:v>
                </c:pt>
                <c:pt idx="41">
                  <c:v>11.576117006184035</c:v>
                </c:pt>
                <c:pt idx="42">
                  <c:v>11.558620055582846</c:v>
                </c:pt>
                <c:pt idx="43">
                  <c:v>11.575704513192871</c:v>
                </c:pt>
                <c:pt idx="44">
                  <c:v>11.582652363145792</c:v>
                </c:pt>
                <c:pt idx="45">
                  <c:v>11.569890097997071</c:v>
                </c:pt>
                <c:pt idx="46">
                  <c:v>11.462164810824564</c:v>
                </c:pt>
                <c:pt idx="47">
                  <c:v>11.408588454508235</c:v>
                </c:pt>
                <c:pt idx="48">
                  <c:v>11.442254351672039</c:v>
                </c:pt>
                <c:pt idx="49">
                  <c:v>11.45476018212098</c:v>
                </c:pt>
                <c:pt idx="50">
                  <c:v>11.427536020915506</c:v>
                </c:pt>
                <c:pt idx="51">
                  <c:v>11.328826729355638</c:v>
                </c:pt>
                <c:pt idx="52">
                  <c:v>11.354228894572174</c:v>
                </c:pt>
                <c:pt idx="53">
                  <c:v>11.333184271288408</c:v>
                </c:pt>
                <c:pt idx="54">
                  <c:v>11.271548169511449</c:v>
                </c:pt>
                <c:pt idx="55">
                  <c:v>11.358990833302578</c:v>
                </c:pt>
                <c:pt idx="56">
                  <c:v>11.475203234224933</c:v>
                </c:pt>
                <c:pt idx="57">
                  <c:v>11.524758380802268</c:v>
                </c:pt>
                <c:pt idx="58">
                  <c:v>11.465185696880958</c:v>
                </c:pt>
                <c:pt idx="59">
                  <c:v>11.600992926677415</c:v>
                </c:pt>
                <c:pt idx="60">
                  <c:v>11.714200631609355</c:v>
                </c:pt>
                <c:pt idx="61">
                  <c:v>11.843579684128596</c:v>
                </c:pt>
                <c:pt idx="62">
                  <c:v>11.877692895919937</c:v>
                </c:pt>
                <c:pt idx="63">
                  <c:v>11.91695793887609</c:v>
                </c:pt>
                <c:pt idx="64">
                  <c:v>11.92758949658797</c:v>
                </c:pt>
                <c:pt idx="65">
                  <c:v>12.158476100024419</c:v>
                </c:pt>
                <c:pt idx="66">
                  <c:v>12.176756408416159</c:v>
                </c:pt>
                <c:pt idx="67">
                  <c:v>11.999244536891812</c:v>
                </c:pt>
                <c:pt idx="68">
                  <c:v>11.956371564250023</c:v>
                </c:pt>
                <c:pt idx="69">
                  <c:v>12.122056393250121</c:v>
                </c:pt>
                <c:pt idx="70">
                  <c:v>12.108831680214198</c:v>
                </c:pt>
                <c:pt idx="71">
                  <c:v>12.170645553461593</c:v>
                </c:pt>
                <c:pt idx="72">
                  <c:v>11.956118554500984</c:v>
                </c:pt>
                <c:pt idx="73">
                  <c:v>11.971602897242635</c:v>
                </c:pt>
                <c:pt idx="74">
                  <c:v>11.934834203838065</c:v>
                </c:pt>
                <c:pt idx="75">
                  <c:v>11.81726749109891</c:v>
                </c:pt>
                <c:pt idx="76">
                  <c:v>11.763218505918045</c:v>
                </c:pt>
                <c:pt idx="77">
                  <c:v>11.764493208565188</c:v>
                </c:pt>
                <c:pt idx="78">
                  <c:v>11.84002786315552</c:v>
                </c:pt>
                <c:pt idx="79">
                  <c:v>11.758795694136127</c:v>
                </c:pt>
                <c:pt idx="80">
                  <c:v>11.762602165087539</c:v>
                </c:pt>
                <c:pt idx="81">
                  <c:v>11.787398727931274</c:v>
                </c:pt>
                <c:pt idx="82">
                  <c:v>11.84015853893597</c:v>
                </c:pt>
                <c:pt idx="83">
                  <c:v>11.890774456709945</c:v>
                </c:pt>
                <c:pt idx="84">
                  <c:v>11.940503157365326</c:v>
                </c:pt>
                <c:pt idx="85">
                  <c:v>11.912302582188651</c:v>
                </c:pt>
                <c:pt idx="86">
                  <c:v>11.846562493259922</c:v>
                </c:pt>
                <c:pt idx="87">
                  <c:v>11.633266389574414</c:v>
                </c:pt>
                <c:pt idx="88">
                  <c:v>11.668512626204004</c:v>
                </c:pt>
                <c:pt idx="89">
                  <c:v>11.766445291201633</c:v>
                </c:pt>
                <c:pt idx="90">
                  <c:v>11.945396624253837</c:v>
                </c:pt>
                <c:pt idx="91">
                  <c:v>12.135078328904864</c:v>
                </c:pt>
                <c:pt idx="92">
                  <c:v>11.839422704220986</c:v>
                </c:pt>
                <c:pt idx="93">
                  <c:v>11.672055321075774</c:v>
                </c:pt>
                <c:pt idx="94">
                  <c:v>11.733829450061084</c:v>
                </c:pt>
                <c:pt idx="95">
                  <c:v>11.65091018528372</c:v>
                </c:pt>
                <c:pt idx="96">
                  <c:v>11.574913474982568</c:v>
                </c:pt>
                <c:pt idx="97">
                  <c:v>11.47367155614447</c:v>
                </c:pt>
                <c:pt idx="98">
                  <c:v>11.44104179369541</c:v>
                </c:pt>
                <c:pt idx="99">
                  <c:v>11.460231898900599</c:v>
                </c:pt>
                <c:pt idx="100">
                  <c:v>11.394282653418999</c:v>
                </c:pt>
                <c:pt idx="101">
                  <c:v>11.545462643288547</c:v>
                </c:pt>
                <c:pt idx="102">
                  <c:v>11.467843240592364</c:v>
                </c:pt>
                <c:pt idx="103">
                  <c:v>11.517981867804428</c:v>
                </c:pt>
                <c:pt idx="104">
                  <c:v>11.413883618141654</c:v>
                </c:pt>
                <c:pt idx="105">
                  <c:v>11.425670158958196</c:v>
                </c:pt>
                <c:pt idx="106">
                  <c:v>11.445410307184469</c:v>
                </c:pt>
                <c:pt idx="107">
                  <c:v>11.404755398911293</c:v>
                </c:pt>
                <c:pt idx="108">
                  <c:v>11.39006178722166</c:v>
                </c:pt>
                <c:pt idx="109">
                  <c:v>11.340155454462517</c:v>
                </c:pt>
                <c:pt idx="110">
                  <c:v>11.398156143038245</c:v>
                </c:pt>
                <c:pt idx="111">
                  <c:v>11.558885448184062</c:v>
                </c:pt>
                <c:pt idx="112">
                  <c:v>11.608554177715826</c:v>
                </c:pt>
                <c:pt idx="113">
                  <c:v>11.476156736338067</c:v>
                </c:pt>
                <c:pt idx="114">
                  <c:v>11.293279066738693</c:v>
                </c:pt>
                <c:pt idx="115">
                  <c:v>11.234979129381333</c:v>
                </c:pt>
                <c:pt idx="116">
                  <c:v>11.170042429507495</c:v>
                </c:pt>
                <c:pt idx="117">
                  <c:v>11.082845251895217</c:v>
                </c:pt>
                <c:pt idx="118">
                  <c:v>11.082777550581268</c:v>
                </c:pt>
                <c:pt idx="119">
                  <c:v>11.096071884482615</c:v>
                </c:pt>
                <c:pt idx="120">
                  <c:v>11.115113367758669</c:v>
                </c:pt>
                <c:pt idx="121">
                  <c:v>11.142619056100243</c:v>
                </c:pt>
                <c:pt idx="122">
                  <c:v>11.18661249748448</c:v>
                </c:pt>
                <c:pt idx="123">
                  <c:v>11.128297289277711</c:v>
                </c:pt>
                <c:pt idx="124">
                  <c:v>11.19364987560828</c:v>
                </c:pt>
                <c:pt idx="125">
                  <c:v>11.211314443044675</c:v>
                </c:pt>
                <c:pt idx="126">
                  <c:v>11.166998872170096</c:v>
                </c:pt>
                <c:pt idx="127">
                  <c:v>11.228709417529087</c:v>
                </c:pt>
                <c:pt idx="128">
                  <c:v>11.283992498874136</c:v>
                </c:pt>
                <c:pt idx="129">
                  <c:v>11.287502368074335</c:v>
                </c:pt>
                <c:pt idx="130">
                  <c:v>11.29068819337841</c:v>
                </c:pt>
                <c:pt idx="131">
                  <c:v>11.38071681482117</c:v>
                </c:pt>
                <c:pt idx="132">
                  <c:v>11.416852004570387</c:v>
                </c:pt>
                <c:pt idx="133">
                  <c:v>11.492938497166019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F-1743-8FC7-2AED2F932A8D}"/>
            </c:ext>
          </c:extLst>
        </c:ser>
        <c:ser>
          <c:idx val="1"/>
          <c:order val="1"/>
          <c:tx>
            <c:strRef>
              <c:f>'預測XGBoost累積報酬 '!$A$20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'預測XGBoost累積報酬 '!$B$20:$EE$20</c:f>
              <c:numCache>
                <c:formatCode>General</c:formatCode>
                <c:ptCount val="134"/>
                <c:pt idx="0">
                  <c:v>0.98736986204569799</c:v>
                </c:pt>
                <c:pt idx="1">
                  <c:v>2.0816411861353559</c:v>
                </c:pt>
                <c:pt idx="2">
                  <c:v>2.9090790854550184</c:v>
                </c:pt>
                <c:pt idx="3">
                  <c:v>4.2609058661664436</c:v>
                </c:pt>
                <c:pt idx="4">
                  <c:v>5.0867029504023051</c:v>
                </c:pt>
                <c:pt idx="5">
                  <c:v>5.7829382856756304</c:v>
                </c:pt>
                <c:pt idx="6">
                  <c:v>6.4860564642149585</c:v>
                </c:pt>
                <c:pt idx="7">
                  <c:v>7.4315798423046751</c:v>
                </c:pt>
                <c:pt idx="8">
                  <c:v>8.6189868859770034</c:v>
                </c:pt>
                <c:pt idx="9">
                  <c:v>9.6214595433797587</c:v>
                </c:pt>
                <c:pt idx="10">
                  <c:v>11.066478649117109</c:v>
                </c:pt>
                <c:pt idx="11">
                  <c:v>12.171293745797874</c:v>
                </c:pt>
                <c:pt idx="12">
                  <c:v>12.267245016210298</c:v>
                </c:pt>
                <c:pt idx="13">
                  <c:v>12.287100626164353</c:v>
                </c:pt>
                <c:pt idx="14">
                  <c:v>11.937732198704875</c:v>
                </c:pt>
                <c:pt idx="15">
                  <c:v>11.893263064937152</c:v>
                </c:pt>
                <c:pt idx="16">
                  <c:v>11.864502997922333</c:v>
                </c:pt>
                <c:pt idx="17">
                  <c:v>11.967399393551084</c:v>
                </c:pt>
                <c:pt idx="18">
                  <c:v>11.945684195768028</c:v>
                </c:pt>
                <c:pt idx="19">
                  <c:v>11.955667121067904</c:v>
                </c:pt>
                <c:pt idx="20">
                  <c:v>12.038688082250504</c:v>
                </c:pt>
                <c:pt idx="21">
                  <c:v>12.138773132020276</c:v>
                </c:pt>
                <c:pt idx="22">
                  <c:v>12.116963282568616</c:v>
                </c:pt>
                <c:pt idx="23">
                  <c:v>12.147892520104108</c:v>
                </c:pt>
                <c:pt idx="24">
                  <c:v>12.074554407807437</c:v>
                </c:pt>
                <c:pt idx="25">
                  <c:v>12.062967968457485</c:v>
                </c:pt>
                <c:pt idx="26">
                  <c:v>12.098909716669745</c:v>
                </c:pt>
                <c:pt idx="27">
                  <c:v>12.148909668947864</c:v>
                </c:pt>
                <c:pt idx="28">
                  <c:v>12.067786823653858</c:v>
                </c:pt>
                <c:pt idx="29">
                  <c:v>12.343211217001894</c:v>
                </c:pt>
                <c:pt idx="30">
                  <c:v>12.371183267624897</c:v>
                </c:pt>
                <c:pt idx="31">
                  <c:v>12.406268780556399</c:v>
                </c:pt>
                <c:pt idx="32">
                  <c:v>12.25568144608833</c:v>
                </c:pt>
                <c:pt idx="33">
                  <c:v>12.255960132450619</c:v>
                </c:pt>
                <c:pt idx="34">
                  <c:v>12.193216801424347</c:v>
                </c:pt>
                <c:pt idx="35">
                  <c:v>12.141073753934689</c:v>
                </c:pt>
                <c:pt idx="36">
                  <c:v>12.286628931041969</c:v>
                </c:pt>
                <c:pt idx="37">
                  <c:v>12.367581486485228</c:v>
                </c:pt>
                <c:pt idx="38">
                  <c:v>12.274341257099685</c:v>
                </c:pt>
                <c:pt idx="39">
                  <c:v>12.107916055104706</c:v>
                </c:pt>
                <c:pt idx="40">
                  <c:v>12.510050231204408</c:v>
                </c:pt>
                <c:pt idx="41">
                  <c:v>12.551883890804111</c:v>
                </c:pt>
                <c:pt idx="42">
                  <c:v>12.500219024189795</c:v>
                </c:pt>
                <c:pt idx="43">
                  <c:v>12.532891285502627</c:v>
                </c:pt>
                <c:pt idx="44">
                  <c:v>12.484059648198341</c:v>
                </c:pt>
                <c:pt idx="45">
                  <c:v>12.479685685679415</c:v>
                </c:pt>
                <c:pt idx="46">
                  <c:v>12.41716788557892</c:v>
                </c:pt>
                <c:pt idx="47">
                  <c:v>12.357158222000209</c:v>
                </c:pt>
                <c:pt idx="48">
                  <c:v>12.255437898074439</c:v>
                </c:pt>
                <c:pt idx="49">
                  <c:v>12.201607029317206</c:v>
                </c:pt>
                <c:pt idx="50">
                  <c:v>12.133197557858791</c:v>
                </c:pt>
                <c:pt idx="51">
                  <c:v>11.957019005458207</c:v>
                </c:pt>
                <c:pt idx="52">
                  <c:v>11.985340580800417</c:v>
                </c:pt>
                <c:pt idx="53">
                  <c:v>11.914252102800695</c:v>
                </c:pt>
                <c:pt idx="54">
                  <c:v>11.88209356406872</c:v>
                </c:pt>
                <c:pt idx="55">
                  <c:v>11.971601225032597</c:v>
                </c:pt>
                <c:pt idx="56">
                  <c:v>12.096853145135229</c:v>
                </c:pt>
                <c:pt idx="57">
                  <c:v>12.201269144194143</c:v>
                </c:pt>
                <c:pt idx="58">
                  <c:v>12.077285049868451</c:v>
                </c:pt>
                <c:pt idx="59">
                  <c:v>12.235425276577454</c:v>
                </c:pt>
                <c:pt idx="60">
                  <c:v>12.34432650293787</c:v>
                </c:pt>
                <c:pt idx="61">
                  <c:v>12.514251964610647</c:v>
                </c:pt>
                <c:pt idx="62">
                  <c:v>12.549380282724332</c:v>
                </c:pt>
                <c:pt idx="63">
                  <c:v>12.630934619015241</c:v>
                </c:pt>
                <c:pt idx="64">
                  <c:v>12.588741591760774</c:v>
                </c:pt>
                <c:pt idx="65">
                  <c:v>12.850595353734141</c:v>
                </c:pt>
                <c:pt idx="66">
                  <c:v>12.867839513743792</c:v>
                </c:pt>
                <c:pt idx="67">
                  <c:v>12.703788104597823</c:v>
                </c:pt>
                <c:pt idx="68">
                  <c:v>12.687390659394699</c:v>
                </c:pt>
                <c:pt idx="69">
                  <c:v>12.736178856738459</c:v>
                </c:pt>
                <c:pt idx="70">
                  <c:v>12.719934533923707</c:v>
                </c:pt>
                <c:pt idx="71">
                  <c:v>12.828337089581455</c:v>
                </c:pt>
                <c:pt idx="72">
                  <c:v>12.656640725916484</c:v>
                </c:pt>
                <c:pt idx="73">
                  <c:v>12.636716093601731</c:v>
                </c:pt>
                <c:pt idx="74">
                  <c:v>12.701172344528414</c:v>
                </c:pt>
                <c:pt idx="75">
                  <c:v>12.656230074814362</c:v>
                </c:pt>
                <c:pt idx="76">
                  <c:v>12.597009953344283</c:v>
                </c:pt>
                <c:pt idx="77">
                  <c:v>12.611433143372833</c:v>
                </c:pt>
                <c:pt idx="78">
                  <c:v>12.652772726179856</c:v>
                </c:pt>
                <c:pt idx="79">
                  <c:v>12.57968781544486</c:v>
                </c:pt>
                <c:pt idx="80">
                  <c:v>12.638926264296066</c:v>
                </c:pt>
                <c:pt idx="81">
                  <c:v>12.64480090761835</c:v>
                </c:pt>
                <c:pt idx="82">
                  <c:v>12.726368378980926</c:v>
                </c:pt>
                <c:pt idx="83">
                  <c:v>12.740151774717589</c:v>
                </c:pt>
                <c:pt idx="84">
                  <c:v>12.684204782482391</c:v>
                </c:pt>
                <c:pt idx="85">
                  <c:v>12.658280304566508</c:v>
                </c:pt>
                <c:pt idx="86">
                  <c:v>12.545555456643237</c:v>
                </c:pt>
                <c:pt idx="87">
                  <c:v>12.312401057993975</c:v>
                </c:pt>
                <c:pt idx="88">
                  <c:v>12.428373701741879</c:v>
                </c:pt>
                <c:pt idx="89">
                  <c:v>12.540830048295275</c:v>
                </c:pt>
                <c:pt idx="90">
                  <c:v>12.755863930357947</c:v>
                </c:pt>
                <c:pt idx="91">
                  <c:v>12.990513060218113</c:v>
                </c:pt>
                <c:pt idx="92">
                  <c:v>12.601056567572392</c:v>
                </c:pt>
                <c:pt idx="93">
                  <c:v>12.461314104823016</c:v>
                </c:pt>
                <c:pt idx="94">
                  <c:v>12.572555281768372</c:v>
                </c:pt>
                <c:pt idx="95">
                  <c:v>12.474286285415531</c:v>
                </c:pt>
                <c:pt idx="96">
                  <c:v>12.349454257061556</c:v>
                </c:pt>
                <c:pt idx="97">
                  <c:v>12.230830366891659</c:v>
                </c:pt>
                <c:pt idx="98">
                  <c:v>12.151078712212218</c:v>
                </c:pt>
                <c:pt idx="99">
                  <c:v>12.208380650631435</c:v>
                </c:pt>
                <c:pt idx="100">
                  <c:v>12.116551350168962</c:v>
                </c:pt>
                <c:pt idx="101">
                  <c:v>12.250727563591433</c:v>
                </c:pt>
                <c:pt idx="102">
                  <c:v>12.190886360765521</c:v>
                </c:pt>
                <c:pt idx="103">
                  <c:v>12.105231770556196</c:v>
                </c:pt>
                <c:pt idx="104">
                  <c:v>11.953654493839771</c:v>
                </c:pt>
                <c:pt idx="105">
                  <c:v>12.036674115000903</c:v>
                </c:pt>
                <c:pt idx="106">
                  <c:v>11.977271553330178</c:v>
                </c:pt>
                <c:pt idx="107">
                  <c:v>11.958875408780372</c:v>
                </c:pt>
                <c:pt idx="108">
                  <c:v>11.976365841834458</c:v>
                </c:pt>
                <c:pt idx="109">
                  <c:v>11.953377706362827</c:v>
                </c:pt>
                <c:pt idx="110">
                  <c:v>12.064804907503936</c:v>
                </c:pt>
                <c:pt idx="111">
                  <c:v>12.175872744144421</c:v>
                </c:pt>
                <c:pt idx="112">
                  <c:v>12.344410816845006</c:v>
                </c:pt>
                <c:pt idx="113">
                  <c:v>12.173237100121757</c:v>
                </c:pt>
                <c:pt idx="114">
                  <c:v>11.978619094048103</c:v>
                </c:pt>
                <c:pt idx="115">
                  <c:v>11.900557931089534</c:v>
                </c:pt>
                <c:pt idx="116">
                  <c:v>11.837153591158774</c:v>
                </c:pt>
                <c:pt idx="117">
                  <c:v>11.777102366160731</c:v>
                </c:pt>
                <c:pt idx="118">
                  <c:v>11.758231036524773</c:v>
                </c:pt>
                <c:pt idx="119">
                  <c:v>11.803383276700348</c:v>
                </c:pt>
                <c:pt idx="120">
                  <c:v>11.83853125653841</c:v>
                </c:pt>
                <c:pt idx="121">
                  <c:v>11.876557499511632</c:v>
                </c:pt>
                <c:pt idx="122">
                  <c:v>11.896925879227707</c:v>
                </c:pt>
                <c:pt idx="123">
                  <c:v>11.836221594455456</c:v>
                </c:pt>
                <c:pt idx="124">
                  <c:v>11.893810936683794</c:v>
                </c:pt>
                <c:pt idx="125">
                  <c:v>11.888080680729933</c:v>
                </c:pt>
                <c:pt idx="126">
                  <c:v>11.832981345296499</c:v>
                </c:pt>
                <c:pt idx="127">
                  <c:v>11.891240435498561</c:v>
                </c:pt>
                <c:pt idx="128">
                  <c:v>11.934385140725617</c:v>
                </c:pt>
                <c:pt idx="129">
                  <c:v>11.92454503828106</c:v>
                </c:pt>
                <c:pt idx="130">
                  <c:v>11.924441279119408</c:v>
                </c:pt>
                <c:pt idx="131">
                  <c:v>11.999968976834916</c:v>
                </c:pt>
                <c:pt idx="132">
                  <c:v>12.004393767835982</c:v>
                </c:pt>
                <c:pt idx="133">
                  <c:v>12.090909856569601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F-1743-8FC7-2AED2F932A8D}"/>
            </c:ext>
          </c:extLst>
        </c:ser>
        <c:ser>
          <c:idx val="2"/>
          <c:order val="2"/>
          <c:tx>
            <c:strRef>
              <c:f>'預測XGBoost累積報酬 '!$A$21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'預測XGBoost累積報酬 '!$B$21:$EE$21</c:f>
              <c:numCache>
                <c:formatCode>General</c:formatCode>
                <c:ptCount val="134"/>
                <c:pt idx="0">
                  <c:v>1.1374397124464179</c:v>
                </c:pt>
                <c:pt idx="1">
                  <c:v>2.363565027747994</c:v>
                </c:pt>
                <c:pt idx="2">
                  <c:v>3.273671831869176</c:v>
                </c:pt>
                <c:pt idx="3">
                  <c:v>4.8082687364086381</c:v>
                </c:pt>
                <c:pt idx="4">
                  <c:v>5.664147583819382</c:v>
                </c:pt>
                <c:pt idx="5">
                  <c:v>6.4056344198672637</c:v>
                </c:pt>
                <c:pt idx="6">
                  <c:v>7.125817515134651</c:v>
                </c:pt>
                <c:pt idx="7">
                  <c:v>8.1298751616828095</c:v>
                </c:pt>
                <c:pt idx="8">
                  <c:v>9.6473619230695018</c:v>
                </c:pt>
                <c:pt idx="9">
                  <c:v>10.736963266404748</c:v>
                </c:pt>
                <c:pt idx="10">
                  <c:v>12.468747875416561</c:v>
                </c:pt>
                <c:pt idx="11">
                  <c:v>13.8295652623629</c:v>
                </c:pt>
                <c:pt idx="12">
                  <c:v>13.889338305924595</c:v>
                </c:pt>
                <c:pt idx="13">
                  <c:v>13.897329280866112</c:v>
                </c:pt>
                <c:pt idx="14">
                  <c:v>13.510191365001166</c:v>
                </c:pt>
                <c:pt idx="15">
                  <c:v>13.411454012047152</c:v>
                </c:pt>
                <c:pt idx="16">
                  <c:v>13.431947313211012</c:v>
                </c:pt>
                <c:pt idx="17">
                  <c:v>13.667361817106086</c:v>
                </c:pt>
                <c:pt idx="18">
                  <c:v>13.678434269985186</c:v>
                </c:pt>
                <c:pt idx="19">
                  <c:v>13.803783124898919</c:v>
                </c:pt>
                <c:pt idx="20">
                  <c:v>13.896121940329028</c:v>
                </c:pt>
                <c:pt idx="21">
                  <c:v>14.0664724290642</c:v>
                </c:pt>
                <c:pt idx="22">
                  <c:v>14.041881837790566</c:v>
                </c:pt>
                <c:pt idx="23">
                  <c:v>14.09474045667764</c:v>
                </c:pt>
                <c:pt idx="24">
                  <c:v>13.818712552426945</c:v>
                </c:pt>
                <c:pt idx="25">
                  <c:v>13.908164606512388</c:v>
                </c:pt>
                <c:pt idx="26">
                  <c:v>13.969555878937099</c:v>
                </c:pt>
                <c:pt idx="27">
                  <c:v>13.975807748517058</c:v>
                </c:pt>
                <c:pt idx="28">
                  <c:v>13.892644082910939</c:v>
                </c:pt>
                <c:pt idx="29">
                  <c:v>14.266738907345497</c:v>
                </c:pt>
                <c:pt idx="30">
                  <c:v>14.237264175423666</c:v>
                </c:pt>
                <c:pt idx="31">
                  <c:v>14.293205409779167</c:v>
                </c:pt>
                <c:pt idx="32">
                  <c:v>14.077692357316653</c:v>
                </c:pt>
                <c:pt idx="33">
                  <c:v>14.087750668271763</c:v>
                </c:pt>
                <c:pt idx="34">
                  <c:v>14.028913968463922</c:v>
                </c:pt>
                <c:pt idx="35">
                  <c:v>13.871336317753858</c:v>
                </c:pt>
                <c:pt idx="36">
                  <c:v>13.868755662785956</c:v>
                </c:pt>
                <c:pt idx="37">
                  <c:v>14.012864763544675</c:v>
                </c:pt>
                <c:pt idx="38">
                  <c:v>14.014600136095401</c:v>
                </c:pt>
                <c:pt idx="39">
                  <c:v>13.927557137974503</c:v>
                </c:pt>
                <c:pt idx="40">
                  <c:v>14.422313611469201</c:v>
                </c:pt>
                <c:pt idx="41">
                  <c:v>14.434229063292566</c:v>
                </c:pt>
                <c:pt idx="42">
                  <c:v>14.274907147628582</c:v>
                </c:pt>
                <c:pt idx="43">
                  <c:v>14.325195893171593</c:v>
                </c:pt>
                <c:pt idx="44">
                  <c:v>14.297898229758069</c:v>
                </c:pt>
                <c:pt idx="45">
                  <c:v>14.366568901325584</c:v>
                </c:pt>
                <c:pt idx="46">
                  <c:v>14.231626245541005</c:v>
                </c:pt>
                <c:pt idx="47">
                  <c:v>14.129087024197489</c:v>
                </c:pt>
                <c:pt idx="48">
                  <c:v>14.028798562087463</c:v>
                </c:pt>
                <c:pt idx="49">
                  <c:v>13.952429770952897</c:v>
                </c:pt>
                <c:pt idx="50">
                  <c:v>13.874384037433355</c:v>
                </c:pt>
                <c:pt idx="51">
                  <c:v>13.624680762718526</c:v>
                </c:pt>
                <c:pt idx="52">
                  <c:v>13.65995343673554</c:v>
                </c:pt>
                <c:pt idx="53">
                  <c:v>13.600168118156891</c:v>
                </c:pt>
                <c:pt idx="54">
                  <c:v>13.572746359445638</c:v>
                </c:pt>
                <c:pt idx="55">
                  <c:v>13.645816421475995</c:v>
                </c:pt>
                <c:pt idx="56">
                  <c:v>13.712915978726887</c:v>
                </c:pt>
                <c:pt idx="57">
                  <c:v>13.824766482935724</c:v>
                </c:pt>
                <c:pt idx="58">
                  <c:v>13.686980889356608</c:v>
                </c:pt>
                <c:pt idx="59">
                  <c:v>13.844876545180592</c:v>
                </c:pt>
                <c:pt idx="60">
                  <c:v>14.000807526973794</c:v>
                </c:pt>
                <c:pt idx="61">
                  <c:v>14.187225950568306</c:v>
                </c:pt>
                <c:pt idx="62">
                  <c:v>14.355909241143454</c:v>
                </c:pt>
                <c:pt idx="63">
                  <c:v>14.549053103987941</c:v>
                </c:pt>
                <c:pt idx="64">
                  <c:v>14.425916373444068</c:v>
                </c:pt>
                <c:pt idx="65">
                  <c:v>14.540199138635755</c:v>
                </c:pt>
                <c:pt idx="66">
                  <c:v>14.638509727710984</c:v>
                </c:pt>
                <c:pt idx="67">
                  <c:v>14.474778670427723</c:v>
                </c:pt>
                <c:pt idx="68">
                  <c:v>14.55400598670087</c:v>
                </c:pt>
                <c:pt idx="69">
                  <c:v>14.490179988046911</c:v>
                </c:pt>
                <c:pt idx="70">
                  <c:v>14.632361259330757</c:v>
                </c:pt>
                <c:pt idx="71">
                  <c:v>14.914223077031528</c:v>
                </c:pt>
                <c:pt idx="72">
                  <c:v>14.649426595972276</c:v>
                </c:pt>
                <c:pt idx="73">
                  <c:v>14.634928316847043</c:v>
                </c:pt>
                <c:pt idx="74">
                  <c:v>14.722676400689791</c:v>
                </c:pt>
                <c:pt idx="75">
                  <c:v>14.668562044696058</c:v>
                </c:pt>
                <c:pt idx="76">
                  <c:v>14.544987349342227</c:v>
                </c:pt>
                <c:pt idx="77">
                  <c:v>14.483880056574302</c:v>
                </c:pt>
                <c:pt idx="78">
                  <c:v>14.660592142841198</c:v>
                </c:pt>
                <c:pt idx="79">
                  <c:v>14.561414731832503</c:v>
                </c:pt>
                <c:pt idx="80">
                  <c:v>14.598009683839109</c:v>
                </c:pt>
                <c:pt idx="81">
                  <c:v>14.543974482191969</c:v>
                </c:pt>
                <c:pt idx="82">
                  <c:v>14.520440779362293</c:v>
                </c:pt>
                <c:pt idx="83">
                  <c:v>14.586277192113931</c:v>
                </c:pt>
                <c:pt idx="84">
                  <c:v>14.579514774308363</c:v>
                </c:pt>
                <c:pt idx="85">
                  <c:v>14.533939633603669</c:v>
                </c:pt>
                <c:pt idx="86">
                  <c:v>14.43523750090062</c:v>
                </c:pt>
                <c:pt idx="87">
                  <c:v>14.151624496829033</c:v>
                </c:pt>
                <c:pt idx="88">
                  <c:v>14.249976380250777</c:v>
                </c:pt>
                <c:pt idx="89">
                  <c:v>14.23412267220357</c:v>
                </c:pt>
                <c:pt idx="90">
                  <c:v>14.526772660259233</c:v>
                </c:pt>
                <c:pt idx="91">
                  <c:v>14.801339634925197</c:v>
                </c:pt>
                <c:pt idx="92">
                  <c:v>14.752120779957425</c:v>
                </c:pt>
                <c:pt idx="93">
                  <c:v>14.649393767346673</c:v>
                </c:pt>
                <c:pt idx="94">
                  <c:v>14.74973309367134</c:v>
                </c:pt>
                <c:pt idx="95">
                  <c:v>14.618889319059555</c:v>
                </c:pt>
                <c:pt idx="96">
                  <c:v>14.450510223075991</c:v>
                </c:pt>
                <c:pt idx="97">
                  <c:v>14.260370649996073</c:v>
                </c:pt>
                <c:pt idx="98">
                  <c:v>14.218729272307796</c:v>
                </c:pt>
                <c:pt idx="99">
                  <c:v>14.232580063834751</c:v>
                </c:pt>
                <c:pt idx="100">
                  <c:v>14.111763012435208</c:v>
                </c:pt>
                <c:pt idx="101">
                  <c:v>14.305378785857627</c:v>
                </c:pt>
                <c:pt idx="102">
                  <c:v>14.211402232890309</c:v>
                </c:pt>
                <c:pt idx="103">
                  <c:v>14.076339533464809</c:v>
                </c:pt>
                <c:pt idx="104">
                  <c:v>13.950561288603524</c:v>
                </c:pt>
                <c:pt idx="105">
                  <c:v>14.133133739906164</c:v>
                </c:pt>
                <c:pt idx="106">
                  <c:v>14.106028440157605</c:v>
                </c:pt>
                <c:pt idx="107">
                  <c:v>14.128474567207176</c:v>
                </c:pt>
                <c:pt idx="108">
                  <c:v>14.080871254343112</c:v>
                </c:pt>
                <c:pt idx="109">
                  <c:v>13.990330315387741</c:v>
                </c:pt>
                <c:pt idx="110">
                  <c:v>14.105002524648491</c:v>
                </c:pt>
                <c:pt idx="111">
                  <c:v>14.211663712662258</c:v>
                </c:pt>
                <c:pt idx="112">
                  <c:v>14.322115926709285</c:v>
                </c:pt>
                <c:pt idx="113">
                  <c:v>14.301584847565309</c:v>
                </c:pt>
                <c:pt idx="114">
                  <c:v>14.01974015501027</c:v>
                </c:pt>
                <c:pt idx="115">
                  <c:v>13.980543433110807</c:v>
                </c:pt>
                <c:pt idx="116">
                  <c:v>13.900741657207414</c:v>
                </c:pt>
                <c:pt idx="117">
                  <c:v>13.814434485039607</c:v>
                </c:pt>
                <c:pt idx="118">
                  <c:v>13.862166726876428</c:v>
                </c:pt>
                <c:pt idx="119">
                  <c:v>13.944901179574375</c:v>
                </c:pt>
                <c:pt idx="120">
                  <c:v>14.05077846657854</c:v>
                </c:pt>
                <c:pt idx="121">
                  <c:v>14.058636489110993</c:v>
                </c:pt>
                <c:pt idx="122">
                  <c:v>14.138373789299317</c:v>
                </c:pt>
                <c:pt idx="123">
                  <c:v>14.049143205219252</c:v>
                </c:pt>
                <c:pt idx="124">
                  <c:v>14.050837383144227</c:v>
                </c:pt>
                <c:pt idx="125">
                  <c:v>14.025424191703097</c:v>
                </c:pt>
                <c:pt idx="126">
                  <c:v>13.943853756137829</c:v>
                </c:pt>
                <c:pt idx="127">
                  <c:v>13.874958439454447</c:v>
                </c:pt>
                <c:pt idx="128">
                  <c:v>13.925432615686709</c:v>
                </c:pt>
                <c:pt idx="129">
                  <c:v>13.913464123694578</c:v>
                </c:pt>
                <c:pt idx="130">
                  <c:v>13.997519575301274</c:v>
                </c:pt>
                <c:pt idx="131">
                  <c:v>14.112110036162766</c:v>
                </c:pt>
                <c:pt idx="132">
                  <c:v>14.145075114825126</c:v>
                </c:pt>
                <c:pt idx="133">
                  <c:v>14.169358564720492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EF-1743-8FC7-2AED2F932A8D}"/>
            </c:ext>
          </c:extLst>
        </c:ser>
        <c:ser>
          <c:idx val="3"/>
          <c:order val="3"/>
          <c:tx>
            <c:strRef>
              <c:f>'預測XGBoost累積報酬 '!$A$22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'預測XGBoost累積報酬 '!$B$22:$EE$22</c:f>
              <c:numCache>
                <c:formatCode>General</c:formatCode>
                <c:ptCount val="134"/>
                <c:pt idx="0">
                  <c:v>1.274316755103944</c:v>
                </c:pt>
                <c:pt idx="1">
                  <c:v>2.8227665980442209</c:v>
                </c:pt>
                <c:pt idx="2">
                  <c:v>3.9106123125733578</c:v>
                </c:pt>
                <c:pt idx="3">
                  <c:v>5.7045140400968855</c:v>
                </c:pt>
                <c:pt idx="4">
                  <c:v>6.5229873867115709</c:v>
                </c:pt>
                <c:pt idx="5">
                  <c:v>7.329680667515782</c:v>
                </c:pt>
                <c:pt idx="6">
                  <c:v>8.1277853665537663</c:v>
                </c:pt>
                <c:pt idx="7">
                  <c:v>9.1180269646191903</c:v>
                </c:pt>
                <c:pt idx="8">
                  <c:v>11.527610847711587</c:v>
                </c:pt>
                <c:pt idx="9">
                  <c:v>12.773755107550054</c:v>
                </c:pt>
                <c:pt idx="10">
                  <c:v>14.709604589479932</c:v>
                </c:pt>
                <c:pt idx="11">
                  <c:v>16.609444184418454</c:v>
                </c:pt>
                <c:pt idx="12">
                  <c:v>16.829907942675113</c:v>
                </c:pt>
                <c:pt idx="13">
                  <c:v>16.817555004704865</c:v>
                </c:pt>
                <c:pt idx="14">
                  <c:v>16.814312493626904</c:v>
                </c:pt>
                <c:pt idx="15">
                  <c:v>16.57547639047306</c:v>
                </c:pt>
                <c:pt idx="16">
                  <c:v>16.643023867838544</c:v>
                </c:pt>
                <c:pt idx="17">
                  <c:v>16.669114269630235</c:v>
                </c:pt>
                <c:pt idx="18">
                  <c:v>16.686690563487566</c:v>
                </c:pt>
                <c:pt idx="19">
                  <c:v>16.962099155584134</c:v>
                </c:pt>
                <c:pt idx="20">
                  <c:v>17.173204904224967</c:v>
                </c:pt>
                <c:pt idx="21">
                  <c:v>17.334002705765641</c:v>
                </c:pt>
                <c:pt idx="22">
                  <c:v>17.281372419726338</c:v>
                </c:pt>
                <c:pt idx="23">
                  <c:v>17.198919075113523</c:v>
                </c:pt>
                <c:pt idx="24">
                  <c:v>17.013824824633765</c:v>
                </c:pt>
                <c:pt idx="25">
                  <c:v>17.135758704516213</c:v>
                </c:pt>
                <c:pt idx="26">
                  <c:v>17.182462358017752</c:v>
                </c:pt>
                <c:pt idx="27">
                  <c:v>16.720750052406878</c:v>
                </c:pt>
                <c:pt idx="28">
                  <c:v>16.527608262695118</c:v>
                </c:pt>
                <c:pt idx="29">
                  <c:v>17.02299767549928</c:v>
                </c:pt>
                <c:pt idx="30">
                  <c:v>17.172427683660658</c:v>
                </c:pt>
                <c:pt idx="31">
                  <c:v>17.288624730549454</c:v>
                </c:pt>
                <c:pt idx="32">
                  <c:v>16.904612590392603</c:v>
                </c:pt>
                <c:pt idx="33">
                  <c:v>16.823015595463293</c:v>
                </c:pt>
                <c:pt idx="34">
                  <c:v>16.827201247271624</c:v>
                </c:pt>
                <c:pt idx="35">
                  <c:v>16.667128421146494</c:v>
                </c:pt>
                <c:pt idx="36">
                  <c:v>16.712251291475098</c:v>
                </c:pt>
                <c:pt idx="37">
                  <c:v>16.870428291585096</c:v>
                </c:pt>
                <c:pt idx="38">
                  <c:v>16.944720478286438</c:v>
                </c:pt>
                <c:pt idx="39">
                  <c:v>16.9955983628228</c:v>
                </c:pt>
                <c:pt idx="40">
                  <c:v>17.515845739213511</c:v>
                </c:pt>
                <c:pt idx="41">
                  <c:v>17.651155734943877</c:v>
                </c:pt>
                <c:pt idx="42">
                  <c:v>17.507854941739641</c:v>
                </c:pt>
                <c:pt idx="43">
                  <c:v>17.480535609604043</c:v>
                </c:pt>
                <c:pt idx="44">
                  <c:v>17.405829614450163</c:v>
                </c:pt>
                <c:pt idx="45">
                  <c:v>17.568440388180186</c:v>
                </c:pt>
                <c:pt idx="46">
                  <c:v>17.316697275601399</c:v>
                </c:pt>
                <c:pt idx="47">
                  <c:v>17.418564204441733</c:v>
                </c:pt>
                <c:pt idx="48">
                  <c:v>17.527470398851992</c:v>
                </c:pt>
                <c:pt idx="49">
                  <c:v>17.49847025397543</c:v>
                </c:pt>
                <c:pt idx="50">
                  <c:v>17.466455879310836</c:v>
                </c:pt>
                <c:pt idx="51">
                  <c:v>17.097994993153016</c:v>
                </c:pt>
                <c:pt idx="52">
                  <c:v>17.155781482627322</c:v>
                </c:pt>
                <c:pt idx="53">
                  <c:v>16.992219276188486</c:v>
                </c:pt>
                <c:pt idx="54">
                  <c:v>16.98090314819402</c:v>
                </c:pt>
                <c:pt idx="55">
                  <c:v>17.136116252746493</c:v>
                </c:pt>
                <c:pt idx="56">
                  <c:v>17.015256494276468</c:v>
                </c:pt>
                <c:pt idx="57">
                  <c:v>17.372829310318778</c:v>
                </c:pt>
                <c:pt idx="58">
                  <c:v>17.191643287753418</c:v>
                </c:pt>
                <c:pt idx="59">
                  <c:v>17.360927669394901</c:v>
                </c:pt>
                <c:pt idx="60">
                  <c:v>17.515149526132401</c:v>
                </c:pt>
                <c:pt idx="61">
                  <c:v>17.712058493980269</c:v>
                </c:pt>
                <c:pt idx="62">
                  <c:v>18.083343663887451</c:v>
                </c:pt>
                <c:pt idx="63">
                  <c:v>18.426970892433708</c:v>
                </c:pt>
                <c:pt idx="64">
                  <c:v>18.202952881873294</c:v>
                </c:pt>
                <c:pt idx="65">
                  <c:v>18.420732102148936</c:v>
                </c:pt>
                <c:pt idx="66">
                  <c:v>18.539021974761013</c:v>
                </c:pt>
                <c:pt idx="67">
                  <c:v>18.331468023070077</c:v>
                </c:pt>
                <c:pt idx="68">
                  <c:v>18.40892608210908</c:v>
                </c:pt>
                <c:pt idx="69">
                  <c:v>18.396988057787347</c:v>
                </c:pt>
                <c:pt idx="70">
                  <c:v>18.851972340667881</c:v>
                </c:pt>
                <c:pt idx="71">
                  <c:v>18.824108306293343</c:v>
                </c:pt>
                <c:pt idx="72">
                  <c:v>18.622678515202917</c:v>
                </c:pt>
                <c:pt idx="73">
                  <c:v>18.563630578400698</c:v>
                </c:pt>
                <c:pt idx="74">
                  <c:v>18.725095674897258</c:v>
                </c:pt>
                <c:pt idx="75">
                  <c:v>18.564504671650674</c:v>
                </c:pt>
                <c:pt idx="76">
                  <c:v>18.343232028272276</c:v>
                </c:pt>
                <c:pt idx="77">
                  <c:v>18.303660838620267</c:v>
                </c:pt>
                <c:pt idx="78">
                  <c:v>18.536060622823605</c:v>
                </c:pt>
                <c:pt idx="79">
                  <c:v>18.634187224681064</c:v>
                </c:pt>
                <c:pt idx="80">
                  <c:v>18.706092918246526</c:v>
                </c:pt>
                <c:pt idx="81">
                  <c:v>18.597160712019505</c:v>
                </c:pt>
                <c:pt idx="82">
                  <c:v>18.961819572522987</c:v>
                </c:pt>
                <c:pt idx="83">
                  <c:v>19.214476557115642</c:v>
                </c:pt>
                <c:pt idx="84">
                  <c:v>19.334808436979465</c:v>
                </c:pt>
                <c:pt idx="85">
                  <c:v>19.297859155246702</c:v>
                </c:pt>
                <c:pt idx="86">
                  <c:v>19.437195531232327</c:v>
                </c:pt>
                <c:pt idx="87">
                  <c:v>18.938649756906404</c:v>
                </c:pt>
                <c:pt idx="88">
                  <c:v>18.845673740691467</c:v>
                </c:pt>
                <c:pt idx="89">
                  <c:v>18.787215540204873</c:v>
                </c:pt>
                <c:pt idx="90">
                  <c:v>19.0384667892632</c:v>
                </c:pt>
                <c:pt idx="91">
                  <c:v>19.263786620000005</c:v>
                </c:pt>
                <c:pt idx="92">
                  <c:v>19.108525734755741</c:v>
                </c:pt>
                <c:pt idx="93">
                  <c:v>19.126385562647975</c:v>
                </c:pt>
                <c:pt idx="94">
                  <c:v>19.227179581191418</c:v>
                </c:pt>
                <c:pt idx="95">
                  <c:v>18.974734094072492</c:v>
                </c:pt>
                <c:pt idx="96">
                  <c:v>18.753155281609896</c:v>
                </c:pt>
                <c:pt idx="97">
                  <c:v>18.641503790704316</c:v>
                </c:pt>
                <c:pt idx="98">
                  <c:v>18.555522598208803</c:v>
                </c:pt>
                <c:pt idx="99">
                  <c:v>18.59236791136416</c:v>
                </c:pt>
                <c:pt idx="100">
                  <c:v>18.527911684593587</c:v>
                </c:pt>
                <c:pt idx="101">
                  <c:v>18.885095168748023</c:v>
                </c:pt>
                <c:pt idx="102">
                  <c:v>18.811895988645436</c:v>
                </c:pt>
                <c:pt idx="103">
                  <c:v>18.562137892618871</c:v>
                </c:pt>
                <c:pt idx="104">
                  <c:v>18.221655661209969</c:v>
                </c:pt>
                <c:pt idx="105">
                  <c:v>18.363825689232485</c:v>
                </c:pt>
                <c:pt idx="106">
                  <c:v>18.229862228734969</c:v>
                </c:pt>
                <c:pt idx="107">
                  <c:v>18.268880482469992</c:v>
                </c:pt>
                <c:pt idx="108">
                  <c:v>18.187684593811465</c:v>
                </c:pt>
                <c:pt idx="109">
                  <c:v>18.146908960610382</c:v>
                </c:pt>
                <c:pt idx="110">
                  <c:v>18.523058002156564</c:v>
                </c:pt>
                <c:pt idx="111">
                  <c:v>18.667294461697342</c:v>
                </c:pt>
                <c:pt idx="112">
                  <c:v>18.58642957094894</c:v>
                </c:pt>
                <c:pt idx="113">
                  <c:v>18.717109558974936</c:v>
                </c:pt>
                <c:pt idx="114">
                  <c:v>18.621024885779633</c:v>
                </c:pt>
                <c:pt idx="115">
                  <c:v>18.520497180214011</c:v>
                </c:pt>
                <c:pt idx="116">
                  <c:v>18.508247728796032</c:v>
                </c:pt>
                <c:pt idx="117">
                  <c:v>18.47344704434159</c:v>
                </c:pt>
                <c:pt idx="118">
                  <c:v>18.557907745647743</c:v>
                </c:pt>
                <c:pt idx="119">
                  <c:v>18.737570632481049</c:v>
                </c:pt>
                <c:pt idx="120">
                  <c:v>18.868335653882081</c:v>
                </c:pt>
                <c:pt idx="121">
                  <c:v>18.86541708844053</c:v>
                </c:pt>
                <c:pt idx="122">
                  <c:v>18.931923585881918</c:v>
                </c:pt>
                <c:pt idx="123">
                  <c:v>18.861980973970336</c:v>
                </c:pt>
                <c:pt idx="124">
                  <c:v>18.556761280853227</c:v>
                </c:pt>
                <c:pt idx="125">
                  <c:v>18.519698230241342</c:v>
                </c:pt>
                <c:pt idx="126">
                  <c:v>18.400583607867297</c:v>
                </c:pt>
                <c:pt idx="127">
                  <c:v>18.211663928940666</c:v>
                </c:pt>
                <c:pt idx="128">
                  <c:v>18.283257582127675</c:v>
                </c:pt>
                <c:pt idx="129">
                  <c:v>18.283298412203113</c:v>
                </c:pt>
                <c:pt idx="130">
                  <c:v>18.477659698307516</c:v>
                </c:pt>
                <c:pt idx="131">
                  <c:v>18.725473948006211</c:v>
                </c:pt>
                <c:pt idx="132">
                  <c:v>18.742492486757786</c:v>
                </c:pt>
                <c:pt idx="133">
                  <c:v>18.760176492463192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EF-1743-8FC7-2AED2F932A8D}"/>
            </c:ext>
          </c:extLst>
        </c:ser>
        <c:ser>
          <c:idx val="4"/>
          <c:order val="4"/>
          <c:tx>
            <c:strRef>
              <c:f>'預測XGBoost累積報酬 '!$A$23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'預測XGBoost累積報酬 '!$B$23:$EE$23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EF-1743-8FC7-2AED2F932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6668959"/>
        <c:axId val="1086670879"/>
      </c:lineChart>
      <c:catAx>
        <c:axId val="1086668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70879"/>
        <c:crosses val="autoZero"/>
        <c:auto val="1"/>
        <c:lblAlgn val="ctr"/>
        <c:lblOffset val="100"/>
        <c:noMultiLvlLbl val="0"/>
      </c:catAx>
      <c:valAx>
        <c:axId val="108667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666895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XGBoost再投資累積報酬!$C$23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XGBoost再投資累積報酬!$D$23:$EG$23</c:f>
              <c:numCache>
                <c:formatCode>General</c:formatCode>
                <c:ptCount val="134"/>
                <c:pt idx="0">
                  <c:v>0.29562126567416419</c:v>
                </c:pt>
                <c:pt idx="1">
                  <c:v>0.67886454739873292</c:v>
                </c:pt>
                <c:pt idx="2">
                  <c:v>1.2030566626568584</c:v>
                </c:pt>
                <c:pt idx="3">
                  <c:v>1.899643608980369</c:v>
                </c:pt>
                <c:pt idx="4">
                  <c:v>2.7392556506184573</c:v>
                </c:pt>
                <c:pt idx="5">
                  <c:v>3.8684484665847858</c:v>
                </c:pt>
                <c:pt idx="6">
                  <c:v>5.2353288345664168</c:v>
                </c:pt>
                <c:pt idx="7">
                  <c:v>7.1564964266887188</c:v>
                </c:pt>
                <c:pt idx="8">
                  <c:v>9.2406079028457206</c:v>
                </c:pt>
                <c:pt idx="9">
                  <c:v>12.160435838511621</c:v>
                </c:pt>
                <c:pt idx="10">
                  <c:v>16.015616692935122</c:v>
                </c:pt>
                <c:pt idx="11">
                  <c:v>20.606200247296396</c:v>
                </c:pt>
                <c:pt idx="12">
                  <c:v>21.33768720516704</c:v>
                </c:pt>
                <c:pt idx="13">
                  <c:v>21.542921696982557</c:v>
                </c:pt>
                <c:pt idx="14">
                  <c:v>21.626156760624845</c:v>
                </c:pt>
                <c:pt idx="15">
                  <c:v>22.052826050712145</c:v>
                </c:pt>
                <c:pt idx="16">
                  <c:v>21.81307374050126</c:v>
                </c:pt>
                <c:pt idx="17">
                  <c:v>22.706300572832014</c:v>
                </c:pt>
                <c:pt idx="18">
                  <c:v>23.513520047833047</c:v>
                </c:pt>
                <c:pt idx="19">
                  <c:v>23.826677483370709</c:v>
                </c:pt>
                <c:pt idx="20">
                  <c:v>23.433584615950945</c:v>
                </c:pt>
                <c:pt idx="21">
                  <c:v>23.886260926305741</c:v>
                </c:pt>
                <c:pt idx="22">
                  <c:v>23.682340059047146</c:v>
                </c:pt>
                <c:pt idx="23">
                  <c:v>24.098094304540854</c:v>
                </c:pt>
                <c:pt idx="24">
                  <c:v>23.221529120988226</c:v>
                </c:pt>
                <c:pt idx="25">
                  <c:v>23.505728764244491</c:v>
                </c:pt>
                <c:pt idx="26">
                  <c:v>23.565836742334376</c:v>
                </c:pt>
                <c:pt idx="27">
                  <c:v>23.924657270888883</c:v>
                </c:pt>
                <c:pt idx="28">
                  <c:v>22.745457859527786</c:v>
                </c:pt>
                <c:pt idx="29">
                  <c:v>23.629412278515765</c:v>
                </c:pt>
                <c:pt idx="30">
                  <c:v>23.3672284479272</c:v>
                </c:pt>
                <c:pt idx="31">
                  <c:v>23.3469687399853</c:v>
                </c:pt>
                <c:pt idx="32">
                  <c:v>23.131898770126966</c:v>
                </c:pt>
                <c:pt idx="33">
                  <c:v>23.488875589825653</c:v>
                </c:pt>
                <c:pt idx="34">
                  <c:v>23.574592691783735</c:v>
                </c:pt>
                <c:pt idx="35">
                  <c:v>22.882265884515547</c:v>
                </c:pt>
                <c:pt idx="36">
                  <c:v>23.125540666877409</c:v>
                </c:pt>
                <c:pt idx="37">
                  <c:v>22.44040288169937</c:v>
                </c:pt>
                <c:pt idx="38">
                  <c:v>21.617772613532459</c:v>
                </c:pt>
                <c:pt idx="39">
                  <c:v>21.615150386117381</c:v>
                </c:pt>
                <c:pt idx="40">
                  <c:v>21.769316614687646</c:v>
                </c:pt>
                <c:pt idx="41">
                  <c:v>21.596161733108378</c:v>
                </c:pt>
                <c:pt idx="42">
                  <c:v>21.354523626139752</c:v>
                </c:pt>
                <c:pt idx="43">
                  <c:v>20.787700552936748</c:v>
                </c:pt>
                <c:pt idx="44">
                  <c:v>20.978251697150682</c:v>
                </c:pt>
                <c:pt idx="45">
                  <c:v>20.937968637544003</c:v>
                </c:pt>
                <c:pt idx="46">
                  <c:v>20.936325547188702</c:v>
                </c:pt>
                <c:pt idx="47">
                  <c:v>21.01842843999956</c:v>
                </c:pt>
                <c:pt idx="48">
                  <c:v>21.172406279057494</c:v>
                </c:pt>
                <c:pt idx="49">
                  <c:v>21.075802184575931</c:v>
                </c:pt>
                <c:pt idx="50">
                  <c:v>20.913019131282876</c:v>
                </c:pt>
                <c:pt idx="51">
                  <c:v>20.839992144868745</c:v>
                </c:pt>
                <c:pt idx="52">
                  <c:v>20.947746120034601</c:v>
                </c:pt>
                <c:pt idx="53">
                  <c:v>20.793076313531348</c:v>
                </c:pt>
                <c:pt idx="54">
                  <c:v>20.357823826655011</c:v>
                </c:pt>
                <c:pt idx="55">
                  <c:v>20.492031310977389</c:v>
                </c:pt>
                <c:pt idx="56">
                  <c:v>20.568781786562305</c:v>
                </c:pt>
                <c:pt idx="57">
                  <c:v>22.373370275890359</c:v>
                </c:pt>
                <c:pt idx="58">
                  <c:v>20.524203789679628</c:v>
                </c:pt>
                <c:pt idx="59">
                  <c:v>20.347267455451199</c:v>
                </c:pt>
                <c:pt idx="60">
                  <c:v>20.688475132316935</c:v>
                </c:pt>
                <c:pt idx="61">
                  <c:v>20.872446176052723</c:v>
                </c:pt>
                <c:pt idx="62">
                  <c:v>21.078660870437254</c:v>
                </c:pt>
                <c:pt idx="63">
                  <c:v>21.595970449931329</c:v>
                </c:pt>
                <c:pt idx="64">
                  <c:v>21.432249027523984</c:v>
                </c:pt>
                <c:pt idx="65">
                  <c:v>22.041472961040384</c:v>
                </c:pt>
                <c:pt idx="66">
                  <c:v>22.688120430800247</c:v>
                </c:pt>
                <c:pt idx="67">
                  <c:v>21.346132241354365</c:v>
                </c:pt>
                <c:pt idx="68">
                  <c:v>21.661881714674895</c:v>
                </c:pt>
                <c:pt idx="69">
                  <c:v>20.730603622275602</c:v>
                </c:pt>
                <c:pt idx="70">
                  <c:v>21.027658045514844</c:v>
                </c:pt>
                <c:pt idx="71">
                  <c:v>20.899706854779442</c:v>
                </c:pt>
                <c:pt idx="72">
                  <c:v>20.620835379526294</c:v>
                </c:pt>
                <c:pt idx="73">
                  <c:v>21.37400818520679</c:v>
                </c:pt>
                <c:pt idx="74">
                  <c:v>21.501779452238619</c:v>
                </c:pt>
                <c:pt idx="75">
                  <c:v>21.109610746734806</c:v>
                </c:pt>
                <c:pt idx="76">
                  <c:v>21.361004975662247</c:v>
                </c:pt>
                <c:pt idx="77">
                  <c:v>21.4762453627105</c:v>
                </c:pt>
                <c:pt idx="78">
                  <c:v>21.032794057556345</c:v>
                </c:pt>
                <c:pt idx="79">
                  <c:v>20.556937111353232</c:v>
                </c:pt>
                <c:pt idx="80">
                  <c:v>20.481688317800536</c:v>
                </c:pt>
                <c:pt idx="81">
                  <c:v>19.679709189840437</c:v>
                </c:pt>
                <c:pt idx="82">
                  <c:v>20.385956693422372</c:v>
                </c:pt>
                <c:pt idx="83">
                  <c:v>20.553753071668655</c:v>
                </c:pt>
                <c:pt idx="84">
                  <c:v>20.7926160798335</c:v>
                </c:pt>
                <c:pt idx="85">
                  <c:v>20.680322706373357</c:v>
                </c:pt>
                <c:pt idx="86">
                  <c:v>20.34119246874269</c:v>
                </c:pt>
                <c:pt idx="87">
                  <c:v>18.611360964772469</c:v>
                </c:pt>
                <c:pt idx="88">
                  <c:v>18.450265689817154</c:v>
                </c:pt>
                <c:pt idx="89">
                  <c:v>19.597223446622518</c:v>
                </c:pt>
                <c:pt idx="90">
                  <c:v>19.595251935488744</c:v>
                </c:pt>
                <c:pt idx="91">
                  <c:v>20.456594793945694</c:v>
                </c:pt>
                <c:pt idx="92">
                  <c:v>19.59661677042434</c:v>
                </c:pt>
                <c:pt idx="93">
                  <c:v>19.134458900989987</c:v>
                </c:pt>
                <c:pt idx="94">
                  <c:v>19.440071652401848</c:v>
                </c:pt>
                <c:pt idx="95">
                  <c:v>19.659182188620711</c:v>
                </c:pt>
                <c:pt idx="96">
                  <c:v>19.452032987304676</c:v>
                </c:pt>
                <c:pt idx="97">
                  <c:v>19.230530764678704</c:v>
                </c:pt>
                <c:pt idx="98">
                  <c:v>19.67113122857738</c:v>
                </c:pt>
                <c:pt idx="99">
                  <c:v>19.955811515860148</c:v>
                </c:pt>
                <c:pt idx="100">
                  <c:v>19.995798294450779</c:v>
                </c:pt>
                <c:pt idx="101">
                  <c:v>21.041784501006912</c:v>
                </c:pt>
                <c:pt idx="102">
                  <c:v>20.977310001755654</c:v>
                </c:pt>
                <c:pt idx="103">
                  <c:v>21.209045485797738</c:v>
                </c:pt>
                <c:pt idx="104">
                  <c:v>21.999472364578374</c:v>
                </c:pt>
                <c:pt idx="105">
                  <c:v>21.999806595190133</c:v>
                </c:pt>
                <c:pt idx="106">
                  <c:v>21.00931520808302</c:v>
                </c:pt>
                <c:pt idx="107">
                  <c:v>20.88801167039588</c:v>
                </c:pt>
                <c:pt idx="108">
                  <c:v>20.167852471856765</c:v>
                </c:pt>
                <c:pt idx="109">
                  <c:v>20.066508151526595</c:v>
                </c:pt>
                <c:pt idx="110">
                  <c:v>19.692210233046683</c:v>
                </c:pt>
                <c:pt idx="111">
                  <c:v>20.100545908345264</c:v>
                </c:pt>
                <c:pt idx="112">
                  <c:v>19.693881227509902</c:v>
                </c:pt>
                <c:pt idx="113">
                  <c:v>19.138863566785233</c:v>
                </c:pt>
                <c:pt idx="114">
                  <c:v>18.788819035150599</c:v>
                </c:pt>
                <c:pt idx="115">
                  <c:v>18.450380709890602</c:v>
                </c:pt>
                <c:pt idx="116">
                  <c:v>18.051490647886066</c:v>
                </c:pt>
                <c:pt idx="117">
                  <c:v>18.039089433117987</c:v>
                </c:pt>
                <c:pt idx="118">
                  <c:v>17.930088041227979</c:v>
                </c:pt>
                <c:pt idx="119">
                  <c:v>18.197295567116544</c:v>
                </c:pt>
                <c:pt idx="120">
                  <c:v>18.137823386814265</c:v>
                </c:pt>
                <c:pt idx="121">
                  <c:v>18.040448429252926</c:v>
                </c:pt>
                <c:pt idx="122">
                  <c:v>18.156601279005216</c:v>
                </c:pt>
                <c:pt idx="123">
                  <c:v>18.009929324394175</c:v>
                </c:pt>
                <c:pt idx="124">
                  <c:v>17.994149814432308</c:v>
                </c:pt>
                <c:pt idx="125">
                  <c:v>18.105329062696036</c:v>
                </c:pt>
                <c:pt idx="126">
                  <c:v>17.74455049930225</c:v>
                </c:pt>
                <c:pt idx="127">
                  <c:v>17.177689303585989</c:v>
                </c:pt>
                <c:pt idx="128">
                  <c:v>17.36413678579915</c:v>
                </c:pt>
                <c:pt idx="129">
                  <c:v>17.593628451613149</c:v>
                </c:pt>
                <c:pt idx="130">
                  <c:v>17.621268939424564</c:v>
                </c:pt>
                <c:pt idx="131">
                  <c:v>17.956646803173086</c:v>
                </c:pt>
                <c:pt idx="132">
                  <c:v>17.932174914959578</c:v>
                </c:pt>
                <c:pt idx="133">
                  <c:v>18.213111133940206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2-2F4D-8DAE-192AF81481EA}"/>
            </c:ext>
          </c:extLst>
        </c:ser>
        <c:ser>
          <c:idx val="1"/>
          <c:order val="1"/>
          <c:tx>
            <c:strRef>
              <c:f>XGBoost再投資累積報酬!$C$24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XGBoost再投資累積報酬!$D$24:$EG$24</c:f>
              <c:numCache>
                <c:formatCode>General</c:formatCode>
                <c:ptCount val="134"/>
                <c:pt idx="0">
                  <c:v>0.39331188340051321</c:v>
                </c:pt>
                <c:pt idx="1">
                  <c:v>0.94555788230504167</c:v>
                </c:pt>
                <c:pt idx="2">
                  <c:v>1.7321788081566547</c:v>
                </c:pt>
                <c:pt idx="3">
                  <c:v>2.9619839543824846</c:v>
                </c:pt>
                <c:pt idx="4">
                  <c:v>4.5228865738875115</c:v>
                </c:pt>
                <c:pt idx="5">
                  <c:v>6.689727165010785</c:v>
                </c:pt>
                <c:pt idx="6">
                  <c:v>9.5868880243469707</c:v>
                </c:pt>
                <c:pt idx="7">
                  <c:v>14.04408318730405</c:v>
                </c:pt>
                <c:pt idx="8">
                  <c:v>19.387525214802839</c:v>
                </c:pt>
                <c:pt idx="9">
                  <c:v>27.136627742155763</c:v>
                </c:pt>
                <c:pt idx="10">
                  <c:v>38.946014747521062</c:v>
                </c:pt>
                <c:pt idx="11">
                  <c:v>53.872854271702543</c:v>
                </c:pt>
                <c:pt idx="12">
                  <c:v>55.821695116187307</c:v>
                </c:pt>
                <c:pt idx="13">
                  <c:v>56.425642866708415</c:v>
                </c:pt>
                <c:pt idx="14">
                  <c:v>57.385397152452342</c:v>
                </c:pt>
                <c:pt idx="15">
                  <c:v>59.066053716076887</c:v>
                </c:pt>
                <c:pt idx="16">
                  <c:v>57.235068951642113</c:v>
                </c:pt>
                <c:pt idx="17">
                  <c:v>60.347892977129163</c:v>
                </c:pt>
                <c:pt idx="18">
                  <c:v>61.711557760682382</c:v>
                </c:pt>
                <c:pt idx="19">
                  <c:v>63.126844056066076</c:v>
                </c:pt>
                <c:pt idx="20">
                  <c:v>62.210727755229996</c:v>
                </c:pt>
                <c:pt idx="21">
                  <c:v>63.207506193636164</c:v>
                </c:pt>
                <c:pt idx="22">
                  <c:v>63.091184813590516</c:v>
                </c:pt>
                <c:pt idx="23">
                  <c:v>65.376718712703905</c:v>
                </c:pt>
                <c:pt idx="24">
                  <c:v>61.915926486517293</c:v>
                </c:pt>
                <c:pt idx="25">
                  <c:v>61.710970628630776</c:v>
                </c:pt>
                <c:pt idx="26">
                  <c:v>61.434925830445529</c:v>
                </c:pt>
                <c:pt idx="27">
                  <c:v>62.925311986142489</c:v>
                </c:pt>
                <c:pt idx="28">
                  <c:v>59.994537852885479</c:v>
                </c:pt>
                <c:pt idx="29">
                  <c:v>64.015130011648736</c:v>
                </c:pt>
                <c:pt idx="30">
                  <c:v>63.446821470466418</c:v>
                </c:pt>
                <c:pt idx="31">
                  <c:v>64.724122605483288</c:v>
                </c:pt>
                <c:pt idx="32">
                  <c:v>63.093840011412482</c:v>
                </c:pt>
                <c:pt idx="33">
                  <c:v>64.021457031036633</c:v>
                </c:pt>
                <c:pt idx="34">
                  <c:v>63.088887371154783</c:v>
                </c:pt>
                <c:pt idx="35">
                  <c:v>61.584641266004589</c:v>
                </c:pt>
                <c:pt idx="36">
                  <c:v>63.72904262230648</c:v>
                </c:pt>
                <c:pt idx="37">
                  <c:v>62.541957840713806</c:v>
                </c:pt>
                <c:pt idx="38">
                  <c:v>61.789764375145261</c:v>
                </c:pt>
                <c:pt idx="39">
                  <c:v>61.516637261094196</c:v>
                </c:pt>
                <c:pt idx="40">
                  <c:v>62.719238469540933</c:v>
                </c:pt>
                <c:pt idx="41">
                  <c:v>62.95448363274231</c:v>
                </c:pt>
                <c:pt idx="42">
                  <c:v>60.899104191328554</c:v>
                </c:pt>
                <c:pt idx="43">
                  <c:v>59.739883854715238</c:v>
                </c:pt>
                <c:pt idx="44">
                  <c:v>61.089566970091205</c:v>
                </c:pt>
                <c:pt idx="45">
                  <c:v>61.504936065775809</c:v>
                </c:pt>
                <c:pt idx="46">
                  <c:v>60.19770830958425</c:v>
                </c:pt>
                <c:pt idx="47">
                  <c:v>60.270560882444009</c:v>
                </c:pt>
                <c:pt idx="48">
                  <c:v>62.356240230951279</c:v>
                </c:pt>
                <c:pt idx="49">
                  <c:v>60.945017809301731</c:v>
                </c:pt>
                <c:pt idx="50">
                  <c:v>60.407306956171439</c:v>
                </c:pt>
                <c:pt idx="51">
                  <c:v>58.093328859636017</c:v>
                </c:pt>
                <c:pt idx="52">
                  <c:v>57.993696062668064</c:v>
                </c:pt>
                <c:pt idx="53">
                  <c:v>58.371089142610579</c:v>
                </c:pt>
                <c:pt idx="54">
                  <c:v>57.500319794377923</c:v>
                </c:pt>
                <c:pt idx="55">
                  <c:v>57.056235178390828</c:v>
                </c:pt>
                <c:pt idx="56">
                  <c:v>57.54324832643416</c:v>
                </c:pt>
                <c:pt idx="57">
                  <c:v>62.617766498550466</c:v>
                </c:pt>
                <c:pt idx="58">
                  <c:v>56.672557037702674</c:v>
                </c:pt>
                <c:pt idx="59">
                  <c:v>54.689587501802144</c:v>
                </c:pt>
                <c:pt idx="60">
                  <c:v>55.856408031344642</c:v>
                </c:pt>
                <c:pt idx="61">
                  <c:v>56.851305361712384</c:v>
                </c:pt>
                <c:pt idx="62">
                  <c:v>58.011785322256799</c:v>
                </c:pt>
                <c:pt idx="63">
                  <c:v>59.11052543850473</c:v>
                </c:pt>
                <c:pt idx="64">
                  <c:v>58.770272516389099</c:v>
                </c:pt>
                <c:pt idx="65">
                  <c:v>61.22257263961373</c:v>
                </c:pt>
                <c:pt idx="66">
                  <c:v>61.951085160404638</c:v>
                </c:pt>
                <c:pt idx="67">
                  <c:v>57.286730214164074</c:v>
                </c:pt>
                <c:pt idx="68">
                  <c:v>57.433491589367392</c:v>
                </c:pt>
                <c:pt idx="69">
                  <c:v>56.398326517819051</c:v>
                </c:pt>
                <c:pt idx="70">
                  <c:v>57.311368393573538</c:v>
                </c:pt>
                <c:pt idx="71">
                  <c:v>59.885372412036915</c:v>
                </c:pt>
                <c:pt idx="72">
                  <c:v>58.416474599580376</c:v>
                </c:pt>
                <c:pt idx="73">
                  <c:v>59.825121984960894</c:v>
                </c:pt>
                <c:pt idx="74">
                  <c:v>61.598417367212541</c:v>
                </c:pt>
                <c:pt idx="75">
                  <c:v>60.290645954458441</c:v>
                </c:pt>
                <c:pt idx="76">
                  <c:v>62.037046085102233</c:v>
                </c:pt>
                <c:pt idx="77">
                  <c:v>63.613293438698676</c:v>
                </c:pt>
                <c:pt idx="78">
                  <c:v>61.725770339928694</c:v>
                </c:pt>
                <c:pt idx="79">
                  <c:v>59.91289348064322</c:v>
                </c:pt>
                <c:pt idx="80">
                  <c:v>61.034066361328343</c:v>
                </c:pt>
                <c:pt idx="81">
                  <c:v>61.328089316845542</c:v>
                </c:pt>
                <c:pt idx="82">
                  <c:v>63.884808514035186</c:v>
                </c:pt>
                <c:pt idx="83">
                  <c:v>64.996855760719413</c:v>
                </c:pt>
                <c:pt idx="84">
                  <c:v>65.48567031965743</c:v>
                </c:pt>
                <c:pt idx="85">
                  <c:v>66.364104953773534</c:v>
                </c:pt>
                <c:pt idx="86">
                  <c:v>67.269799661030333</c:v>
                </c:pt>
                <c:pt idx="87">
                  <c:v>60.214684997200763</c:v>
                </c:pt>
                <c:pt idx="88">
                  <c:v>58.243069717624813</c:v>
                </c:pt>
                <c:pt idx="89">
                  <c:v>64.340393693236109</c:v>
                </c:pt>
                <c:pt idx="90">
                  <c:v>63.597467786287041</c:v>
                </c:pt>
                <c:pt idx="91">
                  <c:v>66.771026112190413</c:v>
                </c:pt>
                <c:pt idx="92">
                  <c:v>62.464674858484763</c:v>
                </c:pt>
                <c:pt idx="93">
                  <c:v>59.084319725437958</c:v>
                </c:pt>
                <c:pt idx="94">
                  <c:v>57.773249563018894</c:v>
                </c:pt>
                <c:pt idx="95">
                  <c:v>58.47120976116657</c:v>
                </c:pt>
                <c:pt idx="96">
                  <c:v>57.759096406390313</c:v>
                </c:pt>
                <c:pt idx="97">
                  <c:v>55.939044547529036</c:v>
                </c:pt>
                <c:pt idx="98">
                  <c:v>57.121956039979203</c:v>
                </c:pt>
                <c:pt idx="99">
                  <c:v>57.323851709441477</c:v>
                </c:pt>
                <c:pt idx="100">
                  <c:v>56.262059647857434</c:v>
                </c:pt>
                <c:pt idx="101">
                  <c:v>59.074930097945355</c:v>
                </c:pt>
                <c:pt idx="102">
                  <c:v>59.955912795115978</c:v>
                </c:pt>
                <c:pt idx="103">
                  <c:v>61.758342719381091</c:v>
                </c:pt>
                <c:pt idx="104">
                  <c:v>61.980852177146865</c:v>
                </c:pt>
                <c:pt idx="105">
                  <c:v>62.444186253545524</c:v>
                </c:pt>
                <c:pt idx="106">
                  <c:v>60.750983479237867</c:v>
                </c:pt>
                <c:pt idx="107">
                  <c:v>58.949780430390874</c:v>
                </c:pt>
                <c:pt idx="108">
                  <c:v>54.957279159359352</c:v>
                </c:pt>
                <c:pt idx="109">
                  <c:v>54.009319501187349</c:v>
                </c:pt>
                <c:pt idx="110">
                  <c:v>56.19098822191831</c:v>
                </c:pt>
                <c:pt idx="111">
                  <c:v>58.399208567721672</c:v>
                </c:pt>
                <c:pt idx="112">
                  <c:v>56.601053117779479</c:v>
                </c:pt>
                <c:pt idx="113">
                  <c:v>54.121091358853093</c:v>
                </c:pt>
                <c:pt idx="114">
                  <c:v>52.480075071223972</c:v>
                </c:pt>
                <c:pt idx="115">
                  <c:v>52.398423790167321</c:v>
                </c:pt>
                <c:pt idx="116">
                  <c:v>51.020986745299787</c:v>
                </c:pt>
                <c:pt idx="117">
                  <c:v>50.623676556248292</c:v>
                </c:pt>
                <c:pt idx="118">
                  <c:v>50.647391442823462</c:v>
                </c:pt>
                <c:pt idx="119">
                  <c:v>50.519943088236467</c:v>
                </c:pt>
                <c:pt idx="120">
                  <c:v>51.509508981834067</c:v>
                </c:pt>
                <c:pt idx="121">
                  <c:v>51.808311709712022</c:v>
                </c:pt>
                <c:pt idx="122">
                  <c:v>51.392660495367167</c:v>
                </c:pt>
                <c:pt idx="123">
                  <c:v>51.066288406236069</c:v>
                </c:pt>
                <c:pt idx="124">
                  <c:v>51.287422613129166</c:v>
                </c:pt>
                <c:pt idx="125">
                  <c:v>51.097525591578652</c:v>
                </c:pt>
                <c:pt idx="126">
                  <c:v>49.360831989557752</c:v>
                </c:pt>
                <c:pt idx="127">
                  <c:v>47.876839757944573</c:v>
                </c:pt>
                <c:pt idx="128">
                  <c:v>48.788546468134598</c:v>
                </c:pt>
                <c:pt idx="129">
                  <c:v>49.056075446420031</c:v>
                </c:pt>
                <c:pt idx="130">
                  <c:v>48.453409658707535</c:v>
                </c:pt>
                <c:pt idx="131">
                  <c:v>49.425941908199029</c:v>
                </c:pt>
                <c:pt idx="132">
                  <c:v>49.660332141914843</c:v>
                </c:pt>
                <c:pt idx="133">
                  <c:v>49.638911437986842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2-2F4D-8DAE-192AF81481EA}"/>
            </c:ext>
          </c:extLst>
        </c:ser>
        <c:ser>
          <c:idx val="2"/>
          <c:order val="2"/>
          <c:tx>
            <c:strRef>
              <c:f>XGBoost再投資累積報酬!$C$25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XGBoost再投資累積報酬!$D$25:$EG$25</c:f>
              <c:numCache>
                <c:formatCode>General</c:formatCode>
                <c:ptCount val="134"/>
                <c:pt idx="0">
                  <c:v>0.56869310141554197</c:v>
                </c:pt>
                <c:pt idx="1">
                  <c:v>1.4833153247607833</c:v>
                </c:pt>
                <c:pt idx="2">
                  <c:v>2.7467267370508579</c:v>
                </c:pt>
                <c:pt idx="3">
                  <c:v>5.3739566370048477</c:v>
                </c:pt>
                <c:pt idx="4">
                  <c:v>8.9921013595512775</c:v>
                </c:pt>
                <c:pt idx="5">
                  <c:v>14.123398073341559</c:v>
                </c:pt>
                <c:pt idx="6">
                  <c:v>22.057099061963189</c:v>
                </c:pt>
                <c:pt idx="7">
                  <c:v>35.304009207235246</c:v>
                </c:pt>
                <c:pt idx="8">
                  <c:v>54.673398415912388</c:v>
                </c:pt>
                <c:pt idx="9">
                  <c:v>83.837342477306692</c:v>
                </c:pt>
                <c:pt idx="10">
                  <c:v>140.01823402060199</c:v>
                </c:pt>
                <c:pt idx="11">
                  <c:v>214.71370697600676</c:v>
                </c:pt>
                <c:pt idx="12">
                  <c:v>229.4853898144965</c:v>
                </c:pt>
                <c:pt idx="13">
                  <c:v>234.03662208827254</c:v>
                </c:pt>
                <c:pt idx="14">
                  <c:v>239.85660728107078</c:v>
                </c:pt>
                <c:pt idx="15">
                  <c:v>232.84013040330004</c:v>
                </c:pt>
                <c:pt idx="16">
                  <c:v>212.92446934135771</c:v>
                </c:pt>
                <c:pt idx="17">
                  <c:v>215.77526998319894</c:v>
                </c:pt>
                <c:pt idx="18">
                  <c:v>221.72464328498643</c:v>
                </c:pt>
                <c:pt idx="19">
                  <c:v>217.03587572670276</c:v>
                </c:pt>
                <c:pt idx="20">
                  <c:v>213.98108006061597</c:v>
                </c:pt>
                <c:pt idx="21">
                  <c:v>212.51358331451337</c:v>
                </c:pt>
                <c:pt idx="22">
                  <c:v>208.76568123982875</c:v>
                </c:pt>
                <c:pt idx="23">
                  <c:v>225.0235634175379</c:v>
                </c:pt>
                <c:pt idx="24">
                  <c:v>203.95681346408369</c:v>
                </c:pt>
                <c:pt idx="25">
                  <c:v>197.49226061822972</c:v>
                </c:pt>
                <c:pt idx="26">
                  <c:v>200.25578760416485</c:v>
                </c:pt>
                <c:pt idx="27">
                  <c:v>204.12353934317579</c:v>
                </c:pt>
                <c:pt idx="28">
                  <c:v>194.73576416201635</c:v>
                </c:pt>
                <c:pt idx="29">
                  <c:v>215.74876855468563</c:v>
                </c:pt>
                <c:pt idx="30">
                  <c:v>214.84798844561533</c:v>
                </c:pt>
                <c:pt idx="31">
                  <c:v>214.64397120566099</c:v>
                </c:pt>
                <c:pt idx="32">
                  <c:v>200.4386575595083</c:v>
                </c:pt>
                <c:pt idx="33">
                  <c:v>203.41383024563771</c:v>
                </c:pt>
                <c:pt idx="34">
                  <c:v>193.51191109952097</c:v>
                </c:pt>
                <c:pt idx="35">
                  <c:v>189.05511539505289</c:v>
                </c:pt>
                <c:pt idx="36">
                  <c:v>198.05432612923659</c:v>
                </c:pt>
                <c:pt idx="37">
                  <c:v>197.52778447458934</c:v>
                </c:pt>
                <c:pt idx="38">
                  <c:v>190.48938641668354</c:v>
                </c:pt>
                <c:pt idx="39">
                  <c:v>184.525783448433</c:v>
                </c:pt>
                <c:pt idx="40">
                  <c:v>197.05967486739709</c:v>
                </c:pt>
                <c:pt idx="41">
                  <c:v>204.76929242788327</c:v>
                </c:pt>
                <c:pt idx="42">
                  <c:v>194.53527416506984</c:v>
                </c:pt>
                <c:pt idx="43">
                  <c:v>193.85463248001273</c:v>
                </c:pt>
                <c:pt idx="44">
                  <c:v>205.36765916753845</c:v>
                </c:pt>
                <c:pt idx="45">
                  <c:v>207.46958979610577</c:v>
                </c:pt>
                <c:pt idx="46">
                  <c:v>200.76142904015799</c:v>
                </c:pt>
                <c:pt idx="47">
                  <c:v>210.61238475250732</c:v>
                </c:pt>
                <c:pt idx="48">
                  <c:v>214.58862125443321</c:v>
                </c:pt>
                <c:pt idx="49">
                  <c:v>208.99224219421686</c:v>
                </c:pt>
                <c:pt idx="50">
                  <c:v>211.84299725017044</c:v>
                </c:pt>
                <c:pt idx="51">
                  <c:v>203.79389708461878</c:v>
                </c:pt>
                <c:pt idx="52">
                  <c:v>192.04380149076277</c:v>
                </c:pt>
                <c:pt idx="53">
                  <c:v>187.74686739114685</c:v>
                </c:pt>
                <c:pt idx="54">
                  <c:v>186.68553111584978</c:v>
                </c:pt>
                <c:pt idx="55">
                  <c:v>185.6503648542546</c:v>
                </c:pt>
                <c:pt idx="56">
                  <c:v>183.549715255591</c:v>
                </c:pt>
                <c:pt idx="57">
                  <c:v>200.80324948135501</c:v>
                </c:pt>
                <c:pt idx="58">
                  <c:v>193.89898245274705</c:v>
                </c:pt>
                <c:pt idx="59">
                  <c:v>196.11357080975009</c:v>
                </c:pt>
                <c:pt idx="60">
                  <c:v>202.96093542617203</c:v>
                </c:pt>
                <c:pt idx="61">
                  <c:v>210.92861705680789</c:v>
                </c:pt>
                <c:pt idx="62">
                  <c:v>221.5784318095981</c:v>
                </c:pt>
                <c:pt idx="63">
                  <c:v>226.50429655024288</c:v>
                </c:pt>
                <c:pt idx="64">
                  <c:v>220.26495724982465</c:v>
                </c:pt>
                <c:pt idx="65">
                  <c:v>242.04140265763198</c:v>
                </c:pt>
                <c:pt idx="66">
                  <c:v>245.34152189090329</c:v>
                </c:pt>
                <c:pt idx="67">
                  <c:v>217.61589568963223</c:v>
                </c:pt>
                <c:pt idx="68">
                  <c:v>217.85427433604255</c:v>
                </c:pt>
                <c:pt idx="69">
                  <c:v>231.2768150911206</c:v>
                </c:pt>
                <c:pt idx="70">
                  <c:v>232.05898125000397</c:v>
                </c:pt>
                <c:pt idx="71">
                  <c:v>248.91715672159313</c:v>
                </c:pt>
                <c:pt idx="72">
                  <c:v>236.30196599234662</c:v>
                </c:pt>
                <c:pt idx="73">
                  <c:v>235.69874718829806</c:v>
                </c:pt>
                <c:pt idx="74">
                  <c:v>233.88632912593411</c:v>
                </c:pt>
                <c:pt idx="75">
                  <c:v>235.48730562203701</c:v>
                </c:pt>
                <c:pt idx="76">
                  <c:v>240.61025250175143</c:v>
                </c:pt>
                <c:pt idx="77">
                  <c:v>250.14246135160255</c:v>
                </c:pt>
                <c:pt idx="78">
                  <c:v>252.4192891803167</c:v>
                </c:pt>
                <c:pt idx="79">
                  <c:v>260.37203694449613</c:v>
                </c:pt>
                <c:pt idx="80">
                  <c:v>271.04600722589845</c:v>
                </c:pt>
                <c:pt idx="81">
                  <c:v>278.99041925845199</c:v>
                </c:pt>
                <c:pt idx="82">
                  <c:v>279.19647384792046</c:v>
                </c:pt>
                <c:pt idx="83">
                  <c:v>278.42568497966823</c:v>
                </c:pt>
                <c:pt idx="84">
                  <c:v>289.49674608213581</c:v>
                </c:pt>
                <c:pt idx="85">
                  <c:v>296.89662168349849</c:v>
                </c:pt>
                <c:pt idx="86">
                  <c:v>295.61409775361898</c:v>
                </c:pt>
                <c:pt idx="87">
                  <c:v>267.66425338313849</c:v>
                </c:pt>
                <c:pt idx="88">
                  <c:v>255.38096485579405</c:v>
                </c:pt>
                <c:pt idx="89">
                  <c:v>276.92204088853663</c:v>
                </c:pt>
                <c:pt idx="90">
                  <c:v>274.39859217039515</c:v>
                </c:pt>
                <c:pt idx="91">
                  <c:v>293.69190787871111</c:v>
                </c:pt>
                <c:pt idx="92">
                  <c:v>269.54787085191771</c:v>
                </c:pt>
                <c:pt idx="93">
                  <c:v>233.54939719723325</c:v>
                </c:pt>
                <c:pt idx="94">
                  <c:v>222.23431378834758</c:v>
                </c:pt>
                <c:pt idx="95">
                  <c:v>228.90887173811626</c:v>
                </c:pt>
                <c:pt idx="96">
                  <c:v>204.54215519322457</c:v>
                </c:pt>
                <c:pt idx="97">
                  <c:v>200.63034100568871</c:v>
                </c:pt>
                <c:pt idx="98">
                  <c:v>208.55159105366349</c:v>
                </c:pt>
                <c:pt idx="99">
                  <c:v>217.95427922237377</c:v>
                </c:pt>
                <c:pt idx="100">
                  <c:v>212.1641339116274</c:v>
                </c:pt>
                <c:pt idx="101">
                  <c:v>219.29298869064522</c:v>
                </c:pt>
                <c:pt idx="102">
                  <c:v>229.08656632466105</c:v>
                </c:pt>
                <c:pt idx="103">
                  <c:v>259.79677222420588</c:v>
                </c:pt>
                <c:pt idx="104">
                  <c:v>232.09791653738117</c:v>
                </c:pt>
                <c:pt idx="105">
                  <c:v>231.52536760305819</c:v>
                </c:pt>
                <c:pt idx="106">
                  <c:v>235.21501259916678</c:v>
                </c:pt>
                <c:pt idx="107">
                  <c:v>224.3578466618379</c:v>
                </c:pt>
                <c:pt idx="108">
                  <c:v>209.33803971935086</c:v>
                </c:pt>
                <c:pt idx="109">
                  <c:v>209.54977540759839</c:v>
                </c:pt>
                <c:pt idx="110">
                  <c:v>213.26334869393838</c:v>
                </c:pt>
                <c:pt idx="111">
                  <c:v>237.14912795970096</c:v>
                </c:pt>
                <c:pt idx="112">
                  <c:v>223.18326847365589</c:v>
                </c:pt>
                <c:pt idx="113">
                  <c:v>211.00812797015107</c:v>
                </c:pt>
                <c:pt idx="114">
                  <c:v>188.58405814631058</c:v>
                </c:pt>
                <c:pt idx="115">
                  <c:v>191.79659514803427</c:v>
                </c:pt>
                <c:pt idx="116">
                  <c:v>181.61777486080797</c:v>
                </c:pt>
                <c:pt idx="117">
                  <c:v>180.39889757144675</c:v>
                </c:pt>
                <c:pt idx="118">
                  <c:v>176.39161375929055</c:v>
                </c:pt>
                <c:pt idx="119">
                  <c:v>178.2051962903837</c:v>
                </c:pt>
                <c:pt idx="120">
                  <c:v>185.19468111569756</c:v>
                </c:pt>
                <c:pt idx="121">
                  <c:v>190.04462544910419</c:v>
                </c:pt>
                <c:pt idx="122">
                  <c:v>191.68368526523497</c:v>
                </c:pt>
                <c:pt idx="123">
                  <c:v>185.52534076640535</c:v>
                </c:pt>
                <c:pt idx="124">
                  <c:v>189.28579240809955</c:v>
                </c:pt>
                <c:pt idx="125">
                  <c:v>178.64123726297194</c:v>
                </c:pt>
                <c:pt idx="126">
                  <c:v>170.59976942482589</c:v>
                </c:pt>
                <c:pt idx="127">
                  <c:v>166.52762101857527</c:v>
                </c:pt>
                <c:pt idx="128">
                  <c:v>171.52743407810465</c:v>
                </c:pt>
                <c:pt idx="129">
                  <c:v>167.71101680144815</c:v>
                </c:pt>
                <c:pt idx="130">
                  <c:v>166.20961744705542</c:v>
                </c:pt>
                <c:pt idx="131">
                  <c:v>167.37109621733595</c:v>
                </c:pt>
                <c:pt idx="132">
                  <c:v>164.54503363793762</c:v>
                </c:pt>
                <c:pt idx="133">
                  <c:v>167.70780571997011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32-2F4D-8DAE-192AF81481EA}"/>
            </c:ext>
          </c:extLst>
        </c:ser>
        <c:ser>
          <c:idx val="3"/>
          <c:order val="3"/>
          <c:tx>
            <c:strRef>
              <c:f>XGBoost再投資累積報酬!$C$26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XGBoost再投資累積報酬!$D$26:$EG$26</c:f>
              <c:numCache>
                <c:formatCode>General</c:formatCode>
                <c:ptCount val="134"/>
                <c:pt idx="0">
                  <c:v>0.70578592605259094</c:v>
                </c:pt>
                <c:pt idx="1">
                  <c:v>1.9306433022499072</c:v>
                </c:pt>
                <c:pt idx="2">
                  <c:v>3.6591218833806662</c:v>
                </c:pt>
                <c:pt idx="3">
                  <c:v>7.9341868475675028</c:v>
                </c:pt>
                <c:pt idx="4">
                  <c:v>14.052263887222734</c:v>
                </c:pt>
                <c:pt idx="5">
                  <c:v>22.957552752258163</c:v>
                </c:pt>
                <c:pt idx="6">
                  <c:v>36.454001802129689</c:v>
                </c:pt>
                <c:pt idx="7">
                  <c:v>62.738177635759008</c:v>
                </c:pt>
                <c:pt idx="8">
                  <c:v>106.99999975647333</c:v>
                </c:pt>
                <c:pt idx="9">
                  <c:v>176.28412122545492</c:v>
                </c:pt>
                <c:pt idx="10">
                  <c:v>336.85647015767</c:v>
                </c:pt>
                <c:pt idx="11">
                  <c:v>570.15654271453616</c:v>
                </c:pt>
                <c:pt idx="12">
                  <c:v>632.72374239991984</c:v>
                </c:pt>
                <c:pt idx="13">
                  <c:v>641.89253667724756</c:v>
                </c:pt>
                <c:pt idx="14">
                  <c:v>597.06024985953798</c:v>
                </c:pt>
                <c:pt idx="15">
                  <c:v>572.56605016485287</c:v>
                </c:pt>
                <c:pt idx="16">
                  <c:v>530.53165284268732</c:v>
                </c:pt>
                <c:pt idx="17">
                  <c:v>508.96168999841865</c:v>
                </c:pt>
                <c:pt idx="18">
                  <c:v>533.0092275511962</c:v>
                </c:pt>
                <c:pt idx="19">
                  <c:v>532.53530972262672</c:v>
                </c:pt>
                <c:pt idx="20">
                  <c:v>514.82288870993352</c:v>
                </c:pt>
                <c:pt idx="21">
                  <c:v>525.69755754532116</c:v>
                </c:pt>
                <c:pt idx="22">
                  <c:v>519.01804926283864</c:v>
                </c:pt>
                <c:pt idx="23">
                  <c:v>556.9492118306473</c:v>
                </c:pt>
                <c:pt idx="24">
                  <c:v>465.787051189723</c:v>
                </c:pt>
                <c:pt idx="25">
                  <c:v>454.01628202300327</c:v>
                </c:pt>
                <c:pt idx="26">
                  <c:v>464.98159639692807</c:v>
                </c:pt>
                <c:pt idx="27">
                  <c:v>482.59821941852954</c:v>
                </c:pt>
                <c:pt idx="28">
                  <c:v>467.55120931546992</c:v>
                </c:pt>
                <c:pt idx="29">
                  <c:v>548.74990987755075</c:v>
                </c:pt>
                <c:pt idx="30">
                  <c:v>538.76510620395959</c:v>
                </c:pt>
                <c:pt idx="31">
                  <c:v>528.22435010139054</c:v>
                </c:pt>
                <c:pt idx="32">
                  <c:v>502.85988546514022</c:v>
                </c:pt>
                <c:pt idx="33">
                  <c:v>487.74376724553639</c:v>
                </c:pt>
                <c:pt idx="34">
                  <c:v>445.88108264168903</c:v>
                </c:pt>
                <c:pt idx="35">
                  <c:v>418.52165313623954</c:v>
                </c:pt>
                <c:pt idx="36">
                  <c:v>485.06228601205464</c:v>
                </c:pt>
                <c:pt idx="37">
                  <c:v>498.5154632547999</c:v>
                </c:pt>
                <c:pt idx="38">
                  <c:v>488.1060093045453</c:v>
                </c:pt>
                <c:pt idx="39">
                  <c:v>450.35906523719007</c:v>
                </c:pt>
                <c:pt idx="40">
                  <c:v>503.02511483129985</c:v>
                </c:pt>
                <c:pt idx="41">
                  <c:v>518.02156234213396</c:v>
                </c:pt>
                <c:pt idx="42">
                  <c:v>493.36483663652365</c:v>
                </c:pt>
                <c:pt idx="43">
                  <c:v>487.46762256219108</c:v>
                </c:pt>
                <c:pt idx="44">
                  <c:v>481.4555253939443</c:v>
                </c:pt>
                <c:pt idx="45">
                  <c:v>496.39524331412434</c:v>
                </c:pt>
                <c:pt idx="46">
                  <c:v>455.99954272286868</c:v>
                </c:pt>
                <c:pt idx="47">
                  <c:v>460.60347587078269</c:v>
                </c:pt>
                <c:pt idx="48">
                  <c:v>481.86490721161539</c:v>
                </c:pt>
                <c:pt idx="49">
                  <c:v>484.87198690957683</c:v>
                </c:pt>
                <c:pt idx="50">
                  <c:v>513.52334994463752</c:v>
                </c:pt>
                <c:pt idx="51">
                  <c:v>483.09902489697583</c:v>
                </c:pt>
                <c:pt idx="52">
                  <c:v>474.60572287012548</c:v>
                </c:pt>
                <c:pt idx="53">
                  <c:v>438.08171173820779</c:v>
                </c:pt>
                <c:pt idx="54">
                  <c:v>426.37874842517931</c:v>
                </c:pt>
                <c:pt idx="55">
                  <c:v>442.45110677088627</c:v>
                </c:pt>
                <c:pt idx="56">
                  <c:v>463.13597199124575</c:v>
                </c:pt>
                <c:pt idx="57">
                  <c:v>538.82776119597645</c:v>
                </c:pt>
                <c:pt idx="58">
                  <c:v>516.67453719605442</c:v>
                </c:pt>
                <c:pt idx="59">
                  <c:v>545.21873912348588</c:v>
                </c:pt>
                <c:pt idx="60">
                  <c:v>567.52068923148556</c:v>
                </c:pt>
                <c:pt idx="61">
                  <c:v>615.4373789614823</c:v>
                </c:pt>
                <c:pt idx="62">
                  <c:v>631.01179929969771</c:v>
                </c:pt>
                <c:pt idx="63">
                  <c:v>639.46847375814889</c:v>
                </c:pt>
                <c:pt idx="64">
                  <c:v>629.95245561970466</c:v>
                </c:pt>
                <c:pt idx="65">
                  <c:v>679.95801187996096</c:v>
                </c:pt>
                <c:pt idx="66">
                  <c:v>682.73099207806854</c:v>
                </c:pt>
                <c:pt idx="67">
                  <c:v>607.74737676369989</c:v>
                </c:pt>
                <c:pt idx="68">
                  <c:v>603.94268415448573</c:v>
                </c:pt>
                <c:pt idx="69">
                  <c:v>636.87633428851541</c:v>
                </c:pt>
                <c:pt idx="70">
                  <c:v>634.021790427734</c:v>
                </c:pt>
                <c:pt idx="71">
                  <c:v>692.95705885960683</c:v>
                </c:pt>
                <c:pt idx="72">
                  <c:v>591.39992866908312</c:v>
                </c:pt>
                <c:pt idx="73">
                  <c:v>596.92582756614877</c:v>
                </c:pt>
                <c:pt idx="74">
                  <c:v>574.14798312227492</c:v>
                </c:pt>
                <c:pt idx="75">
                  <c:v>591.91150500804554</c:v>
                </c:pt>
                <c:pt idx="76">
                  <c:v>581.2333676890122</c:v>
                </c:pt>
                <c:pt idx="77">
                  <c:v>627.49387289566505</c:v>
                </c:pt>
                <c:pt idx="78">
                  <c:v>662.5456650426263</c:v>
                </c:pt>
                <c:pt idx="79">
                  <c:v>667.820396382426</c:v>
                </c:pt>
                <c:pt idx="80">
                  <c:v>703.28440018809556</c:v>
                </c:pt>
                <c:pt idx="81">
                  <c:v>705.28149826873187</c:v>
                </c:pt>
                <c:pt idx="82">
                  <c:v>709.77760345686988</c:v>
                </c:pt>
                <c:pt idx="83">
                  <c:v>716.99750406838689</c:v>
                </c:pt>
                <c:pt idx="84">
                  <c:v>754.35123783383597</c:v>
                </c:pt>
                <c:pt idx="85">
                  <c:v>770.34988730298437</c:v>
                </c:pt>
                <c:pt idx="86">
                  <c:v>716.68769170831092</c:v>
                </c:pt>
                <c:pt idx="87">
                  <c:v>691.42215924597087</c:v>
                </c:pt>
                <c:pt idx="88">
                  <c:v>734.8379616381186</c:v>
                </c:pt>
                <c:pt idx="89">
                  <c:v>813.72295747517546</c:v>
                </c:pt>
                <c:pt idx="90">
                  <c:v>844.11640758617773</c:v>
                </c:pt>
                <c:pt idx="91">
                  <c:v>973.81866659382797</c:v>
                </c:pt>
                <c:pt idx="92">
                  <c:v>850.23404567046862</c:v>
                </c:pt>
                <c:pt idx="93">
                  <c:v>598.16432298506049</c:v>
                </c:pt>
                <c:pt idx="94">
                  <c:v>581.65922304345281</c:v>
                </c:pt>
                <c:pt idx="95">
                  <c:v>580.80439958042064</c:v>
                </c:pt>
                <c:pt idx="96">
                  <c:v>537.93742797970617</c:v>
                </c:pt>
                <c:pt idx="97">
                  <c:v>518.22467000777954</c:v>
                </c:pt>
                <c:pt idx="98">
                  <c:v>551.39737927177782</c:v>
                </c:pt>
                <c:pt idx="99">
                  <c:v>567.79101234056645</c:v>
                </c:pt>
                <c:pt idx="100">
                  <c:v>554.74857356730013</c:v>
                </c:pt>
                <c:pt idx="101">
                  <c:v>570.8162388665553</c:v>
                </c:pt>
                <c:pt idx="102">
                  <c:v>583.81394708654011</c:v>
                </c:pt>
                <c:pt idx="103">
                  <c:v>651.88010471154473</c:v>
                </c:pt>
                <c:pt idx="104">
                  <c:v>577.21546663748961</c:v>
                </c:pt>
                <c:pt idx="105">
                  <c:v>571.07656974168401</c:v>
                </c:pt>
                <c:pt idx="106">
                  <c:v>582.20667489490484</c:v>
                </c:pt>
                <c:pt idx="107">
                  <c:v>564.29777611619011</c:v>
                </c:pt>
                <c:pt idx="108">
                  <c:v>536.70433906515666</c:v>
                </c:pt>
                <c:pt idx="109">
                  <c:v>522.61463943453089</c:v>
                </c:pt>
                <c:pt idx="110">
                  <c:v>577.39216771000781</c:v>
                </c:pt>
                <c:pt idx="111">
                  <c:v>642.37784853766607</c:v>
                </c:pt>
                <c:pt idx="112">
                  <c:v>578.98133135758712</c:v>
                </c:pt>
                <c:pt idx="113">
                  <c:v>546.86820545268108</c:v>
                </c:pt>
                <c:pt idx="114">
                  <c:v>497.48675268260064</c:v>
                </c:pt>
                <c:pt idx="115">
                  <c:v>495.57135187069406</c:v>
                </c:pt>
                <c:pt idx="116">
                  <c:v>470.82766417340281</c:v>
                </c:pt>
                <c:pt idx="117">
                  <c:v>459.89278728084366</c:v>
                </c:pt>
                <c:pt idx="118">
                  <c:v>429.16744695319562</c:v>
                </c:pt>
                <c:pt idx="119">
                  <c:v>426.12381733317483</c:v>
                </c:pt>
                <c:pt idx="120">
                  <c:v>454.89531001508652</c:v>
                </c:pt>
                <c:pt idx="121">
                  <c:v>464.10008737824757</c:v>
                </c:pt>
                <c:pt idx="122">
                  <c:v>467.7672827687901</c:v>
                </c:pt>
                <c:pt idx="123">
                  <c:v>464.17746252679689</c:v>
                </c:pt>
                <c:pt idx="124">
                  <c:v>500.04806661131761</c:v>
                </c:pt>
                <c:pt idx="125">
                  <c:v>473.41546514113986</c:v>
                </c:pt>
                <c:pt idx="126">
                  <c:v>471.74986714526273</c:v>
                </c:pt>
                <c:pt idx="127">
                  <c:v>475.86420352875206</c:v>
                </c:pt>
                <c:pt idx="128">
                  <c:v>485.0159345680359</c:v>
                </c:pt>
                <c:pt idx="129">
                  <c:v>499.70016438029626</c:v>
                </c:pt>
                <c:pt idx="130">
                  <c:v>477.4597097219177</c:v>
                </c:pt>
                <c:pt idx="131">
                  <c:v>482.8827392141701</c:v>
                </c:pt>
                <c:pt idx="132">
                  <c:v>467.97830648473132</c:v>
                </c:pt>
                <c:pt idx="133">
                  <c:v>477.47722542423105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32-2F4D-8DAE-192AF81481EA}"/>
            </c:ext>
          </c:extLst>
        </c:ser>
        <c:ser>
          <c:idx val="4"/>
          <c:order val="4"/>
          <c:tx>
            <c:strRef>
              <c:f>XGBoost再投資累積報酬!$C$27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XGBoost再投資累積報酬!$D$27:$EG$27</c:f>
              <c:numCache>
                <c:formatCode>General</c:formatCode>
                <c:ptCount val="134"/>
                <c:pt idx="0">
                  <c:v>0.89798478135778881</c:v>
                </c:pt>
                <c:pt idx="1">
                  <c:v>2.6924052967627361</c:v>
                </c:pt>
                <c:pt idx="2">
                  <c:v>5.4021504441162689</c:v>
                </c:pt>
                <c:pt idx="3">
                  <c:v>13.067712669677027</c:v>
                </c:pt>
                <c:pt idx="4">
                  <c:v>23.841198680614941</c:v>
                </c:pt>
                <c:pt idx="5">
                  <c:v>41.136687891357802</c:v>
                </c:pt>
                <c:pt idx="6">
                  <c:v>69.58132151065918</c:v>
                </c:pt>
                <c:pt idx="7">
                  <c:v>128.75577841952907</c:v>
                </c:pt>
                <c:pt idx="8">
                  <c:v>248.04468586018268</c:v>
                </c:pt>
                <c:pt idx="9">
                  <c:v>448.0169642737431</c:v>
                </c:pt>
                <c:pt idx="10">
                  <c:v>972.76676996806361</c:v>
                </c:pt>
                <c:pt idx="11">
                  <c:v>1844.5483738184164</c:v>
                </c:pt>
                <c:pt idx="12">
                  <c:v>2061.4570178372633</c:v>
                </c:pt>
                <c:pt idx="13">
                  <c:v>2107.5175093340563</c:v>
                </c:pt>
                <c:pt idx="14">
                  <c:v>1866.0254272177294</c:v>
                </c:pt>
                <c:pt idx="15">
                  <c:v>1758.6144364851873</c:v>
                </c:pt>
                <c:pt idx="16">
                  <c:v>1263.0499225530305</c:v>
                </c:pt>
                <c:pt idx="17">
                  <c:v>1306.5064619180848</c:v>
                </c:pt>
                <c:pt idx="18">
                  <c:v>1333.7557020901015</c:v>
                </c:pt>
                <c:pt idx="19">
                  <c:v>1410.5498191586407</c:v>
                </c:pt>
                <c:pt idx="20">
                  <c:v>1462.1735404395863</c:v>
                </c:pt>
                <c:pt idx="21">
                  <c:v>1587.2567664503733</c:v>
                </c:pt>
                <c:pt idx="22">
                  <c:v>1594.7901011820709</c:v>
                </c:pt>
                <c:pt idx="23">
                  <c:v>1712.9219235066544</c:v>
                </c:pt>
                <c:pt idx="24">
                  <c:v>1500.5567452176149</c:v>
                </c:pt>
                <c:pt idx="25">
                  <c:v>1455.7524926803264</c:v>
                </c:pt>
                <c:pt idx="26">
                  <c:v>1480.8402816003327</c:v>
                </c:pt>
                <c:pt idx="27">
                  <c:v>1605.5403085128085</c:v>
                </c:pt>
                <c:pt idx="28">
                  <c:v>1498.516069219819</c:v>
                </c:pt>
                <c:pt idx="29">
                  <c:v>1818.0135401008786</c:v>
                </c:pt>
                <c:pt idx="30">
                  <c:v>1753.3811936091545</c:v>
                </c:pt>
                <c:pt idx="31">
                  <c:v>1703.9949344285569</c:v>
                </c:pt>
                <c:pt idx="32">
                  <c:v>1631.8409147640566</c:v>
                </c:pt>
                <c:pt idx="33">
                  <c:v>1550.1430717762885</c:v>
                </c:pt>
                <c:pt idx="34">
                  <c:v>1465.7861062390054</c:v>
                </c:pt>
                <c:pt idx="35">
                  <c:v>1327.0634401332613</c:v>
                </c:pt>
                <c:pt idx="36">
                  <c:v>1593.6098815349158</c:v>
                </c:pt>
                <c:pt idx="37">
                  <c:v>1549.074783053039</c:v>
                </c:pt>
                <c:pt idx="38">
                  <c:v>1309.4469830833909</c:v>
                </c:pt>
                <c:pt idx="39">
                  <c:v>1177.9544880011067</c:v>
                </c:pt>
                <c:pt idx="40">
                  <c:v>1464.5620069471279</c:v>
                </c:pt>
                <c:pt idx="41">
                  <c:v>1476.1448620430415</c:v>
                </c:pt>
                <c:pt idx="42">
                  <c:v>1433.3503788698249</c:v>
                </c:pt>
                <c:pt idx="43">
                  <c:v>1447.5988323820504</c:v>
                </c:pt>
                <c:pt idx="44">
                  <c:v>1468.472671235161</c:v>
                </c:pt>
                <c:pt idx="45">
                  <c:v>1460.8886220905513</c:v>
                </c:pt>
                <c:pt idx="46">
                  <c:v>1353.5695544528458</c:v>
                </c:pt>
                <c:pt idx="47">
                  <c:v>1309.3101040444135</c:v>
                </c:pt>
                <c:pt idx="48">
                  <c:v>1324.4112958337178</c:v>
                </c:pt>
                <c:pt idx="49">
                  <c:v>1304.588870385687</c:v>
                </c:pt>
                <c:pt idx="50">
                  <c:v>1293.9787231223099</c:v>
                </c:pt>
                <c:pt idx="51">
                  <c:v>1102.0840801763861</c:v>
                </c:pt>
                <c:pt idx="52">
                  <c:v>1084.010972124237</c:v>
                </c:pt>
                <c:pt idx="53">
                  <c:v>1136.2365511400319</c:v>
                </c:pt>
                <c:pt idx="54">
                  <c:v>1120.1886557395389</c:v>
                </c:pt>
                <c:pt idx="55">
                  <c:v>1206.1882296416354</c:v>
                </c:pt>
                <c:pt idx="56">
                  <c:v>1348.3925969450156</c:v>
                </c:pt>
                <c:pt idx="57">
                  <c:v>1486.4159642174366</c:v>
                </c:pt>
                <c:pt idx="58">
                  <c:v>1398.123226301977</c:v>
                </c:pt>
                <c:pt idx="59">
                  <c:v>1538.8721899248269</c:v>
                </c:pt>
                <c:pt idx="60">
                  <c:v>1648.7028711759597</c:v>
                </c:pt>
                <c:pt idx="61">
                  <c:v>1826.2195046289862</c:v>
                </c:pt>
                <c:pt idx="62">
                  <c:v>1910.6353743308207</c:v>
                </c:pt>
                <c:pt idx="63">
                  <c:v>1998.9009881184545</c:v>
                </c:pt>
                <c:pt idx="64">
                  <c:v>1912.1689437598254</c:v>
                </c:pt>
                <c:pt idx="65">
                  <c:v>2257.1419148436389</c:v>
                </c:pt>
                <c:pt idx="66">
                  <c:v>2222.7941223555949</c:v>
                </c:pt>
                <c:pt idx="67">
                  <c:v>1864.540424312944</c:v>
                </c:pt>
                <c:pt idx="68">
                  <c:v>1727.6301103069275</c:v>
                </c:pt>
                <c:pt idx="69">
                  <c:v>1942.3942724808967</c:v>
                </c:pt>
                <c:pt idx="70">
                  <c:v>1893.6228024066686</c:v>
                </c:pt>
                <c:pt idx="71">
                  <c:v>2095.2951547071661</c:v>
                </c:pt>
                <c:pt idx="72">
                  <c:v>1781.5665368378475</c:v>
                </c:pt>
                <c:pt idx="73">
                  <c:v>1814.1373456834349</c:v>
                </c:pt>
                <c:pt idx="74">
                  <c:v>1747.7519018207317</c:v>
                </c:pt>
                <c:pt idx="75">
                  <c:v>1786.125668861346</c:v>
                </c:pt>
                <c:pt idx="76">
                  <c:v>1686.5822207220206</c:v>
                </c:pt>
                <c:pt idx="77">
                  <c:v>1669.7596223459984</c:v>
                </c:pt>
                <c:pt idx="78">
                  <c:v>1871.446779060434</c:v>
                </c:pt>
                <c:pt idx="79">
                  <c:v>1749.0983511058034</c:v>
                </c:pt>
                <c:pt idx="80">
                  <c:v>1747.7746327695027</c:v>
                </c:pt>
                <c:pt idx="81">
                  <c:v>1783.9424639300228</c:v>
                </c:pt>
                <c:pt idx="82">
                  <c:v>1750.1578586736753</c:v>
                </c:pt>
                <c:pt idx="83">
                  <c:v>1790.5388788345047</c:v>
                </c:pt>
                <c:pt idx="84">
                  <c:v>1910.0938401637386</c:v>
                </c:pt>
                <c:pt idx="85">
                  <c:v>1888.5171542457842</c:v>
                </c:pt>
                <c:pt idx="86">
                  <c:v>1776.6548660333181</c:v>
                </c:pt>
                <c:pt idx="87">
                  <c:v>1478.3903332926218</c:v>
                </c:pt>
                <c:pt idx="88">
                  <c:v>1567.7850255764697</c:v>
                </c:pt>
                <c:pt idx="89">
                  <c:v>1827.0498084351807</c:v>
                </c:pt>
                <c:pt idx="90">
                  <c:v>2119.5586034194321</c:v>
                </c:pt>
                <c:pt idx="91">
                  <c:v>2556.7510482370085</c:v>
                </c:pt>
                <c:pt idx="92">
                  <c:v>1792.4194558866006</c:v>
                </c:pt>
                <c:pt idx="93">
                  <c:v>1451.5283098805153</c:v>
                </c:pt>
                <c:pt idx="94">
                  <c:v>1541.8133202393963</c:v>
                </c:pt>
                <c:pt idx="95">
                  <c:v>1260.3375527079907</c:v>
                </c:pt>
                <c:pt idx="96">
                  <c:v>1185.0744443010885</c:v>
                </c:pt>
                <c:pt idx="97">
                  <c:v>1083.6150653995867</c:v>
                </c:pt>
                <c:pt idx="98">
                  <c:v>1076.2446129990255</c:v>
                </c:pt>
                <c:pt idx="99">
                  <c:v>1086.7962913378988</c:v>
                </c:pt>
                <c:pt idx="100">
                  <c:v>968.17340471549437</c:v>
                </c:pt>
                <c:pt idx="101">
                  <c:v>1074.2816472789145</c:v>
                </c:pt>
                <c:pt idx="102">
                  <c:v>1015.9172621000438</c:v>
                </c:pt>
                <c:pt idx="103">
                  <c:v>1054.5331633122601</c:v>
                </c:pt>
                <c:pt idx="104">
                  <c:v>948.13767597675781</c:v>
                </c:pt>
                <c:pt idx="105">
                  <c:v>957.65805316111948</c:v>
                </c:pt>
                <c:pt idx="106">
                  <c:v>1014.701553405614</c:v>
                </c:pt>
                <c:pt idx="107">
                  <c:v>963.93739559738572</c:v>
                </c:pt>
                <c:pt idx="108">
                  <c:v>975.5115688452513</c:v>
                </c:pt>
                <c:pt idx="109">
                  <c:v>939.03061092558994</c:v>
                </c:pt>
                <c:pt idx="110">
                  <c:v>999.54100314657728</c:v>
                </c:pt>
                <c:pt idx="111">
                  <c:v>1172.0900096681059</c:v>
                </c:pt>
                <c:pt idx="112">
                  <c:v>1205.4064206788266</c:v>
                </c:pt>
                <c:pt idx="113">
                  <c:v>1150.9343895320746</c:v>
                </c:pt>
                <c:pt idx="114">
                  <c:v>930.83421376477133</c:v>
                </c:pt>
                <c:pt idx="115">
                  <c:v>858.38738658286002</c:v>
                </c:pt>
                <c:pt idx="116">
                  <c:v>811.18943294707856</c:v>
                </c:pt>
                <c:pt idx="117">
                  <c:v>755.07284623568933</c:v>
                </c:pt>
                <c:pt idx="118">
                  <c:v>750.35551659717589</c:v>
                </c:pt>
                <c:pt idx="119">
                  <c:v>772.18297236223532</c:v>
                </c:pt>
                <c:pt idx="120">
                  <c:v>820.41733619453987</c:v>
                </c:pt>
                <c:pt idx="121">
                  <c:v>865.87687233082545</c:v>
                </c:pt>
                <c:pt idx="122">
                  <c:v>896.08755642465371</c:v>
                </c:pt>
                <c:pt idx="123">
                  <c:v>861.64535551831079</c:v>
                </c:pt>
                <c:pt idx="124">
                  <c:v>903.78139024754933</c:v>
                </c:pt>
                <c:pt idx="125">
                  <c:v>909.09038771598989</c:v>
                </c:pt>
                <c:pt idx="126">
                  <c:v>926.13210300121398</c:v>
                </c:pt>
                <c:pt idx="127">
                  <c:v>970.31249875703475</c:v>
                </c:pt>
                <c:pt idx="128">
                  <c:v>1014.133785346366</c:v>
                </c:pt>
                <c:pt idx="129">
                  <c:v>1012.4317260829849</c:v>
                </c:pt>
                <c:pt idx="130">
                  <c:v>1026.5111704705241</c:v>
                </c:pt>
                <c:pt idx="131">
                  <c:v>1104.4456076161362</c:v>
                </c:pt>
                <c:pt idx="132">
                  <c:v>1131.9353982338332</c:v>
                </c:pt>
                <c:pt idx="133">
                  <c:v>1222.8309382839752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32-2F4D-8DAE-192AF81481EA}"/>
            </c:ext>
          </c:extLst>
        </c:ser>
        <c:ser>
          <c:idx val="5"/>
          <c:order val="5"/>
          <c:tx>
            <c:strRef>
              <c:f>XGBoost再投資累積報酬!$C$28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XGBoost再投資累積報酬!$D$28:$EG$28</c:f>
              <c:numCache>
                <c:formatCode>General</c:formatCode>
                <c:ptCount val="134"/>
                <c:pt idx="0">
                  <c:v>1.274316755103944</c:v>
                </c:pt>
                <c:pt idx="1">
                  <c:v>4.7959821773410871</c:v>
                </c:pt>
                <c:pt idx="2">
                  <c:v>11.101116550448845</c:v>
                </c:pt>
                <c:pt idx="3">
                  <c:v>32.809330435262588</c:v>
                </c:pt>
                <c:pt idx="4">
                  <c:v>60.481366263413705</c:v>
                </c:pt>
                <c:pt idx="5">
                  <c:v>110.07797132277224</c:v>
                </c:pt>
                <c:pt idx="6">
                  <c:v>198.72982219508319</c:v>
                </c:pt>
                <c:pt idx="7">
                  <c:v>396.51060050686544</c:v>
                </c:pt>
                <c:pt idx="8">
                  <c:v>1354.3457368465888</c:v>
                </c:pt>
                <c:pt idx="9">
                  <c:v>3043.3020469145035</c:v>
                </c:pt>
                <c:pt idx="10">
                  <c:v>8936.6125872720113</c:v>
                </c:pt>
                <c:pt idx="11">
                  <c:v>25916.642864792313</c:v>
                </c:pt>
                <c:pt idx="12">
                  <c:v>31630.543815918332</c:v>
                </c:pt>
                <c:pt idx="13">
                  <c:v>31239.801317257028</c:v>
                </c:pt>
                <c:pt idx="14">
                  <c:v>31138.502672901446</c:v>
                </c:pt>
                <c:pt idx="15">
                  <c:v>23701.265200356982</c:v>
                </c:pt>
                <c:pt idx="16">
                  <c:v>25302.293422488776</c:v>
                </c:pt>
                <c:pt idx="17">
                  <c:v>25962.466514534535</c:v>
                </c:pt>
                <c:pt idx="18">
                  <c:v>26418.808031548982</c:v>
                </c:pt>
                <c:pt idx="19">
                  <c:v>33695.05016497949</c:v>
                </c:pt>
                <c:pt idx="20">
                  <c:v>40808.480061296577</c:v>
                </c:pt>
                <c:pt idx="21">
                  <c:v>47370.554737171013</c:v>
                </c:pt>
                <c:pt idx="22">
                  <c:v>44877.37626122724</c:v>
                </c:pt>
                <c:pt idx="23">
                  <c:v>41177.004037696592</c:v>
                </c:pt>
                <c:pt idx="24">
                  <c:v>33555.192244086662</c:v>
                </c:pt>
                <c:pt idx="25">
                  <c:v>37646.828958489408</c:v>
                </c:pt>
                <c:pt idx="26">
                  <c:v>39405.120117251827</c:v>
                </c:pt>
                <c:pt idx="27">
                  <c:v>21210.829542736457</c:v>
                </c:pt>
                <c:pt idx="28">
                  <c:v>17113.938821791595</c:v>
                </c:pt>
                <c:pt idx="29">
                  <c:v>25592.498314898086</c:v>
                </c:pt>
                <c:pt idx="30">
                  <c:v>29416.934976971505</c:v>
                </c:pt>
                <c:pt idx="31">
                  <c:v>32835.212146862199</c:v>
                </c:pt>
                <c:pt idx="32">
                  <c:v>20225.708045701249</c:v>
                </c:pt>
                <c:pt idx="33">
                  <c:v>18575.269451859505</c:v>
                </c:pt>
                <c:pt idx="34">
                  <c:v>18653.02324768274</c:v>
                </c:pt>
                <c:pt idx="35">
                  <c:v>15667.021027822289</c:v>
                </c:pt>
                <c:pt idx="36">
                  <c:v>16374.007108966565</c:v>
                </c:pt>
                <c:pt idx="37">
                  <c:v>18964.156610242808</c:v>
                </c:pt>
                <c:pt idx="38">
                  <c:v>20373.119565951125</c:v>
                </c:pt>
                <c:pt idx="39">
                  <c:v>21409.711668757649</c:v>
                </c:pt>
                <c:pt idx="40">
                  <c:v>32548.578241086816</c:v>
                </c:pt>
                <c:pt idx="41">
                  <c:v>36952.86153391355</c:v>
                </c:pt>
                <c:pt idx="42">
                  <c:v>31657.343864144274</c:v>
                </c:pt>
                <c:pt idx="43">
                  <c:v>30792.4590532568</c:v>
                </c:pt>
                <c:pt idx="44">
                  <c:v>28492.00305045296</c:v>
                </c:pt>
                <c:pt idx="45">
                  <c:v>33125.27232237898</c:v>
                </c:pt>
                <c:pt idx="46">
                  <c:v>24785.961419810807</c:v>
                </c:pt>
                <c:pt idx="47">
                  <c:v>27310.933054930727</c:v>
                </c:pt>
                <c:pt idx="48">
                  <c:v>30285.371745930974</c:v>
                </c:pt>
                <c:pt idx="49">
                  <c:v>29407.0625775136</c:v>
                </c:pt>
                <c:pt idx="50">
                  <c:v>28465.581843997228</c:v>
                </c:pt>
                <c:pt idx="51">
                  <c:v>17976.75987187391</c:v>
                </c:pt>
                <c:pt idx="52">
                  <c:v>19015.631503481589</c:v>
                </c:pt>
                <c:pt idx="53">
                  <c:v>15905.229295737881</c:v>
                </c:pt>
                <c:pt idx="54">
                  <c:v>15725.232369117977</c:v>
                </c:pt>
                <c:pt idx="55">
                  <c:v>18166.149718042361</c:v>
                </c:pt>
                <c:pt idx="56">
                  <c:v>15970.472391030955</c:v>
                </c:pt>
                <c:pt idx="57">
                  <c:v>21681.436750233897</c:v>
                </c:pt>
                <c:pt idx="58">
                  <c:v>17752.882275934029</c:v>
                </c:pt>
                <c:pt idx="59">
                  <c:v>20758.337258751166</c:v>
                </c:pt>
                <c:pt idx="60">
                  <c:v>23959.880795435703</c:v>
                </c:pt>
                <c:pt idx="61">
                  <c:v>28677.993101590764</c:v>
                </c:pt>
                <c:pt idx="62">
                  <c:v>39326.07792808181</c:v>
                </c:pt>
                <c:pt idx="63">
                  <c:v>52839.932723331229</c:v>
                </c:pt>
                <c:pt idx="64">
                  <c:v>41002.612098493897</c:v>
                </c:pt>
                <c:pt idx="65">
                  <c:v>49932.34676978879</c:v>
                </c:pt>
                <c:pt idx="66">
                  <c:v>55838.955998281788</c:v>
                </c:pt>
                <c:pt idx="67">
                  <c:v>44249.152468590393</c:v>
                </c:pt>
                <c:pt idx="68">
                  <c:v>47676.683390987404</c:v>
                </c:pt>
                <c:pt idx="69">
                  <c:v>47107.50604706187</c:v>
                </c:pt>
                <c:pt idx="70">
                  <c:v>68541.13588845772</c:v>
                </c:pt>
                <c:pt idx="71">
                  <c:v>66631.275457957527</c:v>
                </c:pt>
                <c:pt idx="72">
                  <c:v>53209.550132581448</c:v>
                </c:pt>
                <c:pt idx="73">
                  <c:v>50067.576931141528</c:v>
                </c:pt>
                <c:pt idx="74">
                  <c:v>58151.904536773633</c:v>
                </c:pt>
                <c:pt idx="75">
                  <c:v>48813.071255510295</c:v>
                </c:pt>
                <c:pt idx="76">
                  <c:v>38011.852674742047</c:v>
                </c:pt>
                <c:pt idx="77">
                  <c:v>36507.63887233592</c:v>
                </c:pt>
                <c:pt idx="78">
                  <c:v>44992.238667824349</c:v>
                </c:pt>
                <c:pt idx="79">
                  <c:v>49407.272284859508</c:v>
                </c:pt>
                <c:pt idx="80">
                  <c:v>52960.008371373515</c:v>
                </c:pt>
                <c:pt idx="81">
                  <c:v>47190.8488854721</c:v>
                </c:pt>
                <c:pt idx="82">
                  <c:v>64399.774725100899</c:v>
                </c:pt>
                <c:pt idx="83">
                  <c:v>80671.080272575695</c:v>
                </c:pt>
                <c:pt idx="84">
                  <c:v>90378.503344299897</c:v>
                </c:pt>
                <c:pt idx="85">
                  <c:v>87039.045612364265</c:v>
                </c:pt>
                <c:pt idx="86">
                  <c:v>99166.89013361471</c:v>
                </c:pt>
                <c:pt idx="87">
                  <c:v>49727.157558683801</c:v>
                </c:pt>
                <c:pt idx="88">
                  <c:v>45103.631575168743</c:v>
                </c:pt>
                <c:pt idx="89">
                  <c:v>42466.895979673573</c:v>
                </c:pt>
                <c:pt idx="90">
                  <c:v>53137.007889445689</c:v>
                </c:pt>
                <c:pt idx="91">
                  <c:v>65110.05483278662</c:v>
                </c:pt>
                <c:pt idx="92">
                  <c:v>55000.854820260385</c:v>
                </c:pt>
                <c:pt idx="93">
                  <c:v>55983.178481103889</c:v>
                </c:pt>
                <c:pt idx="94">
                  <c:v>61626.048805067723</c:v>
                </c:pt>
                <c:pt idx="95">
                  <c:v>46068.578449770503</c:v>
                </c:pt>
                <c:pt idx="96">
                  <c:v>35860.535966217896</c:v>
                </c:pt>
                <c:pt idx="97">
                  <c:v>31856.542009425561</c:v>
                </c:pt>
                <c:pt idx="98">
                  <c:v>29117.392557479277</c:v>
                </c:pt>
                <c:pt idx="99">
                  <c:v>30190.268849840224</c:v>
                </c:pt>
                <c:pt idx="100">
                  <c:v>28244.253578363554</c:v>
                </c:pt>
                <c:pt idx="101">
                  <c:v>38332.991662309032</c:v>
                </c:pt>
                <c:pt idx="102">
                  <c:v>35526.974902568589</c:v>
                </c:pt>
                <c:pt idx="103">
                  <c:v>26653.575535223437</c:v>
                </c:pt>
                <c:pt idx="104">
                  <c:v>17578.166179733453</c:v>
                </c:pt>
                <c:pt idx="105">
                  <c:v>20077.396728118594</c:v>
                </c:pt>
                <c:pt idx="106">
                  <c:v>17387.625221177866</c:v>
                </c:pt>
                <c:pt idx="107">
                  <c:v>18066.099012160998</c:v>
                </c:pt>
                <c:pt idx="108">
                  <c:v>16599.124852386965</c:v>
                </c:pt>
                <c:pt idx="109">
                  <c:v>15922.24425031385</c:v>
                </c:pt>
                <c:pt idx="110">
                  <c:v>21911.757313375172</c:v>
                </c:pt>
                <c:pt idx="111">
                  <c:v>25072.375847032676</c:v>
                </c:pt>
                <c:pt idx="112">
                  <c:v>23044.82004846874</c:v>
                </c:pt>
                <c:pt idx="113">
                  <c:v>26056.447536451928</c:v>
                </c:pt>
                <c:pt idx="114">
                  <c:v>23552.726205608149</c:v>
                </c:pt>
                <c:pt idx="115">
                  <c:v>21184.924152637504</c:v>
                </c:pt>
                <c:pt idx="116">
                  <c:v>20925.408203984774</c:v>
                </c:pt>
                <c:pt idx="117">
                  <c:v>20197.154875313088</c:v>
                </c:pt>
                <c:pt idx="118">
                  <c:v>21903.105201172286</c:v>
                </c:pt>
                <c:pt idx="119">
                  <c:v>25838.459975115289</c:v>
                </c:pt>
                <c:pt idx="120">
                  <c:v>29217.357511752387</c:v>
                </c:pt>
                <c:pt idx="121">
                  <c:v>29132.081823259712</c:v>
                </c:pt>
                <c:pt idx="122">
                  <c:v>31069.62105499809</c:v>
                </c:pt>
                <c:pt idx="123">
                  <c:v>28896.460664696497</c:v>
                </c:pt>
                <c:pt idx="124">
                  <c:v>20076.386588754118</c:v>
                </c:pt>
                <c:pt idx="125">
                  <c:v>19332.257393460743</c:v>
                </c:pt>
                <c:pt idx="126">
                  <c:v>17029.383739778412</c:v>
                </c:pt>
                <c:pt idx="127">
                  <c:v>13812.009111662133</c:v>
                </c:pt>
                <c:pt idx="128">
                  <c:v>14800.932895471464</c:v>
                </c:pt>
                <c:pt idx="129">
                  <c:v>14801.537259508234</c:v>
                </c:pt>
                <c:pt idx="130">
                  <c:v>17678.577438874592</c:v>
                </c:pt>
                <c:pt idx="131">
                  <c:v>22059.828656879305</c:v>
                </c:pt>
                <c:pt idx="132">
                  <c:v>22435.271724268274</c:v>
                </c:pt>
                <c:pt idx="133">
                  <c:v>22832.034881448264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32-2F4D-8DAE-192AF81481EA}"/>
            </c:ext>
          </c:extLst>
        </c:ser>
        <c:ser>
          <c:idx val="6"/>
          <c:order val="6"/>
          <c:tx>
            <c:strRef>
              <c:f>XGBoost再投資累積報酬!$C$29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XGBoost再投資累積報酬!$D$29:$EG$29</c:f>
              <c:numCache>
                <c:formatCode>General</c:formatCode>
                <c:ptCount val="134"/>
                <c:pt idx="0">
                  <c:v>-1.744677053939037E-2</c:v>
                </c:pt>
                <c:pt idx="1">
                  <c:v>2.893123339404724E-3</c:v>
                </c:pt>
                <c:pt idx="2">
                  <c:v>2.6944635852046869E-2</c:v>
                </c:pt>
                <c:pt idx="3">
                  <c:v>2.0210365301730041E-2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0.11295275081672609</c:v>
                </c:pt>
                <c:pt idx="14">
                  <c:v>0.1088204283509331</c:v>
                </c:pt>
                <c:pt idx="15">
                  <c:v>0.13551706985268061</c:v>
                </c:pt>
                <c:pt idx="16">
                  <c:v>0.12167508804368481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-5.9140260213613523E-2</c:v>
                </c:pt>
                <c:pt idx="21">
                  <c:v>-1.7185893241652209E-2</c:v>
                </c:pt>
                <c:pt idx="22">
                  <c:v>-4.4409529547694393E-2</c:v>
                </c:pt>
                <c:pt idx="23">
                  <c:v>-4.2407561826578573E-2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2.7817794451217011E-3</c:v>
                </c:pt>
                <c:pt idx="27">
                  <c:v>-4.0202844765013457E-2</c:v>
                </c:pt>
                <c:pt idx="28">
                  <c:v>-2.23053204826642E-2</c:v>
                </c:pt>
                <c:pt idx="29">
                  <c:v>-7.4152570234460313E-3</c:v>
                </c:pt>
                <c:pt idx="30">
                  <c:v>2.8334274381314421E-2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5.7454515782098918E-2</c:v>
                </c:pt>
                <c:pt idx="35">
                  <c:v>5.8917118987427568E-2</c:v>
                </c:pt>
                <c:pt idx="36">
                  <c:v>8.0938283596681648E-2</c:v>
                </c:pt>
                <c:pt idx="37">
                  <c:v>0.11500697453770201</c:v>
                </c:pt>
                <c:pt idx="38">
                  <c:v>0.1219665320054517</c:v>
                </c:pt>
                <c:pt idx="39">
                  <c:v>0.12886130991117531</c:v>
                </c:pt>
                <c:pt idx="40">
                  <c:v>0.14799139743631429</c:v>
                </c:pt>
                <c:pt idx="41">
                  <c:v>0.18780698843660251</c:v>
                </c:pt>
                <c:pt idx="42">
                  <c:v>0.19148751365039929</c:v>
                </c:pt>
                <c:pt idx="43">
                  <c:v>0.20945675046088999</c:v>
                </c:pt>
                <c:pt idx="44">
                  <c:v>0.18617324550329581</c:v>
                </c:pt>
                <c:pt idx="45">
                  <c:v>0.23209180697664691</c:v>
                </c:pt>
                <c:pt idx="46">
                  <c:v>0.205162036556817</c:v>
                </c:pt>
                <c:pt idx="47">
                  <c:v>0.21453132863303209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0.2445155679795841</c:v>
                </c:pt>
                <c:pt idx="51">
                  <c:v>0.21433638745422809</c:v>
                </c:pt>
                <c:pt idx="52">
                  <c:v>0.2388215063710388</c:v>
                </c:pt>
                <c:pt idx="53">
                  <c:v>0.23447943849994909</c:v>
                </c:pt>
                <c:pt idx="54">
                  <c:v>0.25935658802508499</c:v>
                </c:pt>
                <c:pt idx="55">
                  <c:v>0.26008869763716319</c:v>
                </c:pt>
                <c:pt idx="56">
                  <c:v>0.2535114114609236</c:v>
                </c:pt>
                <c:pt idx="57">
                  <c:v>0.10826483627727621</c:v>
                </c:pt>
                <c:pt idx="58">
                  <c:v>0.11793469710078749</c:v>
                </c:pt>
                <c:pt idx="59">
                  <c:v>9.9625988810205346E-2</c:v>
                </c:pt>
                <c:pt idx="60">
                  <c:v>0.12254260303831389</c:v>
                </c:pt>
                <c:pt idx="61">
                  <c:v>0.17302993558174001</c:v>
                </c:pt>
                <c:pt idx="62">
                  <c:v>0.20112905370185399</c:v>
                </c:pt>
                <c:pt idx="63">
                  <c:v>0.237450116940952</c:v>
                </c:pt>
                <c:pt idx="64">
                  <c:v>0.18334151222801379</c:v>
                </c:pt>
                <c:pt idx="65">
                  <c:v>0.209244230248715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0.21987619627534569</c:v>
                </c:pt>
                <c:pt idx="69">
                  <c:v>0.27805738326883361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0.2099851314449144</c:v>
                </c:pt>
                <c:pt idx="76">
                  <c:v>0.20447092205281339</c:v>
                </c:pt>
                <c:pt idx="77">
                  <c:v>0.27699361006036599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0.49692143719092191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</c:v>
                </c:pt>
                <c:pt idx="123">
                  <c:v>1.1079601605760621</c:v>
                </c:pt>
                <c:pt idx="124">
                  <c:v>1.1868319851241951</c:v>
                </c:pt>
                <c:pt idx="125">
                  <c:v>1.370768618416941</c:v>
                </c:pt>
                <c:pt idx="126">
                  <c:v>1.2834475238077689</c:v>
                </c:pt>
                <c:pt idx="127">
                  <c:v>1.290507264949454</c:v>
                </c:pt>
                <c:pt idx="128">
                  <c:v>1.2860233033025421</c:v>
                </c:pt>
                <c:pt idx="129">
                  <c:v>1.346509430724685</c:v>
                </c:pt>
                <c:pt idx="130">
                  <c:v>1.2884273650883471</c:v>
                </c:pt>
                <c:pt idx="131">
                  <c:v>1.366498188226261</c:v>
                </c:pt>
                <c:pt idx="132">
                  <c:v>1.416341311511776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C32-2F4D-8DAE-192AF8148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51504"/>
        <c:axId val="2104460624"/>
      </c:lineChart>
      <c:catAx>
        <c:axId val="21044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60624"/>
        <c:crosses val="autoZero"/>
        <c:auto val="1"/>
        <c:lblAlgn val="ctr"/>
        <c:lblOffset val="100"/>
        <c:noMultiLvlLbl val="0"/>
      </c:catAx>
      <c:valAx>
        <c:axId val="210446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5150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XGBoost再投資累積報酬!$C$23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XGBoost再投資累積報酬!$D$23:$EG$23</c:f>
              <c:numCache>
                <c:formatCode>General</c:formatCode>
                <c:ptCount val="134"/>
                <c:pt idx="0">
                  <c:v>0.29562126567416419</c:v>
                </c:pt>
                <c:pt idx="1">
                  <c:v>0.67886454739873292</c:v>
                </c:pt>
                <c:pt idx="2">
                  <c:v>1.2030566626568584</c:v>
                </c:pt>
                <c:pt idx="3">
                  <c:v>1.899643608980369</c:v>
                </c:pt>
                <c:pt idx="4">
                  <c:v>2.7392556506184573</c:v>
                </c:pt>
                <c:pt idx="5">
                  <c:v>3.8684484665847858</c:v>
                </c:pt>
                <c:pt idx="6">
                  <c:v>5.2353288345664168</c:v>
                </c:pt>
                <c:pt idx="7">
                  <c:v>7.1564964266887188</c:v>
                </c:pt>
                <c:pt idx="8">
                  <c:v>9.2406079028457206</c:v>
                </c:pt>
                <c:pt idx="9">
                  <c:v>12.160435838511621</c:v>
                </c:pt>
                <c:pt idx="10">
                  <c:v>16.015616692935122</c:v>
                </c:pt>
                <c:pt idx="11">
                  <c:v>20.606200247296396</c:v>
                </c:pt>
                <c:pt idx="12">
                  <c:v>21.33768720516704</c:v>
                </c:pt>
                <c:pt idx="13">
                  <c:v>21.542921696982557</c:v>
                </c:pt>
                <c:pt idx="14">
                  <c:v>21.626156760624845</c:v>
                </c:pt>
                <c:pt idx="15">
                  <c:v>22.052826050712145</c:v>
                </c:pt>
                <c:pt idx="16">
                  <c:v>21.81307374050126</c:v>
                </c:pt>
                <c:pt idx="17">
                  <c:v>22.706300572832014</c:v>
                </c:pt>
                <c:pt idx="18">
                  <c:v>23.513520047833047</c:v>
                </c:pt>
                <c:pt idx="19">
                  <c:v>23.826677483370709</c:v>
                </c:pt>
                <c:pt idx="20">
                  <c:v>23.433584615950945</c:v>
                </c:pt>
                <c:pt idx="21">
                  <c:v>23.886260926305741</c:v>
                </c:pt>
                <c:pt idx="22">
                  <c:v>23.682340059047146</c:v>
                </c:pt>
                <c:pt idx="23">
                  <c:v>24.098094304540854</c:v>
                </c:pt>
                <c:pt idx="24">
                  <c:v>23.221529120988226</c:v>
                </c:pt>
                <c:pt idx="25">
                  <c:v>23.505728764244491</c:v>
                </c:pt>
                <c:pt idx="26">
                  <c:v>23.565836742334376</c:v>
                </c:pt>
                <c:pt idx="27">
                  <c:v>23.924657270888883</c:v>
                </c:pt>
                <c:pt idx="28">
                  <c:v>22.745457859527786</c:v>
                </c:pt>
                <c:pt idx="29">
                  <c:v>23.629412278515765</c:v>
                </c:pt>
                <c:pt idx="30">
                  <c:v>23.3672284479272</c:v>
                </c:pt>
                <c:pt idx="31">
                  <c:v>23.3469687399853</c:v>
                </c:pt>
                <c:pt idx="32">
                  <c:v>23.131898770126966</c:v>
                </c:pt>
                <c:pt idx="33">
                  <c:v>23.488875589825653</c:v>
                </c:pt>
                <c:pt idx="34">
                  <c:v>23.574592691783735</c:v>
                </c:pt>
                <c:pt idx="35">
                  <c:v>22.882265884515547</c:v>
                </c:pt>
                <c:pt idx="36">
                  <c:v>23.125540666877409</c:v>
                </c:pt>
                <c:pt idx="37">
                  <c:v>22.44040288169937</c:v>
                </c:pt>
                <c:pt idx="38">
                  <c:v>21.617772613532459</c:v>
                </c:pt>
                <c:pt idx="39">
                  <c:v>21.615150386117381</c:v>
                </c:pt>
                <c:pt idx="40">
                  <c:v>21.769316614687646</c:v>
                </c:pt>
                <c:pt idx="41">
                  <c:v>21.596161733108378</c:v>
                </c:pt>
                <c:pt idx="42">
                  <c:v>21.354523626139752</c:v>
                </c:pt>
                <c:pt idx="43">
                  <c:v>20.787700552936748</c:v>
                </c:pt>
                <c:pt idx="44">
                  <c:v>20.978251697150682</c:v>
                </c:pt>
                <c:pt idx="45">
                  <c:v>20.937968637544003</c:v>
                </c:pt>
                <c:pt idx="46">
                  <c:v>20.936325547188702</c:v>
                </c:pt>
                <c:pt idx="47">
                  <c:v>21.01842843999956</c:v>
                </c:pt>
                <c:pt idx="48">
                  <c:v>21.172406279057494</c:v>
                </c:pt>
                <c:pt idx="49">
                  <c:v>21.075802184575931</c:v>
                </c:pt>
                <c:pt idx="50">
                  <c:v>20.913019131282876</c:v>
                </c:pt>
                <c:pt idx="51">
                  <c:v>20.839992144868745</c:v>
                </c:pt>
                <c:pt idx="52">
                  <c:v>20.947746120034601</c:v>
                </c:pt>
                <c:pt idx="53">
                  <c:v>20.793076313531348</c:v>
                </c:pt>
                <c:pt idx="54">
                  <c:v>20.357823826655011</c:v>
                </c:pt>
                <c:pt idx="55">
                  <c:v>20.492031310977389</c:v>
                </c:pt>
                <c:pt idx="56">
                  <c:v>20.568781786562305</c:v>
                </c:pt>
                <c:pt idx="57">
                  <c:v>22.373370275890359</c:v>
                </c:pt>
                <c:pt idx="58">
                  <c:v>20.524203789679628</c:v>
                </c:pt>
                <c:pt idx="59">
                  <c:v>20.347267455451199</c:v>
                </c:pt>
                <c:pt idx="60">
                  <c:v>20.688475132316935</c:v>
                </c:pt>
                <c:pt idx="61">
                  <c:v>20.872446176052723</c:v>
                </c:pt>
                <c:pt idx="62">
                  <c:v>21.078660870437254</c:v>
                </c:pt>
                <c:pt idx="63">
                  <c:v>21.595970449931329</c:v>
                </c:pt>
                <c:pt idx="64">
                  <c:v>21.432249027523984</c:v>
                </c:pt>
                <c:pt idx="65">
                  <c:v>22.041472961040384</c:v>
                </c:pt>
                <c:pt idx="66">
                  <c:v>22.688120430800247</c:v>
                </c:pt>
                <c:pt idx="67">
                  <c:v>21.346132241354365</c:v>
                </c:pt>
                <c:pt idx="68">
                  <c:v>21.661881714674895</c:v>
                </c:pt>
                <c:pt idx="69">
                  <c:v>20.730603622275602</c:v>
                </c:pt>
                <c:pt idx="70">
                  <c:v>21.027658045514844</c:v>
                </c:pt>
                <c:pt idx="71">
                  <c:v>20.899706854779442</c:v>
                </c:pt>
                <c:pt idx="72">
                  <c:v>20.620835379526294</c:v>
                </c:pt>
                <c:pt idx="73">
                  <c:v>21.37400818520679</c:v>
                </c:pt>
                <c:pt idx="74">
                  <c:v>21.501779452238619</c:v>
                </c:pt>
                <c:pt idx="75">
                  <c:v>21.109610746734806</c:v>
                </c:pt>
                <c:pt idx="76">
                  <c:v>21.361004975662247</c:v>
                </c:pt>
                <c:pt idx="77">
                  <c:v>21.4762453627105</c:v>
                </c:pt>
                <c:pt idx="78">
                  <c:v>21.032794057556345</c:v>
                </c:pt>
                <c:pt idx="79">
                  <c:v>20.556937111353232</c:v>
                </c:pt>
                <c:pt idx="80">
                  <c:v>20.481688317800536</c:v>
                </c:pt>
                <c:pt idx="81">
                  <c:v>19.679709189840437</c:v>
                </c:pt>
                <c:pt idx="82">
                  <c:v>20.385956693422372</c:v>
                </c:pt>
                <c:pt idx="83">
                  <c:v>20.553753071668655</c:v>
                </c:pt>
                <c:pt idx="84">
                  <c:v>20.7926160798335</c:v>
                </c:pt>
                <c:pt idx="85">
                  <c:v>20.680322706373357</c:v>
                </c:pt>
                <c:pt idx="86">
                  <c:v>20.34119246874269</c:v>
                </c:pt>
                <c:pt idx="87">
                  <c:v>18.611360964772469</c:v>
                </c:pt>
                <c:pt idx="88">
                  <c:v>18.450265689817154</c:v>
                </c:pt>
                <c:pt idx="89">
                  <c:v>19.597223446622518</c:v>
                </c:pt>
                <c:pt idx="90">
                  <c:v>19.595251935488744</c:v>
                </c:pt>
                <c:pt idx="91">
                  <c:v>20.456594793945694</c:v>
                </c:pt>
                <c:pt idx="92">
                  <c:v>19.59661677042434</c:v>
                </c:pt>
                <c:pt idx="93">
                  <c:v>19.134458900989987</c:v>
                </c:pt>
                <c:pt idx="94">
                  <c:v>19.440071652401848</c:v>
                </c:pt>
                <c:pt idx="95">
                  <c:v>19.659182188620711</c:v>
                </c:pt>
                <c:pt idx="96">
                  <c:v>19.452032987304676</c:v>
                </c:pt>
                <c:pt idx="97">
                  <c:v>19.230530764678704</c:v>
                </c:pt>
                <c:pt idx="98">
                  <c:v>19.67113122857738</c:v>
                </c:pt>
                <c:pt idx="99">
                  <c:v>19.955811515860148</c:v>
                </c:pt>
                <c:pt idx="100">
                  <c:v>19.995798294450779</c:v>
                </c:pt>
                <c:pt idx="101">
                  <c:v>21.041784501006912</c:v>
                </c:pt>
                <c:pt idx="102">
                  <c:v>20.977310001755654</c:v>
                </c:pt>
                <c:pt idx="103">
                  <c:v>21.209045485797738</c:v>
                </c:pt>
                <c:pt idx="104">
                  <c:v>21.999472364578374</c:v>
                </c:pt>
                <c:pt idx="105">
                  <c:v>21.999806595190133</c:v>
                </c:pt>
                <c:pt idx="106">
                  <c:v>21.00931520808302</c:v>
                </c:pt>
                <c:pt idx="107">
                  <c:v>20.88801167039588</c:v>
                </c:pt>
                <c:pt idx="108">
                  <c:v>20.167852471856765</c:v>
                </c:pt>
                <c:pt idx="109">
                  <c:v>20.066508151526595</c:v>
                </c:pt>
                <c:pt idx="110">
                  <c:v>19.692210233046683</c:v>
                </c:pt>
                <c:pt idx="111">
                  <c:v>20.100545908345264</c:v>
                </c:pt>
                <c:pt idx="112">
                  <c:v>19.693881227509902</c:v>
                </c:pt>
                <c:pt idx="113">
                  <c:v>19.138863566785233</c:v>
                </c:pt>
                <c:pt idx="114">
                  <c:v>18.788819035150599</c:v>
                </c:pt>
                <c:pt idx="115">
                  <c:v>18.450380709890602</c:v>
                </c:pt>
                <c:pt idx="116">
                  <c:v>18.051490647886066</c:v>
                </c:pt>
                <c:pt idx="117">
                  <c:v>18.039089433117987</c:v>
                </c:pt>
                <c:pt idx="118">
                  <c:v>17.930088041227979</c:v>
                </c:pt>
                <c:pt idx="119">
                  <c:v>18.197295567116544</c:v>
                </c:pt>
                <c:pt idx="120">
                  <c:v>18.137823386814265</c:v>
                </c:pt>
                <c:pt idx="121">
                  <c:v>18.040448429252926</c:v>
                </c:pt>
                <c:pt idx="122">
                  <c:v>18.156601279005216</c:v>
                </c:pt>
                <c:pt idx="123">
                  <c:v>18.009929324394175</c:v>
                </c:pt>
                <c:pt idx="124">
                  <c:v>17.994149814432308</c:v>
                </c:pt>
                <c:pt idx="125">
                  <c:v>18.105329062696036</c:v>
                </c:pt>
                <c:pt idx="126">
                  <c:v>17.74455049930225</c:v>
                </c:pt>
                <c:pt idx="127">
                  <c:v>17.177689303585989</c:v>
                </c:pt>
                <c:pt idx="128">
                  <c:v>17.36413678579915</c:v>
                </c:pt>
                <c:pt idx="129">
                  <c:v>17.593628451613149</c:v>
                </c:pt>
                <c:pt idx="130">
                  <c:v>17.621268939424564</c:v>
                </c:pt>
                <c:pt idx="131">
                  <c:v>17.956646803173086</c:v>
                </c:pt>
                <c:pt idx="132">
                  <c:v>17.932174914959578</c:v>
                </c:pt>
                <c:pt idx="133">
                  <c:v>18.213111133940206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A0-7B4C-83A2-2D9A6A607B58}"/>
            </c:ext>
          </c:extLst>
        </c:ser>
        <c:ser>
          <c:idx val="1"/>
          <c:order val="1"/>
          <c:tx>
            <c:strRef>
              <c:f>XGBoost再投資累積報酬!$C$24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XGBoost再投資累積報酬!$D$24:$EG$24</c:f>
              <c:numCache>
                <c:formatCode>General</c:formatCode>
                <c:ptCount val="134"/>
                <c:pt idx="0">
                  <c:v>0.39331188340051321</c:v>
                </c:pt>
                <c:pt idx="1">
                  <c:v>0.94555788230504167</c:v>
                </c:pt>
                <c:pt idx="2">
                  <c:v>1.7321788081566547</c:v>
                </c:pt>
                <c:pt idx="3">
                  <c:v>2.9619839543824846</c:v>
                </c:pt>
                <c:pt idx="4">
                  <c:v>4.5228865738875115</c:v>
                </c:pt>
                <c:pt idx="5">
                  <c:v>6.689727165010785</c:v>
                </c:pt>
                <c:pt idx="6">
                  <c:v>9.5868880243469707</c:v>
                </c:pt>
                <c:pt idx="7">
                  <c:v>14.04408318730405</c:v>
                </c:pt>
                <c:pt idx="8">
                  <c:v>19.387525214802839</c:v>
                </c:pt>
                <c:pt idx="9">
                  <c:v>27.136627742155763</c:v>
                </c:pt>
                <c:pt idx="10">
                  <c:v>38.946014747521062</c:v>
                </c:pt>
                <c:pt idx="11">
                  <c:v>53.872854271702543</c:v>
                </c:pt>
                <c:pt idx="12">
                  <c:v>55.821695116187307</c:v>
                </c:pt>
                <c:pt idx="13">
                  <c:v>56.425642866708415</c:v>
                </c:pt>
                <c:pt idx="14">
                  <c:v>57.385397152452342</c:v>
                </c:pt>
                <c:pt idx="15">
                  <c:v>59.066053716076887</c:v>
                </c:pt>
                <c:pt idx="16">
                  <c:v>57.235068951642113</c:v>
                </c:pt>
                <c:pt idx="17">
                  <c:v>60.347892977129163</c:v>
                </c:pt>
                <c:pt idx="18">
                  <c:v>61.711557760682382</c:v>
                </c:pt>
                <c:pt idx="19">
                  <c:v>63.126844056066076</c:v>
                </c:pt>
                <c:pt idx="20">
                  <c:v>62.210727755229996</c:v>
                </c:pt>
                <c:pt idx="21">
                  <c:v>63.207506193636164</c:v>
                </c:pt>
                <c:pt idx="22">
                  <c:v>63.091184813590516</c:v>
                </c:pt>
                <c:pt idx="23">
                  <c:v>65.376718712703905</c:v>
                </c:pt>
                <c:pt idx="24">
                  <c:v>61.915926486517293</c:v>
                </c:pt>
                <c:pt idx="25">
                  <c:v>61.710970628630776</c:v>
                </c:pt>
                <c:pt idx="26">
                  <c:v>61.434925830445529</c:v>
                </c:pt>
                <c:pt idx="27">
                  <c:v>62.925311986142489</c:v>
                </c:pt>
                <c:pt idx="28">
                  <c:v>59.994537852885479</c:v>
                </c:pt>
                <c:pt idx="29">
                  <c:v>64.015130011648736</c:v>
                </c:pt>
                <c:pt idx="30">
                  <c:v>63.446821470466418</c:v>
                </c:pt>
                <c:pt idx="31">
                  <c:v>64.724122605483288</c:v>
                </c:pt>
                <c:pt idx="32">
                  <c:v>63.093840011412482</c:v>
                </c:pt>
                <c:pt idx="33">
                  <c:v>64.021457031036633</c:v>
                </c:pt>
                <c:pt idx="34">
                  <c:v>63.088887371154783</c:v>
                </c:pt>
                <c:pt idx="35">
                  <c:v>61.584641266004589</c:v>
                </c:pt>
                <c:pt idx="36">
                  <c:v>63.72904262230648</c:v>
                </c:pt>
                <c:pt idx="37">
                  <c:v>62.541957840713806</c:v>
                </c:pt>
                <c:pt idx="38">
                  <c:v>61.789764375145261</c:v>
                </c:pt>
                <c:pt idx="39">
                  <c:v>61.516637261094196</c:v>
                </c:pt>
                <c:pt idx="40">
                  <c:v>62.719238469540933</c:v>
                </c:pt>
                <c:pt idx="41">
                  <c:v>62.95448363274231</c:v>
                </c:pt>
                <c:pt idx="42">
                  <c:v>60.899104191328554</c:v>
                </c:pt>
                <c:pt idx="43">
                  <c:v>59.739883854715238</c:v>
                </c:pt>
                <c:pt idx="44">
                  <c:v>61.089566970091205</c:v>
                </c:pt>
                <c:pt idx="45">
                  <c:v>61.504936065775809</c:v>
                </c:pt>
                <c:pt idx="46">
                  <c:v>60.19770830958425</c:v>
                </c:pt>
                <c:pt idx="47">
                  <c:v>60.270560882444009</c:v>
                </c:pt>
                <c:pt idx="48">
                  <c:v>62.356240230951279</c:v>
                </c:pt>
                <c:pt idx="49">
                  <c:v>60.945017809301731</c:v>
                </c:pt>
                <c:pt idx="50">
                  <c:v>60.407306956171439</c:v>
                </c:pt>
                <c:pt idx="51">
                  <c:v>58.093328859636017</c:v>
                </c:pt>
                <c:pt idx="52">
                  <c:v>57.993696062668064</c:v>
                </c:pt>
                <c:pt idx="53">
                  <c:v>58.371089142610579</c:v>
                </c:pt>
                <c:pt idx="54">
                  <c:v>57.500319794377923</c:v>
                </c:pt>
                <c:pt idx="55">
                  <c:v>57.056235178390828</c:v>
                </c:pt>
                <c:pt idx="56">
                  <c:v>57.54324832643416</c:v>
                </c:pt>
                <c:pt idx="57">
                  <c:v>62.617766498550466</c:v>
                </c:pt>
                <c:pt idx="58">
                  <c:v>56.672557037702674</c:v>
                </c:pt>
                <c:pt idx="59">
                  <c:v>54.689587501802144</c:v>
                </c:pt>
                <c:pt idx="60">
                  <c:v>55.856408031344642</c:v>
                </c:pt>
                <c:pt idx="61">
                  <c:v>56.851305361712384</c:v>
                </c:pt>
                <c:pt idx="62">
                  <c:v>58.011785322256799</c:v>
                </c:pt>
                <c:pt idx="63">
                  <c:v>59.11052543850473</c:v>
                </c:pt>
                <c:pt idx="64">
                  <c:v>58.770272516389099</c:v>
                </c:pt>
                <c:pt idx="65">
                  <c:v>61.22257263961373</c:v>
                </c:pt>
                <c:pt idx="66">
                  <c:v>61.951085160404638</c:v>
                </c:pt>
                <c:pt idx="67">
                  <c:v>57.286730214164074</c:v>
                </c:pt>
                <c:pt idx="68">
                  <c:v>57.433491589367392</c:v>
                </c:pt>
                <c:pt idx="69">
                  <c:v>56.398326517819051</c:v>
                </c:pt>
                <c:pt idx="70">
                  <c:v>57.311368393573538</c:v>
                </c:pt>
                <c:pt idx="71">
                  <c:v>59.885372412036915</c:v>
                </c:pt>
                <c:pt idx="72">
                  <c:v>58.416474599580376</c:v>
                </c:pt>
                <c:pt idx="73">
                  <c:v>59.825121984960894</c:v>
                </c:pt>
                <c:pt idx="74">
                  <c:v>61.598417367212541</c:v>
                </c:pt>
                <c:pt idx="75">
                  <c:v>60.290645954458441</c:v>
                </c:pt>
                <c:pt idx="76">
                  <c:v>62.037046085102233</c:v>
                </c:pt>
                <c:pt idx="77">
                  <c:v>63.613293438698676</c:v>
                </c:pt>
                <c:pt idx="78">
                  <c:v>61.725770339928694</c:v>
                </c:pt>
                <c:pt idx="79">
                  <c:v>59.91289348064322</c:v>
                </c:pt>
                <c:pt idx="80">
                  <c:v>61.034066361328343</c:v>
                </c:pt>
                <c:pt idx="81">
                  <c:v>61.328089316845542</c:v>
                </c:pt>
                <c:pt idx="82">
                  <c:v>63.884808514035186</c:v>
                </c:pt>
                <c:pt idx="83">
                  <c:v>64.996855760719413</c:v>
                </c:pt>
                <c:pt idx="84">
                  <c:v>65.48567031965743</c:v>
                </c:pt>
                <c:pt idx="85">
                  <c:v>66.364104953773534</c:v>
                </c:pt>
                <c:pt idx="86">
                  <c:v>67.269799661030333</c:v>
                </c:pt>
                <c:pt idx="87">
                  <c:v>60.214684997200763</c:v>
                </c:pt>
                <c:pt idx="88">
                  <c:v>58.243069717624813</c:v>
                </c:pt>
                <c:pt idx="89">
                  <c:v>64.340393693236109</c:v>
                </c:pt>
                <c:pt idx="90">
                  <c:v>63.597467786287041</c:v>
                </c:pt>
                <c:pt idx="91">
                  <c:v>66.771026112190413</c:v>
                </c:pt>
                <c:pt idx="92">
                  <c:v>62.464674858484763</c:v>
                </c:pt>
                <c:pt idx="93">
                  <c:v>59.084319725437958</c:v>
                </c:pt>
                <c:pt idx="94">
                  <c:v>57.773249563018894</c:v>
                </c:pt>
                <c:pt idx="95">
                  <c:v>58.47120976116657</c:v>
                </c:pt>
                <c:pt idx="96">
                  <c:v>57.759096406390313</c:v>
                </c:pt>
                <c:pt idx="97">
                  <c:v>55.939044547529036</c:v>
                </c:pt>
                <c:pt idx="98">
                  <c:v>57.121956039979203</c:v>
                </c:pt>
                <c:pt idx="99">
                  <c:v>57.323851709441477</c:v>
                </c:pt>
                <c:pt idx="100">
                  <c:v>56.262059647857434</c:v>
                </c:pt>
                <c:pt idx="101">
                  <c:v>59.074930097945355</c:v>
                </c:pt>
                <c:pt idx="102">
                  <c:v>59.955912795115978</c:v>
                </c:pt>
                <c:pt idx="103">
                  <c:v>61.758342719381091</c:v>
                </c:pt>
                <c:pt idx="104">
                  <c:v>61.980852177146865</c:v>
                </c:pt>
                <c:pt idx="105">
                  <c:v>62.444186253545524</c:v>
                </c:pt>
                <c:pt idx="106">
                  <c:v>60.750983479237867</c:v>
                </c:pt>
                <c:pt idx="107">
                  <c:v>58.949780430390874</c:v>
                </c:pt>
                <c:pt idx="108">
                  <c:v>54.957279159359352</c:v>
                </c:pt>
                <c:pt idx="109">
                  <c:v>54.009319501187349</c:v>
                </c:pt>
                <c:pt idx="110">
                  <c:v>56.19098822191831</c:v>
                </c:pt>
                <c:pt idx="111">
                  <c:v>58.399208567721672</c:v>
                </c:pt>
                <c:pt idx="112">
                  <c:v>56.601053117779479</c:v>
                </c:pt>
                <c:pt idx="113">
                  <c:v>54.121091358853093</c:v>
                </c:pt>
                <c:pt idx="114">
                  <c:v>52.480075071223972</c:v>
                </c:pt>
                <c:pt idx="115">
                  <c:v>52.398423790167321</c:v>
                </c:pt>
                <c:pt idx="116">
                  <c:v>51.020986745299787</c:v>
                </c:pt>
                <c:pt idx="117">
                  <c:v>50.623676556248292</c:v>
                </c:pt>
                <c:pt idx="118">
                  <c:v>50.647391442823462</c:v>
                </c:pt>
                <c:pt idx="119">
                  <c:v>50.519943088236467</c:v>
                </c:pt>
                <c:pt idx="120">
                  <c:v>51.509508981834067</c:v>
                </c:pt>
                <c:pt idx="121">
                  <c:v>51.808311709712022</c:v>
                </c:pt>
                <c:pt idx="122">
                  <c:v>51.392660495367167</c:v>
                </c:pt>
                <c:pt idx="123">
                  <c:v>51.066288406236069</c:v>
                </c:pt>
                <c:pt idx="124">
                  <c:v>51.287422613129166</c:v>
                </c:pt>
                <c:pt idx="125">
                  <c:v>51.097525591578652</c:v>
                </c:pt>
                <c:pt idx="126">
                  <c:v>49.360831989557752</c:v>
                </c:pt>
                <c:pt idx="127">
                  <c:v>47.876839757944573</c:v>
                </c:pt>
                <c:pt idx="128">
                  <c:v>48.788546468134598</c:v>
                </c:pt>
                <c:pt idx="129">
                  <c:v>49.056075446420031</c:v>
                </c:pt>
                <c:pt idx="130">
                  <c:v>48.453409658707535</c:v>
                </c:pt>
                <c:pt idx="131">
                  <c:v>49.425941908199029</c:v>
                </c:pt>
                <c:pt idx="132">
                  <c:v>49.660332141914843</c:v>
                </c:pt>
                <c:pt idx="133">
                  <c:v>49.638911437986842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A0-7B4C-83A2-2D9A6A607B58}"/>
            </c:ext>
          </c:extLst>
        </c:ser>
        <c:ser>
          <c:idx val="2"/>
          <c:order val="2"/>
          <c:tx>
            <c:strRef>
              <c:f>XGBoost再投資累積報酬!$C$25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XGBoost再投資累積報酬!$D$25:$EG$25</c:f>
              <c:numCache>
                <c:formatCode>General</c:formatCode>
                <c:ptCount val="134"/>
                <c:pt idx="0">
                  <c:v>0.56869310141554197</c:v>
                </c:pt>
                <c:pt idx="1">
                  <c:v>1.4833153247607833</c:v>
                </c:pt>
                <c:pt idx="2">
                  <c:v>2.7467267370508579</c:v>
                </c:pt>
                <c:pt idx="3">
                  <c:v>5.3739566370048477</c:v>
                </c:pt>
                <c:pt idx="4">
                  <c:v>8.9921013595512775</c:v>
                </c:pt>
                <c:pt idx="5">
                  <c:v>14.123398073341559</c:v>
                </c:pt>
                <c:pt idx="6">
                  <c:v>22.057099061963189</c:v>
                </c:pt>
                <c:pt idx="7">
                  <c:v>35.304009207235246</c:v>
                </c:pt>
                <c:pt idx="8">
                  <c:v>54.673398415912388</c:v>
                </c:pt>
                <c:pt idx="9">
                  <c:v>83.837342477306692</c:v>
                </c:pt>
                <c:pt idx="10">
                  <c:v>140.01823402060199</c:v>
                </c:pt>
                <c:pt idx="11">
                  <c:v>214.71370697600676</c:v>
                </c:pt>
                <c:pt idx="12">
                  <c:v>229.4853898144965</c:v>
                </c:pt>
                <c:pt idx="13">
                  <c:v>234.03662208827254</c:v>
                </c:pt>
                <c:pt idx="14">
                  <c:v>239.85660728107078</c:v>
                </c:pt>
                <c:pt idx="15">
                  <c:v>232.84013040330004</c:v>
                </c:pt>
                <c:pt idx="16">
                  <c:v>212.92446934135771</c:v>
                </c:pt>
                <c:pt idx="17">
                  <c:v>215.77526998319894</c:v>
                </c:pt>
                <c:pt idx="18">
                  <c:v>221.72464328498643</c:v>
                </c:pt>
                <c:pt idx="19">
                  <c:v>217.03587572670276</c:v>
                </c:pt>
                <c:pt idx="20">
                  <c:v>213.98108006061597</c:v>
                </c:pt>
                <c:pt idx="21">
                  <c:v>212.51358331451337</c:v>
                </c:pt>
                <c:pt idx="22">
                  <c:v>208.76568123982875</c:v>
                </c:pt>
                <c:pt idx="23">
                  <c:v>225.0235634175379</c:v>
                </c:pt>
                <c:pt idx="24">
                  <c:v>203.95681346408369</c:v>
                </c:pt>
                <c:pt idx="25">
                  <c:v>197.49226061822972</c:v>
                </c:pt>
                <c:pt idx="26">
                  <c:v>200.25578760416485</c:v>
                </c:pt>
                <c:pt idx="27">
                  <c:v>204.12353934317579</c:v>
                </c:pt>
                <c:pt idx="28">
                  <c:v>194.73576416201635</c:v>
                </c:pt>
                <c:pt idx="29">
                  <c:v>215.74876855468563</c:v>
                </c:pt>
                <c:pt idx="30">
                  <c:v>214.84798844561533</c:v>
                </c:pt>
                <c:pt idx="31">
                  <c:v>214.64397120566099</c:v>
                </c:pt>
                <c:pt idx="32">
                  <c:v>200.4386575595083</c:v>
                </c:pt>
                <c:pt idx="33">
                  <c:v>203.41383024563771</c:v>
                </c:pt>
                <c:pt idx="34">
                  <c:v>193.51191109952097</c:v>
                </c:pt>
                <c:pt idx="35">
                  <c:v>189.05511539505289</c:v>
                </c:pt>
                <c:pt idx="36">
                  <c:v>198.05432612923659</c:v>
                </c:pt>
                <c:pt idx="37">
                  <c:v>197.52778447458934</c:v>
                </c:pt>
                <c:pt idx="38">
                  <c:v>190.48938641668354</c:v>
                </c:pt>
                <c:pt idx="39">
                  <c:v>184.525783448433</c:v>
                </c:pt>
                <c:pt idx="40">
                  <c:v>197.05967486739709</c:v>
                </c:pt>
                <c:pt idx="41">
                  <c:v>204.76929242788327</c:v>
                </c:pt>
                <c:pt idx="42">
                  <c:v>194.53527416506984</c:v>
                </c:pt>
                <c:pt idx="43">
                  <c:v>193.85463248001273</c:v>
                </c:pt>
                <c:pt idx="44">
                  <c:v>205.36765916753845</c:v>
                </c:pt>
                <c:pt idx="45">
                  <c:v>207.46958979610577</c:v>
                </c:pt>
                <c:pt idx="46">
                  <c:v>200.76142904015799</c:v>
                </c:pt>
                <c:pt idx="47">
                  <c:v>210.61238475250732</c:v>
                </c:pt>
                <c:pt idx="48">
                  <c:v>214.58862125443321</c:v>
                </c:pt>
                <c:pt idx="49">
                  <c:v>208.99224219421686</c:v>
                </c:pt>
                <c:pt idx="50">
                  <c:v>211.84299725017044</c:v>
                </c:pt>
                <c:pt idx="51">
                  <c:v>203.79389708461878</c:v>
                </c:pt>
                <c:pt idx="52">
                  <c:v>192.04380149076277</c:v>
                </c:pt>
                <c:pt idx="53">
                  <c:v>187.74686739114685</c:v>
                </c:pt>
                <c:pt idx="54">
                  <c:v>186.68553111584978</c:v>
                </c:pt>
                <c:pt idx="55">
                  <c:v>185.6503648542546</c:v>
                </c:pt>
                <c:pt idx="56">
                  <c:v>183.549715255591</c:v>
                </c:pt>
                <c:pt idx="57">
                  <c:v>200.80324948135501</c:v>
                </c:pt>
                <c:pt idx="58">
                  <c:v>193.89898245274705</c:v>
                </c:pt>
                <c:pt idx="59">
                  <c:v>196.11357080975009</c:v>
                </c:pt>
                <c:pt idx="60">
                  <c:v>202.96093542617203</c:v>
                </c:pt>
                <c:pt idx="61">
                  <c:v>210.92861705680789</c:v>
                </c:pt>
                <c:pt idx="62">
                  <c:v>221.5784318095981</c:v>
                </c:pt>
                <c:pt idx="63">
                  <c:v>226.50429655024288</c:v>
                </c:pt>
                <c:pt idx="64">
                  <c:v>220.26495724982465</c:v>
                </c:pt>
                <c:pt idx="65">
                  <c:v>242.04140265763198</c:v>
                </c:pt>
                <c:pt idx="66">
                  <c:v>245.34152189090329</c:v>
                </c:pt>
                <c:pt idx="67">
                  <c:v>217.61589568963223</c:v>
                </c:pt>
                <c:pt idx="68">
                  <c:v>217.85427433604255</c:v>
                </c:pt>
                <c:pt idx="69">
                  <c:v>231.2768150911206</c:v>
                </c:pt>
                <c:pt idx="70">
                  <c:v>232.05898125000397</c:v>
                </c:pt>
                <c:pt idx="71">
                  <c:v>248.91715672159313</c:v>
                </c:pt>
                <c:pt idx="72">
                  <c:v>236.30196599234662</c:v>
                </c:pt>
                <c:pt idx="73">
                  <c:v>235.69874718829806</c:v>
                </c:pt>
                <c:pt idx="74">
                  <c:v>233.88632912593411</c:v>
                </c:pt>
                <c:pt idx="75">
                  <c:v>235.48730562203701</c:v>
                </c:pt>
                <c:pt idx="76">
                  <c:v>240.61025250175143</c:v>
                </c:pt>
                <c:pt idx="77">
                  <c:v>250.14246135160255</c:v>
                </c:pt>
                <c:pt idx="78">
                  <c:v>252.4192891803167</c:v>
                </c:pt>
                <c:pt idx="79">
                  <c:v>260.37203694449613</c:v>
                </c:pt>
                <c:pt idx="80">
                  <c:v>271.04600722589845</c:v>
                </c:pt>
                <c:pt idx="81">
                  <c:v>278.99041925845199</c:v>
                </c:pt>
                <c:pt idx="82">
                  <c:v>279.19647384792046</c:v>
                </c:pt>
                <c:pt idx="83">
                  <c:v>278.42568497966823</c:v>
                </c:pt>
                <c:pt idx="84">
                  <c:v>289.49674608213581</c:v>
                </c:pt>
                <c:pt idx="85">
                  <c:v>296.89662168349849</c:v>
                </c:pt>
                <c:pt idx="86">
                  <c:v>295.61409775361898</c:v>
                </c:pt>
                <c:pt idx="87">
                  <c:v>267.66425338313849</c:v>
                </c:pt>
                <c:pt idx="88">
                  <c:v>255.38096485579405</c:v>
                </c:pt>
                <c:pt idx="89">
                  <c:v>276.92204088853663</c:v>
                </c:pt>
                <c:pt idx="90">
                  <c:v>274.39859217039515</c:v>
                </c:pt>
                <c:pt idx="91">
                  <c:v>293.69190787871111</c:v>
                </c:pt>
                <c:pt idx="92">
                  <c:v>269.54787085191771</c:v>
                </c:pt>
                <c:pt idx="93">
                  <c:v>233.54939719723325</c:v>
                </c:pt>
                <c:pt idx="94">
                  <c:v>222.23431378834758</c:v>
                </c:pt>
                <c:pt idx="95">
                  <c:v>228.90887173811626</c:v>
                </c:pt>
                <c:pt idx="96">
                  <c:v>204.54215519322457</c:v>
                </c:pt>
                <c:pt idx="97">
                  <c:v>200.63034100568871</c:v>
                </c:pt>
                <c:pt idx="98">
                  <c:v>208.55159105366349</c:v>
                </c:pt>
                <c:pt idx="99">
                  <c:v>217.95427922237377</c:v>
                </c:pt>
                <c:pt idx="100">
                  <c:v>212.1641339116274</c:v>
                </c:pt>
                <c:pt idx="101">
                  <c:v>219.29298869064522</c:v>
                </c:pt>
                <c:pt idx="102">
                  <c:v>229.08656632466105</c:v>
                </c:pt>
                <c:pt idx="103">
                  <c:v>259.79677222420588</c:v>
                </c:pt>
                <c:pt idx="104">
                  <c:v>232.09791653738117</c:v>
                </c:pt>
                <c:pt idx="105">
                  <c:v>231.52536760305819</c:v>
                </c:pt>
                <c:pt idx="106">
                  <c:v>235.21501259916678</c:v>
                </c:pt>
                <c:pt idx="107">
                  <c:v>224.3578466618379</c:v>
                </c:pt>
                <c:pt idx="108">
                  <c:v>209.33803971935086</c:v>
                </c:pt>
                <c:pt idx="109">
                  <c:v>209.54977540759839</c:v>
                </c:pt>
                <c:pt idx="110">
                  <c:v>213.26334869393838</c:v>
                </c:pt>
                <c:pt idx="111">
                  <c:v>237.14912795970096</c:v>
                </c:pt>
                <c:pt idx="112">
                  <c:v>223.18326847365589</c:v>
                </c:pt>
                <c:pt idx="113">
                  <c:v>211.00812797015107</c:v>
                </c:pt>
                <c:pt idx="114">
                  <c:v>188.58405814631058</c:v>
                </c:pt>
                <c:pt idx="115">
                  <c:v>191.79659514803427</c:v>
                </c:pt>
                <c:pt idx="116">
                  <c:v>181.61777486080797</c:v>
                </c:pt>
                <c:pt idx="117">
                  <c:v>180.39889757144675</c:v>
                </c:pt>
                <c:pt idx="118">
                  <c:v>176.39161375929055</c:v>
                </c:pt>
                <c:pt idx="119">
                  <c:v>178.2051962903837</c:v>
                </c:pt>
                <c:pt idx="120">
                  <c:v>185.19468111569756</c:v>
                </c:pt>
                <c:pt idx="121">
                  <c:v>190.04462544910419</c:v>
                </c:pt>
                <c:pt idx="122">
                  <c:v>191.68368526523497</c:v>
                </c:pt>
                <c:pt idx="123">
                  <c:v>185.52534076640535</c:v>
                </c:pt>
                <c:pt idx="124">
                  <c:v>189.28579240809955</c:v>
                </c:pt>
                <c:pt idx="125">
                  <c:v>178.64123726297194</c:v>
                </c:pt>
                <c:pt idx="126">
                  <c:v>170.59976942482589</c:v>
                </c:pt>
                <c:pt idx="127">
                  <c:v>166.52762101857527</c:v>
                </c:pt>
                <c:pt idx="128">
                  <c:v>171.52743407810465</c:v>
                </c:pt>
                <c:pt idx="129">
                  <c:v>167.71101680144815</c:v>
                </c:pt>
                <c:pt idx="130">
                  <c:v>166.20961744705542</c:v>
                </c:pt>
                <c:pt idx="131">
                  <c:v>167.37109621733595</c:v>
                </c:pt>
                <c:pt idx="132">
                  <c:v>164.54503363793762</c:v>
                </c:pt>
                <c:pt idx="133">
                  <c:v>167.70780571997011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A0-7B4C-83A2-2D9A6A607B58}"/>
            </c:ext>
          </c:extLst>
        </c:ser>
        <c:ser>
          <c:idx val="3"/>
          <c:order val="3"/>
          <c:tx>
            <c:strRef>
              <c:f>XGBoost再投資累積報酬!$C$26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XGBoost再投資累積報酬!$D$26:$EG$26</c:f>
              <c:numCache>
                <c:formatCode>General</c:formatCode>
                <c:ptCount val="134"/>
                <c:pt idx="0">
                  <c:v>0.70578592605259094</c:v>
                </c:pt>
                <c:pt idx="1">
                  <c:v>1.9306433022499072</c:v>
                </c:pt>
                <c:pt idx="2">
                  <c:v>3.6591218833806662</c:v>
                </c:pt>
                <c:pt idx="3">
                  <c:v>7.9341868475675028</c:v>
                </c:pt>
                <c:pt idx="4">
                  <c:v>14.052263887222734</c:v>
                </c:pt>
                <c:pt idx="5">
                  <c:v>22.957552752258163</c:v>
                </c:pt>
                <c:pt idx="6">
                  <c:v>36.454001802129689</c:v>
                </c:pt>
                <c:pt idx="7">
                  <c:v>62.738177635759008</c:v>
                </c:pt>
                <c:pt idx="8">
                  <c:v>106.99999975647333</c:v>
                </c:pt>
                <c:pt idx="9">
                  <c:v>176.28412122545492</c:v>
                </c:pt>
                <c:pt idx="10">
                  <c:v>336.85647015767</c:v>
                </c:pt>
                <c:pt idx="11">
                  <c:v>570.15654271453616</c:v>
                </c:pt>
                <c:pt idx="12">
                  <c:v>632.72374239991984</c:v>
                </c:pt>
                <c:pt idx="13">
                  <c:v>641.89253667724756</c:v>
                </c:pt>
                <c:pt idx="14">
                  <c:v>597.06024985953798</c:v>
                </c:pt>
                <c:pt idx="15">
                  <c:v>572.56605016485287</c:v>
                </c:pt>
                <c:pt idx="16">
                  <c:v>530.53165284268732</c:v>
                </c:pt>
                <c:pt idx="17">
                  <c:v>508.96168999841865</c:v>
                </c:pt>
                <c:pt idx="18">
                  <c:v>533.0092275511962</c:v>
                </c:pt>
                <c:pt idx="19">
                  <c:v>532.53530972262672</c:v>
                </c:pt>
                <c:pt idx="20">
                  <c:v>514.82288870993352</c:v>
                </c:pt>
                <c:pt idx="21">
                  <c:v>525.69755754532116</c:v>
                </c:pt>
                <c:pt idx="22">
                  <c:v>519.01804926283864</c:v>
                </c:pt>
                <c:pt idx="23">
                  <c:v>556.9492118306473</c:v>
                </c:pt>
                <c:pt idx="24">
                  <c:v>465.787051189723</c:v>
                </c:pt>
                <c:pt idx="25">
                  <c:v>454.01628202300327</c:v>
                </c:pt>
                <c:pt idx="26">
                  <c:v>464.98159639692807</c:v>
                </c:pt>
                <c:pt idx="27">
                  <c:v>482.59821941852954</c:v>
                </c:pt>
                <c:pt idx="28">
                  <c:v>467.55120931546992</c:v>
                </c:pt>
                <c:pt idx="29">
                  <c:v>548.74990987755075</c:v>
                </c:pt>
                <c:pt idx="30">
                  <c:v>538.76510620395959</c:v>
                </c:pt>
                <c:pt idx="31">
                  <c:v>528.22435010139054</c:v>
                </c:pt>
                <c:pt idx="32">
                  <c:v>502.85988546514022</c:v>
                </c:pt>
                <c:pt idx="33">
                  <c:v>487.74376724553639</c:v>
                </c:pt>
                <c:pt idx="34">
                  <c:v>445.88108264168903</c:v>
                </c:pt>
                <c:pt idx="35">
                  <c:v>418.52165313623954</c:v>
                </c:pt>
                <c:pt idx="36">
                  <c:v>485.06228601205464</c:v>
                </c:pt>
                <c:pt idx="37">
                  <c:v>498.5154632547999</c:v>
                </c:pt>
                <c:pt idx="38">
                  <c:v>488.1060093045453</c:v>
                </c:pt>
                <c:pt idx="39">
                  <c:v>450.35906523719007</c:v>
                </c:pt>
                <c:pt idx="40">
                  <c:v>503.02511483129985</c:v>
                </c:pt>
                <c:pt idx="41">
                  <c:v>518.02156234213396</c:v>
                </c:pt>
                <c:pt idx="42">
                  <c:v>493.36483663652365</c:v>
                </c:pt>
                <c:pt idx="43">
                  <c:v>487.46762256219108</c:v>
                </c:pt>
                <c:pt idx="44">
                  <c:v>481.4555253939443</c:v>
                </c:pt>
                <c:pt idx="45">
                  <c:v>496.39524331412434</c:v>
                </c:pt>
                <c:pt idx="46">
                  <c:v>455.99954272286868</c:v>
                </c:pt>
                <c:pt idx="47">
                  <c:v>460.60347587078269</c:v>
                </c:pt>
                <c:pt idx="48">
                  <c:v>481.86490721161539</c:v>
                </c:pt>
                <c:pt idx="49">
                  <c:v>484.87198690957683</c:v>
                </c:pt>
                <c:pt idx="50">
                  <c:v>513.52334994463752</c:v>
                </c:pt>
                <c:pt idx="51">
                  <c:v>483.09902489697583</c:v>
                </c:pt>
                <c:pt idx="52">
                  <c:v>474.60572287012548</c:v>
                </c:pt>
                <c:pt idx="53">
                  <c:v>438.08171173820779</c:v>
                </c:pt>
                <c:pt idx="54">
                  <c:v>426.37874842517931</c:v>
                </c:pt>
                <c:pt idx="55">
                  <c:v>442.45110677088627</c:v>
                </c:pt>
                <c:pt idx="56">
                  <c:v>463.13597199124575</c:v>
                </c:pt>
                <c:pt idx="57">
                  <c:v>538.82776119597645</c:v>
                </c:pt>
                <c:pt idx="58">
                  <c:v>516.67453719605442</c:v>
                </c:pt>
                <c:pt idx="59">
                  <c:v>545.21873912348588</c:v>
                </c:pt>
                <c:pt idx="60">
                  <c:v>567.52068923148556</c:v>
                </c:pt>
                <c:pt idx="61">
                  <c:v>615.4373789614823</c:v>
                </c:pt>
                <c:pt idx="62">
                  <c:v>631.01179929969771</c:v>
                </c:pt>
                <c:pt idx="63">
                  <c:v>639.46847375814889</c:v>
                </c:pt>
                <c:pt idx="64">
                  <c:v>629.95245561970466</c:v>
                </c:pt>
                <c:pt idx="65">
                  <c:v>679.95801187996096</c:v>
                </c:pt>
                <c:pt idx="66">
                  <c:v>682.73099207806854</c:v>
                </c:pt>
                <c:pt idx="67">
                  <c:v>607.74737676369989</c:v>
                </c:pt>
                <c:pt idx="68">
                  <c:v>603.94268415448573</c:v>
                </c:pt>
                <c:pt idx="69">
                  <c:v>636.87633428851541</c:v>
                </c:pt>
                <c:pt idx="70">
                  <c:v>634.021790427734</c:v>
                </c:pt>
                <c:pt idx="71">
                  <c:v>692.95705885960683</c:v>
                </c:pt>
                <c:pt idx="72">
                  <c:v>591.39992866908312</c:v>
                </c:pt>
                <c:pt idx="73">
                  <c:v>596.92582756614877</c:v>
                </c:pt>
                <c:pt idx="74">
                  <c:v>574.14798312227492</c:v>
                </c:pt>
                <c:pt idx="75">
                  <c:v>591.91150500804554</c:v>
                </c:pt>
                <c:pt idx="76">
                  <c:v>581.2333676890122</c:v>
                </c:pt>
                <c:pt idx="77">
                  <c:v>627.49387289566505</c:v>
                </c:pt>
                <c:pt idx="78">
                  <c:v>662.5456650426263</c:v>
                </c:pt>
                <c:pt idx="79">
                  <c:v>667.820396382426</c:v>
                </c:pt>
                <c:pt idx="80">
                  <c:v>703.28440018809556</c:v>
                </c:pt>
                <c:pt idx="81">
                  <c:v>705.28149826873187</c:v>
                </c:pt>
                <c:pt idx="82">
                  <c:v>709.77760345686988</c:v>
                </c:pt>
                <c:pt idx="83">
                  <c:v>716.99750406838689</c:v>
                </c:pt>
                <c:pt idx="84">
                  <c:v>754.35123783383597</c:v>
                </c:pt>
                <c:pt idx="85">
                  <c:v>770.34988730298437</c:v>
                </c:pt>
                <c:pt idx="86">
                  <c:v>716.68769170831092</c:v>
                </c:pt>
                <c:pt idx="87">
                  <c:v>691.42215924597087</c:v>
                </c:pt>
                <c:pt idx="88">
                  <c:v>734.8379616381186</c:v>
                </c:pt>
                <c:pt idx="89">
                  <c:v>813.72295747517546</c:v>
                </c:pt>
                <c:pt idx="90">
                  <c:v>844.11640758617773</c:v>
                </c:pt>
                <c:pt idx="91">
                  <c:v>973.81866659382797</c:v>
                </c:pt>
                <c:pt idx="92">
                  <c:v>850.23404567046862</c:v>
                </c:pt>
                <c:pt idx="93">
                  <c:v>598.16432298506049</c:v>
                </c:pt>
                <c:pt idx="94">
                  <c:v>581.65922304345281</c:v>
                </c:pt>
                <c:pt idx="95">
                  <c:v>580.80439958042064</c:v>
                </c:pt>
                <c:pt idx="96">
                  <c:v>537.93742797970617</c:v>
                </c:pt>
                <c:pt idx="97">
                  <c:v>518.22467000777954</c:v>
                </c:pt>
                <c:pt idx="98">
                  <c:v>551.39737927177782</c:v>
                </c:pt>
                <c:pt idx="99">
                  <c:v>567.79101234056645</c:v>
                </c:pt>
                <c:pt idx="100">
                  <c:v>554.74857356730013</c:v>
                </c:pt>
                <c:pt idx="101">
                  <c:v>570.8162388665553</c:v>
                </c:pt>
                <c:pt idx="102">
                  <c:v>583.81394708654011</c:v>
                </c:pt>
                <c:pt idx="103">
                  <c:v>651.88010471154473</c:v>
                </c:pt>
                <c:pt idx="104">
                  <c:v>577.21546663748961</c:v>
                </c:pt>
                <c:pt idx="105">
                  <c:v>571.07656974168401</c:v>
                </c:pt>
                <c:pt idx="106">
                  <c:v>582.20667489490484</c:v>
                </c:pt>
                <c:pt idx="107">
                  <c:v>564.29777611619011</c:v>
                </c:pt>
                <c:pt idx="108">
                  <c:v>536.70433906515666</c:v>
                </c:pt>
                <c:pt idx="109">
                  <c:v>522.61463943453089</c:v>
                </c:pt>
                <c:pt idx="110">
                  <c:v>577.39216771000781</c:v>
                </c:pt>
                <c:pt idx="111">
                  <c:v>642.37784853766607</c:v>
                </c:pt>
                <c:pt idx="112">
                  <c:v>578.98133135758712</c:v>
                </c:pt>
                <c:pt idx="113">
                  <c:v>546.86820545268108</c:v>
                </c:pt>
                <c:pt idx="114">
                  <c:v>497.48675268260064</c:v>
                </c:pt>
                <c:pt idx="115">
                  <c:v>495.57135187069406</c:v>
                </c:pt>
                <c:pt idx="116">
                  <c:v>470.82766417340281</c:v>
                </c:pt>
                <c:pt idx="117">
                  <c:v>459.89278728084366</c:v>
                </c:pt>
                <c:pt idx="118">
                  <c:v>429.16744695319562</c:v>
                </c:pt>
                <c:pt idx="119">
                  <c:v>426.12381733317483</c:v>
                </c:pt>
                <c:pt idx="120">
                  <c:v>454.89531001508652</c:v>
                </c:pt>
                <c:pt idx="121">
                  <c:v>464.10008737824757</c:v>
                </c:pt>
                <c:pt idx="122">
                  <c:v>467.7672827687901</c:v>
                </c:pt>
                <c:pt idx="123">
                  <c:v>464.17746252679689</c:v>
                </c:pt>
                <c:pt idx="124">
                  <c:v>500.04806661131761</c:v>
                </c:pt>
                <c:pt idx="125">
                  <c:v>473.41546514113986</c:v>
                </c:pt>
                <c:pt idx="126">
                  <c:v>471.74986714526273</c:v>
                </c:pt>
                <c:pt idx="127">
                  <c:v>475.86420352875206</c:v>
                </c:pt>
                <c:pt idx="128">
                  <c:v>485.0159345680359</c:v>
                </c:pt>
                <c:pt idx="129">
                  <c:v>499.70016438029626</c:v>
                </c:pt>
                <c:pt idx="130">
                  <c:v>477.4597097219177</c:v>
                </c:pt>
                <c:pt idx="131">
                  <c:v>482.8827392141701</c:v>
                </c:pt>
                <c:pt idx="132">
                  <c:v>467.97830648473132</c:v>
                </c:pt>
                <c:pt idx="133">
                  <c:v>477.47722542423105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A0-7B4C-83A2-2D9A6A607B58}"/>
            </c:ext>
          </c:extLst>
        </c:ser>
        <c:ser>
          <c:idx val="4"/>
          <c:order val="4"/>
          <c:tx>
            <c:strRef>
              <c:f>XGBoost再投資累積報酬!$C$27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XGBoost再投資累積報酬!$D$27:$EG$27</c:f>
              <c:numCache>
                <c:formatCode>General</c:formatCode>
                <c:ptCount val="134"/>
                <c:pt idx="0">
                  <c:v>0.89798478135778881</c:v>
                </c:pt>
                <c:pt idx="1">
                  <c:v>2.6924052967627361</c:v>
                </c:pt>
                <c:pt idx="2">
                  <c:v>5.4021504441162689</c:v>
                </c:pt>
                <c:pt idx="3">
                  <c:v>13.067712669677027</c:v>
                </c:pt>
                <c:pt idx="4">
                  <c:v>23.841198680614941</c:v>
                </c:pt>
                <c:pt idx="5">
                  <c:v>41.136687891357802</c:v>
                </c:pt>
                <c:pt idx="6">
                  <c:v>69.58132151065918</c:v>
                </c:pt>
                <c:pt idx="7">
                  <c:v>128.75577841952907</c:v>
                </c:pt>
                <c:pt idx="8">
                  <c:v>248.04468586018268</c:v>
                </c:pt>
                <c:pt idx="9">
                  <c:v>448.0169642737431</c:v>
                </c:pt>
                <c:pt idx="10">
                  <c:v>972.76676996806361</c:v>
                </c:pt>
                <c:pt idx="11">
                  <c:v>1844.5483738184164</c:v>
                </c:pt>
                <c:pt idx="12">
                  <c:v>2061.4570178372633</c:v>
                </c:pt>
                <c:pt idx="13">
                  <c:v>2107.5175093340563</c:v>
                </c:pt>
                <c:pt idx="14">
                  <c:v>1866.0254272177294</c:v>
                </c:pt>
                <c:pt idx="15">
                  <c:v>1758.6144364851873</c:v>
                </c:pt>
                <c:pt idx="16">
                  <c:v>1263.0499225530305</c:v>
                </c:pt>
                <c:pt idx="17">
                  <c:v>1306.5064619180848</c:v>
                </c:pt>
                <c:pt idx="18">
                  <c:v>1333.7557020901015</c:v>
                </c:pt>
                <c:pt idx="19">
                  <c:v>1410.5498191586407</c:v>
                </c:pt>
                <c:pt idx="20">
                  <c:v>1462.1735404395863</c:v>
                </c:pt>
                <c:pt idx="21">
                  <c:v>1587.2567664503733</c:v>
                </c:pt>
                <c:pt idx="22">
                  <c:v>1594.7901011820709</c:v>
                </c:pt>
                <c:pt idx="23">
                  <c:v>1712.9219235066544</c:v>
                </c:pt>
                <c:pt idx="24">
                  <c:v>1500.5567452176149</c:v>
                </c:pt>
                <c:pt idx="25">
                  <c:v>1455.7524926803264</c:v>
                </c:pt>
                <c:pt idx="26">
                  <c:v>1480.8402816003327</c:v>
                </c:pt>
                <c:pt idx="27">
                  <c:v>1605.5403085128085</c:v>
                </c:pt>
                <c:pt idx="28">
                  <c:v>1498.516069219819</c:v>
                </c:pt>
                <c:pt idx="29">
                  <c:v>1818.0135401008786</c:v>
                </c:pt>
                <c:pt idx="30">
                  <c:v>1753.3811936091545</c:v>
                </c:pt>
                <c:pt idx="31">
                  <c:v>1703.9949344285569</c:v>
                </c:pt>
                <c:pt idx="32">
                  <c:v>1631.8409147640566</c:v>
                </c:pt>
                <c:pt idx="33">
                  <c:v>1550.1430717762885</c:v>
                </c:pt>
                <c:pt idx="34">
                  <c:v>1465.7861062390054</c:v>
                </c:pt>
                <c:pt idx="35">
                  <c:v>1327.0634401332613</c:v>
                </c:pt>
                <c:pt idx="36">
                  <c:v>1593.6098815349158</c:v>
                </c:pt>
                <c:pt idx="37">
                  <c:v>1549.074783053039</c:v>
                </c:pt>
                <c:pt idx="38">
                  <c:v>1309.4469830833909</c:v>
                </c:pt>
                <c:pt idx="39">
                  <c:v>1177.9544880011067</c:v>
                </c:pt>
                <c:pt idx="40">
                  <c:v>1464.5620069471279</c:v>
                </c:pt>
                <c:pt idx="41">
                  <c:v>1476.1448620430415</c:v>
                </c:pt>
                <c:pt idx="42">
                  <c:v>1433.3503788698249</c:v>
                </c:pt>
                <c:pt idx="43">
                  <c:v>1447.5988323820504</c:v>
                </c:pt>
                <c:pt idx="44">
                  <c:v>1468.472671235161</c:v>
                </c:pt>
                <c:pt idx="45">
                  <c:v>1460.8886220905513</c:v>
                </c:pt>
                <c:pt idx="46">
                  <c:v>1353.5695544528458</c:v>
                </c:pt>
                <c:pt idx="47">
                  <c:v>1309.3101040444135</c:v>
                </c:pt>
                <c:pt idx="48">
                  <c:v>1324.4112958337178</c:v>
                </c:pt>
                <c:pt idx="49">
                  <c:v>1304.588870385687</c:v>
                </c:pt>
                <c:pt idx="50">
                  <c:v>1293.9787231223099</c:v>
                </c:pt>
                <c:pt idx="51">
                  <c:v>1102.0840801763861</c:v>
                </c:pt>
                <c:pt idx="52">
                  <c:v>1084.010972124237</c:v>
                </c:pt>
                <c:pt idx="53">
                  <c:v>1136.2365511400319</c:v>
                </c:pt>
                <c:pt idx="54">
                  <c:v>1120.1886557395389</c:v>
                </c:pt>
                <c:pt idx="55">
                  <c:v>1206.1882296416354</c:v>
                </c:pt>
                <c:pt idx="56">
                  <c:v>1348.3925969450156</c:v>
                </c:pt>
                <c:pt idx="57">
                  <c:v>1486.4159642174366</c:v>
                </c:pt>
                <c:pt idx="58">
                  <c:v>1398.123226301977</c:v>
                </c:pt>
                <c:pt idx="59">
                  <c:v>1538.8721899248269</c:v>
                </c:pt>
                <c:pt idx="60">
                  <c:v>1648.7028711759597</c:v>
                </c:pt>
                <c:pt idx="61">
                  <c:v>1826.2195046289862</c:v>
                </c:pt>
                <c:pt idx="62">
                  <c:v>1910.6353743308207</c:v>
                </c:pt>
                <c:pt idx="63">
                  <c:v>1998.9009881184545</c:v>
                </c:pt>
                <c:pt idx="64">
                  <c:v>1912.1689437598254</c:v>
                </c:pt>
                <c:pt idx="65">
                  <c:v>2257.1419148436389</c:v>
                </c:pt>
                <c:pt idx="66">
                  <c:v>2222.7941223555949</c:v>
                </c:pt>
                <c:pt idx="67">
                  <c:v>1864.540424312944</c:v>
                </c:pt>
                <c:pt idx="68">
                  <c:v>1727.6301103069275</c:v>
                </c:pt>
                <c:pt idx="69">
                  <c:v>1942.3942724808967</c:v>
                </c:pt>
                <c:pt idx="70">
                  <c:v>1893.6228024066686</c:v>
                </c:pt>
                <c:pt idx="71">
                  <c:v>2095.2951547071661</c:v>
                </c:pt>
                <c:pt idx="72">
                  <c:v>1781.5665368378475</c:v>
                </c:pt>
                <c:pt idx="73">
                  <c:v>1814.1373456834349</c:v>
                </c:pt>
                <c:pt idx="74">
                  <c:v>1747.7519018207317</c:v>
                </c:pt>
                <c:pt idx="75">
                  <c:v>1786.125668861346</c:v>
                </c:pt>
                <c:pt idx="76">
                  <c:v>1686.5822207220206</c:v>
                </c:pt>
                <c:pt idx="77">
                  <c:v>1669.7596223459984</c:v>
                </c:pt>
                <c:pt idx="78">
                  <c:v>1871.446779060434</c:v>
                </c:pt>
                <c:pt idx="79">
                  <c:v>1749.0983511058034</c:v>
                </c:pt>
                <c:pt idx="80">
                  <c:v>1747.7746327695027</c:v>
                </c:pt>
                <c:pt idx="81">
                  <c:v>1783.9424639300228</c:v>
                </c:pt>
                <c:pt idx="82">
                  <c:v>1750.1578586736753</c:v>
                </c:pt>
                <c:pt idx="83">
                  <c:v>1790.5388788345047</c:v>
                </c:pt>
                <c:pt idx="84">
                  <c:v>1910.0938401637386</c:v>
                </c:pt>
                <c:pt idx="85">
                  <c:v>1888.5171542457842</c:v>
                </c:pt>
                <c:pt idx="86">
                  <c:v>1776.6548660333181</c:v>
                </c:pt>
                <c:pt idx="87">
                  <c:v>1478.3903332926218</c:v>
                </c:pt>
                <c:pt idx="88">
                  <c:v>1567.7850255764697</c:v>
                </c:pt>
                <c:pt idx="89">
                  <c:v>1827.0498084351807</c:v>
                </c:pt>
                <c:pt idx="90">
                  <c:v>2119.5586034194321</c:v>
                </c:pt>
                <c:pt idx="91">
                  <c:v>2556.7510482370085</c:v>
                </c:pt>
                <c:pt idx="92">
                  <c:v>1792.4194558866006</c:v>
                </c:pt>
                <c:pt idx="93">
                  <c:v>1451.5283098805153</c:v>
                </c:pt>
                <c:pt idx="94">
                  <c:v>1541.8133202393963</c:v>
                </c:pt>
                <c:pt idx="95">
                  <c:v>1260.3375527079907</c:v>
                </c:pt>
                <c:pt idx="96">
                  <c:v>1185.0744443010885</c:v>
                </c:pt>
                <c:pt idx="97">
                  <c:v>1083.6150653995867</c:v>
                </c:pt>
                <c:pt idx="98">
                  <c:v>1076.2446129990255</c:v>
                </c:pt>
                <c:pt idx="99">
                  <c:v>1086.7962913378988</c:v>
                </c:pt>
                <c:pt idx="100">
                  <c:v>968.17340471549437</c:v>
                </c:pt>
                <c:pt idx="101">
                  <c:v>1074.2816472789145</c:v>
                </c:pt>
                <c:pt idx="102">
                  <c:v>1015.9172621000438</c:v>
                </c:pt>
                <c:pt idx="103">
                  <c:v>1054.5331633122601</c:v>
                </c:pt>
                <c:pt idx="104">
                  <c:v>948.13767597675781</c:v>
                </c:pt>
                <c:pt idx="105">
                  <c:v>957.65805316111948</c:v>
                </c:pt>
                <c:pt idx="106">
                  <c:v>1014.701553405614</c:v>
                </c:pt>
                <c:pt idx="107">
                  <c:v>963.93739559738572</c:v>
                </c:pt>
                <c:pt idx="108">
                  <c:v>975.5115688452513</c:v>
                </c:pt>
                <c:pt idx="109">
                  <c:v>939.03061092558994</c:v>
                </c:pt>
                <c:pt idx="110">
                  <c:v>999.54100314657728</c:v>
                </c:pt>
                <c:pt idx="111">
                  <c:v>1172.0900096681059</c:v>
                </c:pt>
                <c:pt idx="112">
                  <c:v>1205.4064206788266</c:v>
                </c:pt>
                <c:pt idx="113">
                  <c:v>1150.9343895320746</c:v>
                </c:pt>
                <c:pt idx="114">
                  <c:v>930.83421376477133</c:v>
                </c:pt>
                <c:pt idx="115">
                  <c:v>858.38738658286002</c:v>
                </c:pt>
                <c:pt idx="116">
                  <c:v>811.18943294707856</c:v>
                </c:pt>
                <c:pt idx="117">
                  <c:v>755.07284623568933</c:v>
                </c:pt>
                <c:pt idx="118">
                  <c:v>750.35551659717589</c:v>
                </c:pt>
                <c:pt idx="119">
                  <c:v>772.18297236223532</c:v>
                </c:pt>
                <c:pt idx="120">
                  <c:v>820.41733619453987</c:v>
                </c:pt>
                <c:pt idx="121">
                  <c:v>865.87687233082545</c:v>
                </c:pt>
                <c:pt idx="122">
                  <c:v>896.08755642465371</c:v>
                </c:pt>
                <c:pt idx="123">
                  <c:v>861.64535551831079</c:v>
                </c:pt>
                <c:pt idx="124">
                  <c:v>903.78139024754933</c:v>
                </c:pt>
                <c:pt idx="125">
                  <c:v>909.09038771598989</c:v>
                </c:pt>
                <c:pt idx="126">
                  <c:v>926.13210300121398</c:v>
                </c:pt>
                <c:pt idx="127">
                  <c:v>970.31249875703475</c:v>
                </c:pt>
                <c:pt idx="128">
                  <c:v>1014.133785346366</c:v>
                </c:pt>
                <c:pt idx="129">
                  <c:v>1012.4317260829849</c:v>
                </c:pt>
                <c:pt idx="130">
                  <c:v>1026.5111704705241</c:v>
                </c:pt>
                <c:pt idx="131">
                  <c:v>1104.4456076161362</c:v>
                </c:pt>
                <c:pt idx="132">
                  <c:v>1131.9353982338332</c:v>
                </c:pt>
                <c:pt idx="133">
                  <c:v>1222.8309382839752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A0-7B4C-83A2-2D9A6A607B58}"/>
            </c:ext>
          </c:extLst>
        </c:ser>
        <c:ser>
          <c:idx val="5"/>
          <c:order val="5"/>
          <c:tx>
            <c:strRef>
              <c:f>XGBoost再投資累積報酬!$C$28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XGBoost再投資累積報酬!$D$28:$EG$28</c:f>
              <c:numCache>
                <c:formatCode>General</c:formatCode>
                <c:ptCount val="134"/>
                <c:pt idx="0">
                  <c:v>1.274316755103944</c:v>
                </c:pt>
                <c:pt idx="1">
                  <c:v>4.7959821773410871</c:v>
                </c:pt>
                <c:pt idx="2">
                  <c:v>11.101116550448845</c:v>
                </c:pt>
                <c:pt idx="3">
                  <c:v>32.809330435262588</c:v>
                </c:pt>
                <c:pt idx="4">
                  <c:v>60.481366263413705</c:v>
                </c:pt>
                <c:pt idx="5">
                  <c:v>110.07797132277224</c:v>
                </c:pt>
                <c:pt idx="6">
                  <c:v>198.72982219508319</c:v>
                </c:pt>
                <c:pt idx="7">
                  <c:v>396.51060050686544</c:v>
                </c:pt>
                <c:pt idx="8">
                  <c:v>1354.3457368465888</c:v>
                </c:pt>
                <c:pt idx="9">
                  <c:v>3043.3020469145035</c:v>
                </c:pt>
                <c:pt idx="10">
                  <c:v>8936.6125872720113</c:v>
                </c:pt>
                <c:pt idx="11">
                  <c:v>25916.642864792313</c:v>
                </c:pt>
                <c:pt idx="12">
                  <c:v>31630.543815918332</c:v>
                </c:pt>
                <c:pt idx="13">
                  <c:v>31239.801317257028</c:v>
                </c:pt>
                <c:pt idx="14">
                  <c:v>31138.502672901446</c:v>
                </c:pt>
                <c:pt idx="15">
                  <c:v>23701.265200356982</c:v>
                </c:pt>
                <c:pt idx="16">
                  <c:v>25302.293422488776</c:v>
                </c:pt>
                <c:pt idx="17">
                  <c:v>25962.466514534535</c:v>
                </c:pt>
                <c:pt idx="18">
                  <c:v>26418.808031548982</c:v>
                </c:pt>
                <c:pt idx="19">
                  <c:v>33695.05016497949</c:v>
                </c:pt>
                <c:pt idx="20">
                  <c:v>40808.480061296577</c:v>
                </c:pt>
                <c:pt idx="21">
                  <c:v>47370.554737171013</c:v>
                </c:pt>
                <c:pt idx="22">
                  <c:v>44877.37626122724</c:v>
                </c:pt>
                <c:pt idx="23">
                  <c:v>41177.004037696592</c:v>
                </c:pt>
                <c:pt idx="24">
                  <c:v>33555.192244086662</c:v>
                </c:pt>
                <c:pt idx="25">
                  <c:v>37646.828958489408</c:v>
                </c:pt>
                <c:pt idx="26">
                  <c:v>39405.120117251827</c:v>
                </c:pt>
                <c:pt idx="27">
                  <c:v>21210.829542736457</c:v>
                </c:pt>
                <c:pt idx="28">
                  <c:v>17113.938821791595</c:v>
                </c:pt>
                <c:pt idx="29">
                  <c:v>25592.498314898086</c:v>
                </c:pt>
                <c:pt idx="30">
                  <c:v>29416.934976971505</c:v>
                </c:pt>
                <c:pt idx="31">
                  <c:v>32835.212146862199</c:v>
                </c:pt>
                <c:pt idx="32">
                  <c:v>20225.708045701249</c:v>
                </c:pt>
                <c:pt idx="33">
                  <c:v>18575.269451859505</c:v>
                </c:pt>
                <c:pt idx="34">
                  <c:v>18653.02324768274</c:v>
                </c:pt>
                <c:pt idx="35">
                  <c:v>15667.021027822289</c:v>
                </c:pt>
                <c:pt idx="36">
                  <c:v>16374.007108966565</c:v>
                </c:pt>
                <c:pt idx="37">
                  <c:v>18964.156610242808</c:v>
                </c:pt>
                <c:pt idx="38">
                  <c:v>20373.119565951125</c:v>
                </c:pt>
                <c:pt idx="39">
                  <c:v>21409.711668757649</c:v>
                </c:pt>
                <c:pt idx="40">
                  <c:v>32548.578241086816</c:v>
                </c:pt>
                <c:pt idx="41">
                  <c:v>36952.86153391355</c:v>
                </c:pt>
                <c:pt idx="42">
                  <c:v>31657.343864144274</c:v>
                </c:pt>
                <c:pt idx="43">
                  <c:v>30792.4590532568</c:v>
                </c:pt>
                <c:pt idx="44">
                  <c:v>28492.00305045296</c:v>
                </c:pt>
                <c:pt idx="45">
                  <c:v>33125.27232237898</c:v>
                </c:pt>
                <c:pt idx="46">
                  <c:v>24785.961419810807</c:v>
                </c:pt>
                <c:pt idx="47">
                  <c:v>27310.933054930727</c:v>
                </c:pt>
                <c:pt idx="48">
                  <c:v>30285.371745930974</c:v>
                </c:pt>
                <c:pt idx="49">
                  <c:v>29407.0625775136</c:v>
                </c:pt>
                <c:pt idx="50">
                  <c:v>28465.581843997228</c:v>
                </c:pt>
                <c:pt idx="51">
                  <c:v>17976.75987187391</c:v>
                </c:pt>
                <c:pt idx="52">
                  <c:v>19015.631503481589</c:v>
                </c:pt>
                <c:pt idx="53">
                  <c:v>15905.229295737881</c:v>
                </c:pt>
                <c:pt idx="54">
                  <c:v>15725.232369117977</c:v>
                </c:pt>
                <c:pt idx="55">
                  <c:v>18166.149718042361</c:v>
                </c:pt>
                <c:pt idx="56">
                  <c:v>15970.472391030955</c:v>
                </c:pt>
                <c:pt idx="57">
                  <c:v>21681.436750233897</c:v>
                </c:pt>
                <c:pt idx="58">
                  <c:v>17752.882275934029</c:v>
                </c:pt>
                <c:pt idx="59">
                  <c:v>20758.337258751166</c:v>
                </c:pt>
                <c:pt idx="60">
                  <c:v>23959.880795435703</c:v>
                </c:pt>
                <c:pt idx="61">
                  <c:v>28677.993101590764</c:v>
                </c:pt>
                <c:pt idx="62">
                  <c:v>39326.07792808181</c:v>
                </c:pt>
                <c:pt idx="63">
                  <c:v>52839.932723331229</c:v>
                </c:pt>
                <c:pt idx="64">
                  <c:v>41002.612098493897</c:v>
                </c:pt>
                <c:pt idx="65">
                  <c:v>49932.34676978879</c:v>
                </c:pt>
                <c:pt idx="66">
                  <c:v>55838.955998281788</c:v>
                </c:pt>
                <c:pt idx="67">
                  <c:v>44249.152468590393</c:v>
                </c:pt>
                <c:pt idx="68">
                  <c:v>47676.683390987404</c:v>
                </c:pt>
                <c:pt idx="69">
                  <c:v>47107.50604706187</c:v>
                </c:pt>
                <c:pt idx="70">
                  <c:v>68541.13588845772</c:v>
                </c:pt>
                <c:pt idx="71">
                  <c:v>66631.275457957527</c:v>
                </c:pt>
                <c:pt idx="72">
                  <c:v>53209.550132581448</c:v>
                </c:pt>
                <c:pt idx="73">
                  <c:v>50067.576931141528</c:v>
                </c:pt>
                <c:pt idx="74">
                  <c:v>58151.904536773633</c:v>
                </c:pt>
                <c:pt idx="75">
                  <c:v>48813.071255510295</c:v>
                </c:pt>
                <c:pt idx="76">
                  <c:v>38011.852674742047</c:v>
                </c:pt>
                <c:pt idx="77">
                  <c:v>36507.63887233592</c:v>
                </c:pt>
                <c:pt idx="78">
                  <c:v>44992.238667824349</c:v>
                </c:pt>
                <c:pt idx="79">
                  <c:v>49407.272284859508</c:v>
                </c:pt>
                <c:pt idx="80">
                  <c:v>52960.008371373515</c:v>
                </c:pt>
                <c:pt idx="81">
                  <c:v>47190.8488854721</c:v>
                </c:pt>
                <c:pt idx="82">
                  <c:v>64399.774725100899</c:v>
                </c:pt>
                <c:pt idx="83">
                  <c:v>80671.080272575695</c:v>
                </c:pt>
                <c:pt idx="84">
                  <c:v>90378.503344299897</c:v>
                </c:pt>
                <c:pt idx="85">
                  <c:v>87039.045612364265</c:v>
                </c:pt>
                <c:pt idx="86">
                  <c:v>99166.89013361471</c:v>
                </c:pt>
                <c:pt idx="87">
                  <c:v>49727.157558683801</c:v>
                </c:pt>
                <c:pt idx="88">
                  <c:v>45103.631575168743</c:v>
                </c:pt>
                <c:pt idx="89">
                  <c:v>42466.895979673573</c:v>
                </c:pt>
                <c:pt idx="90">
                  <c:v>53137.007889445689</c:v>
                </c:pt>
                <c:pt idx="91">
                  <c:v>65110.05483278662</c:v>
                </c:pt>
                <c:pt idx="92">
                  <c:v>55000.854820260385</c:v>
                </c:pt>
                <c:pt idx="93">
                  <c:v>55983.178481103889</c:v>
                </c:pt>
                <c:pt idx="94">
                  <c:v>61626.048805067723</c:v>
                </c:pt>
                <c:pt idx="95">
                  <c:v>46068.578449770503</c:v>
                </c:pt>
                <c:pt idx="96">
                  <c:v>35860.535966217896</c:v>
                </c:pt>
                <c:pt idx="97">
                  <c:v>31856.542009425561</c:v>
                </c:pt>
                <c:pt idx="98">
                  <c:v>29117.392557479277</c:v>
                </c:pt>
                <c:pt idx="99">
                  <c:v>30190.268849840224</c:v>
                </c:pt>
                <c:pt idx="100">
                  <c:v>28244.253578363554</c:v>
                </c:pt>
                <c:pt idx="101">
                  <c:v>38332.991662309032</c:v>
                </c:pt>
                <c:pt idx="102">
                  <c:v>35526.974902568589</c:v>
                </c:pt>
                <c:pt idx="103">
                  <c:v>26653.575535223437</c:v>
                </c:pt>
                <c:pt idx="104">
                  <c:v>17578.166179733453</c:v>
                </c:pt>
                <c:pt idx="105">
                  <c:v>20077.396728118594</c:v>
                </c:pt>
                <c:pt idx="106">
                  <c:v>17387.625221177866</c:v>
                </c:pt>
                <c:pt idx="107">
                  <c:v>18066.099012160998</c:v>
                </c:pt>
                <c:pt idx="108">
                  <c:v>16599.124852386965</c:v>
                </c:pt>
                <c:pt idx="109">
                  <c:v>15922.24425031385</c:v>
                </c:pt>
                <c:pt idx="110">
                  <c:v>21911.757313375172</c:v>
                </c:pt>
                <c:pt idx="111">
                  <c:v>25072.375847032676</c:v>
                </c:pt>
                <c:pt idx="112">
                  <c:v>23044.82004846874</c:v>
                </c:pt>
                <c:pt idx="113">
                  <c:v>26056.447536451928</c:v>
                </c:pt>
                <c:pt idx="114">
                  <c:v>23552.726205608149</c:v>
                </c:pt>
                <c:pt idx="115">
                  <c:v>21184.924152637504</c:v>
                </c:pt>
                <c:pt idx="116">
                  <c:v>20925.408203984774</c:v>
                </c:pt>
                <c:pt idx="117">
                  <c:v>20197.154875313088</c:v>
                </c:pt>
                <c:pt idx="118">
                  <c:v>21903.105201172286</c:v>
                </c:pt>
                <c:pt idx="119">
                  <c:v>25838.459975115289</c:v>
                </c:pt>
                <c:pt idx="120">
                  <c:v>29217.357511752387</c:v>
                </c:pt>
                <c:pt idx="121">
                  <c:v>29132.081823259712</c:v>
                </c:pt>
                <c:pt idx="122">
                  <c:v>31069.62105499809</c:v>
                </c:pt>
                <c:pt idx="123">
                  <c:v>28896.460664696497</c:v>
                </c:pt>
                <c:pt idx="124">
                  <c:v>20076.386588754118</c:v>
                </c:pt>
                <c:pt idx="125">
                  <c:v>19332.257393460743</c:v>
                </c:pt>
                <c:pt idx="126">
                  <c:v>17029.383739778412</c:v>
                </c:pt>
                <c:pt idx="127">
                  <c:v>13812.009111662133</c:v>
                </c:pt>
                <c:pt idx="128">
                  <c:v>14800.932895471464</c:v>
                </c:pt>
                <c:pt idx="129">
                  <c:v>14801.537259508234</c:v>
                </c:pt>
                <c:pt idx="130">
                  <c:v>17678.577438874592</c:v>
                </c:pt>
                <c:pt idx="131">
                  <c:v>22059.828656879305</c:v>
                </c:pt>
                <c:pt idx="132">
                  <c:v>22435.271724268274</c:v>
                </c:pt>
                <c:pt idx="133">
                  <c:v>22832.034881448264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A0-7B4C-83A2-2D9A6A607B58}"/>
            </c:ext>
          </c:extLst>
        </c:ser>
        <c:ser>
          <c:idx val="6"/>
          <c:order val="6"/>
          <c:tx>
            <c:strRef>
              <c:f>XGBoost再投資累積報酬!$C$29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XGBoost再投資累積報酬!$D$22:$EG$22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XGBoost再投資累積報酬!$D$29:$EG$29</c:f>
              <c:numCache>
                <c:formatCode>General</c:formatCode>
                <c:ptCount val="134"/>
                <c:pt idx="0">
                  <c:v>-1.744677053939037E-2</c:v>
                </c:pt>
                <c:pt idx="1">
                  <c:v>2.893123339404724E-3</c:v>
                </c:pt>
                <c:pt idx="2">
                  <c:v>2.6944635852046869E-2</c:v>
                </c:pt>
                <c:pt idx="3">
                  <c:v>2.0210365301730041E-2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0.11295275081672609</c:v>
                </c:pt>
                <c:pt idx="14">
                  <c:v>0.1088204283509331</c:v>
                </c:pt>
                <c:pt idx="15">
                  <c:v>0.13551706985268061</c:v>
                </c:pt>
                <c:pt idx="16">
                  <c:v>0.12167508804368481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-5.9140260213613523E-2</c:v>
                </c:pt>
                <c:pt idx="21">
                  <c:v>-1.7185893241652209E-2</c:v>
                </c:pt>
                <c:pt idx="22">
                  <c:v>-4.4409529547694393E-2</c:v>
                </c:pt>
                <c:pt idx="23">
                  <c:v>-4.2407561826578573E-2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2.7817794451217011E-3</c:v>
                </c:pt>
                <c:pt idx="27">
                  <c:v>-4.0202844765013457E-2</c:v>
                </c:pt>
                <c:pt idx="28">
                  <c:v>-2.23053204826642E-2</c:v>
                </c:pt>
                <c:pt idx="29">
                  <c:v>-7.4152570234460313E-3</c:v>
                </c:pt>
                <c:pt idx="30">
                  <c:v>2.8334274381314421E-2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5.7454515782098918E-2</c:v>
                </c:pt>
                <c:pt idx="35">
                  <c:v>5.8917118987427568E-2</c:v>
                </c:pt>
                <c:pt idx="36">
                  <c:v>8.0938283596681648E-2</c:v>
                </c:pt>
                <c:pt idx="37">
                  <c:v>0.11500697453770201</c:v>
                </c:pt>
                <c:pt idx="38">
                  <c:v>0.1219665320054517</c:v>
                </c:pt>
                <c:pt idx="39">
                  <c:v>0.12886130991117531</c:v>
                </c:pt>
                <c:pt idx="40">
                  <c:v>0.14799139743631429</c:v>
                </c:pt>
                <c:pt idx="41">
                  <c:v>0.18780698843660251</c:v>
                </c:pt>
                <c:pt idx="42">
                  <c:v>0.19148751365039929</c:v>
                </c:pt>
                <c:pt idx="43">
                  <c:v>0.20945675046088999</c:v>
                </c:pt>
                <c:pt idx="44">
                  <c:v>0.18617324550329581</c:v>
                </c:pt>
                <c:pt idx="45">
                  <c:v>0.23209180697664691</c:v>
                </c:pt>
                <c:pt idx="46">
                  <c:v>0.205162036556817</c:v>
                </c:pt>
                <c:pt idx="47">
                  <c:v>0.21453132863303209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0.2445155679795841</c:v>
                </c:pt>
                <c:pt idx="51">
                  <c:v>0.21433638745422809</c:v>
                </c:pt>
                <c:pt idx="52">
                  <c:v>0.2388215063710388</c:v>
                </c:pt>
                <c:pt idx="53">
                  <c:v>0.23447943849994909</c:v>
                </c:pt>
                <c:pt idx="54">
                  <c:v>0.25935658802508499</c:v>
                </c:pt>
                <c:pt idx="55">
                  <c:v>0.26008869763716319</c:v>
                </c:pt>
                <c:pt idx="56">
                  <c:v>0.2535114114609236</c:v>
                </c:pt>
                <c:pt idx="57">
                  <c:v>0.10826483627727621</c:v>
                </c:pt>
                <c:pt idx="58">
                  <c:v>0.11793469710078749</c:v>
                </c:pt>
                <c:pt idx="59">
                  <c:v>9.9625988810205346E-2</c:v>
                </c:pt>
                <c:pt idx="60">
                  <c:v>0.12254260303831389</c:v>
                </c:pt>
                <c:pt idx="61">
                  <c:v>0.17302993558174001</c:v>
                </c:pt>
                <c:pt idx="62">
                  <c:v>0.20112905370185399</c:v>
                </c:pt>
                <c:pt idx="63">
                  <c:v>0.237450116940952</c:v>
                </c:pt>
                <c:pt idx="64">
                  <c:v>0.18334151222801379</c:v>
                </c:pt>
                <c:pt idx="65">
                  <c:v>0.209244230248715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0.21987619627534569</c:v>
                </c:pt>
                <c:pt idx="69">
                  <c:v>0.27805738326883361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0.2099851314449144</c:v>
                </c:pt>
                <c:pt idx="76">
                  <c:v>0.20447092205281339</c:v>
                </c:pt>
                <c:pt idx="77">
                  <c:v>0.27699361006036599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0.49692143719092191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</c:v>
                </c:pt>
                <c:pt idx="123">
                  <c:v>1.1079601605760621</c:v>
                </c:pt>
                <c:pt idx="124">
                  <c:v>1.1868319851241951</c:v>
                </c:pt>
                <c:pt idx="125">
                  <c:v>1.370768618416941</c:v>
                </c:pt>
                <c:pt idx="126">
                  <c:v>1.2834475238077689</c:v>
                </c:pt>
                <c:pt idx="127">
                  <c:v>1.290507264949454</c:v>
                </c:pt>
                <c:pt idx="128">
                  <c:v>1.2860233033025421</c:v>
                </c:pt>
                <c:pt idx="129">
                  <c:v>1.346509430724685</c:v>
                </c:pt>
                <c:pt idx="130">
                  <c:v>1.2884273650883471</c:v>
                </c:pt>
                <c:pt idx="131">
                  <c:v>1.366498188226261</c:v>
                </c:pt>
                <c:pt idx="132">
                  <c:v>1.416341311511776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A0-7B4C-83A2-2D9A6A607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03024"/>
        <c:axId val="2104419824"/>
      </c:lineChart>
      <c:catAx>
        <c:axId val="21044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19824"/>
        <c:crosses val="autoZero"/>
        <c:auto val="1"/>
        <c:lblAlgn val="ctr"/>
        <c:lblOffset val="100"/>
        <c:noMultiLvlLbl val="0"/>
      </c:catAx>
      <c:valAx>
        <c:axId val="21044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0302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115</xdr:col>
      <xdr:colOff>7838</xdr:colOff>
      <xdr:row>29</xdr:row>
      <xdr:rowOff>180309</xdr:rowOff>
    </xdr:from>
    <xdr:to>
      <xdr:col>124</xdr:col>
      <xdr:colOff>650677</xdr:colOff>
      <xdr:row>45</xdr:row>
      <xdr:rowOff>54875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119</xdr:col>
      <xdr:colOff>168188</xdr:colOff>
      <xdr:row>31</xdr:row>
      <xdr:rowOff>14244</xdr:rowOff>
    </xdr:from>
    <xdr:to>
      <xdr:col>128</xdr:col>
      <xdr:colOff>420472</xdr:colOff>
      <xdr:row>46</xdr:row>
      <xdr:rowOff>163040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442783</xdr:colOff>
      <xdr:row>31</xdr:row>
      <xdr:rowOff>74312</xdr:rowOff>
    </xdr:from>
    <xdr:to>
      <xdr:col>18</xdr:col>
      <xdr:colOff>94392</xdr:colOff>
      <xdr:row>48</xdr:row>
      <xdr:rowOff>42905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180310</xdr:colOff>
      <xdr:row>31</xdr:row>
      <xdr:rowOff>193609</xdr:rowOff>
    </xdr:from>
    <xdr:ext cx="96425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FF22B4B7-1967-C443-BC5E-ECD2E8A23148}"/>
                </a:ext>
              </a:extLst>
            </xdr:cNvPr>
            <xdr:cNvSpPr txBox="1"/>
          </xdr:nvSpPr>
          <xdr:spPr>
            <a:xfrm>
              <a:off x="180310" y="651820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TW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FF22B4B7-1967-C443-BC5E-ECD2E8A23148}"/>
                </a:ext>
              </a:extLst>
            </xdr:cNvPr>
            <xdr:cNvSpPr txBox="1"/>
          </xdr:nvSpPr>
          <xdr:spPr>
            <a:xfrm>
              <a:off x="180310" y="651820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1600" b="0" i="0">
                  <a:latin typeface="Cambria Math" panose="02040503050406030204" pitchFamily="18" charset="0"/>
                </a:rPr>
                <a:t>𝑅^2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G32"/>
  <sheetViews>
    <sheetView workbookViewId="0">
      <selection activeCell="I10" sqref="I10"/>
    </sheetView>
  </sheetViews>
  <sheetFormatPr baseColWidth="10" defaultColWidth="8.83203125" defaultRowHeight="15"/>
  <cols>
    <col min="1" max="1" width="8.83203125" style="39" customWidth="1"/>
    <col min="2" max="2" width="8.33203125" style="39" customWidth="1"/>
    <col min="3" max="10" width="8.83203125" style="3" bestFit="1" customWidth="1"/>
    <col min="11" max="11" width="8.1640625" style="39" customWidth="1"/>
    <col min="12" max="55" width="8.83203125" style="3" bestFit="1" customWidth="1"/>
    <col min="56" max="56" width="13.83203125" style="3" bestFit="1" customWidth="1"/>
    <col min="57" max="136" width="8.83203125" style="3" bestFit="1" customWidth="1"/>
    <col min="137" max="137" width="8.83203125" style="3" customWidth="1"/>
    <col min="138" max="16384" width="8.83203125" style="3"/>
  </cols>
  <sheetData>
    <row r="1" spans="1:137" ht="16" customHeight="1">
      <c r="A1" s="42" t="s">
        <v>236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7" ht="16" customHeight="1">
      <c r="A2" s="5"/>
      <c r="B2" s="6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5" t="s">
        <v>133</v>
      </c>
      <c r="EE2" s="14" t="s">
        <v>134</v>
      </c>
      <c r="EF2" s="14" t="s">
        <v>135</v>
      </c>
    </row>
    <row r="3" spans="1:137" ht="16" customHeight="1">
      <c r="A3" s="5"/>
      <c r="B3" s="25" t="s">
        <v>136</v>
      </c>
      <c r="C3" s="30">
        <v>-7.0510312914848328E-2</v>
      </c>
      <c r="D3" s="30">
        <v>-2.069076336920261E-2</v>
      </c>
      <c r="E3" s="30">
        <v>-4.9750484526157379E-2</v>
      </c>
      <c r="F3" s="30">
        <v>-9.2162974178791046E-2</v>
      </c>
      <c r="G3" s="30">
        <v>-9.0981476008892059E-2</v>
      </c>
      <c r="H3" s="30">
        <v>1.7403693869709969E-2</v>
      </c>
      <c r="I3" s="30">
        <v>-1.4660321176052089E-3</v>
      </c>
      <c r="J3" s="30">
        <v>-4.2782600969076157E-2</v>
      </c>
      <c r="K3" s="30">
        <v>-4.8218093812465668E-2</v>
      </c>
      <c r="L3" s="30">
        <v>-5.4908208549022668E-2</v>
      </c>
      <c r="M3" s="30">
        <v>-4.2270971462130547E-3</v>
      </c>
      <c r="N3" s="30">
        <v>-1.5415508300065991E-2</v>
      </c>
      <c r="O3" s="30">
        <v>-2.6379581540822979E-2</v>
      </c>
      <c r="P3" s="30">
        <v>2.1669322159141302E-3</v>
      </c>
      <c r="Q3" s="30">
        <v>-6.3427776098251343E-2</v>
      </c>
      <c r="R3" s="30">
        <v>-2.6445759460330009E-2</v>
      </c>
      <c r="S3" s="30">
        <v>-3.0793072655797001E-2</v>
      </c>
      <c r="T3" s="30">
        <v>-1.3314301613718269E-3</v>
      </c>
      <c r="U3" s="30">
        <v>-1.1667066253721711E-2</v>
      </c>
      <c r="V3" s="30">
        <v>-7.4396813288331032E-3</v>
      </c>
      <c r="W3" s="30">
        <v>-5.6037697941064826E-3</v>
      </c>
      <c r="X3" s="30">
        <v>-5.478285625576973E-2</v>
      </c>
      <c r="Y3" s="30">
        <v>1.460128463804722E-3</v>
      </c>
      <c r="Z3" s="30">
        <v>-5.1124587655067437E-2</v>
      </c>
      <c r="AA3" s="30">
        <v>-4.9931928515434272E-2</v>
      </c>
      <c r="AB3" s="30">
        <v>3.5460174083709717E-2</v>
      </c>
      <c r="AC3" s="30">
        <v>-3.6260023713111877E-2</v>
      </c>
      <c r="AD3" s="30">
        <v>-2.177857048809528E-2</v>
      </c>
      <c r="AE3" s="30">
        <v>-1.296189334243536E-2</v>
      </c>
      <c r="AF3" s="30">
        <v>-1.9972652196884159E-2</v>
      </c>
      <c r="AG3" s="30">
        <v>-4.2137693613767617E-2</v>
      </c>
      <c r="AH3" s="30">
        <v>1.1005618143826721E-3</v>
      </c>
      <c r="AI3" s="30">
        <v>1.791437389329076E-3</v>
      </c>
      <c r="AJ3" s="30">
        <v>1.232342515140772E-2</v>
      </c>
      <c r="AK3" s="30">
        <v>-4.1931521147489548E-2</v>
      </c>
      <c r="AL3" s="30">
        <v>-3.6095079034566879E-2</v>
      </c>
      <c r="AM3" s="30">
        <v>-1.382274786010385E-3</v>
      </c>
      <c r="AN3" s="30">
        <v>-2.8956376016139981E-2</v>
      </c>
      <c r="AO3" s="30">
        <v>-4.2428314685821533E-2</v>
      </c>
      <c r="AP3" s="30">
        <v>-4.9674943089485168E-2</v>
      </c>
      <c r="AQ3" s="30">
        <v>-3.2604295760393143E-2</v>
      </c>
      <c r="AR3" s="30">
        <v>-1.3108822517097E-2</v>
      </c>
      <c r="AS3" s="30">
        <v>-3.5700481384992599E-2</v>
      </c>
      <c r="AT3" s="30">
        <v>-5.7888049632310867E-3</v>
      </c>
      <c r="AU3" s="30">
        <v>-1.4518599025905131E-2</v>
      </c>
      <c r="AV3" s="30">
        <v>-3.1922928988933563E-2</v>
      </c>
      <c r="AW3" s="30">
        <v>-1.19499359279871E-2</v>
      </c>
      <c r="AX3" s="30">
        <v>-1.0149506852030751E-2</v>
      </c>
      <c r="AY3" s="30">
        <v>-3.3810734748840332E-2</v>
      </c>
      <c r="AZ3" s="30">
        <v>-4.8453211784362793E-2</v>
      </c>
      <c r="BA3" s="30">
        <v>-2.7815299108624458E-2</v>
      </c>
      <c r="BB3" s="30">
        <v>-3.037967719137669E-2</v>
      </c>
      <c r="BC3" s="30">
        <v>2.4711607024073601E-2</v>
      </c>
      <c r="BD3" s="30">
        <v>-2.3138821125030521E-2</v>
      </c>
      <c r="BE3" s="30">
        <v>-1.548535423353314E-3</v>
      </c>
      <c r="BF3" s="30">
        <v>4.8466574400663383E-2</v>
      </c>
      <c r="BG3" s="30">
        <v>-6.8415170535445213E-3</v>
      </c>
      <c r="BH3" s="30">
        <v>-2.9017321765422821E-2</v>
      </c>
      <c r="BI3" s="30">
        <v>6.3621185719966888E-2</v>
      </c>
      <c r="BJ3" s="30">
        <v>5.1039993762969971E-2</v>
      </c>
      <c r="BK3" s="30">
        <v>2.0570620894432071E-2</v>
      </c>
      <c r="BL3" s="30">
        <v>-4.445323720574379E-2</v>
      </c>
      <c r="BM3" s="30">
        <v>1.6062213107943531E-2</v>
      </c>
      <c r="BN3" s="30">
        <v>-1.140725240111351E-2</v>
      </c>
      <c r="BO3" s="30">
        <v>-2.1107044070959091E-2</v>
      </c>
      <c r="BP3" s="30">
        <v>-2.457004226744175E-2</v>
      </c>
      <c r="BQ3" s="30">
        <v>5.8053538668900728E-4</v>
      </c>
      <c r="BR3" s="30">
        <v>1.410697121173143E-2</v>
      </c>
      <c r="BS3" s="30">
        <v>-2.221696637570858E-2</v>
      </c>
      <c r="BT3" s="30">
        <v>-2.1804684773087502E-2</v>
      </c>
      <c r="BU3" s="30">
        <v>-3.2476775231771171E-4</v>
      </c>
      <c r="BV3" s="30">
        <v>-1.6946583986282349E-2</v>
      </c>
      <c r="BW3" s="30">
        <v>-9.1368407011032104E-3</v>
      </c>
      <c r="BX3" s="30">
        <v>-2.4530710652470589E-2</v>
      </c>
      <c r="BY3" s="30">
        <v>-1.374499686062336E-2</v>
      </c>
      <c r="BZ3" s="30">
        <v>1.6965670511126522E-2</v>
      </c>
      <c r="CA3" s="30">
        <v>-4.9971737898886204E-3</v>
      </c>
      <c r="CB3" s="30">
        <v>2.5937315076589581E-2</v>
      </c>
      <c r="CC3" s="30">
        <v>-5.0457574427127838E-2</v>
      </c>
      <c r="CD3" s="30">
        <v>-1.7129437997937199E-2</v>
      </c>
      <c r="CE3" s="30">
        <v>-1.5958411619067189E-2</v>
      </c>
      <c r="CF3" s="30">
        <v>-3.6173265427350998E-2</v>
      </c>
      <c r="CG3" s="30">
        <v>-3.3427383750677109E-2</v>
      </c>
      <c r="CH3" s="30">
        <v>-1.898007653653622E-2</v>
      </c>
      <c r="CI3" s="30">
        <v>-1.589265838265419E-2</v>
      </c>
      <c r="CJ3" s="30">
        <v>-1.93511638790369E-2</v>
      </c>
      <c r="CK3" s="30">
        <v>-3.6270283162593842E-2</v>
      </c>
      <c r="CL3" s="30">
        <v>2.18544602394104E-2</v>
      </c>
      <c r="CM3" s="30">
        <v>-3.06690763682127E-2</v>
      </c>
      <c r="CN3" s="30">
        <v>-3.356621041893959E-2</v>
      </c>
      <c r="CO3" s="30">
        <v>-5.7102173566818237E-2</v>
      </c>
      <c r="CP3" s="30">
        <v>-1.416866108775139E-2</v>
      </c>
      <c r="CQ3" s="30">
        <v>-2.447781153023243E-2</v>
      </c>
      <c r="CR3" s="30">
        <v>-5.1261065527796754E-3</v>
      </c>
      <c r="CS3" s="30">
        <v>1.865070499479771E-2</v>
      </c>
      <c r="CT3" s="30">
        <v>-3.6899782717227943E-2</v>
      </c>
      <c r="CU3" s="30">
        <v>-3.0328931286931041E-2</v>
      </c>
      <c r="CV3" s="30">
        <v>-1.5965379774570469E-2</v>
      </c>
      <c r="CW3" s="30">
        <v>-2.833480574190617E-2</v>
      </c>
      <c r="CX3" s="30">
        <v>-2.26152203977108E-2</v>
      </c>
      <c r="CY3" s="30">
        <v>-8.1325806677341461E-3</v>
      </c>
      <c r="CZ3" s="30">
        <v>-6.5493392758071423E-3</v>
      </c>
      <c r="DA3" s="30">
        <v>-1.8719475716352459E-2</v>
      </c>
      <c r="DB3" s="30">
        <v>-2.3759631440043449E-2</v>
      </c>
      <c r="DC3" s="30">
        <v>-1.5671692788600922E-2</v>
      </c>
      <c r="DD3" s="30">
        <v>-1.9522979855537411E-2</v>
      </c>
      <c r="DE3" s="30">
        <v>-4.0282517671585083E-2</v>
      </c>
      <c r="DF3" s="30">
        <v>-8.8851423934102058E-3</v>
      </c>
      <c r="DG3" s="30">
        <v>9.1460929252207279E-4</v>
      </c>
      <c r="DH3" s="30">
        <v>-1.2378844432532791E-2</v>
      </c>
      <c r="DI3" s="30">
        <v>9.0523073449730873E-3</v>
      </c>
      <c r="DJ3" s="30">
        <v>-1.9859632477164268E-2</v>
      </c>
      <c r="DK3" s="30">
        <v>-2.2675381973385811E-2</v>
      </c>
      <c r="DL3" s="30">
        <v>-4.2003385722637183E-2</v>
      </c>
      <c r="DM3" s="30">
        <v>-2.7967073023319241E-2</v>
      </c>
      <c r="DN3" s="30">
        <v>7.005348801612854E-3</v>
      </c>
      <c r="DO3" s="30">
        <v>-2.6276815682649609E-2</v>
      </c>
      <c r="DP3" s="30">
        <v>-3.6057945340871811E-2</v>
      </c>
      <c r="DQ3" s="30">
        <v>-3.3415287733078003E-2</v>
      </c>
      <c r="DR3" s="30">
        <v>-1.6046343371272091E-2</v>
      </c>
      <c r="DS3" s="30">
        <v>-1.464163418859243E-2</v>
      </c>
      <c r="DT3" s="30">
        <v>-3.5933751612901688E-2</v>
      </c>
      <c r="DU3" s="30">
        <v>3.071782179176807E-3</v>
      </c>
      <c r="DV3" s="30">
        <v>-1.5330854803323749E-2</v>
      </c>
      <c r="DW3" s="30">
        <v>-1.4946370385587221E-2</v>
      </c>
      <c r="DX3" s="30">
        <v>-1.1101509444415569E-2</v>
      </c>
      <c r="DY3" s="30">
        <v>-4.7925966791808614E-3</v>
      </c>
      <c r="DZ3" s="30">
        <v>-1.846695318818092E-2</v>
      </c>
      <c r="EA3" s="30">
        <v>-1.2543918564915661E-2</v>
      </c>
      <c r="EB3" s="30">
        <v>-3.26961949467659E-2</v>
      </c>
      <c r="EC3" s="30">
        <v>-5.6490704417228699E-2</v>
      </c>
      <c r="ED3" s="30">
        <v>-2.6412356644868851E-2</v>
      </c>
      <c r="EE3" s="30">
        <v>-1.807861402630806E-2</v>
      </c>
      <c r="EF3" s="30">
        <v>-3.6580674350261688E-3</v>
      </c>
    </row>
    <row r="4" spans="1:137" ht="16" customHeight="1">
      <c r="A4" s="5"/>
      <c r="B4" s="25" t="s">
        <v>137</v>
      </c>
      <c r="C4" s="30">
        <v>2.8248634189367291E-2</v>
      </c>
      <c r="D4" s="30">
        <v>1.4183226972818369E-2</v>
      </c>
      <c r="E4" s="30">
        <v>3.1993348151445389E-2</v>
      </c>
      <c r="F4" s="30">
        <v>4.2365593835711479E-3</v>
      </c>
      <c r="G4" s="30">
        <v>1.271493919193745E-2</v>
      </c>
      <c r="H4" s="30">
        <v>1.0832134634256359E-2</v>
      </c>
      <c r="I4" s="30">
        <v>6.3727825880050659E-2</v>
      </c>
      <c r="J4" s="30">
        <v>1.4011073857545849E-2</v>
      </c>
      <c r="K4" s="30">
        <v>6.6770575940608978E-2</v>
      </c>
      <c r="L4" s="30">
        <v>2.1485414355993271E-2</v>
      </c>
      <c r="M4" s="30">
        <v>2.8019288554787639E-2</v>
      </c>
      <c r="N4" s="30">
        <v>8.4238220006227493E-3</v>
      </c>
      <c r="O4" s="30">
        <v>2.601810917258263E-2</v>
      </c>
      <c r="P4" s="30">
        <v>8.8989315554499626E-3</v>
      </c>
      <c r="Q4" s="30">
        <v>1.201280951499939E-2</v>
      </c>
      <c r="R4" s="30">
        <v>6.5032718703150749E-3</v>
      </c>
      <c r="S4" s="30">
        <v>-6.6254293778911233E-4</v>
      </c>
      <c r="T4" s="30">
        <v>1.1814413592219349E-2</v>
      </c>
      <c r="U4" s="30">
        <v>1.339553762227297E-2</v>
      </c>
      <c r="V4" s="30">
        <v>1.19242062792182E-2</v>
      </c>
      <c r="W4" s="30">
        <v>2.7815572917461399E-2</v>
      </c>
      <c r="X4" s="30">
        <v>2.5693094357848171E-5</v>
      </c>
      <c r="Y4" s="30">
        <v>3.9316866546869278E-2</v>
      </c>
      <c r="Z4" s="30">
        <v>5.6920211762189872E-2</v>
      </c>
      <c r="AA4" s="30">
        <v>9.8233535885810852E-2</v>
      </c>
      <c r="AB4" s="30">
        <v>6.4750097692012787E-2</v>
      </c>
      <c r="AC4" s="30">
        <v>6.7361786961555481E-2</v>
      </c>
      <c r="AD4" s="30">
        <v>5.1507804542779922E-2</v>
      </c>
      <c r="AE4" s="30">
        <v>4.9662109464406967E-2</v>
      </c>
      <c r="AF4" s="30">
        <v>2.0239388570189479E-2</v>
      </c>
      <c r="AG4" s="30">
        <v>9.3923445092514157E-4</v>
      </c>
      <c r="AH4" s="30">
        <v>-1.105708070099354E-2</v>
      </c>
      <c r="AI4" s="30">
        <v>1.6824111342430111E-2</v>
      </c>
      <c r="AJ4" s="30">
        <v>-7.4724433943629265E-4</v>
      </c>
      <c r="AK4" s="30">
        <v>1.1401809751987461E-2</v>
      </c>
      <c r="AL4" s="30">
        <v>4.4149282621219749E-4</v>
      </c>
      <c r="AM4" s="30">
        <v>-1.789861731231213E-2</v>
      </c>
      <c r="AN4" s="30">
        <v>-1.0071121156215669E-2</v>
      </c>
      <c r="AO4" s="30">
        <v>6.6899019293487072E-3</v>
      </c>
      <c r="AP4" s="30">
        <v>-1.1917488649487501E-2</v>
      </c>
      <c r="AQ4" s="30">
        <v>-2.7241043746471408E-2</v>
      </c>
      <c r="AR4" s="30">
        <v>-4.9140769988298416E-3</v>
      </c>
      <c r="AS4" s="30">
        <v>-3.0879320576786991E-2</v>
      </c>
      <c r="AT4" s="30">
        <v>-1.474843081086874E-2</v>
      </c>
      <c r="AU4" s="30">
        <v>-2.2974038496613499E-2</v>
      </c>
      <c r="AV4" s="30">
        <v>-2.274879720062017E-3</v>
      </c>
      <c r="AW4" s="30">
        <v>-1.657006144523621E-2</v>
      </c>
      <c r="AX4" s="30">
        <v>-1.187692023813725E-2</v>
      </c>
      <c r="AY4" s="30">
        <v>-2.4517569690942761E-2</v>
      </c>
      <c r="AZ4" s="30">
        <v>1.4865461271256211E-3</v>
      </c>
      <c r="BA4" s="30">
        <v>1.029744930565357E-2</v>
      </c>
      <c r="BB4" s="30">
        <v>2.5721301790326829E-3</v>
      </c>
      <c r="BC4" s="30">
        <v>3.9163189940154552E-3</v>
      </c>
      <c r="BD4" s="30">
        <v>-2.5292611680924888E-3</v>
      </c>
      <c r="BE4" s="30">
        <v>-8.299974724650383E-3</v>
      </c>
      <c r="BF4" s="30">
        <v>-4.618610255420208E-3</v>
      </c>
      <c r="BG4" s="30">
        <v>-6.1649740673601627E-3</v>
      </c>
      <c r="BH4" s="30">
        <v>-3.748608753085136E-3</v>
      </c>
      <c r="BI4" s="30">
        <v>5.9695299714803696E-3</v>
      </c>
      <c r="BJ4" s="30">
        <v>-8.2524949684739113E-3</v>
      </c>
      <c r="BK4" s="30">
        <v>-3.1494102440774441E-3</v>
      </c>
      <c r="BL4" s="30">
        <v>-2.2762905806303021E-2</v>
      </c>
      <c r="BM4" s="30">
        <v>-1.5299521386623381E-2</v>
      </c>
      <c r="BN4" s="30">
        <v>-1.056381408125162E-2</v>
      </c>
      <c r="BO4" s="30">
        <v>4.6637067571282387E-3</v>
      </c>
      <c r="BP4" s="30">
        <v>4.6207541599869728E-3</v>
      </c>
      <c r="BQ4" s="30">
        <v>3.3099830150604248E-2</v>
      </c>
      <c r="BR4" s="30">
        <v>7.9383321106433868E-2</v>
      </c>
      <c r="BS4" s="30">
        <v>3.2730802893638611E-2</v>
      </c>
      <c r="BT4" s="30">
        <v>1.551901735365391E-2</v>
      </c>
      <c r="BU4" s="30">
        <v>1.7918560653924939E-2</v>
      </c>
      <c r="BV4" s="30">
        <v>1.257674675434828E-2</v>
      </c>
      <c r="BW4" s="30">
        <v>1.75600815564394E-2</v>
      </c>
      <c r="BX4" s="30">
        <v>1.9561545923352242E-2</v>
      </c>
      <c r="BY4" s="30">
        <v>9.4829900190234184E-3</v>
      </c>
      <c r="BZ4" s="30">
        <v>2.3618856444954869E-2</v>
      </c>
      <c r="CA4" s="30">
        <v>2.434477768838406E-2</v>
      </c>
      <c r="CB4" s="30">
        <v>-8.4261037409305573E-3</v>
      </c>
      <c r="CC4" s="30">
        <v>7.1666632720734924E-5</v>
      </c>
      <c r="CD4" s="30">
        <v>1.58525153528899E-3</v>
      </c>
      <c r="CE4" s="30">
        <v>-4.1839517652988434E-3</v>
      </c>
      <c r="CF4" s="30">
        <v>-1.925571262836456E-2</v>
      </c>
      <c r="CG4" s="30">
        <v>-2.450777031481266E-2</v>
      </c>
      <c r="CH4" s="30">
        <v>-2.5543062016367909E-2</v>
      </c>
      <c r="CI4" s="30">
        <v>-1.6113311052322391E-2</v>
      </c>
      <c r="CJ4" s="30">
        <v>-2.3990631103515622E-2</v>
      </c>
      <c r="CK4" s="30">
        <v>-3.0572861433029171E-2</v>
      </c>
      <c r="CL4" s="30">
        <v>-3.3399540930986397E-2</v>
      </c>
      <c r="CM4" s="30">
        <v>-1.3533868826925749E-2</v>
      </c>
      <c r="CN4" s="30">
        <v>-1.659691147506237E-2</v>
      </c>
      <c r="CO4" s="30">
        <v>-1.24882385134697E-2</v>
      </c>
      <c r="CP4" s="30">
        <v>-1.5990793704986569E-2</v>
      </c>
      <c r="CQ4" s="30">
        <v>-7.2096372023224831E-3</v>
      </c>
      <c r="CR4" s="30">
        <v>-2.841118723154068E-2</v>
      </c>
      <c r="CS4" s="30">
        <v>-3.007250651717186E-2</v>
      </c>
      <c r="CT4" s="30">
        <v>-2.765975333750248E-2</v>
      </c>
      <c r="CU4" s="30">
        <v>-1.706959493458271E-2</v>
      </c>
      <c r="CV4" s="30">
        <v>-1.7912266775965691E-2</v>
      </c>
      <c r="CW4" s="30">
        <v>-1.239021867513657E-2</v>
      </c>
      <c r="CX4" s="30">
        <v>-1.7721431329846379E-2</v>
      </c>
      <c r="CY4" s="30">
        <v>-1.9734646193683152E-3</v>
      </c>
      <c r="CZ4" s="30">
        <v>8.7843285873532295E-3</v>
      </c>
      <c r="DA4" s="30">
        <v>-3.2751679420471191E-2</v>
      </c>
      <c r="DB4" s="30">
        <v>-9.1977678239345551E-3</v>
      </c>
      <c r="DC4" s="30">
        <v>-4.3027768842875957E-3</v>
      </c>
      <c r="DD4" s="30">
        <v>-1.7814325168728828E-2</v>
      </c>
      <c r="DE4" s="30">
        <v>4.1021797806024551E-3</v>
      </c>
      <c r="DF4" s="30">
        <v>-7.2315400466322899E-3</v>
      </c>
      <c r="DG4" s="30">
        <v>4.2892070487141609E-3</v>
      </c>
      <c r="DH4" s="30">
        <v>9.5487143844366074E-3</v>
      </c>
      <c r="DI4" s="30">
        <v>7.0580318570137024E-3</v>
      </c>
      <c r="DJ4" s="30">
        <v>6.8894680589437476E-3</v>
      </c>
      <c r="DK4" s="30">
        <v>7.0452648214995861E-3</v>
      </c>
      <c r="DL4" s="30">
        <v>7.8367050737142563E-3</v>
      </c>
      <c r="DM4" s="30">
        <v>1.132010761648417E-2</v>
      </c>
      <c r="DN4" s="30">
        <v>3.335223533213139E-3</v>
      </c>
      <c r="DO4" s="30">
        <v>1.380339544266462E-2</v>
      </c>
      <c r="DP4" s="30">
        <v>1.0737471282482151E-2</v>
      </c>
      <c r="DQ4" s="30">
        <v>6.1118975281715393E-4</v>
      </c>
      <c r="DR4" s="30">
        <v>1.4212187379598619E-2</v>
      </c>
      <c r="DS4" s="30">
        <v>1.7021110979840159E-3</v>
      </c>
      <c r="DT4" s="30">
        <v>3.5690043587237601E-3</v>
      </c>
      <c r="DU4" s="30">
        <v>2.0074488129466772E-3</v>
      </c>
      <c r="DV4" s="30">
        <v>2.9247954487800602E-2</v>
      </c>
      <c r="DW4" s="30">
        <v>1.8428530544042591E-2</v>
      </c>
      <c r="DX4" s="30">
        <v>1.877508498728275E-2</v>
      </c>
      <c r="DY4" s="30">
        <v>1.251648087054491E-2</v>
      </c>
      <c r="DZ4" s="30">
        <v>1.859314180910587E-2</v>
      </c>
      <c r="EA4" s="30">
        <v>1.8734032288193699E-2</v>
      </c>
      <c r="EB4" s="30">
        <v>1.160619128495455E-2</v>
      </c>
      <c r="EC4" s="30">
        <v>3.1247735023498539E-2</v>
      </c>
      <c r="ED4" s="30">
        <v>1.844197511672974E-2</v>
      </c>
      <c r="EE4" s="30">
        <v>7.5100352987647057E-3</v>
      </c>
      <c r="EF4" s="30">
        <v>1.825511455535889E-2</v>
      </c>
      <c r="EG4" s="16"/>
    </row>
    <row r="5" spans="1:137" ht="16" customHeight="1">
      <c r="A5" s="5"/>
      <c r="B5" s="25" t="s">
        <v>138</v>
      </c>
      <c r="C5" s="30">
        <v>-3.093557246029377E-2</v>
      </c>
      <c r="D5" s="30">
        <v>-7.8517265617847443E-2</v>
      </c>
      <c r="E5" s="30">
        <v>-7.1969844400882721E-2</v>
      </c>
      <c r="F5" s="30">
        <v>-2.1682599559426311E-2</v>
      </c>
      <c r="G5" s="30">
        <v>3.9315680041909218E-3</v>
      </c>
      <c r="H5" s="30">
        <v>-1.978492550551891E-2</v>
      </c>
      <c r="I5" s="30">
        <v>-1.0177304036915301E-2</v>
      </c>
      <c r="J5" s="30">
        <v>-8.2358997315168381E-3</v>
      </c>
      <c r="K5" s="30">
        <v>2.3635530844330791E-2</v>
      </c>
      <c r="L5" s="30">
        <v>-1.4618006534874439E-2</v>
      </c>
      <c r="M5" s="30">
        <v>2.2768089547753331E-2</v>
      </c>
      <c r="N5" s="30">
        <v>-4.363420233130455E-2</v>
      </c>
      <c r="O5" s="30">
        <v>-5.7530194520950317E-2</v>
      </c>
      <c r="P5" s="30">
        <v>-6.1749737709760673E-2</v>
      </c>
      <c r="Q5" s="30">
        <v>-6.4170286059379578E-2</v>
      </c>
      <c r="R5" s="30">
        <v>-5.6614186614751823E-2</v>
      </c>
      <c r="S5" s="30">
        <v>-3.9280273020267487E-2</v>
      </c>
      <c r="T5" s="30">
        <v>-4.5374378561973572E-2</v>
      </c>
      <c r="U5" s="30">
        <v>2.1098524332046509E-2</v>
      </c>
      <c r="V5" s="30">
        <v>-5.0834860652685172E-2</v>
      </c>
      <c r="W5" s="30">
        <v>-4.3037977069616318E-2</v>
      </c>
      <c r="X5" s="30">
        <v>-2.6595532894134521E-2</v>
      </c>
      <c r="Y5" s="30">
        <v>-1.513876207172871E-2</v>
      </c>
      <c r="Z5" s="30">
        <v>-2.4952776730060581E-2</v>
      </c>
      <c r="AA5" s="30">
        <v>-6.4031586050987244E-2</v>
      </c>
      <c r="AB5" s="30">
        <v>-2.9604986310005191E-2</v>
      </c>
      <c r="AC5" s="30">
        <v>-1.944617601111531E-3</v>
      </c>
      <c r="AD5" s="30">
        <v>5.7631758973002434E-3</v>
      </c>
      <c r="AE5" s="30">
        <v>-1.179056335240602E-2</v>
      </c>
      <c r="AF5" s="30">
        <v>-2.2569329012185339E-3</v>
      </c>
      <c r="AG5" s="30">
        <v>-2.7719086036086079E-2</v>
      </c>
      <c r="AH5" s="30">
        <v>-2.121474826708436E-3</v>
      </c>
      <c r="AI5" s="30">
        <v>-2.9802717268466949E-2</v>
      </c>
      <c r="AJ5" s="30">
        <v>-3.3187164808623487E-4</v>
      </c>
      <c r="AK5" s="30">
        <v>1.3484867289662359E-2</v>
      </c>
      <c r="AL5" s="30">
        <v>-7.8548425808548927E-3</v>
      </c>
      <c r="AM5" s="30">
        <v>-2.1816307678818699E-2</v>
      </c>
      <c r="AN5" s="30">
        <v>1.06990709900856E-2</v>
      </c>
      <c r="AO5" s="30">
        <v>1.110227429307997E-3</v>
      </c>
      <c r="AP5" s="30">
        <v>7.9638074385002255E-4</v>
      </c>
      <c r="AQ5" s="30">
        <v>-5.5128955282270908E-3</v>
      </c>
      <c r="AR5" s="30">
        <v>-1.548982225358486E-2</v>
      </c>
      <c r="AS5" s="30">
        <v>-1.3374983333051199E-2</v>
      </c>
      <c r="AT5" s="30">
        <v>-2.8082795906811948E-3</v>
      </c>
      <c r="AU5" s="30">
        <v>1.3588436879217619E-2</v>
      </c>
      <c r="AV5" s="30">
        <v>1.1518656276166441E-2</v>
      </c>
      <c r="AW5" s="30">
        <v>-5.1678195595741272E-3</v>
      </c>
      <c r="AX5" s="30">
        <v>-1.7534591257572171E-2</v>
      </c>
      <c r="AY5" s="30">
        <v>-1.2889344245195391E-2</v>
      </c>
      <c r="AZ5" s="30">
        <v>4.608450923115015E-3</v>
      </c>
      <c r="BA5" s="30">
        <v>-3.7847871426492929E-3</v>
      </c>
      <c r="BB5" s="30">
        <v>-4.9904352053999901E-3</v>
      </c>
      <c r="BC5" s="30">
        <v>-1.7079908400773999E-2</v>
      </c>
      <c r="BD5" s="30">
        <v>-2.3915629833936691E-2</v>
      </c>
      <c r="BE5" s="30">
        <v>2.1333401091396809E-3</v>
      </c>
      <c r="BF5" s="30">
        <v>3.1931266188621521E-2</v>
      </c>
      <c r="BG5" s="30">
        <v>2.271440252661705E-2</v>
      </c>
      <c r="BH5" s="30">
        <v>5.4914258420467377E-2</v>
      </c>
      <c r="BI5" s="30">
        <v>2.3081650957465168E-2</v>
      </c>
      <c r="BJ5" s="30">
        <v>4.1425202041864402E-2</v>
      </c>
      <c r="BK5" s="30">
        <v>-4.5687265694141388E-2</v>
      </c>
      <c r="BL5" s="30">
        <v>-2.4188106879591938E-2</v>
      </c>
      <c r="BM5" s="30">
        <v>-4.5954536646604538E-2</v>
      </c>
      <c r="BN5" s="30">
        <v>-5.2363675087690353E-2</v>
      </c>
      <c r="BO5" s="30">
        <v>-6.0948830097913742E-2</v>
      </c>
      <c r="BP5" s="30">
        <v>-4.6518847346305847E-2</v>
      </c>
      <c r="BQ5" s="30">
        <v>-3.1062062829732891E-2</v>
      </c>
      <c r="BR5" s="30">
        <v>3.2680220901966091E-3</v>
      </c>
      <c r="BS5" s="30">
        <v>6.8480938673019409E-2</v>
      </c>
      <c r="BT5" s="30">
        <v>2.1564350463449951E-3</v>
      </c>
      <c r="BU5" s="30">
        <v>-3.8370478898286819E-2</v>
      </c>
      <c r="BV5" s="30">
        <v>-3.7749018520116813E-2</v>
      </c>
      <c r="BW5" s="30">
        <v>-3.7364158779382713E-2</v>
      </c>
      <c r="BX5" s="30">
        <v>-2.7728324756026271E-2</v>
      </c>
      <c r="BY5" s="30">
        <v>-3.0275849625468251E-2</v>
      </c>
      <c r="BZ5" s="30">
        <v>-4.346185177564621E-2</v>
      </c>
      <c r="CA5" s="30">
        <v>-3.151523694396019E-2</v>
      </c>
      <c r="CB5" s="30">
        <v>-3.108143620193005E-2</v>
      </c>
      <c r="CC5" s="30">
        <v>-3.5361416637897491E-2</v>
      </c>
      <c r="CD5" s="30">
        <v>-3.3158984035253518E-2</v>
      </c>
      <c r="CE5" s="30">
        <v>-2.35139075666666E-2</v>
      </c>
      <c r="CF5" s="30">
        <v>-1.2064295820891861E-2</v>
      </c>
      <c r="CG5" s="30">
        <v>-3.2220706343650818E-3</v>
      </c>
      <c r="CH5" s="30">
        <v>-1.9549626857042309E-2</v>
      </c>
      <c r="CI5" s="30">
        <v>-9.6641974523663521E-3</v>
      </c>
      <c r="CJ5" s="30">
        <v>-2.0440889056771989E-3</v>
      </c>
      <c r="CK5" s="30">
        <v>-2.6424447074532509E-2</v>
      </c>
      <c r="CL5" s="30">
        <v>-4.3267767876386642E-2</v>
      </c>
      <c r="CM5" s="30">
        <v>-1.9405793398618702E-2</v>
      </c>
      <c r="CN5" s="30">
        <v>-2.635003998875618E-2</v>
      </c>
      <c r="CO5" s="30">
        <v>3.1805969774723049E-3</v>
      </c>
      <c r="CP5" s="30">
        <v>-6.2574027106165886E-3</v>
      </c>
      <c r="CQ5" s="30">
        <v>-1.3818861916661261E-2</v>
      </c>
      <c r="CR5" s="30">
        <v>-2.1159159019589421E-2</v>
      </c>
      <c r="CS5" s="30">
        <v>-1.896608434617519E-2</v>
      </c>
      <c r="CT5" s="30">
        <v>-2.906819432973862E-2</v>
      </c>
      <c r="CU5" s="30">
        <v>-5.1458954811096191E-2</v>
      </c>
      <c r="CV5" s="30">
        <v>-2.4589415639638901E-2</v>
      </c>
      <c r="CW5" s="30">
        <v>-4.7959472984075553E-2</v>
      </c>
      <c r="CX5" s="30">
        <v>-2.462939731776714E-2</v>
      </c>
      <c r="CY5" s="30">
        <v>-2.7626641094684601E-2</v>
      </c>
      <c r="CZ5" s="30">
        <v>-5.503227561712265E-2</v>
      </c>
      <c r="DA5" s="30">
        <v>-2.8730303049087521E-2</v>
      </c>
      <c r="DB5" s="30">
        <v>-6.6727802157402039E-2</v>
      </c>
      <c r="DC5" s="30">
        <v>-0.1073298379778862</v>
      </c>
      <c r="DD5" s="30">
        <v>-5.2791092544794083E-2</v>
      </c>
      <c r="DE5" s="30">
        <v>-6.0571521520614617E-2</v>
      </c>
      <c r="DF5" s="30">
        <v>-3.9159800857305527E-2</v>
      </c>
      <c r="DG5" s="30">
        <v>-5.1414530724287033E-2</v>
      </c>
      <c r="DH5" s="30">
        <v>-6.5701395273208618E-2</v>
      </c>
      <c r="DI5" s="30">
        <v>-3.3493325114250183E-2</v>
      </c>
      <c r="DJ5" s="30">
        <v>-2.4839011952281002E-2</v>
      </c>
      <c r="DK5" s="30">
        <v>-2.238474972546101E-2</v>
      </c>
      <c r="DL5" s="30">
        <v>-3.6509480327367783E-2</v>
      </c>
      <c r="DM5" s="30">
        <v>-3.9328606799244881E-3</v>
      </c>
      <c r="DN5" s="30">
        <v>-9.6125034615397453E-3</v>
      </c>
      <c r="DO5" s="30">
        <v>1.495146192610264E-2</v>
      </c>
      <c r="DP5" s="30">
        <v>-3.1372068915516138E-3</v>
      </c>
      <c r="DQ5" s="30">
        <v>-2.8361598961055279E-3</v>
      </c>
      <c r="DR5" s="30">
        <v>5.198170430958271E-3</v>
      </c>
      <c r="DS5" s="30">
        <v>1.1405284516513349E-2</v>
      </c>
      <c r="DT5" s="30">
        <v>-6.4447050681337714E-4</v>
      </c>
      <c r="DU5" s="30">
        <v>-1.273592282086611E-2</v>
      </c>
      <c r="DV5" s="30">
        <v>-2.1273775026202198E-2</v>
      </c>
      <c r="DW5" s="30">
        <v>-1.183168590068817E-2</v>
      </c>
      <c r="DX5" s="30">
        <v>-4.303129855543375E-3</v>
      </c>
      <c r="DY5" s="30">
        <v>5.929900798946619E-3</v>
      </c>
      <c r="DZ5" s="30">
        <v>-3.1490330584347248E-3</v>
      </c>
      <c r="EA5" s="30">
        <v>-8.7568778544664383E-3</v>
      </c>
      <c r="EB5" s="30">
        <v>4.7055804170668134E-3</v>
      </c>
      <c r="EC5" s="30">
        <v>-1.4093491248786449E-2</v>
      </c>
      <c r="ED5" s="30">
        <v>-7.3874481022357941E-3</v>
      </c>
      <c r="EE5" s="30">
        <v>-2.4573959410190579E-2</v>
      </c>
      <c r="EF5" s="30">
        <v>-3.00772450864315E-2</v>
      </c>
      <c r="EG5" s="16"/>
    </row>
    <row r="6" spans="1:137" ht="16" customHeight="1">
      <c r="A6" s="5"/>
      <c r="B6" s="25" t="s">
        <v>139</v>
      </c>
      <c r="C6" s="30">
        <v>2.2974487394094471E-2</v>
      </c>
      <c r="D6" s="30">
        <v>1.7081409692764279E-2</v>
      </c>
      <c r="E6" s="30">
        <v>3.1377147883176797E-2</v>
      </c>
      <c r="F6" s="30">
        <v>1.6779405996203419E-2</v>
      </c>
      <c r="G6" s="30">
        <v>-1.317084766924381E-3</v>
      </c>
      <c r="H6" s="30">
        <v>1.38464504852891E-2</v>
      </c>
      <c r="I6" s="30">
        <v>2.191024087369442E-2</v>
      </c>
      <c r="J6" s="30">
        <v>1.260905526578426E-2</v>
      </c>
      <c r="K6" s="30">
        <v>-5.0779725424945346E-3</v>
      </c>
      <c r="L6" s="30">
        <v>5.8798324316740036E-3</v>
      </c>
      <c r="M6" s="30">
        <v>1.3324283063411709E-2</v>
      </c>
      <c r="N6" s="30">
        <v>1.7233520746231079E-2</v>
      </c>
      <c r="O6" s="30">
        <v>-5.6088712881319218E-5</v>
      </c>
      <c r="P6" s="30">
        <v>-6.2972903251647949E-3</v>
      </c>
      <c r="Q6" s="30">
        <v>2.4710532277822491E-2</v>
      </c>
      <c r="R6" s="30">
        <v>1.392411347478628E-2</v>
      </c>
      <c r="S6" s="30">
        <v>2.3693526163697239E-2</v>
      </c>
      <c r="T6" s="30">
        <v>1.9597101956605911E-2</v>
      </c>
      <c r="U6" s="30">
        <v>1.067257020622492E-2</v>
      </c>
      <c r="V6" s="30">
        <v>2.010666020214558E-2</v>
      </c>
      <c r="W6" s="30">
        <v>1.6704599838703871E-3</v>
      </c>
      <c r="X6" s="30">
        <v>2.5238168891519308E-3</v>
      </c>
      <c r="Y6" s="30">
        <v>9.2325033619999886E-3</v>
      </c>
      <c r="Z6" s="30">
        <v>1.28249591216445E-2</v>
      </c>
      <c r="AA6" s="30">
        <v>9.0660788118839264E-3</v>
      </c>
      <c r="AB6" s="30">
        <v>-1.209302456118166E-3</v>
      </c>
      <c r="AC6" s="30">
        <v>-6.8358690477907658E-3</v>
      </c>
      <c r="AD6" s="30">
        <v>1.9463960779830809E-3</v>
      </c>
      <c r="AE6" s="30">
        <v>1.42386257648468E-2</v>
      </c>
      <c r="AF6" s="30">
        <v>8.8263219222426414E-3</v>
      </c>
      <c r="AG6" s="30">
        <v>2.088212966918945E-2</v>
      </c>
      <c r="AH6" s="30">
        <v>5.198381096124649E-2</v>
      </c>
      <c r="AI6" s="30">
        <v>1.8810819834470749E-2</v>
      </c>
      <c r="AJ6" s="30">
        <v>1.617512293159962E-2</v>
      </c>
      <c r="AK6" s="30">
        <v>1.7538744956254959E-2</v>
      </c>
      <c r="AL6" s="30">
        <v>1.953974366188049E-2</v>
      </c>
      <c r="AM6" s="30">
        <v>1.2414112687110899E-2</v>
      </c>
      <c r="AN6" s="30">
        <v>-3.0713342130184169E-3</v>
      </c>
      <c r="AO6" s="30">
        <v>1.8124989001080389E-3</v>
      </c>
      <c r="AP6" s="30">
        <v>2.7226977050304409E-2</v>
      </c>
      <c r="AQ6" s="30">
        <v>1.5237000770866869E-2</v>
      </c>
      <c r="AR6" s="30">
        <v>2.0699001848697659E-2</v>
      </c>
      <c r="AS6" s="30">
        <v>1.803973130881786E-2</v>
      </c>
      <c r="AT6" s="30">
        <v>1.9905209541320801E-2</v>
      </c>
      <c r="AU6" s="30">
        <v>1.392220333218575E-2</v>
      </c>
      <c r="AV6" s="30">
        <v>1.49183738976717E-2</v>
      </c>
      <c r="AW6" s="30">
        <v>2.6367004029452801E-3</v>
      </c>
      <c r="AX6" s="30">
        <v>4.1243366897106171E-2</v>
      </c>
      <c r="AY6" s="30">
        <v>1.622296683490276E-2</v>
      </c>
      <c r="AZ6" s="30">
        <v>2.0173013210296631E-2</v>
      </c>
      <c r="BA6" s="30">
        <v>1.64332315325737E-2</v>
      </c>
      <c r="BB6" s="30">
        <v>2.2108843550086021E-2</v>
      </c>
      <c r="BC6" s="30">
        <v>2.0426224917173389E-2</v>
      </c>
      <c r="BD6" s="30">
        <v>1.4836631715297701E-2</v>
      </c>
      <c r="BE6" s="30">
        <v>1.464955974370241E-2</v>
      </c>
      <c r="BF6" s="30">
        <v>9.8656453192234039E-3</v>
      </c>
      <c r="BG6" s="30">
        <v>6.5305721946060658E-3</v>
      </c>
      <c r="BH6" s="30">
        <v>4.2353100143373013E-3</v>
      </c>
      <c r="BI6" s="30">
        <v>5.6681097485125056E-3</v>
      </c>
      <c r="BJ6" s="30">
        <v>2.540989313274622E-3</v>
      </c>
      <c r="BK6" s="30">
        <v>2.1666570100933309E-3</v>
      </c>
      <c r="BL6" s="30">
        <v>3.3819519449025388E-3</v>
      </c>
      <c r="BM6" s="30">
        <v>4.0704761631786823E-3</v>
      </c>
      <c r="BN6" s="30">
        <v>8.9805722236633301E-3</v>
      </c>
      <c r="BO6" s="30">
        <v>9.7311185672879219E-3</v>
      </c>
      <c r="BP6" s="30">
        <v>4.8173125833272934E-3</v>
      </c>
      <c r="BQ6" s="30">
        <v>9.8657906055450439E-3</v>
      </c>
      <c r="BR6" s="30">
        <v>1.3763009570538999E-2</v>
      </c>
      <c r="BS6" s="30">
        <v>1.4573461376130579E-2</v>
      </c>
      <c r="BT6" s="30">
        <v>2.0938688889145851E-2</v>
      </c>
      <c r="BU6" s="30">
        <v>1.4000543393194681E-2</v>
      </c>
      <c r="BV6" s="30">
        <v>1.9158285111188889E-2</v>
      </c>
      <c r="BW6" s="30">
        <v>1.7214477062225338E-2</v>
      </c>
      <c r="BX6" s="30">
        <v>1.1270095594227311E-2</v>
      </c>
      <c r="BY6" s="30">
        <v>2.503050863742828E-2</v>
      </c>
      <c r="BZ6" s="30">
        <v>3.1615070998668671E-2</v>
      </c>
      <c r="CA6" s="30">
        <v>2.5428475812077519E-2</v>
      </c>
      <c r="CB6" s="30">
        <v>0.11305705457925801</v>
      </c>
      <c r="CC6" s="30">
        <v>2.7973102405667302E-2</v>
      </c>
      <c r="CD6" s="30">
        <v>7.6278587803244591E-3</v>
      </c>
      <c r="CE6" s="30">
        <v>1.3782011345028881E-2</v>
      </c>
      <c r="CF6" s="30">
        <v>2.5310907512903209E-3</v>
      </c>
      <c r="CG6" s="30">
        <v>1.7127167666330929E-3</v>
      </c>
      <c r="CH6" s="30">
        <v>-5.0100181251764297E-3</v>
      </c>
      <c r="CI6" s="30">
        <v>3.2922136597335339E-3</v>
      </c>
      <c r="CJ6" s="30">
        <v>8.8564753532409668E-2</v>
      </c>
      <c r="CK6" s="30">
        <v>1.210253778845072E-2</v>
      </c>
      <c r="CL6" s="30">
        <v>1.323739159852266E-2</v>
      </c>
      <c r="CM6" s="30">
        <v>1.0921693406999109E-2</v>
      </c>
      <c r="CN6" s="30">
        <v>4.0465407073497772E-3</v>
      </c>
      <c r="CO6" s="30">
        <v>1.302310964092612E-3</v>
      </c>
      <c r="CP6" s="30">
        <v>1.0241216048598289E-2</v>
      </c>
      <c r="CQ6" s="30">
        <v>5.9799491427838802E-3</v>
      </c>
      <c r="CR6" s="30">
        <v>-7.5976653024554253E-3</v>
      </c>
      <c r="CS6" s="30">
        <v>2.3250426165759559E-3</v>
      </c>
      <c r="CT6" s="30">
        <v>2.201069891452789E-2</v>
      </c>
      <c r="CU6" s="30">
        <v>2.3386678658425808E-3</v>
      </c>
      <c r="CV6" s="30">
        <v>7.6710118446499109E-4</v>
      </c>
      <c r="CW6" s="30">
        <v>8.8794771581888199E-3</v>
      </c>
      <c r="CX6" s="30">
        <v>1.35622089728713E-2</v>
      </c>
      <c r="CY6" s="30">
        <v>1.2153903022408491E-2</v>
      </c>
      <c r="CZ6" s="30">
        <v>1.677262969315052E-2</v>
      </c>
      <c r="DA6" s="30">
        <v>1.464688777923584E-2</v>
      </c>
      <c r="DB6" s="30">
        <v>1.7232054844498631E-2</v>
      </c>
      <c r="DC6" s="30">
        <v>1.39602292329073E-2</v>
      </c>
      <c r="DD6" s="30">
        <v>9.7235096618533134E-3</v>
      </c>
      <c r="DE6" s="30">
        <v>1.149020344018936E-2</v>
      </c>
      <c r="DF6" s="30">
        <v>5.3679053671658039E-3</v>
      </c>
      <c r="DG6" s="30">
        <v>6.8998713977634907E-3</v>
      </c>
      <c r="DH6" s="30">
        <v>7.6307100243866444E-3</v>
      </c>
      <c r="DI6" s="30">
        <v>1.1459525674581529E-2</v>
      </c>
      <c r="DJ6" s="30">
        <v>9.3496376648545265E-3</v>
      </c>
      <c r="DK6" s="30">
        <v>1.047230791300535E-2</v>
      </c>
      <c r="DL6" s="30">
        <v>9.9879391491413116E-3</v>
      </c>
      <c r="DM6" s="30">
        <v>1.4417587779462339E-2</v>
      </c>
      <c r="DN6" s="30">
        <v>1.5461321920156481E-2</v>
      </c>
      <c r="DO6" s="30">
        <v>7.2593644261360168E-2</v>
      </c>
      <c r="DP6" s="30">
        <v>6.6633999347686768E-2</v>
      </c>
      <c r="DQ6" s="30">
        <v>7.6050832867622375E-2</v>
      </c>
      <c r="DR6" s="30">
        <v>7.9444080591201782E-2</v>
      </c>
      <c r="DS6" s="30">
        <v>9.6407637000083923E-2</v>
      </c>
      <c r="DT6" s="30">
        <v>9.8738469183444977E-2</v>
      </c>
      <c r="DU6" s="30">
        <v>8.4987722337245941E-2</v>
      </c>
      <c r="DV6" s="30">
        <v>8.3614706993103027E-2</v>
      </c>
      <c r="DW6" s="30">
        <v>7.9545408487319946E-2</v>
      </c>
      <c r="DX6" s="30">
        <v>9.6235953271389008E-2</v>
      </c>
      <c r="DY6" s="30">
        <v>0.10154732316732409</v>
      </c>
      <c r="DZ6" s="30">
        <v>0.13149091601371771</v>
      </c>
      <c r="EA6" s="30">
        <v>0.1148593798279762</v>
      </c>
      <c r="EB6" s="30">
        <v>0.11237455904483799</v>
      </c>
      <c r="EC6" s="30">
        <v>0.12511362135410309</v>
      </c>
      <c r="ED6" s="30">
        <v>3.1657200306653983E-2</v>
      </c>
      <c r="EE6" s="30">
        <v>2.9610974714159969E-2</v>
      </c>
      <c r="EF6" s="30">
        <v>3.123905323445797E-2</v>
      </c>
      <c r="EG6" s="16"/>
    </row>
    <row r="7" spans="1:137" ht="16" customHeight="1">
      <c r="A7" s="5"/>
      <c r="B7" s="25" t="s">
        <v>140</v>
      </c>
      <c r="C7" s="30">
        <v>2.1774524357169871E-3</v>
      </c>
      <c r="D7" s="30">
        <v>1.301506627351046E-2</v>
      </c>
      <c r="E7" s="30">
        <v>9.8455846309661865E-3</v>
      </c>
      <c r="F7" s="30">
        <v>8.0243432894349098E-3</v>
      </c>
      <c r="G7" s="30">
        <v>-5.2677239291369924E-3</v>
      </c>
      <c r="H7" s="30">
        <v>1.4040330424904819E-3</v>
      </c>
      <c r="I7" s="30">
        <v>3.35096032358706E-3</v>
      </c>
      <c r="J7" s="30">
        <v>-4.0541882626712322E-3</v>
      </c>
      <c r="K7" s="30">
        <v>1.641397830098867E-3</v>
      </c>
      <c r="L7" s="30">
        <v>-3.6045860033482309E-3</v>
      </c>
      <c r="M7" s="30">
        <v>2.5401564780622721E-3</v>
      </c>
      <c r="N7" s="30">
        <v>-8.9025497436523438E-3</v>
      </c>
      <c r="O7" s="30">
        <v>1.0533438064157959E-2</v>
      </c>
      <c r="P7" s="30">
        <v>9.7276493906974792E-3</v>
      </c>
      <c r="Q7" s="30">
        <v>1.1463933624327179E-2</v>
      </c>
      <c r="R7" s="30">
        <v>2.0894568413496021E-2</v>
      </c>
      <c r="S7" s="30">
        <v>2.1158933639526371E-2</v>
      </c>
      <c r="T7" s="30">
        <v>2.5689143687486649E-2</v>
      </c>
      <c r="U7" s="30">
        <v>2.4543272331356999E-2</v>
      </c>
      <c r="V7" s="30">
        <v>1.1583937332034109E-2</v>
      </c>
      <c r="W7" s="30">
        <v>1.7569646239280701E-2</v>
      </c>
      <c r="X7" s="30">
        <v>8.7800547480583191E-2</v>
      </c>
      <c r="Y7" s="30">
        <v>5.0161927938461297E-2</v>
      </c>
      <c r="Z7" s="30">
        <v>3.1262714415788651E-2</v>
      </c>
      <c r="AA7" s="30">
        <v>4.2858966626226902E-3</v>
      </c>
      <c r="AB7" s="30">
        <v>4.6123538166284561E-2</v>
      </c>
      <c r="AC7" s="30">
        <v>8.0575473606586456E-2</v>
      </c>
      <c r="AD7" s="30">
        <v>3.6530923098325729E-2</v>
      </c>
      <c r="AE7" s="30">
        <v>2.4605680257081989E-2</v>
      </c>
      <c r="AF7" s="30">
        <v>1.2908365577459341E-2</v>
      </c>
      <c r="AG7" s="30">
        <v>2.1753383800387379E-2</v>
      </c>
      <c r="AH7" s="30">
        <v>3.0683320946991439E-3</v>
      </c>
      <c r="AI7" s="30">
        <v>8.5161365568637848E-3</v>
      </c>
      <c r="AJ7" s="30">
        <v>-4.9905562773346901E-3</v>
      </c>
      <c r="AK7" s="30">
        <v>-4.0547512471675873E-3</v>
      </c>
      <c r="AL7" s="30">
        <v>9.6464334055781364E-3</v>
      </c>
      <c r="AM7" s="30">
        <v>2.0504780113697049E-2</v>
      </c>
      <c r="AN7" s="30">
        <v>2.0692810416221619E-2</v>
      </c>
      <c r="AO7" s="30">
        <v>4.6984786167740822E-3</v>
      </c>
      <c r="AP7" s="30">
        <v>-4.5743486844003201E-3</v>
      </c>
      <c r="AQ7" s="30">
        <v>-6.8781576119363308E-3</v>
      </c>
      <c r="AR7" s="30">
        <v>-9.8103778436779976E-3</v>
      </c>
      <c r="AS7" s="30">
        <v>-9.5568029209971428E-3</v>
      </c>
      <c r="AT7" s="30">
        <v>5.923053715378046E-3</v>
      </c>
      <c r="AU7" s="30">
        <v>1.4722419437021019E-3</v>
      </c>
      <c r="AV7" s="30">
        <v>2.8763983398675919E-2</v>
      </c>
      <c r="AW7" s="30">
        <v>2.653876505792141E-2</v>
      </c>
      <c r="AX7" s="30">
        <v>8.3058588206768036E-3</v>
      </c>
      <c r="AY7" s="30">
        <v>5.37489028647542E-3</v>
      </c>
      <c r="AZ7" s="30">
        <v>1.18672801181674E-2</v>
      </c>
      <c r="BA7" s="30">
        <v>1.1852427385747429E-2</v>
      </c>
      <c r="BB7" s="30">
        <v>3.2360877841711037E-2</v>
      </c>
      <c r="BC7" s="30">
        <v>1.428650598973036E-2</v>
      </c>
      <c r="BD7" s="30">
        <v>7.969927042722702E-3</v>
      </c>
      <c r="BE7" s="30">
        <v>-6.0811341973021626E-4</v>
      </c>
      <c r="BF7" s="30">
        <v>-1.118848752230406E-2</v>
      </c>
      <c r="BG7" s="30">
        <v>-1.926126517355442E-2</v>
      </c>
      <c r="BH7" s="30">
        <v>-2.15022973716259E-2</v>
      </c>
      <c r="BI7" s="30">
        <v>5.8418240398168557E-2</v>
      </c>
      <c r="BJ7" s="30">
        <v>4.0143381804227829E-2</v>
      </c>
      <c r="BK7" s="30">
        <v>2.839156799018383E-2</v>
      </c>
      <c r="BL7" s="30">
        <v>2.5553938001394268E-2</v>
      </c>
      <c r="BM7" s="30">
        <v>9.6509531140327454E-3</v>
      </c>
      <c r="BN7" s="30">
        <v>4.6400707215070716E-3</v>
      </c>
      <c r="BO7" s="30">
        <v>3.6845332942903042E-3</v>
      </c>
      <c r="BP7" s="30">
        <v>1.329131051898003E-2</v>
      </c>
      <c r="BQ7" s="30">
        <v>7.8903371468186378E-3</v>
      </c>
      <c r="BR7" s="30">
        <v>7.0404992438852787E-3</v>
      </c>
      <c r="BS7" s="30">
        <v>7.1611646562814713E-3</v>
      </c>
      <c r="BT7" s="30">
        <v>1.4413587749004361E-2</v>
      </c>
      <c r="BU7" s="30">
        <v>1.103820279240608E-2</v>
      </c>
      <c r="BV7" s="30">
        <v>2.3246251046657559E-2</v>
      </c>
      <c r="BW7" s="30">
        <v>2.311362512409687E-2</v>
      </c>
      <c r="BX7" s="30">
        <v>7.0206619799137115E-2</v>
      </c>
      <c r="BY7" s="30">
        <v>6.1465926468372338E-2</v>
      </c>
      <c r="BZ7" s="30">
        <v>5.822661891579628E-2</v>
      </c>
      <c r="CA7" s="30">
        <v>4.9403347074985504E-3</v>
      </c>
      <c r="CB7" s="30">
        <v>1.0325175710022449E-2</v>
      </c>
      <c r="CC7" s="30">
        <v>5.5629480630159378E-4</v>
      </c>
      <c r="CD7" s="30">
        <v>2.5742873549461361E-2</v>
      </c>
      <c r="CE7" s="30">
        <v>2.6346748694777489E-2</v>
      </c>
      <c r="CF7" s="30">
        <v>2.078045159578323E-2</v>
      </c>
      <c r="CG7" s="30">
        <v>1.9359627738595009E-2</v>
      </c>
      <c r="CH7" s="30">
        <v>2.7750680223107341E-2</v>
      </c>
      <c r="CI7" s="30">
        <v>2.482840791344643E-2</v>
      </c>
      <c r="CJ7" s="30">
        <v>2.208101749420166E-2</v>
      </c>
      <c r="CK7" s="30">
        <v>8.6565986275672913E-3</v>
      </c>
      <c r="CL7" s="30">
        <v>7.0795947685837746E-3</v>
      </c>
      <c r="CM7" s="30">
        <v>8.4662102162837982E-3</v>
      </c>
      <c r="CN7" s="30">
        <v>2.7852556668221951E-3</v>
      </c>
      <c r="CO7" s="30">
        <v>6.0324417427182198E-3</v>
      </c>
      <c r="CP7" s="30">
        <v>4.8775835894048214E-3</v>
      </c>
      <c r="CQ7" s="30">
        <v>-8.8366348063573241E-4</v>
      </c>
      <c r="CR7" s="30">
        <v>-2.9415215831249948E-3</v>
      </c>
      <c r="CS7" s="30">
        <v>-6.5762377344071874E-3</v>
      </c>
      <c r="CT7" s="30">
        <v>-5.0856703892350197E-3</v>
      </c>
      <c r="CU7" s="30">
        <v>3.7310883402824402E-2</v>
      </c>
      <c r="CV7" s="30">
        <v>3.0856955796480179E-2</v>
      </c>
      <c r="CW7" s="30">
        <v>1.9465599209070209E-2</v>
      </c>
      <c r="CX7" s="30">
        <v>2.1523755043745041E-2</v>
      </c>
      <c r="CY7" s="30">
        <v>3.0290527269244191E-2</v>
      </c>
      <c r="CZ7" s="30">
        <v>3.0590202659368518E-2</v>
      </c>
      <c r="DA7" s="30">
        <v>2.849986590445042E-2</v>
      </c>
      <c r="DB7" s="30">
        <v>2.1195517852902409E-2</v>
      </c>
      <c r="DC7" s="30">
        <v>2.6068830862641331E-2</v>
      </c>
      <c r="DD7" s="30">
        <v>5.9307549148797989E-2</v>
      </c>
      <c r="DE7" s="30">
        <v>1.9247701391577721E-2</v>
      </c>
      <c r="DF7" s="30">
        <v>1.8887985497713089E-2</v>
      </c>
      <c r="DG7" s="30">
        <v>1.481551211327314E-2</v>
      </c>
      <c r="DH7" s="30">
        <v>1.667135767638683E-2</v>
      </c>
      <c r="DI7" s="30">
        <v>1.7327722162008289E-2</v>
      </c>
      <c r="DJ7" s="30">
        <v>1.56103502959013E-2</v>
      </c>
      <c r="DK7" s="30">
        <v>1.583695225417614E-2</v>
      </c>
      <c r="DL7" s="30">
        <v>1.7583077773451809E-2</v>
      </c>
      <c r="DM7" s="30">
        <v>1.280764956027269E-2</v>
      </c>
      <c r="DN7" s="30">
        <v>2.0481692627072331E-2</v>
      </c>
      <c r="DO7" s="30">
        <v>1.108080800622702E-2</v>
      </c>
      <c r="DP7" s="30">
        <v>1.5453166328370569E-2</v>
      </c>
      <c r="DQ7" s="30">
        <v>1.020689029246569E-2</v>
      </c>
      <c r="DR7" s="30">
        <v>1.2916479259729391E-2</v>
      </c>
      <c r="DS7" s="30">
        <v>1.966420374810696E-2</v>
      </c>
      <c r="DT7" s="30">
        <v>2.2220226004719731E-2</v>
      </c>
      <c r="DU7" s="30">
        <v>2.3969663307070729E-2</v>
      </c>
      <c r="DV7" s="30">
        <v>1.4732354320585729E-2</v>
      </c>
      <c r="DW7" s="30">
        <v>1.3176582753658289E-2</v>
      </c>
      <c r="DX7" s="30">
        <v>1.7936071380972859E-2</v>
      </c>
      <c r="DY7" s="30">
        <v>1.6969321295619011E-2</v>
      </c>
      <c r="DZ7" s="30">
        <v>1.628573052585125E-2</v>
      </c>
      <c r="EA7" s="30">
        <v>1.1118081398308281E-2</v>
      </c>
      <c r="EB7" s="30">
        <v>1.420325227081776E-2</v>
      </c>
      <c r="EC7" s="30">
        <v>8.9012579992413521E-3</v>
      </c>
      <c r="ED7" s="30">
        <v>7.0330379530787468E-3</v>
      </c>
      <c r="EE7" s="30">
        <v>1.109445281326771E-2</v>
      </c>
      <c r="EF7" s="30">
        <v>1.149675436317921E-2</v>
      </c>
    </row>
    <row r="8" spans="1:137" ht="16" customHeight="1">
      <c r="A8" s="50" t="s">
        <v>141</v>
      </c>
      <c r="B8" s="51"/>
      <c r="C8" s="19">
        <f t="array" ref="C8">MATCH(MAX(ABS(C3:C7)), ABS(C3:C7), 0)</f>
        <v>1</v>
      </c>
      <c r="D8" s="19">
        <f t="array" ref="D8">MATCH(MAX(ABS(D3:D7)), ABS(D3:D7), 0)</f>
        <v>3</v>
      </c>
      <c r="E8" s="19">
        <f t="array" ref="E8">MATCH(MAX(ABS(E3:E7)), ABS(E3:E7), 0)</f>
        <v>3</v>
      </c>
      <c r="F8" s="19">
        <f t="array" ref="F8">MATCH(MAX(ABS(F3:F7)), ABS(F3:F7), 0)</f>
        <v>1</v>
      </c>
      <c r="G8" s="19">
        <f t="array" ref="G8">MATCH(MAX(ABS(G3:G7)), ABS(G3:G7), 0)</f>
        <v>1</v>
      </c>
      <c r="H8" s="19">
        <f t="array" ref="H8">MATCH(MAX(ABS(H3:H7)), ABS(H3:H7), 0)</f>
        <v>3</v>
      </c>
      <c r="I8" s="19">
        <f t="array" ref="I8">MATCH(MAX(ABS(I3:I7)), ABS(I3:I7), 0)</f>
        <v>2</v>
      </c>
      <c r="J8" s="19">
        <f t="array" ref="J8">MATCH(MAX(ABS(J3:J7)), ABS(J3:J7), 0)</f>
        <v>1</v>
      </c>
      <c r="K8" s="19">
        <f t="array" ref="K8">MATCH(MAX(ABS(K3:K7)), ABS(K3:K7), 0)</f>
        <v>2</v>
      </c>
      <c r="L8" s="19">
        <f t="array" ref="L8">MATCH(MAX(ABS(L3:L7)), ABS(L3:L7), 0)</f>
        <v>1</v>
      </c>
      <c r="M8" s="19">
        <f t="array" ref="M8">MATCH(MAX(ABS(M3:M7)), ABS(M3:M7), 0)</f>
        <v>2</v>
      </c>
      <c r="N8" s="19">
        <f t="array" ref="N8">MATCH(MAX(ABS(N3:N7)), ABS(N3:N7), 0)</f>
        <v>3</v>
      </c>
      <c r="O8" s="19">
        <f t="array" ref="O8">MATCH(MAX(ABS(O3:O7)), ABS(O3:O7), 0)</f>
        <v>3</v>
      </c>
      <c r="P8" s="19">
        <f t="array" ref="P8">MATCH(MAX(ABS(P3:P7)), ABS(P3:P7), 0)</f>
        <v>3</v>
      </c>
      <c r="Q8" s="19">
        <f t="array" ref="Q8">MATCH(MAX(ABS(Q3:Q7)), ABS(Q3:Q7), 0)</f>
        <v>3</v>
      </c>
      <c r="R8" s="19">
        <f t="array" ref="R8">MATCH(MAX(ABS(R3:R7)), ABS(R3:R7), 0)</f>
        <v>3</v>
      </c>
      <c r="S8" s="19">
        <f t="array" ref="S8">MATCH(MAX(ABS(S3:S7)), ABS(S3:S7), 0)</f>
        <v>3</v>
      </c>
      <c r="T8" s="19">
        <f t="array" ref="T8">MATCH(MAX(ABS(T3:T7)), ABS(T3:T7), 0)</f>
        <v>3</v>
      </c>
      <c r="U8" s="19">
        <f t="array" ref="U8">MATCH(MAX(ABS(U3:U7)), ABS(U3:U7), 0)</f>
        <v>5</v>
      </c>
      <c r="V8" s="19">
        <f t="array" ref="V8">MATCH(MAX(ABS(V3:V7)), ABS(V3:V7), 0)</f>
        <v>3</v>
      </c>
      <c r="W8" s="19">
        <f t="array" ref="W8">MATCH(MAX(ABS(W3:W7)), ABS(W3:W7), 0)</f>
        <v>3</v>
      </c>
      <c r="X8" s="19">
        <f t="array" ref="X8">MATCH(MAX(ABS(X3:X7)), ABS(X3:X7), 0)</f>
        <v>5</v>
      </c>
      <c r="Y8" s="19">
        <f t="array" ref="Y8">MATCH(MAX(ABS(Y3:Y7)), ABS(Y3:Y7), 0)</f>
        <v>5</v>
      </c>
      <c r="Z8" s="19">
        <f t="array" ref="Z8">MATCH(MAX(ABS(Z3:Z7)), ABS(Z3:Z7), 0)</f>
        <v>2</v>
      </c>
      <c r="AA8" s="19">
        <f t="array" ref="AA8">MATCH(MAX(ABS(AA3:AA7)), ABS(AA3:AA7), 0)</f>
        <v>2</v>
      </c>
      <c r="AB8" s="19">
        <f t="array" ref="AB8">MATCH(MAX(ABS(AB3:AB7)), ABS(AB3:AB7), 0)</f>
        <v>2</v>
      </c>
      <c r="AC8" s="19">
        <f t="array" ref="AC8">MATCH(MAX(ABS(AC3:AC7)), ABS(AC3:AC7), 0)</f>
        <v>5</v>
      </c>
      <c r="AD8" s="19">
        <f t="array" ref="AD8">MATCH(MAX(ABS(AD3:AD7)), ABS(AD3:AD7), 0)</f>
        <v>2</v>
      </c>
      <c r="AE8" s="19">
        <f t="array" ref="AE8">MATCH(MAX(ABS(AE3:AE7)), ABS(AE3:AE7), 0)</f>
        <v>2</v>
      </c>
      <c r="AF8" s="19">
        <f t="array" ref="AF8">MATCH(MAX(ABS(AF3:AF7)), ABS(AF3:AF7), 0)</f>
        <v>2</v>
      </c>
      <c r="AG8" s="19">
        <f t="array" ref="AG8">MATCH(MAX(ABS(AG3:AG7)), ABS(AG3:AG7), 0)</f>
        <v>1</v>
      </c>
      <c r="AH8" s="19">
        <f t="array" ref="AH8">MATCH(MAX(ABS(AH3:AH7)), ABS(AH3:AH7), 0)</f>
        <v>4</v>
      </c>
      <c r="AI8" s="19">
        <f t="array" ref="AI8">MATCH(MAX(ABS(AI3:AI7)), ABS(AI3:AI7), 0)</f>
        <v>3</v>
      </c>
      <c r="AJ8" s="19">
        <f t="array" ref="AJ8">MATCH(MAX(ABS(AJ3:AJ7)), ABS(AJ3:AJ7), 0)</f>
        <v>4</v>
      </c>
      <c r="AK8" s="19">
        <f t="array" ref="AK8">MATCH(MAX(ABS(AK3:AK7)), ABS(AK3:AK7), 0)</f>
        <v>1</v>
      </c>
      <c r="AL8" s="19">
        <f t="array" ref="AL8">MATCH(MAX(ABS(AL3:AL7)), ABS(AL3:AL7), 0)</f>
        <v>1</v>
      </c>
      <c r="AM8" s="19">
        <f t="array" ref="AM8">MATCH(MAX(ABS(AM3:AM7)), ABS(AM3:AM7), 0)</f>
        <v>3</v>
      </c>
      <c r="AN8" s="19">
        <f t="array" ref="AN8">MATCH(MAX(ABS(AN3:AN7)), ABS(AN3:AN7), 0)</f>
        <v>1</v>
      </c>
      <c r="AO8" s="19">
        <f t="array" ref="AO8">MATCH(MAX(ABS(AO3:AO7)), ABS(AO3:AO7), 0)</f>
        <v>1</v>
      </c>
      <c r="AP8" s="19">
        <f t="array" ref="AP8">MATCH(MAX(ABS(AP3:AP7)), ABS(AP3:AP7), 0)</f>
        <v>1</v>
      </c>
      <c r="AQ8" s="19">
        <f t="array" ref="AQ8">MATCH(MAX(ABS(AQ3:AQ7)), ABS(AQ3:AQ7), 0)</f>
        <v>1</v>
      </c>
      <c r="AR8" s="19">
        <f t="array" ref="AR8">MATCH(MAX(ABS(AR3:AR7)), ABS(AR3:AR7), 0)</f>
        <v>4</v>
      </c>
      <c r="AS8" s="19">
        <f t="array" ref="AS8">MATCH(MAX(ABS(AS3:AS7)), ABS(AS3:AS7), 0)</f>
        <v>1</v>
      </c>
      <c r="AT8" s="19">
        <f t="array" ref="AT8">MATCH(MAX(ABS(AT3:AT7)), ABS(AT3:AT7), 0)</f>
        <v>4</v>
      </c>
      <c r="AU8" s="19">
        <f t="array" ref="AU8">MATCH(MAX(ABS(AU3:AU7)), ABS(AU3:AU7), 0)</f>
        <v>2</v>
      </c>
      <c r="AV8" s="19">
        <f t="array" ref="AV8">MATCH(MAX(ABS(AV3:AV7)), ABS(AV3:AV7), 0)</f>
        <v>1</v>
      </c>
      <c r="AW8" s="19">
        <f t="array" ref="AW8">MATCH(MAX(ABS(AW3:AW7)), ABS(AW3:AW7), 0)</f>
        <v>5</v>
      </c>
      <c r="AX8" s="19">
        <f t="array" ref="AX8">MATCH(MAX(ABS(AX3:AX7)), ABS(AX3:AX7), 0)</f>
        <v>4</v>
      </c>
      <c r="AY8" s="19">
        <f t="array" ref="AY8">MATCH(MAX(ABS(AY3:AY7)), ABS(AY3:AY7), 0)</f>
        <v>1</v>
      </c>
      <c r="AZ8" s="19">
        <f t="array" ref="AZ8">MATCH(MAX(ABS(AZ3:AZ7)), ABS(AZ3:AZ7), 0)</f>
        <v>1</v>
      </c>
      <c r="BA8" s="19">
        <f t="array" ref="BA8">MATCH(MAX(ABS(BA3:BA7)), ABS(BA3:BA7), 0)</f>
        <v>1</v>
      </c>
      <c r="BB8" s="19">
        <f t="array" ref="BB8">MATCH(MAX(ABS(BB3:BB7)), ABS(BB3:BB7), 0)</f>
        <v>5</v>
      </c>
      <c r="BC8" s="19">
        <f t="array" ref="BC8">MATCH(MAX(ABS(BC3:BC7)), ABS(BC3:BC7), 0)</f>
        <v>1</v>
      </c>
      <c r="BD8" s="19">
        <f t="array" ref="BD8">MATCH(MAX(ABS(BD3:BD7)), ABS(BD3:BD7), 0)</f>
        <v>3</v>
      </c>
      <c r="BE8" s="19">
        <f t="array" ref="BE8">MATCH(MAX(ABS(BE3:BE7)), ABS(BE3:BE7), 0)</f>
        <v>4</v>
      </c>
      <c r="BF8" s="19">
        <f t="array" ref="BF8">MATCH(MAX(ABS(BF3:BF7)), ABS(BF3:BF7), 0)</f>
        <v>1</v>
      </c>
      <c r="BG8" s="19">
        <f t="array" ref="BG8">MATCH(MAX(ABS(BG3:BG7)), ABS(BG3:BG7), 0)</f>
        <v>3</v>
      </c>
      <c r="BH8" s="19">
        <f t="array" ref="BH8">MATCH(MAX(ABS(BH3:BH7)), ABS(BH3:BH7), 0)</f>
        <v>3</v>
      </c>
      <c r="BI8" s="19">
        <f t="array" ref="BI8">MATCH(MAX(ABS(BI3:BI7)), ABS(BI3:BI7), 0)</f>
        <v>1</v>
      </c>
      <c r="BJ8" s="19">
        <f t="array" ref="BJ8">MATCH(MAX(ABS(BJ3:BJ7)), ABS(BJ3:BJ7), 0)</f>
        <v>1</v>
      </c>
      <c r="BK8" s="19">
        <f t="array" ref="BK8">MATCH(MAX(ABS(BK3:BK7)), ABS(BK3:BK7), 0)</f>
        <v>3</v>
      </c>
      <c r="BL8" s="19">
        <f t="array" ref="BL8">MATCH(MAX(ABS(BL3:BL7)), ABS(BL3:BL7), 0)</f>
        <v>1</v>
      </c>
      <c r="BM8" s="19">
        <f t="array" ref="BM8">MATCH(MAX(ABS(BM3:BM7)), ABS(BM3:BM7), 0)</f>
        <v>3</v>
      </c>
      <c r="BN8" s="19">
        <f t="array" ref="BN8">MATCH(MAX(ABS(BN3:BN7)), ABS(BN3:BN7), 0)</f>
        <v>3</v>
      </c>
      <c r="BO8" s="19">
        <f t="array" ref="BO8">MATCH(MAX(ABS(BO3:BO7)), ABS(BO3:BO7), 0)</f>
        <v>3</v>
      </c>
      <c r="BP8" s="19">
        <f t="array" ref="BP8">MATCH(MAX(ABS(BP3:BP7)), ABS(BP3:BP7), 0)</f>
        <v>3</v>
      </c>
      <c r="BQ8" s="19">
        <f t="array" ref="BQ8">MATCH(MAX(ABS(BQ3:BQ7)), ABS(BQ3:BQ7), 0)</f>
        <v>2</v>
      </c>
      <c r="BR8" s="19">
        <f t="array" ref="BR8">MATCH(MAX(ABS(BR3:BR7)), ABS(BR3:BR7), 0)</f>
        <v>2</v>
      </c>
      <c r="BS8" s="19">
        <f t="array" ref="BS8">MATCH(MAX(ABS(BS3:BS7)), ABS(BS3:BS7), 0)</f>
        <v>3</v>
      </c>
      <c r="BT8" s="19">
        <f t="array" ref="BT8">MATCH(MAX(ABS(BT3:BT7)), ABS(BT3:BT7), 0)</f>
        <v>1</v>
      </c>
      <c r="BU8" s="19">
        <f t="array" ref="BU8">MATCH(MAX(ABS(BU3:BU7)), ABS(BU3:BU7), 0)</f>
        <v>3</v>
      </c>
      <c r="BV8" s="19">
        <f t="array" ref="BV8">MATCH(MAX(ABS(BV3:BV7)), ABS(BV3:BV7), 0)</f>
        <v>3</v>
      </c>
      <c r="BW8" s="19">
        <f t="array" ref="BW8">MATCH(MAX(ABS(BW3:BW7)), ABS(BW3:BW7), 0)</f>
        <v>3</v>
      </c>
      <c r="BX8" s="19">
        <f t="array" ref="BX8">MATCH(MAX(ABS(BX3:BX7)), ABS(BX3:BX7), 0)</f>
        <v>5</v>
      </c>
      <c r="BY8" s="19">
        <f t="array" ref="BY8">MATCH(MAX(ABS(BY3:BY7)), ABS(BY3:BY7), 0)</f>
        <v>5</v>
      </c>
      <c r="BZ8" s="19">
        <f t="array" ref="BZ8">MATCH(MAX(ABS(BZ3:BZ7)), ABS(BZ3:BZ7), 0)</f>
        <v>5</v>
      </c>
      <c r="CA8" s="19">
        <f t="array" ref="CA8">MATCH(MAX(ABS(CA3:CA7)), ABS(CA3:CA7), 0)</f>
        <v>3</v>
      </c>
      <c r="CB8" s="19">
        <f t="array" ref="CB8">MATCH(MAX(ABS(CB3:CB7)), ABS(CB3:CB7), 0)</f>
        <v>4</v>
      </c>
      <c r="CC8" s="19">
        <f t="array" ref="CC8">MATCH(MAX(ABS(CC3:CC7)), ABS(CC3:CC7), 0)</f>
        <v>1</v>
      </c>
      <c r="CD8" s="19">
        <f t="array" ref="CD8">MATCH(MAX(ABS(CD3:CD7)), ABS(CD3:CD7), 0)</f>
        <v>3</v>
      </c>
      <c r="CE8" s="19">
        <f t="array" ref="CE8">MATCH(MAX(ABS(CE3:CE7)), ABS(CE3:CE7), 0)</f>
        <v>5</v>
      </c>
      <c r="CF8" s="19">
        <f t="array" ref="CF8">MATCH(MAX(ABS(CF3:CF7)), ABS(CF3:CF7), 0)</f>
        <v>1</v>
      </c>
      <c r="CG8" s="19">
        <f t="array" ref="CG8">MATCH(MAX(ABS(CG3:CG7)), ABS(CG3:CG7), 0)</f>
        <v>1</v>
      </c>
      <c r="CH8" s="19">
        <f t="array" ref="CH8">MATCH(MAX(ABS(CH3:CH7)), ABS(CH3:CH7), 0)</f>
        <v>5</v>
      </c>
      <c r="CI8" s="19">
        <f t="array" ref="CI8">MATCH(MAX(ABS(CI3:CI7)), ABS(CI3:CI7), 0)</f>
        <v>5</v>
      </c>
      <c r="CJ8" s="19">
        <f t="array" ref="CJ8">MATCH(MAX(ABS(CJ3:CJ7)), ABS(CJ3:CJ7), 0)</f>
        <v>4</v>
      </c>
      <c r="CK8" s="19">
        <f t="array" ref="CK8">MATCH(MAX(ABS(CK3:CK7)), ABS(CK3:CK7), 0)</f>
        <v>1</v>
      </c>
      <c r="CL8" s="19">
        <f t="array" ref="CL8">MATCH(MAX(ABS(CL3:CL7)), ABS(CL3:CL7), 0)</f>
        <v>3</v>
      </c>
      <c r="CM8" s="19">
        <f t="array" ref="CM8">MATCH(MAX(ABS(CM3:CM7)), ABS(CM3:CM7), 0)</f>
        <v>1</v>
      </c>
      <c r="CN8" s="19">
        <f t="array" ref="CN8">MATCH(MAX(ABS(CN3:CN7)), ABS(CN3:CN7), 0)</f>
        <v>1</v>
      </c>
      <c r="CO8" s="19">
        <f t="array" ref="CO8">MATCH(MAX(ABS(CO3:CO7)), ABS(CO3:CO7), 0)</f>
        <v>1</v>
      </c>
      <c r="CP8" s="19">
        <f t="array" ref="CP8">MATCH(MAX(ABS(CP3:CP7)), ABS(CP3:CP7), 0)</f>
        <v>2</v>
      </c>
      <c r="CQ8" s="19">
        <f t="array" ref="CQ8">MATCH(MAX(ABS(CQ3:CQ7)), ABS(CQ3:CQ7), 0)</f>
        <v>1</v>
      </c>
      <c r="CR8" s="19">
        <f t="array" ref="CR8">MATCH(MAX(ABS(CR3:CR7)), ABS(CR3:CR7), 0)</f>
        <v>2</v>
      </c>
      <c r="CS8" s="19">
        <f t="array" ref="CS8">MATCH(MAX(ABS(CS3:CS7)), ABS(CS3:CS7), 0)</f>
        <v>2</v>
      </c>
      <c r="CT8" s="19">
        <f t="array" ref="CT8">MATCH(MAX(ABS(CT3:CT7)), ABS(CT3:CT7), 0)</f>
        <v>1</v>
      </c>
      <c r="CU8" s="19">
        <f t="array" ref="CU8">MATCH(MAX(ABS(CU3:CU7)), ABS(CU3:CU7), 0)</f>
        <v>3</v>
      </c>
      <c r="CV8" s="19">
        <f t="array" ref="CV8">MATCH(MAX(ABS(CV3:CV7)), ABS(CV3:CV7), 0)</f>
        <v>5</v>
      </c>
      <c r="CW8" s="19">
        <f t="array" ref="CW8">MATCH(MAX(ABS(CW3:CW7)), ABS(CW3:CW7), 0)</f>
        <v>3</v>
      </c>
      <c r="CX8" s="19">
        <f t="array" ref="CX8">MATCH(MAX(ABS(CX3:CX7)), ABS(CX3:CX7), 0)</f>
        <v>3</v>
      </c>
      <c r="CY8" s="19">
        <f t="array" ref="CY8">MATCH(MAX(ABS(CY3:CY7)), ABS(CY3:CY7), 0)</f>
        <v>5</v>
      </c>
      <c r="CZ8" s="19">
        <f t="array" ref="CZ8">MATCH(MAX(ABS(CZ3:CZ7)), ABS(CZ3:CZ7), 0)</f>
        <v>3</v>
      </c>
      <c r="DA8" s="19">
        <f t="array" ref="DA8">MATCH(MAX(ABS(DA3:DA7)), ABS(DA3:DA7), 0)</f>
        <v>2</v>
      </c>
      <c r="DB8" s="19">
        <f t="array" ref="DB8">MATCH(MAX(ABS(DB3:DB7)), ABS(DB3:DB7), 0)</f>
        <v>3</v>
      </c>
      <c r="DC8" s="19">
        <f t="array" ref="DC8">MATCH(MAX(ABS(DC3:DC7)), ABS(DC3:DC7), 0)</f>
        <v>3</v>
      </c>
      <c r="DD8" s="19">
        <f t="array" ref="DD8">MATCH(MAX(ABS(DD3:DD7)), ABS(DD3:DD7), 0)</f>
        <v>5</v>
      </c>
      <c r="DE8" s="19">
        <f t="array" ref="DE8">MATCH(MAX(ABS(DE3:DE7)), ABS(DE3:DE7), 0)</f>
        <v>3</v>
      </c>
      <c r="DF8" s="19">
        <f t="array" ref="DF8">MATCH(MAX(ABS(DF3:DF7)), ABS(DF3:DF7), 0)</f>
        <v>3</v>
      </c>
      <c r="DG8" s="19">
        <f t="array" ref="DG8">MATCH(MAX(ABS(DG3:DG7)), ABS(DG3:DG7), 0)</f>
        <v>3</v>
      </c>
      <c r="DH8" s="19">
        <f t="array" ref="DH8">MATCH(MAX(ABS(DH3:DH7)), ABS(DH3:DH7), 0)</f>
        <v>3</v>
      </c>
      <c r="DI8" s="19">
        <f t="array" ref="DI8">MATCH(MAX(ABS(DI3:DI7)), ABS(DI3:DI7), 0)</f>
        <v>3</v>
      </c>
      <c r="DJ8" s="19">
        <f t="array" ref="DJ8">MATCH(MAX(ABS(DJ3:DJ7)), ABS(DJ3:DJ7), 0)</f>
        <v>3</v>
      </c>
      <c r="DK8" s="19">
        <f t="array" ref="DK8">MATCH(MAX(ABS(DK3:DK7)), ABS(DK3:DK7), 0)</f>
        <v>1</v>
      </c>
      <c r="DL8" s="19">
        <f t="array" ref="DL8">MATCH(MAX(ABS(DL3:DL7)), ABS(DL3:DL7), 0)</f>
        <v>1</v>
      </c>
      <c r="DM8" s="19">
        <f t="array" ref="DM8">MATCH(MAX(ABS(DM3:DM7)), ABS(DM3:DM7), 0)</f>
        <v>1</v>
      </c>
      <c r="DN8" s="19">
        <f t="array" ref="DN8">MATCH(MAX(ABS(DN3:DN7)), ABS(DN3:DN7), 0)</f>
        <v>5</v>
      </c>
      <c r="DO8" s="19">
        <f t="array" ref="DO8">MATCH(MAX(ABS(DO3:DO7)), ABS(DO3:DO7), 0)</f>
        <v>4</v>
      </c>
      <c r="DP8" s="19">
        <f t="array" ref="DP8">MATCH(MAX(ABS(DP3:DP7)), ABS(DP3:DP7), 0)</f>
        <v>4</v>
      </c>
      <c r="DQ8" s="19">
        <f t="array" ref="DQ8">MATCH(MAX(ABS(DQ3:DQ7)), ABS(DQ3:DQ7), 0)</f>
        <v>4</v>
      </c>
      <c r="DR8" s="19">
        <f t="array" ref="DR8">MATCH(MAX(ABS(DR3:DR7)), ABS(DR3:DR7), 0)</f>
        <v>4</v>
      </c>
      <c r="DS8" s="19">
        <f t="array" ref="DS8">MATCH(MAX(ABS(DS3:DS7)), ABS(DS3:DS7), 0)</f>
        <v>4</v>
      </c>
      <c r="DT8" s="19">
        <f t="array" ref="DT8">MATCH(MAX(ABS(DT3:DT7)), ABS(DT3:DT7), 0)</f>
        <v>4</v>
      </c>
      <c r="DU8" s="19">
        <f t="array" ref="DU8">MATCH(MAX(ABS(DU3:DU7)), ABS(DU3:DU7), 0)</f>
        <v>4</v>
      </c>
      <c r="DV8" s="19">
        <f t="array" ref="DV8">MATCH(MAX(ABS(DV3:DV7)), ABS(DV3:DV7), 0)</f>
        <v>4</v>
      </c>
      <c r="DW8" s="19">
        <f t="array" ref="DW8">MATCH(MAX(ABS(DW3:DW7)), ABS(DW3:DW7), 0)</f>
        <v>4</v>
      </c>
      <c r="DX8" s="19">
        <f t="array" ref="DX8">MATCH(MAX(ABS(DX3:DX7)), ABS(DX3:DX7), 0)</f>
        <v>4</v>
      </c>
      <c r="DY8" s="19">
        <f t="array" ref="DY8">MATCH(MAX(ABS(DY3:DY7)), ABS(DY3:DY7), 0)</f>
        <v>4</v>
      </c>
      <c r="DZ8" s="19">
        <f t="array" ref="DZ8">MATCH(MAX(ABS(DZ3:DZ7)), ABS(DZ3:DZ7), 0)</f>
        <v>4</v>
      </c>
      <c r="EA8" s="19">
        <f t="array" ref="EA8">MATCH(MAX(ABS(EA3:EA7)), ABS(EA3:EA7), 0)</f>
        <v>4</v>
      </c>
      <c r="EB8" s="19">
        <f t="array" ref="EB8">MATCH(MAX(ABS(EB3:EB7)), ABS(EB3:EB7), 0)</f>
        <v>4</v>
      </c>
      <c r="EC8" s="19">
        <f t="array" ref="EC8">MATCH(MAX(ABS(EC3:EC7)), ABS(EC3:EC7), 0)</f>
        <v>4</v>
      </c>
      <c r="ED8" s="19">
        <f t="array" ref="ED8">MATCH(MAX(ABS(ED3:ED7)), ABS(ED3:ED7), 0)</f>
        <v>4</v>
      </c>
      <c r="EE8" s="19">
        <f t="array" ref="EE8">MATCH(MAX(ABS(EE3:EE7)), ABS(EE3:EE7), 0)</f>
        <v>4</v>
      </c>
      <c r="EF8" s="19">
        <f t="array" ref="EF8">MATCH(MAX(ABS(EF3:EF7)), ABS(EF3:EF7), 0)</f>
        <v>4</v>
      </c>
    </row>
    <row r="9" spans="1:137" ht="16" customHeight="1">
      <c r="A9" s="5"/>
      <c r="B9" s="17"/>
      <c r="C9" s="19" t="str">
        <f t="shared" ref="C9:AH9" si="0">IF(C8=1,"mom1",
IF(C8=2,"mom12",
IF(C8=3,"chmom",
IF(C8=4,"retvol",
IF(C8=5,"maxret","")))))</f>
        <v>mom1</v>
      </c>
      <c r="D9" s="19" t="str">
        <f t="shared" si="0"/>
        <v>chmom</v>
      </c>
      <c r="E9" s="19" t="str">
        <f t="shared" si="0"/>
        <v>chmom</v>
      </c>
      <c r="F9" s="19" t="str">
        <f t="shared" si="0"/>
        <v>mom1</v>
      </c>
      <c r="G9" s="19" t="str">
        <f t="shared" si="0"/>
        <v>mom1</v>
      </c>
      <c r="H9" s="19" t="str">
        <f t="shared" si="0"/>
        <v>chmom</v>
      </c>
      <c r="I9" s="19" t="str">
        <f t="shared" si="0"/>
        <v>mom12</v>
      </c>
      <c r="J9" s="19" t="str">
        <f t="shared" si="0"/>
        <v>mom1</v>
      </c>
      <c r="K9" s="19" t="str">
        <f t="shared" si="0"/>
        <v>mom12</v>
      </c>
      <c r="L9" s="19" t="str">
        <f t="shared" si="0"/>
        <v>mom1</v>
      </c>
      <c r="M9" s="19" t="str">
        <f t="shared" si="0"/>
        <v>mom12</v>
      </c>
      <c r="N9" s="19" t="str">
        <f t="shared" si="0"/>
        <v>chmom</v>
      </c>
      <c r="O9" s="19" t="str">
        <f t="shared" si="0"/>
        <v>chmom</v>
      </c>
      <c r="P9" s="19" t="str">
        <f t="shared" si="0"/>
        <v>chmom</v>
      </c>
      <c r="Q9" s="19" t="str">
        <f t="shared" si="0"/>
        <v>chmom</v>
      </c>
      <c r="R9" s="19" t="str">
        <f t="shared" si="0"/>
        <v>chmom</v>
      </c>
      <c r="S9" s="19" t="str">
        <f t="shared" si="0"/>
        <v>chmom</v>
      </c>
      <c r="T9" s="19" t="str">
        <f t="shared" si="0"/>
        <v>chmom</v>
      </c>
      <c r="U9" s="19" t="str">
        <f t="shared" si="0"/>
        <v>maxret</v>
      </c>
      <c r="V9" s="19" t="str">
        <f t="shared" si="0"/>
        <v>chmom</v>
      </c>
      <c r="W9" s="19" t="str">
        <f t="shared" si="0"/>
        <v>chmom</v>
      </c>
      <c r="X9" s="19" t="str">
        <f t="shared" si="0"/>
        <v>maxret</v>
      </c>
      <c r="Y9" s="19" t="str">
        <f t="shared" si="0"/>
        <v>maxret</v>
      </c>
      <c r="Z9" s="19" t="str">
        <f t="shared" si="0"/>
        <v>mom12</v>
      </c>
      <c r="AA9" s="19" t="str">
        <f t="shared" si="0"/>
        <v>mom12</v>
      </c>
      <c r="AB9" s="19" t="str">
        <f t="shared" si="0"/>
        <v>mom12</v>
      </c>
      <c r="AC9" s="19" t="str">
        <f t="shared" si="0"/>
        <v>maxret</v>
      </c>
      <c r="AD9" s="19" t="str">
        <f t="shared" si="0"/>
        <v>mom12</v>
      </c>
      <c r="AE9" s="19" t="str">
        <f t="shared" si="0"/>
        <v>mom12</v>
      </c>
      <c r="AF9" s="19" t="str">
        <f t="shared" si="0"/>
        <v>mom12</v>
      </c>
      <c r="AG9" s="19" t="str">
        <f t="shared" si="0"/>
        <v>mom1</v>
      </c>
      <c r="AH9" s="19" t="str">
        <f t="shared" si="0"/>
        <v>retvol</v>
      </c>
      <c r="AI9" s="19" t="str">
        <f t="shared" ref="AI9:BN9" si="1">IF(AI8=1,"mom1",
IF(AI8=2,"mom12",
IF(AI8=3,"chmom",
IF(AI8=4,"retvol",
IF(AI8=5,"maxret","")))))</f>
        <v>chmom</v>
      </c>
      <c r="AJ9" s="19" t="str">
        <f t="shared" si="1"/>
        <v>retvol</v>
      </c>
      <c r="AK9" s="19" t="str">
        <f t="shared" si="1"/>
        <v>mom1</v>
      </c>
      <c r="AL9" s="19" t="str">
        <f t="shared" si="1"/>
        <v>mom1</v>
      </c>
      <c r="AM9" s="19" t="str">
        <f t="shared" si="1"/>
        <v>chmom</v>
      </c>
      <c r="AN9" s="19" t="str">
        <f t="shared" si="1"/>
        <v>mom1</v>
      </c>
      <c r="AO9" s="19" t="str">
        <f t="shared" si="1"/>
        <v>mom1</v>
      </c>
      <c r="AP9" s="19" t="str">
        <f t="shared" si="1"/>
        <v>mom1</v>
      </c>
      <c r="AQ9" s="19" t="str">
        <f t="shared" si="1"/>
        <v>mom1</v>
      </c>
      <c r="AR9" s="19" t="str">
        <f t="shared" si="1"/>
        <v>retvol</v>
      </c>
      <c r="AS9" s="19" t="str">
        <f t="shared" si="1"/>
        <v>mom1</v>
      </c>
      <c r="AT9" s="19" t="str">
        <f t="shared" si="1"/>
        <v>retvol</v>
      </c>
      <c r="AU9" s="19" t="str">
        <f t="shared" si="1"/>
        <v>mom12</v>
      </c>
      <c r="AV9" s="19" t="str">
        <f t="shared" si="1"/>
        <v>mom1</v>
      </c>
      <c r="AW9" s="19" t="str">
        <f t="shared" si="1"/>
        <v>maxret</v>
      </c>
      <c r="AX9" s="19" t="str">
        <f t="shared" si="1"/>
        <v>retvol</v>
      </c>
      <c r="AY9" s="19" t="str">
        <f t="shared" si="1"/>
        <v>mom1</v>
      </c>
      <c r="AZ9" s="19" t="str">
        <f t="shared" si="1"/>
        <v>mom1</v>
      </c>
      <c r="BA9" s="19" t="str">
        <f t="shared" si="1"/>
        <v>mom1</v>
      </c>
      <c r="BB9" s="19" t="str">
        <f t="shared" si="1"/>
        <v>maxret</v>
      </c>
      <c r="BC9" s="19" t="str">
        <f t="shared" si="1"/>
        <v>mom1</v>
      </c>
      <c r="BD9" s="19" t="str">
        <f t="shared" si="1"/>
        <v>chmom</v>
      </c>
      <c r="BE9" s="19" t="str">
        <f t="shared" si="1"/>
        <v>retvol</v>
      </c>
      <c r="BF9" s="19" t="str">
        <f t="shared" si="1"/>
        <v>mom1</v>
      </c>
      <c r="BG9" s="19" t="str">
        <f t="shared" si="1"/>
        <v>chmom</v>
      </c>
      <c r="BH9" s="19" t="str">
        <f t="shared" si="1"/>
        <v>chmom</v>
      </c>
      <c r="BI9" s="19" t="str">
        <f t="shared" si="1"/>
        <v>mom1</v>
      </c>
      <c r="BJ9" s="19" t="str">
        <f t="shared" si="1"/>
        <v>mom1</v>
      </c>
      <c r="BK9" s="19" t="str">
        <f t="shared" si="1"/>
        <v>chmom</v>
      </c>
      <c r="BL9" s="19" t="str">
        <f t="shared" si="1"/>
        <v>mom1</v>
      </c>
      <c r="BM9" s="19" t="str">
        <f t="shared" si="1"/>
        <v>chmom</v>
      </c>
      <c r="BN9" s="19" t="str">
        <f t="shared" si="1"/>
        <v>chmom</v>
      </c>
      <c r="BO9" s="19" t="str">
        <f t="shared" ref="BO9:CT9" si="2">IF(BO8=1,"mom1",
IF(BO8=2,"mom12",
IF(BO8=3,"chmom",
IF(BO8=4,"retvol",
IF(BO8=5,"maxret","")))))</f>
        <v>chmom</v>
      </c>
      <c r="BP9" s="19" t="str">
        <f t="shared" si="2"/>
        <v>chmom</v>
      </c>
      <c r="BQ9" s="19" t="str">
        <f t="shared" si="2"/>
        <v>mom12</v>
      </c>
      <c r="BR9" s="19" t="str">
        <f t="shared" si="2"/>
        <v>mom12</v>
      </c>
      <c r="BS9" s="19" t="str">
        <f t="shared" si="2"/>
        <v>chmom</v>
      </c>
      <c r="BT9" s="19" t="str">
        <f t="shared" si="2"/>
        <v>mom1</v>
      </c>
      <c r="BU9" s="19" t="str">
        <f t="shared" si="2"/>
        <v>chmom</v>
      </c>
      <c r="BV9" s="19" t="str">
        <f t="shared" si="2"/>
        <v>chmom</v>
      </c>
      <c r="BW9" s="19" t="str">
        <f t="shared" si="2"/>
        <v>chmom</v>
      </c>
      <c r="BX9" s="19" t="str">
        <f t="shared" si="2"/>
        <v>maxret</v>
      </c>
      <c r="BY9" s="19" t="str">
        <f t="shared" si="2"/>
        <v>maxret</v>
      </c>
      <c r="BZ9" s="19" t="str">
        <f t="shared" si="2"/>
        <v>maxret</v>
      </c>
      <c r="CA9" s="19" t="str">
        <f t="shared" si="2"/>
        <v>chmom</v>
      </c>
      <c r="CB9" s="19" t="str">
        <f t="shared" si="2"/>
        <v>retvol</v>
      </c>
      <c r="CC9" s="19" t="str">
        <f t="shared" si="2"/>
        <v>mom1</v>
      </c>
      <c r="CD9" s="19" t="str">
        <f t="shared" si="2"/>
        <v>chmom</v>
      </c>
      <c r="CE9" s="19" t="str">
        <f t="shared" si="2"/>
        <v>maxret</v>
      </c>
      <c r="CF9" s="19" t="str">
        <f t="shared" si="2"/>
        <v>mom1</v>
      </c>
      <c r="CG9" s="19" t="str">
        <f t="shared" si="2"/>
        <v>mom1</v>
      </c>
      <c r="CH9" s="19" t="str">
        <f t="shared" si="2"/>
        <v>maxret</v>
      </c>
      <c r="CI9" s="19" t="str">
        <f t="shared" si="2"/>
        <v>maxret</v>
      </c>
      <c r="CJ9" s="19" t="str">
        <f t="shared" si="2"/>
        <v>retvol</v>
      </c>
      <c r="CK9" s="19" t="str">
        <f t="shared" si="2"/>
        <v>mom1</v>
      </c>
      <c r="CL9" s="19" t="str">
        <f t="shared" si="2"/>
        <v>chmom</v>
      </c>
      <c r="CM9" s="19" t="str">
        <f t="shared" si="2"/>
        <v>mom1</v>
      </c>
      <c r="CN9" s="19" t="str">
        <f t="shared" si="2"/>
        <v>mom1</v>
      </c>
      <c r="CO9" s="19" t="str">
        <f t="shared" si="2"/>
        <v>mom1</v>
      </c>
      <c r="CP9" s="19" t="str">
        <f t="shared" si="2"/>
        <v>mom12</v>
      </c>
      <c r="CQ9" s="19" t="str">
        <f t="shared" si="2"/>
        <v>mom1</v>
      </c>
      <c r="CR9" s="19" t="str">
        <f t="shared" si="2"/>
        <v>mom12</v>
      </c>
      <c r="CS9" s="19" t="str">
        <f t="shared" si="2"/>
        <v>mom12</v>
      </c>
      <c r="CT9" s="19" t="str">
        <f t="shared" si="2"/>
        <v>mom1</v>
      </c>
      <c r="CU9" s="19" t="str">
        <f t="shared" ref="CU9:DZ9" si="3">IF(CU8=1,"mom1",
IF(CU8=2,"mom12",
IF(CU8=3,"chmom",
IF(CU8=4,"retvol",
IF(CU8=5,"maxret","")))))</f>
        <v>chmom</v>
      </c>
      <c r="CV9" s="19" t="str">
        <f t="shared" si="3"/>
        <v>maxret</v>
      </c>
      <c r="CW9" s="19" t="str">
        <f t="shared" si="3"/>
        <v>chmom</v>
      </c>
      <c r="CX9" s="19" t="str">
        <f t="shared" si="3"/>
        <v>chmom</v>
      </c>
      <c r="CY9" s="19" t="str">
        <f t="shared" si="3"/>
        <v>maxret</v>
      </c>
      <c r="CZ9" s="19" t="str">
        <f t="shared" si="3"/>
        <v>chmom</v>
      </c>
      <c r="DA9" s="19" t="str">
        <f t="shared" si="3"/>
        <v>mom12</v>
      </c>
      <c r="DB9" s="19" t="str">
        <f t="shared" si="3"/>
        <v>chmom</v>
      </c>
      <c r="DC9" s="19" t="str">
        <f t="shared" si="3"/>
        <v>chmom</v>
      </c>
      <c r="DD9" s="19" t="str">
        <f t="shared" si="3"/>
        <v>maxret</v>
      </c>
      <c r="DE9" s="19" t="str">
        <f t="shared" si="3"/>
        <v>chmom</v>
      </c>
      <c r="DF9" s="19" t="str">
        <f t="shared" si="3"/>
        <v>chmom</v>
      </c>
      <c r="DG9" s="19" t="str">
        <f t="shared" si="3"/>
        <v>chmom</v>
      </c>
      <c r="DH9" s="19" t="str">
        <f t="shared" si="3"/>
        <v>chmom</v>
      </c>
      <c r="DI9" s="19" t="str">
        <f t="shared" si="3"/>
        <v>chmom</v>
      </c>
      <c r="DJ9" s="19" t="str">
        <f t="shared" si="3"/>
        <v>chmom</v>
      </c>
      <c r="DK9" s="19" t="str">
        <f t="shared" si="3"/>
        <v>mom1</v>
      </c>
      <c r="DL9" s="19" t="str">
        <f t="shared" si="3"/>
        <v>mom1</v>
      </c>
      <c r="DM9" s="19" t="str">
        <f t="shared" si="3"/>
        <v>mom1</v>
      </c>
      <c r="DN9" s="19" t="str">
        <f t="shared" si="3"/>
        <v>maxret</v>
      </c>
      <c r="DO9" s="19" t="str">
        <f t="shared" si="3"/>
        <v>retvol</v>
      </c>
      <c r="DP9" s="19" t="str">
        <f t="shared" si="3"/>
        <v>retvol</v>
      </c>
      <c r="DQ9" s="19" t="str">
        <f t="shared" si="3"/>
        <v>retvol</v>
      </c>
      <c r="DR9" s="19" t="str">
        <f t="shared" si="3"/>
        <v>retvol</v>
      </c>
      <c r="DS9" s="19" t="str">
        <f t="shared" si="3"/>
        <v>retvol</v>
      </c>
      <c r="DT9" s="19" t="str">
        <f t="shared" si="3"/>
        <v>retvol</v>
      </c>
      <c r="DU9" s="19" t="str">
        <f t="shared" si="3"/>
        <v>retvol</v>
      </c>
      <c r="DV9" s="19" t="str">
        <f t="shared" si="3"/>
        <v>retvol</v>
      </c>
      <c r="DW9" s="19" t="str">
        <f t="shared" si="3"/>
        <v>retvol</v>
      </c>
      <c r="DX9" s="19" t="str">
        <f t="shared" si="3"/>
        <v>retvol</v>
      </c>
      <c r="DY9" s="19" t="str">
        <f t="shared" si="3"/>
        <v>retvol</v>
      </c>
      <c r="DZ9" s="19" t="str">
        <f t="shared" si="3"/>
        <v>retvol</v>
      </c>
      <c r="EA9" s="19" t="str">
        <f t="shared" ref="EA9:EF9" si="4">IF(EA8=1,"mom1",
IF(EA8=2,"mom12",
IF(EA8=3,"chmom",
IF(EA8=4,"retvol",
IF(EA8=5,"maxret","")))))</f>
        <v>retvol</v>
      </c>
      <c r="EB9" s="19" t="str">
        <f t="shared" si="4"/>
        <v>retvol</v>
      </c>
      <c r="EC9" s="19" t="str">
        <f t="shared" si="4"/>
        <v>retvol</v>
      </c>
      <c r="ED9" s="19" t="str">
        <f t="shared" si="4"/>
        <v>retvol</v>
      </c>
      <c r="EE9" s="19" t="str">
        <f t="shared" si="4"/>
        <v>retvol</v>
      </c>
      <c r="EF9" s="19" t="str">
        <f t="shared" si="4"/>
        <v>retvol</v>
      </c>
    </row>
    <row r="10" spans="1:137" ht="16" customHeight="1">
      <c r="A10" s="5"/>
      <c r="B10" s="17"/>
      <c r="C10" s="32">
        <f t="shared" ref="C10:AH10" si="5">IF(C8=1,C3,IF(C8=2,C4,IF(C8=3,C5,IF(C8=4,C6,IF(C8=5,C7)))))</f>
        <v>-7.0510312914848328E-2</v>
      </c>
      <c r="D10" s="32">
        <f t="shared" si="5"/>
        <v>-7.8517265617847443E-2</v>
      </c>
      <c r="E10" s="32">
        <f t="shared" si="5"/>
        <v>-7.1969844400882721E-2</v>
      </c>
      <c r="F10" s="32">
        <f t="shared" si="5"/>
        <v>-9.2162974178791046E-2</v>
      </c>
      <c r="G10" s="32">
        <f t="shared" si="5"/>
        <v>-9.0981476008892059E-2</v>
      </c>
      <c r="H10" s="32">
        <f t="shared" si="5"/>
        <v>-1.978492550551891E-2</v>
      </c>
      <c r="I10" s="32">
        <f t="shared" si="5"/>
        <v>6.3727825880050659E-2</v>
      </c>
      <c r="J10" s="32">
        <f t="shared" si="5"/>
        <v>-4.2782600969076157E-2</v>
      </c>
      <c r="K10" s="32">
        <f t="shared" si="5"/>
        <v>6.6770575940608978E-2</v>
      </c>
      <c r="L10" s="32">
        <f t="shared" si="5"/>
        <v>-5.4908208549022668E-2</v>
      </c>
      <c r="M10" s="32">
        <f t="shared" si="5"/>
        <v>2.8019288554787639E-2</v>
      </c>
      <c r="N10" s="32">
        <f t="shared" si="5"/>
        <v>-4.363420233130455E-2</v>
      </c>
      <c r="O10" s="32">
        <f t="shared" si="5"/>
        <v>-5.7530194520950317E-2</v>
      </c>
      <c r="P10" s="32">
        <f t="shared" si="5"/>
        <v>-6.1749737709760673E-2</v>
      </c>
      <c r="Q10" s="32">
        <f t="shared" si="5"/>
        <v>-6.4170286059379578E-2</v>
      </c>
      <c r="R10" s="32">
        <f t="shared" si="5"/>
        <v>-5.6614186614751823E-2</v>
      </c>
      <c r="S10" s="32">
        <f t="shared" si="5"/>
        <v>-3.9280273020267487E-2</v>
      </c>
      <c r="T10" s="32">
        <f t="shared" si="5"/>
        <v>-4.5374378561973572E-2</v>
      </c>
      <c r="U10" s="32">
        <f t="shared" si="5"/>
        <v>2.4543272331356999E-2</v>
      </c>
      <c r="V10" s="32">
        <f t="shared" si="5"/>
        <v>-5.0834860652685172E-2</v>
      </c>
      <c r="W10" s="32">
        <f t="shared" si="5"/>
        <v>-4.3037977069616318E-2</v>
      </c>
      <c r="X10" s="32">
        <f t="shared" si="5"/>
        <v>8.7800547480583191E-2</v>
      </c>
      <c r="Y10" s="32">
        <f t="shared" si="5"/>
        <v>5.0161927938461297E-2</v>
      </c>
      <c r="Z10" s="32">
        <f t="shared" si="5"/>
        <v>5.6920211762189872E-2</v>
      </c>
      <c r="AA10" s="32">
        <f t="shared" si="5"/>
        <v>9.8233535885810852E-2</v>
      </c>
      <c r="AB10" s="32">
        <f t="shared" si="5"/>
        <v>6.4750097692012787E-2</v>
      </c>
      <c r="AC10" s="32">
        <f t="shared" si="5"/>
        <v>8.0575473606586456E-2</v>
      </c>
      <c r="AD10" s="32">
        <f t="shared" si="5"/>
        <v>5.1507804542779922E-2</v>
      </c>
      <c r="AE10" s="32">
        <f t="shared" si="5"/>
        <v>4.9662109464406967E-2</v>
      </c>
      <c r="AF10" s="32">
        <f t="shared" si="5"/>
        <v>2.0239388570189479E-2</v>
      </c>
      <c r="AG10" s="32">
        <f t="shared" si="5"/>
        <v>-4.2137693613767617E-2</v>
      </c>
      <c r="AH10" s="32">
        <f t="shared" si="5"/>
        <v>5.198381096124649E-2</v>
      </c>
      <c r="AI10" s="32">
        <f t="shared" ref="AI10:BN10" si="6">IF(AI8=1,AI3,IF(AI8=2,AI4,IF(AI8=3,AI5,IF(AI8=4,AI6,IF(AI8=5,AI7)))))</f>
        <v>-2.9802717268466949E-2</v>
      </c>
      <c r="AJ10" s="32">
        <f t="shared" si="6"/>
        <v>1.617512293159962E-2</v>
      </c>
      <c r="AK10" s="32">
        <f t="shared" si="6"/>
        <v>-4.1931521147489548E-2</v>
      </c>
      <c r="AL10" s="32">
        <f t="shared" si="6"/>
        <v>-3.6095079034566879E-2</v>
      </c>
      <c r="AM10" s="32">
        <f t="shared" si="6"/>
        <v>-2.1816307678818699E-2</v>
      </c>
      <c r="AN10" s="32">
        <f t="shared" si="6"/>
        <v>-2.8956376016139981E-2</v>
      </c>
      <c r="AO10" s="32">
        <f t="shared" si="6"/>
        <v>-4.2428314685821533E-2</v>
      </c>
      <c r="AP10" s="32">
        <f t="shared" si="6"/>
        <v>-4.9674943089485168E-2</v>
      </c>
      <c r="AQ10" s="32">
        <f t="shared" si="6"/>
        <v>-3.2604295760393143E-2</v>
      </c>
      <c r="AR10" s="32">
        <f t="shared" si="6"/>
        <v>2.0699001848697659E-2</v>
      </c>
      <c r="AS10" s="32">
        <f t="shared" si="6"/>
        <v>-3.5700481384992599E-2</v>
      </c>
      <c r="AT10" s="32">
        <f t="shared" si="6"/>
        <v>1.9905209541320801E-2</v>
      </c>
      <c r="AU10" s="32">
        <f t="shared" si="6"/>
        <v>-2.2974038496613499E-2</v>
      </c>
      <c r="AV10" s="32">
        <f t="shared" si="6"/>
        <v>-3.1922928988933563E-2</v>
      </c>
      <c r="AW10" s="32">
        <f t="shared" si="6"/>
        <v>2.653876505792141E-2</v>
      </c>
      <c r="AX10" s="32">
        <f t="shared" si="6"/>
        <v>4.1243366897106171E-2</v>
      </c>
      <c r="AY10" s="32">
        <f t="shared" si="6"/>
        <v>-3.3810734748840332E-2</v>
      </c>
      <c r="AZ10" s="32">
        <f t="shared" si="6"/>
        <v>-4.8453211784362793E-2</v>
      </c>
      <c r="BA10" s="32">
        <f t="shared" si="6"/>
        <v>-2.7815299108624458E-2</v>
      </c>
      <c r="BB10" s="32">
        <f t="shared" si="6"/>
        <v>3.2360877841711037E-2</v>
      </c>
      <c r="BC10" s="32">
        <f t="shared" si="6"/>
        <v>2.4711607024073601E-2</v>
      </c>
      <c r="BD10" s="32">
        <f t="shared" si="6"/>
        <v>-2.3915629833936691E-2</v>
      </c>
      <c r="BE10" s="32">
        <f t="shared" si="6"/>
        <v>1.464955974370241E-2</v>
      </c>
      <c r="BF10" s="32">
        <f t="shared" si="6"/>
        <v>4.8466574400663383E-2</v>
      </c>
      <c r="BG10" s="32">
        <f t="shared" si="6"/>
        <v>2.271440252661705E-2</v>
      </c>
      <c r="BH10" s="32">
        <f t="shared" si="6"/>
        <v>5.4914258420467377E-2</v>
      </c>
      <c r="BI10" s="32">
        <f t="shared" si="6"/>
        <v>6.3621185719966888E-2</v>
      </c>
      <c r="BJ10" s="32">
        <f t="shared" si="6"/>
        <v>5.1039993762969971E-2</v>
      </c>
      <c r="BK10" s="32">
        <f t="shared" si="6"/>
        <v>-4.5687265694141388E-2</v>
      </c>
      <c r="BL10" s="32">
        <f t="shared" si="6"/>
        <v>-4.445323720574379E-2</v>
      </c>
      <c r="BM10" s="32">
        <f t="shared" si="6"/>
        <v>-4.5954536646604538E-2</v>
      </c>
      <c r="BN10" s="32">
        <f t="shared" si="6"/>
        <v>-5.2363675087690353E-2</v>
      </c>
      <c r="BO10" s="32">
        <f t="shared" ref="BO10:CT10" si="7">IF(BO8=1,BO3,IF(BO8=2,BO4,IF(BO8=3,BO5,IF(BO8=4,BO6,IF(BO8=5,BO7)))))</f>
        <v>-6.0948830097913742E-2</v>
      </c>
      <c r="BP10" s="32">
        <f t="shared" si="7"/>
        <v>-4.6518847346305847E-2</v>
      </c>
      <c r="BQ10" s="32">
        <f t="shared" si="7"/>
        <v>3.3099830150604248E-2</v>
      </c>
      <c r="BR10" s="32">
        <f t="shared" si="7"/>
        <v>7.9383321106433868E-2</v>
      </c>
      <c r="BS10" s="32">
        <f t="shared" si="7"/>
        <v>6.8480938673019409E-2</v>
      </c>
      <c r="BT10" s="32">
        <f t="shared" si="7"/>
        <v>-2.1804684773087502E-2</v>
      </c>
      <c r="BU10" s="32">
        <f t="shared" si="7"/>
        <v>-3.8370478898286819E-2</v>
      </c>
      <c r="BV10" s="32">
        <f t="shared" si="7"/>
        <v>-3.7749018520116813E-2</v>
      </c>
      <c r="BW10" s="32">
        <f t="shared" si="7"/>
        <v>-3.7364158779382713E-2</v>
      </c>
      <c r="BX10" s="32">
        <f t="shared" si="7"/>
        <v>7.0206619799137115E-2</v>
      </c>
      <c r="BY10" s="32">
        <f t="shared" si="7"/>
        <v>6.1465926468372338E-2</v>
      </c>
      <c r="BZ10" s="32">
        <f t="shared" si="7"/>
        <v>5.822661891579628E-2</v>
      </c>
      <c r="CA10" s="32">
        <f t="shared" si="7"/>
        <v>-3.151523694396019E-2</v>
      </c>
      <c r="CB10" s="32">
        <f t="shared" si="7"/>
        <v>0.11305705457925801</v>
      </c>
      <c r="CC10" s="32">
        <f t="shared" si="7"/>
        <v>-5.0457574427127838E-2</v>
      </c>
      <c r="CD10" s="32">
        <f t="shared" si="7"/>
        <v>-3.3158984035253518E-2</v>
      </c>
      <c r="CE10" s="32">
        <f t="shared" si="7"/>
        <v>2.6346748694777489E-2</v>
      </c>
      <c r="CF10" s="32">
        <f t="shared" si="7"/>
        <v>-3.6173265427350998E-2</v>
      </c>
      <c r="CG10" s="32">
        <f t="shared" si="7"/>
        <v>-3.3427383750677109E-2</v>
      </c>
      <c r="CH10" s="32">
        <f t="shared" si="7"/>
        <v>2.7750680223107341E-2</v>
      </c>
      <c r="CI10" s="32">
        <f t="shared" si="7"/>
        <v>2.482840791344643E-2</v>
      </c>
      <c r="CJ10" s="32">
        <f t="shared" si="7"/>
        <v>8.8564753532409668E-2</v>
      </c>
      <c r="CK10" s="32">
        <f t="shared" si="7"/>
        <v>-3.6270283162593842E-2</v>
      </c>
      <c r="CL10" s="32">
        <f t="shared" si="7"/>
        <v>-4.3267767876386642E-2</v>
      </c>
      <c r="CM10" s="32">
        <f t="shared" si="7"/>
        <v>-3.06690763682127E-2</v>
      </c>
      <c r="CN10" s="32">
        <f t="shared" si="7"/>
        <v>-3.356621041893959E-2</v>
      </c>
      <c r="CO10" s="32">
        <f t="shared" si="7"/>
        <v>-5.7102173566818237E-2</v>
      </c>
      <c r="CP10" s="32">
        <f t="shared" si="7"/>
        <v>-1.5990793704986569E-2</v>
      </c>
      <c r="CQ10" s="32">
        <f t="shared" si="7"/>
        <v>-2.447781153023243E-2</v>
      </c>
      <c r="CR10" s="32">
        <f t="shared" si="7"/>
        <v>-2.841118723154068E-2</v>
      </c>
      <c r="CS10" s="32">
        <f t="shared" si="7"/>
        <v>-3.007250651717186E-2</v>
      </c>
      <c r="CT10" s="32">
        <f t="shared" si="7"/>
        <v>-3.6899782717227943E-2</v>
      </c>
      <c r="CU10" s="32">
        <f t="shared" ref="CU10:DZ10" si="8">IF(CU8=1,CU3,IF(CU8=2,CU4,IF(CU8=3,CU5,IF(CU8=4,CU6,IF(CU8=5,CU7)))))</f>
        <v>-5.1458954811096191E-2</v>
      </c>
      <c r="CV10" s="32">
        <f t="shared" si="8"/>
        <v>3.0856955796480179E-2</v>
      </c>
      <c r="CW10" s="32">
        <f t="shared" si="8"/>
        <v>-4.7959472984075553E-2</v>
      </c>
      <c r="CX10" s="32">
        <f t="shared" si="8"/>
        <v>-2.462939731776714E-2</v>
      </c>
      <c r="CY10" s="32">
        <f t="shared" si="8"/>
        <v>3.0290527269244191E-2</v>
      </c>
      <c r="CZ10" s="32">
        <f t="shared" si="8"/>
        <v>-5.503227561712265E-2</v>
      </c>
      <c r="DA10" s="32">
        <f t="shared" si="8"/>
        <v>-3.2751679420471191E-2</v>
      </c>
      <c r="DB10" s="32">
        <f t="shared" si="8"/>
        <v>-6.6727802157402039E-2</v>
      </c>
      <c r="DC10" s="32">
        <f t="shared" si="8"/>
        <v>-0.1073298379778862</v>
      </c>
      <c r="DD10" s="32">
        <f t="shared" si="8"/>
        <v>5.9307549148797989E-2</v>
      </c>
      <c r="DE10" s="32">
        <f t="shared" si="8"/>
        <v>-6.0571521520614617E-2</v>
      </c>
      <c r="DF10" s="32">
        <f t="shared" si="8"/>
        <v>-3.9159800857305527E-2</v>
      </c>
      <c r="DG10" s="32">
        <f t="shared" si="8"/>
        <v>-5.1414530724287033E-2</v>
      </c>
      <c r="DH10" s="32">
        <f t="shared" si="8"/>
        <v>-6.5701395273208618E-2</v>
      </c>
      <c r="DI10" s="32">
        <f t="shared" si="8"/>
        <v>-3.3493325114250183E-2</v>
      </c>
      <c r="DJ10" s="32">
        <f t="shared" si="8"/>
        <v>-2.4839011952281002E-2</v>
      </c>
      <c r="DK10" s="32">
        <f t="shared" si="8"/>
        <v>-2.2675381973385811E-2</v>
      </c>
      <c r="DL10" s="32">
        <f t="shared" si="8"/>
        <v>-4.2003385722637183E-2</v>
      </c>
      <c r="DM10" s="32">
        <f t="shared" si="8"/>
        <v>-2.7967073023319241E-2</v>
      </c>
      <c r="DN10" s="32">
        <f t="shared" si="8"/>
        <v>2.0481692627072331E-2</v>
      </c>
      <c r="DO10" s="32">
        <f t="shared" si="8"/>
        <v>7.2593644261360168E-2</v>
      </c>
      <c r="DP10" s="32">
        <f t="shared" si="8"/>
        <v>6.6633999347686768E-2</v>
      </c>
      <c r="DQ10" s="32">
        <f t="shared" si="8"/>
        <v>7.6050832867622375E-2</v>
      </c>
      <c r="DR10" s="32">
        <f t="shared" si="8"/>
        <v>7.9444080591201782E-2</v>
      </c>
      <c r="DS10" s="32">
        <f t="shared" si="8"/>
        <v>9.6407637000083923E-2</v>
      </c>
      <c r="DT10" s="32">
        <f t="shared" si="8"/>
        <v>9.8738469183444977E-2</v>
      </c>
      <c r="DU10" s="32">
        <f t="shared" si="8"/>
        <v>8.4987722337245941E-2</v>
      </c>
      <c r="DV10" s="32">
        <f t="shared" si="8"/>
        <v>8.3614706993103027E-2</v>
      </c>
      <c r="DW10" s="32">
        <f t="shared" si="8"/>
        <v>7.9545408487319946E-2</v>
      </c>
      <c r="DX10" s="32">
        <f t="shared" si="8"/>
        <v>9.6235953271389008E-2</v>
      </c>
      <c r="DY10" s="32">
        <f t="shared" si="8"/>
        <v>0.10154732316732409</v>
      </c>
      <c r="DZ10" s="32">
        <f t="shared" si="8"/>
        <v>0.13149091601371771</v>
      </c>
      <c r="EA10" s="32">
        <f t="shared" ref="EA10:EF10" si="9">IF(EA8=1,EA3,IF(EA8=2,EA4,IF(EA8=3,EA5,IF(EA8=4,EA6,IF(EA8=5,EA7)))))</f>
        <v>0.1148593798279762</v>
      </c>
      <c r="EB10" s="32">
        <f t="shared" si="9"/>
        <v>0.11237455904483799</v>
      </c>
      <c r="EC10" s="32">
        <f t="shared" si="9"/>
        <v>0.12511362135410309</v>
      </c>
      <c r="ED10" s="32">
        <f t="shared" si="9"/>
        <v>3.1657200306653983E-2</v>
      </c>
      <c r="EE10" s="32">
        <f t="shared" si="9"/>
        <v>2.9610974714159969E-2</v>
      </c>
      <c r="EF10" s="32">
        <f t="shared" si="9"/>
        <v>3.123905323445797E-2</v>
      </c>
    </row>
    <row r="12" spans="1:137" ht="16" customHeight="1">
      <c r="A12" s="50" t="s">
        <v>142</v>
      </c>
      <c r="B12" s="51"/>
      <c r="C12" s="10" t="s">
        <v>143</v>
      </c>
      <c r="D12" s="10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37" ht="18" customHeight="1">
      <c r="A13" s="7" t="s">
        <v>144</v>
      </c>
      <c r="B13" s="8" t="s">
        <v>145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9</v>
      </c>
      <c r="J13" s="14" t="s">
        <v>10</v>
      </c>
      <c r="K13" s="14" t="s">
        <v>11</v>
      </c>
      <c r="L13" s="14" t="s">
        <v>12</v>
      </c>
      <c r="M13" s="14" t="s">
        <v>13</v>
      </c>
      <c r="N13" s="14" t="s">
        <v>14</v>
      </c>
      <c r="O13" s="14" t="s">
        <v>15</v>
      </c>
      <c r="P13" s="14" t="s">
        <v>16</v>
      </c>
      <c r="Q13" s="14" t="s">
        <v>17</v>
      </c>
      <c r="R13" s="14" t="s">
        <v>18</v>
      </c>
      <c r="S13" s="14" t="s">
        <v>19</v>
      </c>
      <c r="T13" s="14" t="s">
        <v>20</v>
      </c>
      <c r="U13" s="14" t="s">
        <v>21</v>
      </c>
      <c r="V13" s="14" t="s">
        <v>22</v>
      </c>
      <c r="W13" s="14" t="s">
        <v>23</v>
      </c>
      <c r="X13" s="14" t="s">
        <v>24</v>
      </c>
      <c r="Y13" s="14" t="s">
        <v>25</v>
      </c>
      <c r="Z13" s="14" t="s">
        <v>26</v>
      </c>
      <c r="AA13" s="14" t="s">
        <v>27</v>
      </c>
      <c r="AB13" s="14" t="s">
        <v>28</v>
      </c>
      <c r="AC13" s="14" t="s">
        <v>29</v>
      </c>
      <c r="AD13" s="14" t="s">
        <v>30</v>
      </c>
      <c r="AE13" s="14" t="s">
        <v>31</v>
      </c>
      <c r="AF13" s="14" t="s">
        <v>32</v>
      </c>
      <c r="AG13" s="14" t="s">
        <v>33</v>
      </c>
      <c r="AH13" s="14" t="s">
        <v>34</v>
      </c>
      <c r="AI13" s="14" t="s">
        <v>35</v>
      </c>
      <c r="AJ13" s="14" t="s">
        <v>36</v>
      </c>
      <c r="AK13" s="14" t="s">
        <v>37</v>
      </c>
      <c r="AL13" s="14" t="s">
        <v>38</v>
      </c>
      <c r="AM13" s="14" t="s">
        <v>39</v>
      </c>
      <c r="AN13" s="14" t="s">
        <v>40</v>
      </c>
      <c r="AO13" s="14" t="s">
        <v>41</v>
      </c>
      <c r="AP13" s="14" t="s">
        <v>42</v>
      </c>
      <c r="AQ13" s="14" t="s">
        <v>43</v>
      </c>
      <c r="AR13" s="14" t="s">
        <v>44</v>
      </c>
      <c r="AS13" s="14" t="s">
        <v>45</v>
      </c>
      <c r="AT13" s="14" t="s">
        <v>46</v>
      </c>
      <c r="AU13" s="14" t="s">
        <v>47</v>
      </c>
      <c r="AV13" s="14" t="s">
        <v>48</v>
      </c>
      <c r="AW13" s="14" t="s">
        <v>49</v>
      </c>
      <c r="AX13" s="14" t="s">
        <v>50</v>
      </c>
      <c r="AY13" s="14" t="s">
        <v>51</v>
      </c>
      <c r="AZ13" s="14" t="s">
        <v>52</v>
      </c>
      <c r="BA13" s="14" t="s">
        <v>53</v>
      </c>
      <c r="BB13" s="14" t="s">
        <v>54</v>
      </c>
      <c r="BC13" s="14" t="s">
        <v>55</v>
      </c>
      <c r="BD13" s="14" t="s">
        <v>56</v>
      </c>
      <c r="BE13" s="14" t="s">
        <v>57</v>
      </c>
      <c r="BF13" s="14" t="s">
        <v>58</v>
      </c>
      <c r="BG13" s="14" t="s">
        <v>59</v>
      </c>
      <c r="BH13" s="14" t="s">
        <v>60</v>
      </c>
      <c r="BI13" s="14" t="s">
        <v>61</v>
      </c>
      <c r="BJ13" s="14" t="s">
        <v>62</v>
      </c>
      <c r="BK13" s="14" t="s">
        <v>63</v>
      </c>
      <c r="BL13" s="14" t="s">
        <v>64</v>
      </c>
      <c r="BM13" s="14" t="s">
        <v>65</v>
      </c>
      <c r="BN13" s="14" t="s">
        <v>66</v>
      </c>
      <c r="BO13" s="14" t="s">
        <v>67</v>
      </c>
      <c r="BP13" s="14" t="s">
        <v>68</v>
      </c>
      <c r="BQ13" s="14" t="s">
        <v>69</v>
      </c>
      <c r="BR13" s="14" t="s">
        <v>70</v>
      </c>
      <c r="BS13" s="14" t="s">
        <v>71</v>
      </c>
      <c r="BT13" s="14" t="s">
        <v>72</v>
      </c>
      <c r="BU13" s="14" t="s">
        <v>73</v>
      </c>
      <c r="BV13" s="14" t="s">
        <v>74</v>
      </c>
      <c r="BW13" s="14" t="s">
        <v>75</v>
      </c>
      <c r="BX13" s="14" t="s">
        <v>76</v>
      </c>
      <c r="BY13" s="14" t="s">
        <v>77</v>
      </c>
      <c r="BZ13" s="14" t="s">
        <v>78</v>
      </c>
      <c r="CA13" s="14" t="s">
        <v>79</v>
      </c>
      <c r="CB13" s="14" t="s">
        <v>80</v>
      </c>
      <c r="CC13" s="14" t="s">
        <v>81</v>
      </c>
      <c r="CD13" s="14" t="s">
        <v>82</v>
      </c>
      <c r="CE13" s="14" t="s">
        <v>83</v>
      </c>
      <c r="CF13" s="14" t="s">
        <v>84</v>
      </c>
      <c r="CG13" s="14" t="s">
        <v>85</v>
      </c>
      <c r="CH13" s="14" t="s">
        <v>86</v>
      </c>
      <c r="CI13" s="14" t="s">
        <v>87</v>
      </c>
      <c r="CJ13" s="14" t="s">
        <v>88</v>
      </c>
      <c r="CK13" s="14" t="s">
        <v>89</v>
      </c>
      <c r="CL13" s="14" t="s">
        <v>90</v>
      </c>
      <c r="CM13" s="14" t="s">
        <v>91</v>
      </c>
      <c r="CN13" s="14" t="s">
        <v>92</v>
      </c>
      <c r="CO13" s="14" t="s">
        <v>93</v>
      </c>
      <c r="CP13" s="14" t="s">
        <v>94</v>
      </c>
      <c r="CQ13" s="14" t="s">
        <v>95</v>
      </c>
      <c r="CR13" s="14" t="s">
        <v>96</v>
      </c>
      <c r="CS13" s="14" t="s">
        <v>97</v>
      </c>
      <c r="CT13" s="14" t="s">
        <v>98</v>
      </c>
      <c r="CU13" s="14" t="s">
        <v>99</v>
      </c>
      <c r="CV13" s="14" t="s">
        <v>100</v>
      </c>
      <c r="CW13" s="14" t="s">
        <v>101</v>
      </c>
      <c r="CX13" s="14" t="s">
        <v>102</v>
      </c>
      <c r="CY13" s="14" t="s">
        <v>103</v>
      </c>
      <c r="CZ13" s="14" t="s">
        <v>104</v>
      </c>
      <c r="DA13" s="14" t="s">
        <v>105</v>
      </c>
      <c r="DB13" s="14" t="s">
        <v>106</v>
      </c>
      <c r="DC13" s="14" t="s">
        <v>107</v>
      </c>
      <c r="DD13" s="14" t="s">
        <v>108</v>
      </c>
      <c r="DE13" s="14" t="s">
        <v>109</v>
      </c>
      <c r="DF13" s="14" t="s">
        <v>110</v>
      </c>
      <c r="DG13" s="14" t="s">
        <v>111</v>
      </c>
      <c r="DH13" s="14" t="s">
        <v>112</v>
      </c>
      <c r="DI13" s="14" t="s">
        <v>113</v>
      </c>
      <c r="DJ13" s="14" t="s">
        <v>114</v>
      </c>
      <c r="DK13" s="14" t="s">
        <v>115</v>
      </c>
      <c r="DL13" s="14" t="s">
        <v>116</v>
      </c>
      <c r="DM13" s="14" t="s">
        <v>117</v>
      </c>
      <c r="DN13" s="14" t="s">
        <v>118</v>
      </c>
      <c r="DO13" s="14" t="s">
        <v>119</v>
      </c>
      <c r="DP13" s="14" t="s">
        <v>120</v>
      </c>
      <c r="DQ13" s="14" t="s">
        <v>121</v>
      </c>
      <c r="DR13" s="14" t="s">
        <v>122</v>
      </c>
      <c r="DS13" s="14" t="s">
        <v>123</v>
      </c>
      <c r="DT13" s="14" t="s">
        <v>124</v>
      </c>
      <c r="DU13" s="14" t="s">
        <v>125</v>
      </c>
      <c r="DV13" s="14" t="s">
        <v>126</v>
      </c>
      <c r="DW13" s="14" t="s">
        <v>127</v>
      </c>
      <c r="DX13" s="14" t="s">
        <v>128</v>
      </c>
      <c r="DY13" s="14" t="s">
        <v>129</v>
      </c>
      <c r="DZ13" s="14" t="s">
        <v>130</v>
      </c>
      <c r="EA13" s="14" t="s">
        <v>131</v>
      </c>
      <c r="EB13" s="14" t="s">
        <v>132</v>
      </c>
      <c r="EC13" s="14" t="s">
        <v>133</v>
      </c>
      <c r="ED13" s="14" t="s">
        <v>134</v>
      </c>
      <c r="EE13" s="14" t="s">
        <v>135</v>
      </c>
      <c r="EF13" s="14" t="s">
        <v>146</v>
      </c>
    </row>
    <row r="14" spans="1:137" ht="16" customHeight="1">
      <c r="A14" s="6">
        <v>10</v>
      </c>
      <c r="B14" s="6">
        <v>96</v>
      </c>
      <c r="C14" s="9">
        <v>0.29562126567416419</v>
      </c>
      <c r="D14" s="9">
        <v>0.29579885100539149</v>
      </c>
      <c r="E14" s="9">
        <v>0.31223014153841039</v>
      </c>
      <c r="F14" s="9">
        <v>0.31619111670211669</v>
      </c>
      <c r="G14" s="9">
        <v>0.28955697832580513</v>
      </c>
      <c r="H14" s="9">
        <v>0.30198331472189249</v>
      </c>
      <c r="I14" s="9">
        <v>0.28076303515655721</v>
      </c>
      <c r="J14" s="9">
        <v>0.30811006814460867</v>
      </c>
      <c r="K14" s="9">
        <v>0.25551552616851758</v>
      </c>
      <c r="L14" s="2">
        <v>0.28512252039788771</v>
      </c>
      <c r="M14" s="2">
        <v>0.29293717181782208</v>
      </c>
      <c r="N14" s="2">
        <v>0.26978649303185609</v>
      </c>
      <c r="O14" s="1">
        <v>3.3855418791750663E-2</v>
      </c>
      <c r="P14" s="1">
        <v>9.1878129517384399E-3</v>
      </c>
      <c r="Q14" s="1">
        <v>3.6922926300822809E-3</v>
      </c>
      <c r="R14" s="1">
        <v>1.8857347034287979E-2</v>
      </c>
      <c r="S14" s="1">
        <v>-1.040012663451635E-2</v>
      </c>
      <c r="T14" s="1">
        <v>3.9154164076757467E-2</v>
      </c>
      <c r="U14" s="1">
        <v>3.4050841147527169E-2</v>
      </c>
      <c r="V14" s="1">
        <v>1.2774886467818439E-2</v>
      </c>
      <c r="W14" s="1">
        <v>-1.5833486687175959E-2</v>
      </c>
      <c r="X14" s="1">
        <v>1.8526807157852581E-2</v>
      </c>
      <c r="Y14" s="1">
        <v>-8.1941143292860417E-3</v>
      </c>
      <c r="Z14" s="1">
        <v>1.6844198908981301E-2</v>
      </c>
      <c r="AA14" s="1">
        <v>-3.4925567372421473E-2</v>
      </c>
      <c r="AB14" s="1">
        <v>1.17333485361996E-2</v>
      </c>
      <c r="AC14" s="1">
        <v>2.4528133265550311E-3</v>
      </c>
      <c r="AD14" s="1">
        <v>1.4606485108490099E-2</v>
      </c>
      <c r="AE14" s="1">
        <v>-4.7310556712784127E-2</v>
      </c>
      <c r="AF14" s="1">
        <v>3.7226252878223447E-2</v>
      </c>
      <c r="AG14" s="1">
        <v>-1.064515172443913E-2</v>
      </c>
      <c r="AH14" s="1">
        <v>-8.3143259337820291E-4</v>
      </c>
      <c r="AI14" s="1">
        <v>-8.8335419556819089E-3</v>
      </c>
      <c r="AJ14" s="1">
        <v>1.479273649782563E-2</v>
      </c>
      <c r="AK14" s="1">
        <v>3.5002465361739519E-3</v>
      </c>
      <c r="AL14" s="1">
        <v>-2.8172463159467229E-2</v>
      </c>
      <c r="AM14" s="1">
        <v>1.018641964452751E-2</v>
      </c>
      <c r="AN14" s="1">
        <v>-2.8398857237578321E-2</v>
      </c>
      <c r="AO14" s="1">
        <v>-3.5094544761820848E-2</v>
      </c>
      <c r="AP14" s="1">
        <v>-1.15936589330963E-4</v>
      </c>
      <c r="AQ14" s="1">
        <v>6.8169446560434766E-3</v>
      </c>
      <c r="AR14" s="1">
        <v>-7.6047465327779579E-3</v>
      </c>
      <c r="AS14" s="1">
        <v>-1.069376780989191E-2</v>
      </c>
      <c r="AT14" s="1">
        <v>-2.5356079274272809E-2</v>
      </c>
      <c r="AU14" s="1">
        <v>8.7458125170646519E-3</v>
      </c>
      <c r="AV14" s="1">
        <v>-1.8328600546468139E-3</v>
      </c>
      <c r="AW14" s="1">
        <v>-7.4897105673170719E-5</v>
      </c>
      <c r="AX14" s="1">
        <v>3.742782383231961E-3</v>
      </c>
      <c r="AY14" s="1">
        <v>6.993134840550844E-3</v>
      </c>
      <c r="AZ14" s="1">
        <v>-4.3569513054074159E-3</v>
      </c>
      <c r="BA14" s="1">
        <v>-7.3738227916712992E-3</v>
      </c>
      <c r="BB14" s="1">
        <v>-3.3325844319589061E-3</v>
      </c>
      <c r="BC14" s="1">
        <v>4.9337918462196914E-3</v>
      </c>
      <c r="BD14" s="1">
        <v>-7.0471840551347541E-3</v>
      </c>
      <c r="BE14" s="1">
        <v>-1.9972053537301158E-2</v>
      </c>
      <c r="BF14" s="1">
        <v>6.2837621197568728E-3</v>
      </c>
      <c r="BG14" s="1">
        <v>3.5711131476770732E-3</v>
      </c>
      <c r="BH14" s="1">
        <v>8.3666685823320014E-2</v>
      </c>
      <c r="BI14" s="1">
        <v>-7.9114242592483397E-2</v>
      </c>
      <c r="BJ14" s="1">
        <v>-8.2203428269559311E-3</v>
      </c>
      <c r="BK14" s="1">
        <v>1.5983669927675141E-2</v>
      </c>
      <c r="BL14" s="1">
        <v>8.4824333021762885E-3</v>
      </c>
      <c r="BM14" s="1">
        <v>9.4280581478951089E-3</v>
      </c>
      <c r="BN14" s="1">
        <v>2.343029690658174E-2</v>
      </c>
      <c r="BO14" s="1">
        <v>-7.2456026073374974E-3</v>
      </c>
      <c r="BP14" s="1">
        <v>2.7158397393364061E-2</v>
      </c>
      <c r="BQ14" s="1">
        <v>2.8064502250062111E-2</v>
      </c>
      <c r="BR14" s="1">
        <v>-5.665237110585504E-2</v>
      </c>
      <c r="BS14" s="1">
        <v>1.412993845691982E-2</v>
      </c>
      <c r="BT14" s="1">
        <v>-4.1094473271221642E-2</v>
      </c>
      <c r="BU14" s="1">
        <v>1.366986524639085E-2</v>
      </c>
      <c r="BV14" s="1">
        <v>-5.8086606606577024E-3</v>
      </c>
      <c r="BW14" s="1">
        <v>-1.2734027770435089E-2</v>
      </c>
      <c r="BX14" s="1">
        <v>3.4835509010614357E-2</v>
      </c>
      <c r="BY14" s="1">
        <v>5.7107008263413139E-3</v>
      </c>
      <c r="BZ14" s="1">
        <v>-1.742834189341402E-2</v>
      </c>
      <c r="CA14" s="1">
        <v>1.137035978639149E-2</v>
      </c>
      <c r="CB14" s="1">
        <v>5.1536318324547636E-3</v>
      </c>
      <c r="CC14" s="1">
        <v>-1.9729776837632822E-2</v>
      </c>
      <c r="CD14" s="1">
        <v>-2.159766686694534E-2</v>
      </c>
      <c r="CE14" s="1">
        <v>-3.4906996835402208E-3</v>
      </c>
      <c r="CF14" s="1">
        <v>-3.7333151663668233E-2</v>
      </c>
      <c r="CG14" s="1">
        <v>3.4151713503249012E-2</v>
      </c>
      <c r="CH14" s="1">
        <v>7.8461010957668886E-3</v>
      </c>
      <c r="CI14" s="1">
        <v>1.108220027252799E-2</v>
      </c>
      <c r="CJ14" s="1">
        <v>-5.1528174978523467E-3</v>
      </c>
      <c r="CK14" s="1">
        <v>-1.5642305800686811E-2</v>
      </c>
      <c r="CL14" s="1">
        <v>-8.1055990966943894E-2</v>
      </c>
      <c r="CM14" s="1">
        <v>-8.2143852864003802E-3</v>
      </c>
      <c r="CN14" s="1">
        <v>5.896874495682778E-2</v>
      </c>
      <c r="CO14" s="1">
        <v>-9.5717325147375541E-5</v>
      </c>
      <c r="CP14" s="1">
        <v>4.1822399704308788E-2</v>
      </c>
      <c r="CQ14" s="1">
        <v>-4.0079893001661551E-2</v>
      </c>
      <c r="CR14" s="1">
        <v>-2.2438533210851808E-2</v>
      </c>
      <c r="CS14" s="1">
        <v>1.517859272576904E-2</v>
      </c>
      <c r="CT14" s="1">
        <v>1.0719655975037551E-2</v>
      </c>
      <c r="CU14" s="1">
        <v>-1.0026979743183459E-2</v>
      </c>
      <c r="CV14" s="1">
        <v>-1.083032785852963E-2</v>
      </c>
      <c r="CW14" s="1">
        <v>2.177898687007955E-2</v>
      </c>
      <c r="CX14" s="1">
        <v>1.3771877510467609E-2</v>
      </c>
      <c r="CY14" s="1">
        <v>1.9081474635504591E-3</v>
      </c>
      <c r="CZ14" s="1">
        <v>4.9818834791939617E-2</v>
      </c>
      <c r="DA14" s="1">
        <v>-2.9251034211096728E-3</v>
      </c>
      <c r="DB14" s="1">
        <v>1.054430610586882E-2</v>
      </c>
      <c r="DC14" s="1">
        <v>3.5590312932903823E-2</v>
      </c>
      <c r="DD14" s="1">
        <v>1.4532099104673509E-5</v>
      </c>
      <c r="DE14" s="1">
        <v>-4.3065205048909108E-2</v>
      </c>
      <c r="DF14" s="1">
        <v>-5.5114635117131071E-3</v>
      </c>
      <c r="DG14" s="1">
        <v>-3.2901992624261397E-2</v>
      </c>
      <c r="DH14" s="1">
        <v>-4.7876524302552376E-3</v>
      </c>
      <c r="DI14" s="1">
        <v>-1.7767439947222009E-2</v>
      </c>
      <c r="DJ14" s="1">
        <v>1.9733787289984241E-2</v>
      </c>
      <c r="DK14" s="1">
        <v>-1.9272708990648771E-2</v>
      </c>
      <c r="DL14" s="1">
        <v>-2.682037528981487E-2</v>
      </c>
      <c r="DM14" s="1">
        <v>-1.7381543425913901E-2</v>
      </c>
      <c r="DN14" s="1">
        <v>-1.7102502411024751E-2</v>
      </c>
      <c r="DO14" s="1">
        <v>-2.0508085057774642E-2</v>
      </c>
      <c r="DP14" s="1">
        <v>-6.5093146763584714E-4</v>
      </c>
      <c r="DQ14" s="1">
        <v>-5.7251368177514417E-3</v>
      </c>
      <c r="DR14" s="1">
        <v>1.411549303450732E-2</v>
      </c>
      <c r="DS14" s="1">
        <v>-3.0979457546171981E-3</v>
      </c>
      <c r="DT14" s="1">
        <v>-5.0880894652016798E-3</v>
      </c>
      <c r="DU14" s="1">
        <v>6.1003211234162032E-3</v>
      </c>
      <c r="DV14" s="1">
        <v>-7.6564706063901693E-3</v>
      </c>
      <c r="DW14" s="1">
        <v>-8.3006673473619286E-4</v>
      </c>
      <c r="DX14" s="1">
        <v>5.8533416525571903E-3</v>
      </c>
      <c r="DY14" s="1">
        <v>-1.888366131825598E-2</v>
      </c>
      <c r="DZ14" s="1">
        <v>-3.024138646255406E-2</v>
      </c>
      <c r="EA14" s="1">
        <v>1.025694075299112E-2</v>
      </c>
      <c r="EB14" s="1">
        <v>1.2496730365865129E-2</v>
      </c>
      <c r="EC14" s="1">
        <v>1.4865569613453191E-3</v>
      </c>
      <c r="ED14" s="1">
        <v>1.8010473122938801E-2</v>
      </c>
      <c r="EE14" s="1">
        <v>-1.2909397145814091E-3</v>
      </c>
      <c r="EF14" s="1">
        <v>1.4839088495777541E-2</v>
      </c>
    </row>
    <row r="15" spans="1:137" ht="16" customHeight="1">
      <c r="A15" s="6">
        <v>20</v>
      </c>
      <c r="B15" s="6">
        <v>48</v>
      </c>
      <c r="C15" s="9">
        <v>0.39331188340051321</v>
      </c>
      <c r="D15" s="9">
        <v>0.3963549048018728</v>
      </c>
      <c r="E15" s="9">
        <v>0.40431638297990241</v>
      </c>
      <c r="F15" s="9">
        <v>0.45011883649575418</v>
      </c>
      <c r="G15" s="9">
        <v>0.39396994977187122</v>
      </c>
      <c r="H15" s="9">
        <v>0.39233841979811901</v>
      </c>
      <c r="I15" s="9">
        <v>0.37675730193895912</v>
      </c>
      <c r="J15" s="9">
        <v>0.42101089127482411</v>
      </c>
      <c r="K15" s="9">
        <v>0.35518562088304639</v>
      </c>
      <c r="L15" s="2">
        <v>0.38009039575467962</v>
      </c>
      <c r="M15" s="2">
        <v>0.41971579229702272</v>
      </c>
      <c r="N15" s="2">
        <v>0.37367531200613191</v>
      </c>
      <c r="O15" s="1">
        <v>3.5515572688001353E-2</v>
      </c>
      <c r="P15" s="1">
        <v>1.0628823186041461E-2</v>
      </c>
      <c r="Q15" s="1">
        <v>1.6712991580636431E-2</v>
      </c>
      <c r="R15" s="1">
        <v>2.8785563609957401E-2</v>
      </c>
      <c r="S15" s="1">
        <v>-3.0482854310515589E-2</v>
      </c>
      <c r="T15" s="1">
        <v>5.345274044531332E-2</v>
      </c>
      <c r="U15" s="1">
        <v>2.2228388252251739E-2</v>
      </c>
      <c r="V15" s="1">
        <v>2.2568189117302209E-2</v>
      </c>
      <c r="W15" s="1">
        <v>-1.4286003222536901E-2</v>
      </c>
      <c r="X15" s="1">
        <v>1.5769134034747698E-2</v>
      </c>
      <c r="Y15" s="1">
        <v>-1.811647686406757E-3</v>
      </c>
      <c r="Z15" s="1">
        <v>3.566065919612614E-2</v>
      </c>
      <c r="AA15" s="1">
        <v>-5.2138645797871391E-2</v>
      </c>
      <c r="AB15" s="1">
        <v>-3.257614873245863E-3</v>
      </c>
      <c r="AC15" s="1">
        <v>-4.4018581664118407E-3</v>
      </c>
      <c r="AD15" s="1">
        <v>2.3871032693214E-2</v>
      </c>
      <c r="AE15" s="1">
        <v>-4.5846849114984892E-2</v>
      </c>
      <c r="AF15" s="1">
        <v>6.5917249319285637E-2</v>
      </c>
      <c r="AG15" s="1">
        <v>-8.7411736480492511E-3</v>
      </c>
      <c r="AH15" s="1">
        <v>1.9819458987627669E-2</v>
      </c>
      <c r="AI15" s="1">
        <v>-2.4804935074702491E-2</v>
      </c>
      <c r="AJ15" s="1">
        <v>1.4472795193094671E-2</v>
      </c>
      <c r="AK15" s="1">
        <v>-1.4342490963201679E-2</v>
      </c>
      <c r="AL15" s="1">
        <v>-2.347124699542253E-2</v>
      </c>
      <c r="AM15" s="1">
        <v>3.4264019301277288E-2</v>
      </c>
      <c r="AN15" s="1">
        <v>-1.8339291506585451E-2</v>
      </c>
      <c r="AO15" s="1">
        <v>-1.1837744556976599E-2</v>
      </c>
      <c r="AP15" s="1">
        <v>-4.3498668416595623E-3</v>
      </c>
      <c r="AQ15" s="1">
        <v>1.923649865273783E-2</v>
      </c>
      <c r="AR15" s="1">
        <v>3.6919016744657129E-3</v>
      </c>
      <c r="AS15" s="1">
        <v>-3.213816021432904E-2</v>
      </c>
      <c r="AT15" s="1">
        <v>-1.872757856123735E-2</v>
      </c>
      <c r="AU15" s="1">
        <v>2.2220706226641782E-2</v>
      </c>
      <c r="AV15" s="1">
        <v>6.6898372134676304E-3</v>
      </c>
      <c r="AW15" s="1">
        <v>-2.0913992373593E-2</v>
      </c>
      <c r="AX15" s="1">
        <v>1.190446094667692E-3</v>
      </c>
      <c r="AY15" s="1">
        <v>3.4040480754026971E-2</v>
      </c>
      <c r="AZ15" s="1">
        <v>-2.2274402908146789E-2</v>
      </c>
      <c r="BA15" s="1">
        <v>-8.6804536046086039E-3</v>
      </c>
      <c r="BB15" s="1">
        <v>-3.7682455252222469E-2</v>
      </c>
      <c r="BC15" s="1">
        <v>-1.6860244445631169E-3</v>
      </c>
      <c r="BD15" s="1">
        <v>6.3971763956204419E-3</v>
      </c>
      <c r="BE15" s="1">
        <v>-1.466655506590162E-2</v>
      </c>
      <c r="BF15" s="1">
        <v>-7.5911485193243707E-3</v>
      </c>
      <c r="BG15" s="1">
        <v>8.3886450188661033E-3</v>
      </c>
      <c r="BH15" s="1">
        <v>8.6679819059937574E-2</v>
      </c>
      <c r="BI15" s="1">
        <v>-9.345203058933621E-2</v>
      </c>
      <c r="BJ15" s="1">
        <v>-3.4383242875882639E-2</v>
      </c>
      <c r="BK15" s="1">
        <v>2.0952220727164329E-2</v>
      </c>
      <c r="BL15" s="1">
        <v>1.7498420403541048E-2</v>
      </c>
      <c r="BM15" s="1">
        <v>2.005970225371002E-2</v>
      </c>
      <c r="BN15" s="1">
        <v>1.861899466772321E-2</v>
      </c>
      <c r="BO15" s="1">
        <v>-5.6604549641429899E-3</v>
      </c>
      <c r="BP15" s="1">
        <v>4.1028759280831592E-2</v>
      </c>
      <c r="BQ15" s="1">
        <v>1.170817100428133E-2</v>
      </c>
      <c r="BR15" s="1">
        <v>-7.4094909314992713E-2</v>
      </c>
      <c r="BS15" s="1">
        <v>2.5179208829190919E-3</v>
      </c>
      <c r="BT15" s="1">
        <v>-1.771526984597813E-2</v>
      </c>
      <c r="BU15" s="1">
        <v>1.5907116655588121E-2</v>
      </c>
      <c r="BV15" s="1">
        <v>4.4142404635235083E-2</v>
      </c>
      <c r="BW15" s="1">
        <v>-2.4125627458035231E-2</v>
      </c>
      <c r="BX15" s="1">
        <v>2.3708027022364981E-2</v>
      </c>
      <c r="BY15" s="1">
        <v>2.9153996315701421E-2</v>
      </c>
      <c r="BZ15" s="1">
        <v>-2.0891445307354931E-2</v>
      </c>
      <c r="CA15" s="1">
        <v>2.849374653256943E-2</v>
      </c>
      <c r="CB15" s="1">
        <v>2.5005095439726909E-2</v>
      </c>
      <c r="CC15" s="1">
        <v>-2.9212612425657491E-2</v>
      </c>
      <c r="CD15" s="1">
        <v>-2.8901627663733481E-2</v>
      </c>
      <c r="CE15" s="1">
        <v>1.8406166849411109E-2</v>
      </c>
      <c r="CF15" s="1">
        <v>4.7397014699086621E-3</v>
      </c>
      <c r="CG15" s="1">
        <v>4.1020336500169681E-2</v>
      </c>
      <c r="CH15" s="1">
        <v>1.7138792147990588E-2</v>
      </c>
      <c r="CI15" s="1">
        <v>7.4066340479959081E-3</v>
      </c>
      <c r="CJ15" s="1">
        <v>1.3212390427781801E-2</v>
      </c>
      <c r="CK15" s="1">
        <v>1.344476717798442E-2</v>
      </c>
      <c r="CL15" s="1">
        <v>-0.10334166350068789</v>
      </c>
      <c r="CM15" s="1">
        <v>-3.220820755127804E-2</v>
      </c>
      <c r="CN15" s="1">
        <v>0.102920459805231</v>
      </c>
      <c r="CO15" s="1">
        <v>-1.137008617421266E-2</v>
      </c>
      <c r="CP15" s="1">
        <v>4.9128215619886437E-2</v>
      </c>
      <c r="CQ15" s="1">
        <v>-6.3542659758121067E-2</v>
      </c>
      <c r="CR15" s="1">
        <v>-5.3263569703688042E-2</v>
      </c>
      <c r="CS15" s="1">
        <v>-2.1820504391331121E-2</v>
      </c>
      <c r="CT15" s="1">
        <v>1.1875474018146511E-2</v>
      </c>
      <c r="CU15" s="1">
        <v>-1.197408557243192E-2</v>
      </c>
      <c r="CV15" s="1">
        <v>-3.097481020255001E-2</v>
      </c>
      <c r="CW15" s="1">
        <v>2.077504991259126E-2</v>
      </c>
      <c r="CX15" s="1">
        <v>3.4736557958133518E-3</v>
      </c>
      <c r="CY15" s="1">
        <v>-1.8205108724192159E-2</v>
      </c>
      <c r="CZ15" s="1">
        <v>4.9122760644415051E-2</v>
      </c>
      <c r="DA15" s="1">
        <v>1.466473112385284E-2</v>
      </c>
      <c r="DB15" s="1">
        <v>2.9569402566793069E-2</v>
      </c>
      <c r="DC15" s="1">
        <v>3.54549607469265E-3</v>
      </c>
      <c r="DD15" s="1">
        <v>7.3567451119181879E-3</v>
      </c>
      <c r="DE15" s="1">
        <v>-2.66880682737583E-2</v>
      </c>
      <c r="DF15" s="1">
        <v>-2.916881557769202E-2</v>
      </c>
      <c r="DG15" s="1">
        <v>-6.6597429421235477E-2</v>
      </c>
      <c r="DH15" s="1">
        <v>-1.6940774684064561E-2</v>
      </c>
      <c r="DI15" s="1">
        <v>3.9659983808450358E-2</v>
      </c>
      <c r="DJ15" s="1">
        <v>3.8611333961126967E-2</v>
      </c>
      <c r="DK15" s="1">
        <v>-3.0272380614164179E-2</v>
      </c>
      <c r="DL15" s="1">
        <v>-4.3054104477143702E-2</v>
      </c>
      <c r="DM15" s="1">
        <v>-2.9771113872649271E-2</v>
      </c>
      <c r="DN15" s="1">
        <v>-1.5267607786247639E-3</v>
      </c>
      <c r="DO15" s="1">
        <v>-2.5795462620399931E-2</v>
      </c>
      <c r="DP15" s="1">
        <v>-7.637498131220926E-3</v>
      </c>
      <c r="DQ15" s="1">
        <v>4.5938003949265449E-4</v>
      </c>
      <c r="DR15" s="1">
        <v>-2.4676629550223622E-3</v>
      </c>
      <c r="DS15" s="1">
        <v>1.920743374857389E-2</v>
      </c>
      <c r="DT15" s="1">
        <v>5.6904498570215373E-3</v>
      </c>
      <c r="DU15" s="1">
        <v>-7.8709430558903913E-3</v>
      </c>
      <c r="DV15" s="1">
        <v>-6.2293475087022206E-3</v>
      </c>
      <c r="DW15" s="1">
        <v>4.2471667111693076E-3</v>
      </c>
      <c r="DX15" s="1">
        <v>-3.6317915869663771E-3</v>
      </c>
      <c r="DY15" s="1">
        <v>-3.333543354123579E-2</v>
      </c>
      <c r="DZ15" s="1">
        <v>-2.946719053253305E-2</v>
      </c>
      <c r="EA15" s="1">
        <v>1.8653143589174841E-2</v>
      </c>
      <c r="EB15" s="1">
        <v>5.3733036463849172E-3</v>
      </c>
      <c r="EC15" s="1">
        <v>-1.2039812996478119E-2</v>
      </c>
      <c r="ED15" s="1">
        <v>1.9665625812319461E-2</v>
      </c>
      <c r="EE15" s="1">
        <v>4.6482073481646409E-3</v>
      </c>
      <c r="EF15" s="1">
        <v>-4.2282991489264732E-4</v>
      </c>
    </row>
    <row r="16" spans="1:137" ht="16" customHeight="1">
      <c r="A16" s="6">
        <v>50</v>
      </c>
      <c r="B16" s="6">
        <v>19</v>
      </c>
      <c r="C16" s="9">
        <v>0.56869310141554197</v>
      </c>
      <c r="D16" s="9">
        <v>0.58304726559957054</v>
      </c>
      <c r="E16" s="9">
        <v>0.50875996281776192</v>
      </c>
      <c r="F16" s="9">
        <v>0.70120670236600913</v>
      </c>
      <c r="G16" s="9">
        <v>0.56764501683943247</v>
      </c>
      <c r="H16" s="9">
        <v>0.51353529444388213</v>
      </c>
      <c r="I16" s="9">
        <v>0.5245977755889788</v>
      </c>
      <c r="J16" s="9">
        <v>0.57452631441937141</v>
      </c>
      <c r="K16" s="9">
        <v>0.53353306237088816</v>
      </c>
      <c r="L16" s="2">
        <v>0.52383983897521069</v>
      </c>
      <c r="M16" s="2">
        <v>0.6622188991636937</v>
      </c>
      <c r="N16" s="2">
        <v>0.52968662864188309</v>
      </c>
      <c r="O16" s="1">
        <v>6.8478183633146478E-2</v>
      </c>
      <c r="P16" s="1">
        <v>1.9746294016462461E-2</v>
      </c>
      <c r="Q16" s="1">
        <v>2.4762035554665409E-2</v>
      </c>
      <c r="R16" s="1">
        <v>-2.913134481539369E-2</v>
      </c>
      <c r="S16" s="1">
        <v>-8.5167849622706515E-2</v>
      </c>
      <c r="T16" s="1">
        <v>1.3326201769336771E-2</v>
      </c>
      <c r="U16" s="1">
        <v>2.7444889365141011E-2</v>
      </c>
      <c r="V16" s="1">
        <v>-2.1051857976416941E-2</v>
      </c>
      <c r="W16" s="1">
        <v>-1.4010518479609459E-2</v>
      </c>
      <c r="X16" s="1">
        <v>-6.8261669617103102E-3</v>
      </c>
      <c r="Y16" s="1">
        <v>-1.755345967457167E-2</v>
      </c>
      <c r="Z16" s="1">
        <v>7.7504966883125359E-2</v>
      </c>
      <c r="AA16" s="1">
        <v>-9.3205989830968047E-2</v>
      </c>
      <c r="AB16" s="1">
        <v>-3.1541048753603987E-2</v>
      </c>
      <c r="AC16" s="1">
        <v>1.392259313954E-2</v>
      </c>
      <c r="AD16" s="1">
        <v>1.921808950219183E-2</v>
      </c>
      <c r="AE16" s="1">
        <v>-4.5766444998072628E-2</v>
      </c>
      <c r="AF16" s="1">
        <v>0.1073539344362034</v>
      </c>
      <c r="AG16" s="1">
        <v>-4.1558718652790899E-3</v>
      </c>
      <c r="AH16" s="1">
        <v>-9.4518944292012672E-4</v>
      </c>
      <c r="AI16" s="1">
        <v>-6.5873919714662388E-2</v>
      </c>
      <c r="AJ16" s="1">
        <v>1.476962129401853E-2</v>
      </c>
      <c r="AK16" s="1">
        <v>-4.8440553822693397E-2</v>
      </c>
      <c r="AL16" s="1">
        <v>-2.2912713567385411E-2</v>
      </c>
      <c r="AM16" s="1">
        <v>4.7350531531223143E-2</v>
      </c>
      <c r="AN16" s="1">
        <v>-2.6452158307043519E-3</v>
      </c>
      <c r="AO16" s="1">
        <v>-3.5452962297107038E-2</v>
      </c>
      <c r="AP16" s="1">
        <v>-3.1143255925806981E-2</v>
      </c>
      <c r="AQ16" s="1">
        <v>6.7558757526809621E-2</v>
      </c>
      <c r="AR16" s="1">
        <v>3.8925730670050993E-2</v>
      </c>
      <c r="AS16" s="1">
        <v>-4.9735400953474042E-2</v>
      </c>
      <c r="AT16" s="1">
        <v>-3.4809150827820011E-3</v>
      </c>
      <c r="AU16" s="1">
        <v>5.9085209014503148E-2</v>
      </c>
      <c r="AV16" s="1">
        <v>1.018536837141165E-2</v>
      </c>
      <c r="AW16" s="1">
        <v>-3.2178126135848917E-2</v>
      </c>
      <c r="AX16" s="1">
        <v>4.8824771707919531E-2</v>
      </c>
      <c r="AY16" s="1">
        <v>1.8790188043938481E-2</v>
      </c>
      <c r="AZ16" s="1">
        <v>-2.595860128263271E-2</v>
      </c>
      <c r="BA16" s="1">
        <v>1.357552558211636E-2</v>
      </c>
      <c r="BB16" s="1">
        <v>-3.7817077703011973E-2</v>
      </c>
      <c r="BC16" s="1">
        <v>-5.7375223388619723E-2</v>
      </c>
      <c r="BD16" s="1">
        <v>-2.22588555883859E-2</v>
      </c>
      <c r="BE16" s="1">
        <v>-5.623066967769149E-3</v>
      </c>
      <c r="BF16" s="1">
        <v>-5.5154292152453082E-3</v>
      </c>
      <c r="BG16" s="1">
        <v>-1.1254462857888749E-2</v>
      </c>
      <c r="BH16" s="1">
        <v>9.3489898924356774E-2</v>
      </c>
      <c r="BI16" s="1">
        <v>-3.4212863501218528E-2</v>
      </c>
      <c r="BJ16" s="1">
        <v>1.136274971338023E-2</v>
      </c>
      <c r="BK16" s="1">
        <v>3.4738169413159707E-2</v>
      </c>
      <c r="BL16" s="1">
        <v>3.9064743520554959E-2</v>
      </c>
      <c r="BM16" s="1">
        <v>5.0251895665112067E-2</v>
      </c>
      <c r="BN16" s="1">
        <v>2.2130916731673899E-2</v>
      </c>
      <c r="BO16" s="1">
        <v>-2.7425149304994879E-2</v>
      </c>
      <c r="BP16" s="1">
        <v>9.8417958625143145E-2</v>
      </c>
      <c r="BQ16" s="1">
        <v>1.35784240758359E-2</v>
      </c>
      <c r="BR16" s="1">
        <v>-0.1125495449912412</v>
      </c>
      <c r="BS16" s="1">
        <v>1.0903994225047241E-3</v>
      </c>
      <c r="BT16" s="1">
        <v>6.1330950906941177E-2</v>
      </c>
      <c r="BU16" s="1">
        <v>3.367387995984667E-3</v>
      </c>
      <c r="BV16" s="1">
        <v>7.2334373818897249E-2</v>
      </c>
      <c r="BW16" s="1">
        <v>-5.0477489799949177E-2</v>
      </c>
      <c r="BX16" s="1">
        <v>-2.5419882280622269E-3</v>
      </c>
      <c r="BY16" s="1">
        <v>-7.6570665620048217E-3</v>
      </c>
      <c r="BZ16" s="1">
        <v>6.8159628619532953E-3</v>
      </c>
      <c r="CA16" s="1">
        <v>2.1662671771067871E-2</v>
      </c>
      <c r="CB16" s="1">
        <v>3.9452832614303102E-2</v>
      </c>
      <c r="CC16" s="1">
        <v>9.0658816373011854E-3</v>
      </c>
      <c r="CD16" s="1">
        <v>3.1381777566745331E-2</v>
      </c>
      <c r="CE16" s="1">
        <v>4.0838225872146403E-2</v>
      </c>
      <c r="CF16" s="1">
        <v>2.9202457751775501E-2</v>
      </c>
      <c r="CG16" s="1">
        <v>7.3593442952146759E-4</v>
      </c>
      <c r="CH16" s="1">
        <v>-2.7508871102731279E-3</v>
      </c>
      <c r="CI16" s="1">
        <v>3.9620771094372023E-2</v>
      </c>
      <c r="CJ16" s="1">
        <v>2.5473178963837429E-2</v>
      </c>
      <c r="CK16" s="1">
        <v>-4.3052651038189352E-3</v>
      </c>
      <c r="CL16" s="1">
        <v>-9.4229655913714863E-2</v>
      </c>
      <c r="CM16" s="1">
        <v>-4.5719846882001973E-2</v>
      </c>
      <c r="CN16" s="1">
        <v>8.4019794702226452E-2</v>
      </c>
      <c r="CO16" s="1">
        <v>-9.0796998686172234E-3</v>
      </c>
      <c r="CP16" s="1">
        <v>7.0055970715996937E-2</v>
      </c>
      <c r="CQ16" s="1">
        <v>-8.1929759118905071E-2</v>
      </c>
      <c r="CR16" s="1">
        <v>-0.13305768602550919</v>
      </c>
      <c r="CS16" s="1">
        <v>-4.8241792748547493E-2</v>
      </c>
      <c r="CT16" s="1">
        <v>2.9899336873886479E-2</v>
      </c>
      <c r="CU16" s="1">
        <v>-0.10598423784466759</v>
      </c>
      <c r="CV16" s="1">
        <v>-1.9031688092685749E-2</v>
      </c>
      <c r="CW16" s="1">
        <v>3.9286002337075257E-2</v>
      </c>
      <c r="CX16" s="1">
        <v>4.4870516713482619E-2</v>
      </c>
      <c r="CY16" s="1">
        <v>-2.6444540528325591E-2</v>
      </c>
      <c r="CZ16" s="1">
        <v>3.3443031190102779E-2</v>
      </c>
      <c r="DA16" s="1">
        <v>4.4457055543282969E-2</v>
      </c>
      <c r="DB16" s="1">
        <v>0.13347239862848659</v>
      </c>
      <c r="DC16" s="1">
        <v>-0.1062085832220812</v>
      </c>
      <c r="DD16" s="1">
        <v>-2.456259338685068E-3</v>
      </c>
      <c r="DE16" s="1">
        <v>1.5867709549898121E-2</v>
      </c>
      <c r="DF16" s="1">
        <v>-4.5963064827519662E-2</v>
      </c>
      <c r="DG16" s="1">
        <v>-6.6648697460377687E-2</v>
      </c>
      <c r="DH16" s="1">
        <v>1.0066447730045359E-3</v>
      </c>
      <c r="DI16" s="1">
        <v>1.763750770643659E-2</v>
      </c>
      <c r="DJ16" s="1">
        <v>0.1114786052367822</v>
      </c>
      <c r="DK16" s="1">
        <v>-5.8643336659239653E-2</v>
      </c>
      <c r="DL16" s="1">
        <v>-5.4308872318611673E-2</v>
      </c>
      <c r="DM16" s="1">
        <v>-0.10576985910180579</v>
      </c>
      <c r="DN16" s="1">
        <v>1.694518533433036E-2</v>
      </c>
      <c r="DO16" s="1">
        <v>-5.2795643405479931E-2</v>
      </c>
      <c r="DP16" s="1">
        <v>-6.6744723523777597E-3</v>
      </c>
      <c r="DQ16" s="1">
        <v>-2.2091004222216309E-2</v>
      </c>
      <c r="DR16" s="1">
        <v>1.0223609181176161E-2</v>
      </c>
      <c r="DS16" s="1">
        <v>3.9002690602721782E-2</v>
      </c>
      <c r="DT16" s="1">
        <v>2.6047706112469239E-2</v>
      </c>
      <c r="DU16" s="1">
        <v>8.5794604913784142E-3</v>
      </c>
      <c r="DV16" s="1">
        <v>-3.1960902607568918E-2</v>
      </c>
      <c r="DW16" s="1">
        <v>2.016054025819267E-2</v>
      </c>
      <c r="DX16" s="1">
        <v>-5.5939831400016508E-2</v>
      </c>
      <c r="DY16" s="1">
        <v>-4.4764041712618337E-2</v>
      </c>
      <c r="DZ16" s="1">
        <v>-2.37305004540494E-2</v>
      </c>
      <c r="EA16" s="1">
        <v>2.984470876581603E-2</v>
      </c>
      <c r="EB16" s="1">
        <v>-2.2120640100221859E-2</v>
      </c>
      <c r="EC16" s="1">
        <v>-8.89923718591344E-3</v>
      </c>
      <c r="ED16" s="1">
        <v>6.9462438106964348E-3</v>
      </c>
      <c r="EE16" s="1">
        <v>-1.6784725186741099E-2</v>
      </c>
      <c r="EF16" s="1">
        <v>1.9105206677173789E-2</v>
      </c>
    </row>
    <row r="17" spans="1:136" ht="16" customHeight="1">
      <c r="A17" s="6">
        <v>100</v>
      </c>
      <c r="B17" s="6">
        <v>10</v>
      </c>
      <c r="C17" s="9">
        <v>0.70578592605259094</v>
      </c>
      <c r="D17" s="9">
        <v>0.71806043037990963</v>
      </c>
      <c r="E17" s="9">
        <v>0.58979493676483086</v>
      </c>
      <c r="F17" s="9">
        <v>0.91756881901635134</v>
      </c>
      <c r="G17" s="9">
        <v>0.68479394309074582</v>
      </c>
      <c r="H17" s="9">
        <v>0.59162455108130108</v>
      </c>
      <c r="I17" s="9">
        <v>0.56334840162668065</v>
      </c>
      <c r="J17" s="9">
        <v>0.70177216235768869</v>
      </c>
      <c r="K17" s="9">
        <v>0.69443187368259696</v>
      </c>
      <c r="L17" s="2">
        <v>0.6415196446778586</v>
      </c>
      <c r="M17" s="2">
        <v>0.90573452276649613</v>
      </c>
      <c r="N17" s="2">
        <v>0.69053013088069704</v>
      </c>
      <c r="O17" s="1">
        <v>0.1095447482541661</v>
      </c>
      <c r="P17" s="1">
        <v>1.446812493185964E-2</v>
      </c>
      <c r="Q17" s="1">
        <v>-6.9735273408869522E-2</v>
      </c>
      <c r="R17" s="1">
        <v>-4.0956073740794373E-2</v>
      </c>
      <c r="S17" s="1">
        <v>-7.3286062363844676E-2</v>
      </c>
      <c r="T17" s="1">
        <v>-4.058076829274461E-2</v>
      </c>
      <c r="U17" s="1">
        <v>4.7155576633319568E-2</v>
      </c>
      <c r="V17" s="1">
        <v>-8.8747123480015233E-4</v>
      </c>
      <c r="W17" s="1">
        <v>-3.3198217043781987E-2</v>
      </c>
      <c r="X17" s="1">
        <v>2.1082175827026661E-2</v>
      </c>
      <c r="Y17" s="1">
        <v>-1.268186682621499E-2</v>
      </c>
      <c r="Z17" s="1">
        <v>7.29420115735957E-2</v>
      </c>
      <c r="AA17" s="1">
        <v>-0.16338791902190999</v>
      </c>
      <c r="AB17" s="1">
        <v>-2.5216571746621921E-2</v>
      </c>
      <c r="AC17" s="1">
        <v>2.409872966561322E-2</v>
      </c>
      <c r="AD17" s="1">
        <v>3.7805405101439732E-2</v>
      </c>
      <c r="AE17" s="1">
        <v>-3.1114692939010171E-2</v>
      </c>
      <c r="AF17" s="1">
        <v>0.1732973876659247</v>
      </c>
      <c r="AG17" s="1">
        <v>-1.8162447131305891E-2</v>
      </c>
      <c r="AH17" s="1">
        <v>-1.9528413343907411E-2</v>
      </c>
      <c r="AI17" s="1">
        <v>-4.7927622059323077E-2</v>
      </c>
      <c r="AJ17" s="1">
        <v>-3.000063838312771E-2</v>
      </c>
      <c r="AK17" s="1">
        <v>-8.5653643911977023E-2</v>
      </c>
      <c r="AL17" s="1">
        <v>-6.1223064855905632E-2</v>
      </c>
      <c r="AM17" s="1">
        <v>0.15861072337595419</v>
      </c>
      <c r="AN17" s="1">
        <v>2.7677887443445098E-2</v>
      </c>
      <c r="AO17" s="1">
        <v>-2.0839102522327391E-2</v>
      </c>
      <c r="AP17" s="1">
        <v>-7.7175383964362326E-2</v>
      </c>
      <c r="AQ17" s="1">
        <v>0.1166832653874663</v>
      </c>
      <c r="AR17" s="1">
        <v>2.975337353150256E-2</v>
      </c>
      <c r="AS17" s="1">
        <v>-4.7506168326310959E-2</v>
      </c>
      <c r="AT17" s="1">
        <v>-1.1928870415733929E-2</v>
      </c>
      <c r="AU17" s="1">
        <v>-1.230807711821537E-2</v>
      </c>
      <c r="AV17" s="1">
        <v>3.096600025045039E-2</v>
      </c>
      <c r="AW17" s="1">
        <v>-8.1214489149716698E-2</v>
      </c>
      <c r="AX17" s="1">
        <v>1.007426204517215E-2</v>
      </c>
      <c r="AY17" s="1">
        <v>4.6059946365708197E-2</v>
      </c>
      <c r="AZ17" s="1">
        <v>6.2275797082175441E-3</v>
      </c>
      <c r="BA17" s="1">
        <v>5.8968954389199801E-2</v>
      </c>
      <c r="BB17" s="1">
        <v>-5.9131087152673172E-2</v>
      </c>
      <c r="BC17" s="1">
        <v>-1.7544555122080439E-2</v>
      </c>
      <c r="BD17" s="1">
        <v>-7.6794725916053241E-2</v>
      </c>
      <c r="BE17" s="1">
        <v>-2.6653269767714871E-2</v>
      </c>
      <c r="BF17" s="1">
        <v>3.7606826275127021E-2</v>
      </c>
      <c r="BG17" s="1">
        <v>4.6645199221583153E-2</v>
      </c>
      <c r="BH17" s="1">
        <v>0.16308106626598279</v>
      </c>
      <c r="BI17" s="1">
        <v>-4.1037578265412017E-2</v>
      </c>
      <c r="BJ17" s="1">
        <v>5.5139281298321158E-2</v>
      </c>
      <c r="BK17" s="1">
        <v>4.0829705227227182E-2</v>
      </c>
      <c r="BL17" s="1">
        <v>8.4283106380472275E-2</v>
      </c>
      <c r="BM17" s="1">
        <v>2.5265210822312138E-2</v>
      </c>
      <c r="BN17" s="1">
        <v>1.3380564204373349E-2</v>
      </c>
      <c r="BO17" s="1">
        <v>-1.4857902501595461E-2</v>
      </c>
      <c r="BP17" s="1">
        <v>7.9254079788218121E-2</v>
      </c>
      <c r="BQ17" s="1">
        <v>4.0721750089288758E-3</v>
      </c>
      <c r="BR17" s="1">
        <v>-0.10966829964292001</v>
      </c>
      <c r="BS17" s="1">
        <v>-6.2500353257228108E-3</v>
      </c>
      <c r="BT17" s="1">
        <v>5.4440942913559297E-2</v>
      </c>
      <c r="BU17" s="1">
        <v>-4.4750740971843221E-3</v>
      </c>
      <c r="BV17" s="1">
        <v>9.2808261575048623E-2</v>
      </c>
      <c r="BW17" s="1">
        <v>-0.14634497753710379</v>
      </c>
      <c r="BX17" s="1">
        <v>9.3279871074265427E-3</v>
      </c>
      <c r="BY17" s="1">
        <v>-3.8094765928728742E-2</v>
      </c>
      <c r="BZ17" s="1">
        <v>3.0885132882391E-2</v>
      </c>
      <c r="CA17" s="1">
        <v>-1.8009664560124271E-2</v>
      </c>
      <c r="CB17" s="1">
        <v>7.9453545217219285E-2</v>
      </c>
      <c r="CC17" s="1">
        <v>5.577109604182276E-2</v>
      </c>
      <c r="CD17" s="1">
        <v>7.9493117319375459E-3</v>
      </c>
      <c r="CE17" s="1">
        <v>5.3024704386245222E-2</v>
      </c>
      <c r="CF17" s="1">
        <v>2.8356415108768112E-3</v>
      </c>
      <c r="CG17" s="1">
        <v>6.3658827240399701E-3</v>
      </c>
      <c r="CH17" s="1">
        <v>1.015774916992742E-2</v>
      </c>
      <c r="CI17" s="1">
        <v>5.2024879688009638E-2</v>
      </c>
      <c r="CJ17" s="1">
        <v>2.118041073849113E-2</v>
      </c>
      <c r="CK17" s="1">
        <v>-6.9569201315764245E-2</v>
      </c>
      <c r="CL17" s="1">
        <v>-3.5204076584064783E-2</v>
      </c>
      <c r="CM17" s="1">
        <v>6.2701347454602457E-2</v>
      </c>
      <c r="CN17" s="1">
        <v>0.1072043030525954</v>
      </c>
      <c r="CO17" s="1">
        <v>3.730525798019918E-2</v>
      </c>
      <c r="CP17" s="1">
        <v>0.15347265517907291</v>
      </c>
      <c r="CQ17" s="1">
        <v>-0.12677703572827939</v>
      </c>
      <c r="CR17" s="1">
        <v>-0.29612269853100992</v>
      </c>
      <c r="CS17" s="1">
        <v>-2.7546867042047261E-2</v>
      </c>
      <c r="CT17" s="1">
        <v>-1.467107065716927E-3</v>
      </c>
      <c r="CU17" s="1">
        <v>-7.3679352771530718E-2</v>
      </c>
      <c r="CV17" s="1">
        <v>-3.6577081027426607E-2</v>
      </c>
      <c r="CW17" s="1">
        <v>6.3888931285759801E-2</v>
      </c>
      <c r="CX17" s="1">
        <v>2.967724627948146E-2</v>
      </c>
      <c r="CY17" s="1">
        <v>-2.2930106999400159E-2</v>
      </c>
      <c r="CZ17" s="1">
        <v>2.8911752658433789E-2</v>
      </c>
      <c r="DA17" s="1">
        <v>2.273056855773915E-2</v>
      </c>
      <c r="DB17" s="1">
        <v>0.11638942259174991</v>
      </c>
      <c r="DC17" s="1">
        <v>-0.1143619441536565</v>
      </c>
      <c r="DD17" s="1">
        <v>-1.061697109471189E-2</v>
      </c>
      <c r="DE17" s="1">
        <v>1.945562140090178E-2</v>
      </c>
      <c r="DF17" s="1">
        <v>-3.070763684579219E-2</v>
      </c>
      <c r="DG17" s="1">
        <v>-4.8812215821209842E-2</v>
      </c>
      <c r="DH17" s="1">
        <v>-2.620343301510614E-2</v>
      </c>
      <c r="DI17" s="1">
        <v>0.1046142031755129</v>
      </c>
      <c r="DJ17" s="1">
        <v>0.1123557414080348</v>
      </c>
      <c r="DK17" s="1">
        <v>-9.8536990858751047E-2</v>
      </c>
      <c r="DL17" s="1">
        <v>-5.5369240643897068E-2</v>
      </c>
      <c r="DM17" s="1">
        <v>-9.0133817364485724E-2</v>
      </c>
      <c r="DN17" s="1">
        <v>-3.8424307197710769E-3</v>
      </c>
      <c r="DO17" s="1">
        <v>-4.982906807667474E-2</v>
      </c>
      <c r="DP17" s="1">
        <v>-2.3175573886105218E-2</v>
      </c>
      <c r="DQ17" s="1">
        <v>-6.6664832202994906E-2</v>
      </c>
      <c r="DR17" s="1">
        <v>-7.0754531556916217E-3</v>
      </c>
      <c r="DS17" s="1">
        <v>6.7361012227207945E-2</v>
      </c>
      <c r="DT17" s="1">
        <v>2.0190550683349712E-2</v>
      </c>
      <c r="DU17" s="1">
        <v>7.8847445744729891E-3</v>
      </c>
      <c r="DV17" s="1">
        <v>-7.6580008331421688E-3</v>
      </c>
      <c r="DW17" s="1">
        <v>7.7111655172791838E-2</v>
      </c>
      <c r="DX17" s="1">
        <v>-5.3153785524608567E-2</v>
      </c>
      <c r="DY17" s="1">
        <v>-3.510842538368017E-3</v>
      </c>
      <c r="DZ17" s="1">
        <v>8.7029879211475113E-3</v>
      </c>
      <c r="EA17" s="1">
        <v>1.9191482546942779E-2</v>
      </c>
      <c r="EB17" s="1">
        <v>3.0213474019759282E-2</v>
      </c>
      <c r="EC17" s="1">
        <v>-4.441870852170577E-2</v>
      </c>
      <c r="ED17" s="1">
        <v>1.1334349334041651E-2</v>
      </c>
      <c r="EE17" s="1">
        <v>-3.0801744971609708E-2</v>
      </c>
      <c r="EF17" s="1">
        <v>2.0254495374636281E-2</v>
      </c>
    </row>
    <row r="18" spans="1:136" ht="16" customHeight="1">
      <c r="A18" s="6">
        <v>107</v>
      </c>
      <c r="B18" s="6">
        <v>9</v>
      </c>
      <c r="C18" s="9">
        <v>0.73827782114429374</v>
      </c>
      <c r="D18" s="9">
        <v>0.74848648054192801</v>
      </c>
      <c r="E18" s="9">
        <v>0.60288716869125669</v>
      </c>
      <c r="F18" s="9">
        <v>0.97134856728456997</v>
      </c>
      <c r="G18" s="9">
        <v>0.70186700489557619</v>
      </c>
      <c r="H18" s="9">
        <v>0.60640991551011991</v>
      </c>
      <c r="I18" s="9">
        <v>0.58066627311731311</v>
      </c>
      <c r="J18" s="9">
        <v>0.72245849332066836</v>
      </c>
      <c r="K18" s="9">
        <v>0.71974645134205839</v>
      </c>
      <c r="L18" s="2">
        <v>0.66351567388300681</v>
      </c>
      <c r="M18" s="2">
        <v>0.94250078207760191</v>
      </c>
      <c r="N18" s="2">
        <v>0.71815271351089283</v>
      </c>
      <c r="O18" s="1">
        <v>9.6541358464802107E-2</v>
      </c>
      <c r="P18" s="1">
        <v>6.7810462504839034E-3</v>
      </c>
      <c r="Q18" s="1">
        <v>-8.8476964660399851E-2</v>
      </c>
      <c r="R18" s="1">
        <v>-2.4058413960802449E-2</v>
      </c>
      <c r="S18" s="1">
        <v>-0.1234710403448273</v>
      </c>
      <c r="T18" s="1">
        <v>7.9330934953952825E-3</v>
      </c>
      <c r="U18" s="1">
        <v>3.256883994783151E-2</v>
      </c>
      <c r="V18" s="1">
        <v>1.327787774589689E-2</v>
      </c>
      <c r="W18" s="1">
        <v>-3.576898155668589E-2</v>
      </c>
      <c r="X18" s="1">
        <v>4.4956628854569247E-2</v>
      </c>
      <c r="Y18" s="1">
        <v>-6.1081102394734132E-3</v>
      </c>
      <c r="Z18" s="1">
        <v>5.8014635574299631E-2</v>
      </c>
      <c r="AA18" s="1">
        <v>-0.17131288841016001</v>
      </c>
      <c r="AB18" s="1">
        <v>-8.9193648023553063E-3</v>
      </c>
      <c r="AC18" s="1">
        <v>1.9996469232003409E-2</v>
      </c>
      <c r="AD18" s="1">
        <v>4.7722018176767501E-2</v>
      </c>
      <c r="AE18" s="1">
        <v>-3.2171097527054743E-2</v>
      </c>
      <c r="AF18" s="1">
        <v>0.18870238004401499</v>
      </c>
      <c r="AG18" s="1">
        <v>-1.2906272629949211E-2</v>
      </c>
      <c r="AH18" s="1">
        <v>-1.160698783358979E-2</v>
      </c>
      <c r="AI18" s="1">
        <v>-4.7503493171799818E-2</v>
      </c>
      <c r="AJ18" s="1">
        <v>-3.2237718481909913E-2</v>
      </c>
      <c r="AK18" s="1">
        <v>-6.5937888325422411E-2</v>
      </c>
      <c r="AL18" s="1">
        <v>-6.3904816446511525E-2</v>
      </c>
      <c r="AM18" s="1">
        <v>0.17121244888335141</v>
      </c>
      <c r="AN18" s="1">
        <v>1.474524233781792E-2</v>
      </c>
      <c r="AO18" s="1">
        <v>-2.2695897131866271E-2</v>
      </c>
      <c r="AP18" s="1">
        <v>-7.1761369218539553E-2</v>
      </c>
      <c r="AQ18" s="1">
        <v>0.12895767664963359</v>
      </c>
      <c r="AR18" s="1">
        <v>3.9961837777884868E-2</v>
      </c>
      <c r="AS18" s="1">
        <v>-6.4984088443200194E-2</v>
      </c>
      <c r="AT18" s="1">
        <v>-8.8140587511292383E-3</v>
      </c>
      <c r="AU18" s="1">
        <v>-1.7882078085450989E-2</v>
      </c>
      <c r="AV18" s="1">
        <v>2.5993572901097609E-2</v>
      </c>
      <c r="AW18" s="1">
        <v>-7.2537594783226439E-2</v>
      </c>
      <c r="AX18" s="1">
        <v>3.1017119635327879E-3</v>
      </c>
      <c r="AY18" s="1">
        <v>7.5021252106779152E-2</v>
      </c>
      <c r="AZ18" s="1">
        <v>-1.539893164041331E-2</v>
      </c>
      <c r="BA18" s="1">
        <v>1.08374772766478E-2</v>
      </c>
      <c r="BB18" s="1">
        <v>-7.9484835577412288E-2</v>
      </c>
      <c r="BC18" s="1">
        <v>2.2581636337870338E-3</v>
      </c>
      <c r="BD18" s="1">
        <v>-7.9974316458943651E-2</v>
      </c>
      <c r="BE18" s="1">
        <v>-2.03067734937495E-2</v>
      </c>
      <c r="BF18" s="1">
        <v>4.4868441303095773E-2</v>
      </c>
      <c r="BG18" s="1">
        <v>6.6086220454733308E-2</v>
      </c>
      <c r="BH18" s="1">
        <v>0.1380496088145477</v>
      </c>
      <c r="BI18" s="1">
        <v>-4.6760786946823923E-2</v>
      </c>
      <c r="BJ18" s="1">
        <v>7.259863816673004E-2</v>
      </c>
      <c r="BK18" s="1">
        <v>4.6965087747152412E-2</v>
      </c>
      <c r="BL18" s="1">
        <v>7.4173113939945523E-2</v>
      </c>
      <c r="BM18" s="1">
        <v>1.5268057528980699E-2</v>
      </c>
      <c r="BN18" s="1">
        <v>8.7436612001485503E-3</v>
      </c>
      <c r="BO18" s="1">
        <v>-2.9603539010388761E-2</v>
      </c>
      <c r="BP18" s="1">
        <v>8.6689113658407979E-2</v>
      </c>
      <c r="BQ18" s="1">
        <v>7.7743507530677533E-3</v>
      </c>
      <c r="BR18" s="1">
        <v>-9.148177269939034E-2</v>
      </c>
      <c r="BS18" s="1">
        <v>-6.1396827991339739E-3</v>
      </c>
      <c r="BT18" s="1">
        <v>5.9012778708962252E-2</v>
      </c>
      <c r="BU18" s="1">
        <v>1.042295487789081E-2</v>
      </c>
      <c r="BV18" s="1">
        <v>0.11634363387299131</v>
      </c>
      <c r="BW18" s="1">
        <v>-0.14464116717832551</v>
      </c>
      <c r="BX18" s="1">
        <v>1.2206870070302229E-2</v>
      </c>
      <c r="BY18" s="1">
        <v>-5.7959566574509708E-2</v>
      </c>
      <c r="BZ18" s="1">
        <v>2.0879199871978889E-2</v>
      </c>
      <c r="CA18" s="1">
        <v>-2.3746814563868721E-2</v>
      </c>
      <c r="CB18" s="1">
        <v>7.7410214589608617E-2</v>
      </c>
      <c r="CC18" s="1">
        <v>6.9763549302565314E-2</v>
      </c>
      <c r="CD18" s="1">
        <v>-2.1611862693398841E-2</v>
      </c>
      <c r="CE18" s="1">
        <v>-8.7924930863261738E-3</v>
      </c>
      <c r="CF18" s="1">
        <v>4.3310548217368929E-3</v>
      </c>
      <c r="CG18" s="1">
        <v>5.8015312216141007E-3</v>
      </c>
      <c r="CH18" s="1">
        <v>-7.3778631686863688E-3</v>
      </c>
      <c r="CI18" s="1">
        <v>3.1852736333270758E-2</v>
      </c>
      <c r="CJ18" s="1">
        <v>2.7137879412079281E-2</v>
      </c>
      <c r="CK18" s="1">
        <v>-4.2457433689516752E-2</v>
      </c>
      <c r="CL18" s="1">
        <v>-7.4558367446278612E-2</v>
      </c>
      <c r="CM18" s="1">
        <v>9.772032941679526E-2</v>
      </c>
      <c r="CN18" s="1">
        <v>8.5183844286422783E-2</v>
      </c>
      <c r="CO18" s="1">
        <v>4.5654139617511219E-2</v>
      </c>
      <c r="CP18" s="1">
        <v>0.1692799522201747</v>
      </c>
      <c r="CQ18" s="1">
        <v>-0.1163558373689261</v>
      </c>
      <c r="CR18" s="1">
        <v>-0.13513727054118979</v>
      </c>
      <c r="CS18" s="1">
        <v>-3.18089826014692E-2</v>
      </c>
      <c r="CT18" s="1">
        <v>-5.016243072067092E-3</v>
      </c>
      <c r="CU18" s="1">
        <v>-7.7250391641215013E-2</v>
      </c>
      <c r="CV18" s="1">
        <v>-4.2556163362870769E-2</v>
      </c>
      <c r="CW18" s="1">
        <v>7.2360085196432597E-2</v>
      </c>
      <c r="CX18" s="1">
        <v>3.943263273079417E-2</v>
      </c>
      <c r="CY18" s="1">
        <v>-4.3988665855013293E-2</v>
      </c>
      <c r="CZ18" s="1">
        <v>1.252075302936999E-2</v>
      </c>
      <c r="DA18" s="1">
        <v>8.1307726248815333E-3</v>
      </c>
      <c r="DB18" s="1">
        <v>0.13048380377127311</v>
      </c>
      <c r="DC18" s="1">
        <v>-9.936052837469167E-2</v>
      </c>
      <c r="DD18" s="1">
        <v>-1.4563111631241551E-3</v>
      </c>
      <c r="DE18" s="1">
        <v>7.3854978814141548E-3</v>
      </c>
      <c r="DF18" s="1">
        <v>-2.128334597441461E-2</v>
      </c>
      <c r="DG18" s="1">
        <v>-4.9363147456635913E-2</v>
      </c>
      <c r="DH18" s="1">
        <v>-2.525506756247959E-2</v>
      </c>
      <c r="DI18" s="1">
        <v>9.4352085058109977E-2</v>
      </c>
      <c r="DJ18" s="1">
        <v>0.12949551365540879</v>
      </c>
      <c r="DK18" s="1">
        <v>-0.1180139016281761</v>
      </c>
      <c r="DL18" s="1">
        <v>-8.4843516507273634E-2</v>
      </c>
      <c r="DM18" s="1">
        <v>-0.1181002671859238</v>
      </c>
      <c r="DN18" s="1">
        <v>-5.6521013606438339E-3</v>
      </c>
      <c r="DO18" s="1">
        <v>-4.9457220012624467E-2</v>
      </c>
      <c r="DP18" s="1">
        <v>-1.399498022656389E-2</v>
      </c>
      <c r="DQ18" s="1">
        <v>-7.0219750090692368E-2</v>
      </c>
      <c r="DR18" s="1">
        <v>-2.733797422374425E-2</v>
      </c>
      <c r="DS18" s="1">
        <v>4.7322196827105298E-2</v>
      </c>
      <c r="DT18" s="1">
        <v>-3.6484705716585551E-3</v>
      </c>
      <c r="DU18" s="1">
        <v>-7.9667563042402009E-3</v>
      </c>
      <c r="DV18" s="1">
        <v>1.0855973638437761E-2</v>
      </c>
      <c r="DW18" s="1">
        <v>8.2175676039265316E-2</v>
      </c>
      <c r="DX18" s="1">
        <v>-5.4797165384324491E-2</v>
      </c>
      <c r="DY18" s="1">
        <v>8.0457128433494146E-4</v>
      </c>
      <c r="DZ18" s="1">
        <v>7.7419072933151319E-3</v>
      </c>
      <c r="EA18" s="1">
        <v>1.4997464465881389E-2</v>
      </c>
      <c r="EB18" s="1">
        <v>-1.790248229893537E-2</v>
      </c>
      <c r="EC18" s="1">
        <v>-1.9342095158439279E-2</v>
      </c>
      <c r="ED18" s="1">
        <v>2.085756052706704E-2</v>
      </c>
      <c r="EE18" s="1">
        <v>-2.9271983823033171E-2</v>
      </c>
      <c r="EF18" s="1">
        <v>5.1983526638043939E-2</v>
      </c>
    </row>
    <row r="19" spans="1:136" ht="16" customHeight="1">
      <c r="A19" s="6">
        <v>120</v>
      </c>
      <c r="B19" s="6">
        <v>8</v>
      </c>
      <c r="C19" s="9">
        <v>0.77539547410376009</v>
      </c>
      <c r="D19" s="9">
        <v>0.77891924967292547</v>
      </c>
      <c r="E19" s="9">
        <v>0.61873716081496144</v>
      </c>
      <c r="F19" s="9">
        <v>0.99392065510498828</v>
      </c>
      <c r="G19" s="9">
        <v>0.72949195097937347</v>
      </c>
      <c r="H19" s="9">
        <v>0.63393238129785301</v>
      </c>
      <c r="I19" s="9">
        <v>0.59856353648130445</v>
      </c>
      <c r="J19" s="9">
        <v>0.75563694637455814</v>
      </c>
      <c r="K19" s="9">
        <v>0.7556556132400547</v>
      </c>
      <c r="L19" s="2">
        <v>0.68751196104413759</v>
      </c>
      <c r="M19" s="2">
        <v>1.0030481848028741</v>
      </c>
      <c r="N19" s="2">
        <v>0.73723944617467296</v>
      </c>
      <c r="O19" s="1">
        <v>0.10593459182260451</v>
      </c>
      <c r="P19" s="1">
        <v>3.756431466247703E-3</v>
      </c>
      <c r="Q19" s="1">
        <v>-8.8957238526182522E-2</v>
      </c>
      <c r="R19" s="1">
        <v>-3.255106712591771E-2</v>
      </c>
      <c r="S19" s="1">
        <v>-0.1713494000561514</v>
      </c>
      <c r="T19" s="1">
        <v>1.6146216736360661E-2</v>
      </c>
      <c r="U19" s="1">
        <v>5.3096627166350753E-2</v>
      </c>
      <c r="V19" s="1">
        <v>1.321921118095123E-2</v>
      </c>
      <c r="W19" s="1">
        <v>-4.7560919545694913E-2</v>
      </c>
      <c r="X19" s="1">
        <v>4.9941200785698518E-2</v>
      </c>
      <c r="Y19" s="1">
        <v>-8.3184169337262373E-3</v>
      </c>
      <c r="Z19" s="1">
        <v>4.7536170178119022E-2</v>
      </c>
      <c r="AA19" s="1">
        <v>-0.1809247243898848</v>
      </c>
      <c r="AB19" s="1">
        <v>-1.490097650552993E-2</v>
      </c>
      <c r="AC19" s="1">
        <v>2.344759780631055E-2</v>
      </c>
      <c r="AD19" s="1">
        <v>4.2639600287062283E-2</v>
      </c>
      <c r="AE19" s="1">
        <v>-9.8710655310480892E-3</v>
      </c>
      <c r="AF19" s="1">
        <v>0.16905095129484321</v>
      </c>
      <c r="AG19" s="1">
        <v>-4.0367724866794408E-2</v>
      </c>
      <c r="AH19" s="1">
        <v>9.1634577055258945E-3</v>
      </c>
      <c r="AI19" s="1">
        <v>-3.7380121728580427E-2</v>
      </c>
      <c r="AJ19" s="1">
        <v>-2.2024589705642281E-2</v>
      </c>
      <c r="AK19" s="1">
        <v>-7.8022998035219199E-2</v>
      </c>
      <c r="AL19" s="1">
        <v>-4.6198396528610491E-2</v>
      </c>
      <c r="AM19" s="1">
        <v>0.17537507769396429</v>
      </c>
      <c r="AN19" s="1">
        <v>3.6767490748290671E-4</v>
      </c>
      <c r="AO19" s="1">
        <v>-1.8434318904156841E-2</v>
      </c>
      <c r="AP19" s="1">
        <v>-5.5217286915115057E-2</v>
      </c>
      <c r="AQ19" s="1">
        <v>0.13074597389270581</v>
      </c>
      <c r="AR19" s="1">
        <v>3.5467097097953967E-2</v>
      </c>
      <c r="AS19" s="1">
        <v>-3.1277059196441942E-2</v>
      </c>
      <c r="AT19" s="1">
        <v>-9.4443398170639091E-3</v>
      </c>
      <c r="AU19" s="1">
        <v>-7.0224684349986279E-3</v>
      </c>
      <c r="AV19" s="1">
        <v>1.370642212041292E-2</v>
      </c>
      <c r="AW19" s="1">
        <v>-5.9530197399838558E-2</v>
      </c>
      <c r="AX19" s="1">
        <v>1.819499792723264E-3</v>
      </c>
      <c r="AY19" s="1">
        <v>0.1002402398602711</v>
      </c>
      <c r="AZ19" s="1">
        <v>-1.8352182361688941E-2</v>
      </c>
      <c r="BA19" s="1">
        <v>5.5056887611146348E-3</v>
      </c>
      <c r="BB19" s="1">
        <v>-9.7082647853896753E-2</v>
      </c>
      <c r="BC19" s="1">
        <v>1.345978239879878E-2</v>
      </c>
      <c r="BD19" s="1">
        <v>-3.4166222853361433E-2</v>
      </c>
      <c r="BE19" s="1">
        <v>-3.3127500012426293E-2</v>
      </c>
      <c r="BF19" s="1">
        <v>5.0654932439089452E-2</v>
      </c>
      <c r="BG19" s="1">
        <v>5.2510647580712597E-2</v>
      </c>
      <c r="BH19" s="1">
        <v>0.1415995470916617</v>
      </c>
      <c r="BI19" s="1">
        <v>-4.3402025934689392E-2</v>
      </c>
      <c r="BJ19" s="1">
        <v>8.1266045543276169E-2</v>
      </c>
      <c r="BK19" s="1">
        <v>5.7218960928779497E-2</v>
      </c>
      <c r="BL19" s="1">
        <v>7.7488342310048391E-2</v>
      </c>
      <c r="BM19" s="1">
        <v>1.4828701597521759E-2</v>
      </c>
      <c r="BN19" s="1">
        <v>3.9163432326084283E-2</v>
      </c>
      <c r="BO19" s="1">
        <v>-3.787573936453216E-2</v>
      </c>
      <c r="BP19" s="1">
        <v>0.1093263622785275</v>
      </c>
      <c r="BQ19" s="1">
        <v>3.7061816001585347E-2</v>
      </c>
      <c r="BR19" s="1">
        <v>-0.1049550065647849</v>
      </c>
      <c r="BS19" s="1">
        <v>-2.3301685429338859E-2</v>
      </c>
      <c r="BT19" s="1">
        <v>4.9060124330678502E-2</v>
      </c>
      <c r="BU19" s="1">
        <v>2.7544578205770359E-2</v>
      </c>
      <c r="BV19" s="1">
        <v>0.1165151396332836</v>
      </c>
      <c r="BW19" s="1">
        <v>-0.15895738170096349</v>
      </c>
      <c r="BX19" s="1">
        <v>1.261533603149962E-2</v>
      </c>
      <c r="BY19" s="1">
        <v>-4.3176705802567772E-2</v>
      </c>
      <c r="BZ19" s="1">
        <v>3.65573936425645E-3</v>
      </c>
      <c r="CA19" s="1">
        <v>-4.4612534032420478E-2</v>
      </c>
      <c r="CB19" s="1">
        <v>1.873946172954059E-2</v>
      </c>
      <c r="CC19" s="1">
        <v>5.9035548792163647E-2</v>
      </c>
      <c r="CD19" s="1">
        <v>-4.6066662573730537E-2</v>
      </c>
      <c r="CE19" s="1">
        <v>-9.2478856663955541E-3</v>
      </c>
      <c r="CF19" s="1">
        <v>3.6529415731831591E-2</v>
      </c>
      <c r="CG19" s="1">
        <v>5.3694517534478292E-3</v>
      </c>
      <c r="CH19" s="1">
        <v>1.046104883701866E-2</v>
      </c>
      <c r="CI19" s="1">
        <v>3.8984935662836201E-2</v>
      </c>
      <c r="CJ19" s="1">
        <v>1.036776328314924E-2</v>
      </c>
      <c r="CK19" s="1">
        <v>-3.8136562618427752E-2</v>
      </c>
      <c r="CL19" s="1">
        <v>-8.273079413967932E-2</v>
      </c>
      <c r="CM19" s="1">
        <v>0.1056676864166668</v>
      </c>
      <c r="CN19" s="1">
        <v>0.1099824842644098</v>
      </c>
      <c r="CO19" s="1">
        <v>7.3230865883735979E-2</v>
      </c>
      <c r="CP19" s="1">
        <v>0.16047954658963229</v>
      </c>
      <c r="CQ19" s="1">
        <v>-0.13498191472397619</v>
      </c>
      <c r="CR19" s="1">
        <v>-0.10140671643600679</v>
      </c>
      <c r="CS19" s="1">
        <v>-2.2363405252839381E-2</v>
      </c>
      <c r="CT19" s="1">
        <v>-5.9171097327973828E-2</v>
      </c>
      <c r="CU19" s="1">
        <v>-8.7396345200356954E-2</v>
      </c>
      <c r="CV19" s="1">
        <v>-2.6596483150229801E-2</v>
      </c>
      <c r="CW19" s="1">
        <v>7.4606037924757701E-2</v>
      </c>
      <c r="CX19" s="1">
        <v>6.3264389347224281E-2</v>
      </c>
      <c r="CY19" s="1">
        <v>-4.4859378896312349E-2</v>
      </c>
      <c r="CZ19" s="1">
        <v>1.4107505305890611E-2</v>
      </c>
      <c r="DA19" s="1">
        <v>-1.489384856121454E-2</v>
      </c>
      <c r="DB19" s="1">
        <v>0.15141240774176071</v>
      </c>
      <c r="DC19" s="1">
        <v>-0.118609668873882</v>
      </c>
      <c r="DD19" s="1">
        <v>-4.8420354012716216E-3</v>
      </c>
      <c r="DE19" s="1">
        <v>3.3841574218816312E-2</v>
      </c>
      <c r="DF19" s="1">
        <v>-2.0409892988983269E-2</v>
      </c>
      <c r="DG19" s="1">
        <v>-6.1429783154265047E-2</v>
      </c>
      <c r="DH19" s="1">
        <v>-1.8883961449864831E-2</v>
      </c>
      <c r="DI19" s="1">
        <v>0.1021129040996735</v>
      </c>
      <c r="DJ19" s="1">
        <v>0.13083846502163729</v>
      </c>
      <c r="DK19" s="1">
        <v>-9.8276066449960536E-2</v>
      </c>
      <c r="DL19" s="1">
        <v>-0.1059381822708453</v>
      </c>
      <c r="DM19" s="1">
        <v>-0.13338111507939529</v>
      </c>
      <c r="DN19" s="1">
        <v>9.1614927497053744E-3</v>
      </c>
      <c r="DO19" s="1">
        <v>-5.9615163146334568E-2</v>
      </c>
      <c r="DP19" s="1">
        <v>-5.232789547016968E-3</v>
      </c>
      <c r="DQ19" s="1">
        <v>-8.4455165330947907E-2</v>
      </c>
      <c r="DR19" s="1">
        <v>-5.0224850665946848E-3</v>
      </c>
      <c r="DS19" s="1">
        <v>3.1569521365376281E-2</v>
      </c>
      <c r="DT19" s="1">
        <v>7.7237401195411753E-3</v>
      </c>
      <c r="DU19" s="1">
        <v>5.4295703831555636E-3</v>
      </c>
      <c r="DV19" s="1">
        <v>4.2263963049575179E-3</v>
      </c>
      <c r="DW19" s="1">
        <v>9.1952263151660329E-2</v>
      </c>
      <c r="DX19" s="1">
        <v>-1.39382374829576E-2</v>
      </c>
      <c r="DY19" s="1">
        <v>1.6347593033091301E-2</v>
      </c>
      <c r="DZ19" s="1">
        <v>6.6202956211471389E-4</v>
      </c>
      <c r="EA19" s="1">
        <v>1.8648376345698169E-2</v>
      </c>
      <c r="EB19" s="1">
        <v>-1.468762224094446E-2</v>
      </c>
      <c r="EC19" s="1">
        <v>5.8054595131810209E-3</v>
      </c>
      <c r="ED19" s="1">
        <v>4.0186140340970837E-2</v>
      </c>
      <c r="EE19" s="1">
        <v>-7.6452589868736126E-3</v>
      </c>
      <c r="EF19" s="1">
        <v>6.7478446217897864E-2</v>
      </c>
    </row>
    <row r="20" spans="1:136" ht="16" customHeight="1">
      <c r="A20" s="6">
        <v>137</v>
      </c>
      <c r="B20" s="6">
        <v>7</v>
      </c>
      <c r="C20" s="9">
        <v>0.8094712492495254</v>
      </c>
      <c r="D20" s="9">
        <v>0.80651590108885263</v>
      </c>
      <c r="E20" s="9">
        <v>0.63963193106975247</v>
      </c>
      <c r="F20" s="9">
        <v>1.0414337238479749</v>
      </c>
      <c r="G20" s="9">
        <v>0.73968599431018278</v>
      </c>
      <c r="H20" s="9">
        <v>0.6520754497921244</v>
      </c>
      <c r="I20" s="9">
        <v>0.62490493161996163</v>
      </c>
      <c r="J20" s="9">
        <v>0.77185517490788413</v>
      </c>
      <c r="K20" s="9">
        <v>0.80515134513514153</v>
      </c>
      <c r="L20" s="2">
        <v>0.7306041909342551</v>
      </c>
      <c r="M20" s="2">
        <v>1.061213916587594</v>
      </c>
      <c r="N20" s="2">
        <v>0.76118820192783088</v>
      </c>
      <c r="O20" s="1">
        <v>0.1127026041716961</v>
      </c>
      <c r="P20" s="1">
        <v>-4.9267242010842208E-3</v>
      </c>
      <c r="Q20" s="1">
        <v>-9.9682786433911846E-2</v>
      </c>
      <c r="R20" s="1">
        <v>-6.5338911436648092E-2</v>
      </c>
      <c r="S20" s="1">
        <v>-0.18969059918307721</v>
      </c>
      <c r="T20" s="1">
        <v>3.5205464400358537E-2</v>
      </c>
      <c r="U20" s="1">
        <v>2.1064649535518589E-2</v>
      </c>
      <c r="V20" s="1">
        <v>-7.790016050760129E-3</v>
      </c>
      <c r="W20" s="1">
        <v>-5.3341979197644301E-4</v>
      </c>
      <c r="X20" s="1">
        <v>4.6942316984117632E-2</v>
      </c>
      <c r="Y20" s="1">
        <v>1.13373499561017E-2</v>
      </c>
      <c r="Z20" s="1">
        <v>6.7055956541293607E-2</v>
      </c>
      <c r="AA20" s="1">
        <v>-0.14720008418056049</v>
      </c>
      <c r="AB20" s="1">
        <v>-2.0276580445970801E-2</v>
      </c>
      <c r="AC20" s="1">
        <v>1.5671660548568719E-2</v>
      </c>
      <c r="AD20" s="1">
        <v>4.3879702084594012E-2</v>
      </c>
      <c r="AE20" s="1">
        <v>-1.5940902694046341E-2</v>
      </c>
      <c r="AF20" s="1">
        <v>0.19976679127988009</v>
      </c>
      <c r="AG20" s="1">
        <v>-6.4698394613040278E-2</v>
      </c>
      <c r="AH20" s="1">
        <v>2.0615553569459721E-2</v>
      </c>
      <c r="AI20" s="1">
        <v>-5.4902140231891133E-2</v>
      </c>
      <c r="AJ20" s="1">
        <v>-9.7395299274884856E-3</v>
      </c>
      <c r="AK20" s="1">
        <v>-8.8275991827045472E-2</v>
      </c>
      <c r="AL20" s="1">
        <v>-2.21467012336868E-2</v>
      </c>
      <c r="AM20" s="1">
        <v>0.21669138974774421</v>
      </c>
      <c r="AN20" s="1">
        <v>1.307588618053307E-2</v>
      </c>
      <c r="AO20" s="1">
        <v>-2.232048586478513E-2</v>
      </c>
      <c r="AP20" s="1">
        <v>-5.3549332329106698E-2</v>
      </c>
      <c r="AQ20" s="1">
        <v>0.18243070996610089</v>
      </c>
      <c r="AR20" s="1">
        <v>1.6382652190782849E-2</v>
      </c>
      <c r="AS20" s="1">
        <v>-7.7212012322928292E-2</v>
      </c>
      <c r="AT20" s="1">
        <v>-3.0489700319154822E-3</v>
      </c>
      <c r="AU20" s="1">
        <v>-7.3761624243418901E-3</v>
      </c>
      <c r="AV20" s="1">
        <v>-3.6281825511236271E-4</v>
      </c>
      <c r="AW20" s="1">
        <v>-5.7441449533586812E-2</v>
      </c>
      <c r="AX20" s="1">
        <v>-5.1604281640876618E-3</v>
      </c>
      <c r="AY20" s="1">
        <v>9.1423829943649809E-2</v>
      </c>
      <c r="AZ20" s="1">
        <v>-4.1269185455792029E-2</v>
      </c>
      <c r="BA20" s="1">
        <v>1.133494948147909E-2</v>
      </c>
      <c r="BB20" s="1">
        <v>-0.13234266764422031</v>
      </c>
      <c r="BC20" s="1">
        <v>-7.9480079930966605E-3</v>
      </c>
      <c r="BD20" s="1">
        <v>1.1628947639743621E-3</v>
      </c>
      <c r="BE20" s="1">
        <v>-2.324240367431946E-2</v>
      </c>
      <c r="BF20" s="1">
        <v>7.2855184281682722E-2</v>
      </c>
      <c r="BG20" s="1">
        <v>6.9370030812895236E-2</v>
      </c>
      <c r="BH20" s="1">
        <v>0.16010373903132041</v>
      </c>
      <c r="BI20" s="1">
        <v>-6.1305254108716643E-2</v>
      </c>
      <c r="BJ20" s="1">
        <v>8.8339952290232754E-2</v>
      </c>
      <c r="BK20" s="1">
        <v>4.6174065431614633E-2</v>
      </c>
      <c r="BL20" s="1">
        <v>8.3537379494858899E-2</v>
      </c>
      <c r="BM20" s="1">
        <v>4.0543590104480831E-2</v>
      </c>
      <c r="BN20" s="1">
        <v>3.1164470116798682E-2</v>
      </c>
      <c r="BO20" s="1">
        <v>-4.0855667763527698E-2</v>
      </c>
      <c r="BP20" s="1">
        <v>0.13361783024833629</v>
      </c>
      <c r="BQ20" s="1">
        <v>4.5470403337354498E-2</v>
      </c>
      <c r="BR20" s="1">
        <v>-0.1032614909529453</v>
      </c>
      <c r="BS20" s="1">
        <v>-4.1540018268954711E-2</v>
      </c>
      <c r="BT20" s="1">
        <v>8.5286707595160299E-2</v>
      </c>
      <c r="BU20" s="1">
        <v>4.1687941375472541E-2</v>
      </c>
      <c r="BV20" s="1">
        <v>0.137817267729473</v>
      </c>
      <c r="BW20" s="1">
        <v>-0.14652590974858021</v>
      </c>
      <c r="BX20" s="1">
        <v>3.0524630392684549E-2</v>
      </c>
      <c r="BY20" s="1">
        <v>-5.9704275928974038E-2</v>
      </c>
      <c r="BZ20" s="1">
        <v>6.7561337070963512E-4</v>
      </c>
      <c r="CA20" s="1">
        <v>-5.9561569275205492E-2</v>
      </c>
      <c r="CB20" s="1">
        <v>3.9704266528972632E-4</v>
      </c>
      <c r="CC20" s="1">
        <v>4.5556890236297193E-2</v>
      </c>
      <c r="CD20" s="1">
        <v>-5.6154177563105298E-2</v>
      </c>
      <c r="CE20" s="1">
        <v>-1.507066219933826E-2</v>
      </c>
      <c r="CF20" s="1">
        <v>5.5791710551210898E-2</v>
      </c>
      <c r="CG20" s="1">
        <v>-1.9650045351375951E-2</v>
      </c>
      <c r="CH20" s="1">
        <v>1.374544833688039E-2</v>
      </c>
      <c r="CI20" s="1">
        <v>4.5865634878327829E-2</v>
      </c>
      <c r="CJ20" s="1">
        <v>6.426606963493918E-3</v>
      </c>
      <c r="CK20" s="1">
        <v>-5.8303085025168552E-2</v>
      </c>
      <c r="CL20" s="1">
        <v>-0.1182938122638813</v>
      </c>
      <c r="CM20" s="1">
        <v>9.1881074370877142E-2</v>
      </c>
      <c r="CN20" s="1">
        <v>0.10824838495389651</v>
      </c>
      <c r="CO20" s="1">
        <v>8.239969455576733E-2</v>
      </c>
      <c r="CP20" s="1">
        <v>0.18631142826852959</v>
      </c>
      <c r="CQ20" s="1">
        <v>-0.13656788642552911</v>
      </c>
      <c r="CR20" s="1">
        <v>-0.1215687260972441</v>
      </c>
      <c r="CS20" s="1">
        <v>-4.2068597044648886E-3</v>
      </c>
      <c r="CT20" s="1">
        <v>-7.3692119194985306E-2</v>
      </c>
      <c r="CU20" s="1">
        <v>-9.2843794454866443E-2</v>
      </c>
      <c r="CV20" s="1">
        <v>-3.3425020302713417E-2</v>
      </c>
      <c r="CW20" s="1">
        <v>3.8854032560040143E-2</v>
      </c>
      <c r="CX20" s="1">
        <v>5.0298119195106947E-2</v>
      </c>
      <c r="CY20" s="1">
        <v>-6.0497960673074773E-2</v>
      </c>
      <c r="CZ20" s="1">
        <v>4.944116587523973E-2</v>
      </c>
      <c r="DA20" s="1">
        <v>-1.464119242318155E-2</v>
      </c>
      <c r="DB20" s="1">
        <v>0.1454406476846824</v>
      </c>
      <c r="DC20" s="1">
        <v>-0.1235441591368409</v>
      </c>
      <c r="DD20" s="1">
        <v>-3.3944577975415502E-3</v>
      </c>
      <c r="DE20" s="1">
        <v>6.2054030050624043E-2</v>
      </c>
      <c r="DF20" s="1">
        <v>-2.1973055558276059E-2</v>
      </c>
      <c r="DG20" s="1">
        <v>-6.3698564624627946E-2</v>
      </c>
      <c r="DH20" s="1">
        <v>-6.6318002357024439E-3</v>
      </c>
      <c r="DI20" s="1">
        <v>9.3933971164937416E-2</v>
      </c>
      <c r="DJ20" s="1">
        <v>0.13447215620279229</v>
      </c>
      <c r="DK20" s="1">
        <v>-7.1929497896336902E-2</v>
      </c>
      <c r="DL20" s="1">
        <v>-9.249621375435764E-2</v>
      </c>
      <c r="DM20" s="1">
        <v>-0.12095348984646211</v>
      </c>
      <c r="DN20" s="1">
        <v>-7.4241299552451068E-3</v>
      </c>
      <c r="DO20" s="1">
        <v>-4.3407539140237518E-2</v>
      </c>
      <c r="DP20" s="1">
        <v>-3.3456320941182227E-2</v>
      </c>
      <c r="DQ20" s="1">
        <v>-8.0702745761300515E-2</v>
      </c>
      <c r="DR20" s="1">
        <v>-1.330289304329641E-2</v>
      </c>
      <c r="DS20" s="1">
        <v>4.4926074823498537E-2</v>
      </c>
      <c r="DT20" s="1">
        <v>7.4398147120513514E-3</v>
      </c>
      <c r="DU20" s="1">
        <v>1.905852613018157E-2</v>
      </c>
      <c r="DV20" s="1">
        <v>-9.4277441550671449E-3</v>
      </c>
      <c r="DW20" s="1">
        <v>0.1129152982302811</v>
      </c>
      <c r="DX20" s="1">
        <v>-5.3349994593197272E-4</v>
      </c>
      <c r="DY20" s="1">
        <v>-9.7610511615155368E-3</v>
      </c>
      <c r="DZ20" s="1">
        <v>1.134958314630535E-2</v>
      </c>
      <c r="EA20" s="1">
        <v>2.8383411758559889E-2</v>
      </c>
      <c r="EB20" s="1">
        <v>-2.4334567221404261E-2</v>
      </c>
      <c r="EC20" s="1">
        <v>7.4032750321691883E-3</v>
      </c>
      <c r="ED20" s="1">
        <v>4.2521221519420331E-2</v>
      </c>
      <c r="EE20" s="1">
        <v>1.752179289740426E-2</v>
      </c>
      <c r="EF20" s="1">
        <v>7.3131627082521647E-2</v>
      </c>
    </row>
    <row r="21" spans="1:136" ht="16" customHeight="1">
      <c r="A21" s="6">
        <v>160</v>
      </c>
      <c r="B21" s="6">
        <v>6</v>
      </c>
      <c r="C21" s="9">
        <v>0.85469133748512671</v>
      </c>
      <c r="D21" s="9">
        <v>0.85981287501950387</v>
      </c>
      <c r="E21" s="9">
        <v>0.68737190327906239</v>
      </c>
      <c r="F21" s="9">
        <v>1.1154683388423769</v>
      </c>
      <c r="G21" s="9">
        <v>0.77643468112246183</v>
      </c>
      <c r="H21" s="9">
        <v>0.67959727792959301</v>
      </c>
      <c r="I21" s="9">
        <v>0.64356871404813165</v>
      </c>
      <c r="J21" s="9">
        <v>0.81274475213618236</v>
      </c>
      <c r="K21" s="9">
        <v>0.8577884784727583</v>
      </c>
      <c r="L21" s="2">
        <v>0.79248943167649566</v>
      </c>
      <c r="M21" s="2">
        <v>1.0962400254670079</v>
      </c>
      <c r="N21" s="2">
        <v>0.81746856343689023</v>
      </c>
      <c r="O21" s="1">
        <v>0.1075149090910541</v>
      </c>
      <c r="P21" s="1">
        <v>2.4161519988001971E-3</v>
      </c>
      <c r="Q21" s="1">
        <v>-0.1199629726596778</v>
      </c>
      <c r="R21" s="1">
        <v>-5.978163870559236E-2</v>
      </c>
      <c r="S21" s="1">
        <v>-0.22684984399306041</v>
      </c>
      <c r="T21" s="1">
        <v>2.0541228264956E-2</v>
      </c>
      <c r="U21" s="1">
        <v>3.5269752218274358E-2</v>
      </c>
      <c r="V21" s="1">
        <v>6.7159002873717899E-3</v>
      </c>
      <c r="W21" s="1">
        <v>6.7172765996337666E-3</v>
      </c>
      <c r="X21" s="1">
        <v>6.911172989045973E-2</v>
      </c>
      <c r="Y21" s="1">
        <v>1.2489569435594461E-2</v>
      </c>
      <c r="Z21" s="1">
        <v>5.4305930398865478E-2</v>
      </c>
      <c r="AA21" s="1">
        <v>-0.14128543606009231</v>
      </c>
      <c r="AB21" s="1">
        <v>-3.9711824668803658E-2</v>
      </c>
      <c r="AC21" s="1">
        <v>1.0093584213543521E-2</v>
      </c>
      <c r="AD21" s="1">
        <v>3.5454153073814207E-2</v>
      </c>
      <c r="AE21" s="1">
        <v>-3.6116749793211701E-2</v>
      </c>
      <c r="AF21" s="1">
        <v>0.23614710396482641</v>
      </c>
      <c r="AG21" s="1">
        <v>-8.0159600607910317E-2</v>
      </c>
      <c r="AH21" s="1">
        <v>-2.6356626975849919E-2</v>
      </c>
      <c r="AI21" s="1">
        <v>-6.7899571064774358E-2</v>
      </c>
      <c r="AJ21" s="1">
        <v>-3.9168091206391108E-2</v>
      </c>
      <c r="AK21" s="1">
        <v>-6.2068350457022192E-2</v>
      </c>
      <c r="AL21" s="1">
        <v>-2.7223270765128E-2</v>
      </c>
      <c r="AM21" s="1">
        <v>0.23868805865149209</v>
      </c>
      <c r="AN21" s="1">
        <v>-5.4080998216939208E-3</v>
      </c>
      <c r="AO21" s="1">
        <v>-0.1177674580355343</v>
      </c>
      <c r="AP21" s="1">
        <v>-6.6059761924998683E-2</v>
      </c>
      <c r="AQ21" s="1">
        <v>0.17130345687475909</v>
      </c>
      <c r="AR21" s="1">
        <v>2.244348655616808E-3</v>
      </c>
      <c r="AS21" s="1">
        <v>-7.4415861548908724E-2</v>
      </c>
      <c r="AT21" s="1">
        <v>3.9788265212258103E-3</v>
      </c>
      <c r="AU21" s="1">
        <v>3.1220398356318371E-2</v>
      </c>
      <c r="AV21" s="1">
        <v>-5.402058971533362E-3</v>
      </c>
      <c r="AW21" s="1">
        <v>-4.8842218918274262E-2</v>
      </c>
      <c r="AX21" s="1">
        <v>-3.229010652857349E-2</v>
      </c>
      <c r="AY21" s="1">
        <v>6.7282604505723265E-2</v>
      </c>
      <c r="AZ21" s="1">
        <v>3.3305684446531402E-3</v>
      </c>
      <c r="BA21" s="1">
        <v>2.3468420219116551E-4</v>
      </c>
      <c r="BB21" s="1">
        <v>-0.1599895048972434</v>
      </c>
      <c r="BC21" s="1">
        <v>-9.3052995128559031E-3</v>
      </c>
      <c r="BD21" s="1">
        <v>1.195017796337063E-3</v>
      </c>
      <c r="BE21" s="1">
        <v>-1.6292176813889381E-2</v>
      </c>
      <c r="BF21" s="1">
        <v>7.857816359605474E-2</v>
      </c>
      <c r="BG21" s="1">
        <v>0.11567804403190519</v>
      </c>
      <c r="BH21" s="1">
        <v>0.15920195579027821</v>
      </c>
      <c r="BI21" s="1">
        <v>-4.4007661049555717E-2</v>
      </c>
      <c r="BJ21" s="1">
        <v>8.9101388296464246E-2</v>
      </c>
      <c r="BK21" s="1">
        <v>6.6495044360271094E-2</v>
      </c>
      <c r="BL21" s="1">
        <v>9.925107073581034E-2</v>
      </c>
      <c r="BM21" s="1">
        <v>3.2630455765925111E-2</v>
      </c>
      <c r="BN21" s="1">
        <v>9.0428701533375552E-2</v>
      </c>
      <c r="BO21" s="1">
        <v>-7.5999661817548594E-2</v>
      </c>
      <c r="BP21" s="1">
        <v>0.15026246210029801</v>
      </c>
      <c r="BQ21" s="1">
        <v>4.8842509004077841E-2</v>
      </c>
      <c r="BR21" s="1">
        <v>-0.13231543365808979</v>
      </c>
      <c r="BS21" s="1">
        <v>-5.8352729499197342E-2</v>
      </c>
      <c r="BT21" s="1">
        <v>0.1271283605413876</v>
      </c>
      <c r="BU21" s="1">
        <v>4.1646778660482817E-2</v>
      </c>
      <c r="BV21" s="1">
        <v>8.2898608255842582E-2</v>
      </c>
      <c r="BW21" s="1">
        <v>-0.16629998083259021</v>
      </c>
      <c r="BX21" s="1">
        <v>2.391535461742542E-2</v>
      </c>
      <c r="BY21" s="1">
        <v>-2.8272016126889649E-2</v>
      </c>
      <c r="BZ21" s="1">
        <v>-2.6436234412509699E-2</v>
      </c>
      <c r="CA21" s="1">
        <v>-6.2796324474411358E-2</v>
      </c>
      <c r="CB21" s="1">
        <v>2.3837369361392701E-2</v>
      </c>
      <c r="CC21" s="1">
        <v>0.1005965360590674</v>
      </c>
      <c r="CD21" s="1">
        <v>-7.0589741737740949E-2</v>
      </c>
      <c r="CE21" s="1">
        <v>-8.8644778287899524E-3</v>
      </c>
      <c r="CF21" s="1">
        <v>4.8118143540510597E-2</v>
      </c>
      <c r="CG21" s="1">
        <v>-2.3388539828763221E-2</v>
      </c>
      <c r="CH21" s="1">
        <v>1.1450903791963601E-2</v>
      </c>
      <c r="CI21" s="1">
        <v>3.9617157701629928E-2</v>
      </c>
      <c r="CJ21" s="1">
        <v>3.620076920121187E-3</v>
      </c>
      <c r="CK21" s="1">
        <v>-4.8523424749222492E-2</v>
      </c>
      <c r="CL21" s="1">
        <v>-0.15378371110029609</v>
      </c>
      <c r="CM21" s="1">
        <v>9.4026482398613498E-2</v>
      </c>
      <c r="CN21" s="1">
        <v>0.14956702676220851</v>
      </c>
      <c r="CO21" s="1">
        <v>0.112502377007541</v>
      </c>
      <c r="CP21" s="1">
        <v>0.1980505804533596</v>
      </c>
      <c r="CQ21" s="1">
        <v>-0.2212646688500835</v>
      </c>
      <c r="CR21" s="1">
        <v>-0.15460024395710761</v>
      </c>
      <c r="CS21" s="1">
        <v>4.3625927659281027E-2</v>
      </c>
      <c r="CT21" s="1">
        <v>-0.10187327598717499</v>
      </c>
      <c r="CU21" s="1">
        <v>-7.3702180607089857E-2</v>
      </c>
      <c r="CV21" s="1">
        <v>-5.8264071453392637E-2</v>
      </c>
      <c r="CW21" s="1">
        <v>2.71511888109865E-2</v>
      </c>
      <c r="CX21" s="1">
        <v>4.9242248789215098E-2</v>
      </c>
      <c r="CY21" s="1">
        <v>-8.1119542208941769E-2</v>
      </c>
      <c r="CZ21" s="1">
        <v>8.1906294858415468E-2</v>
      </c>
      <c r="DA21" s="1">
        <v>-1.869652373040075E-2</v>
      </c>
      <c r="DB21" s="1">
        <v>0.1720278893195363</v>
      </c>
      <c r="DC21" s="1">
        <v>-0.13663151957478539</v>
      </c>
      <c r="DD21" s="1">
        <v>9.5778361845015314E-3</v>
      </c>
      <c r="DE21" s="1">
        <v>7.3760657348376182E-2</v>
      </c>
      <c r="DF21" s="1">
        <v>-8.0758624496772444E-2</v>
      </c>
      <c r="DG21" s="1">
        <v>-3.0551426035613529E-2</v>
      </c>
      <c r="DH21" s="1">
        <v>-1.22744144419217E-2</v>
      </c>
      <c r="DI21" s="1">
        <v>7.8957518616652608E-2</v>
      </c>
      <c r="DJ21" s="1">
        <v>0.14827264440288709</v>
      </c>
      <c r="DK21" s="1">
        <v>-1.099086141431517E-2</v>
      </c>
      <c r="DL21" s="1">
        <v>-5.8016860018791083E-2</v>
      </c>
      <c r="DM21" s="1">
        <v>-0.17279746619068559</v>
      </c>
      <c r="DN21" s="1">
        <v>-3.8329244196542843E-2</v>
      </c>
      <c r="DO21" s="1">
        <v>-5.3508603789747013E-2</v>
      </c>
      <c r="DP21" s="1">
        <v>-5.3008721245457843E-2</v>
      </c>
      <c r="DQ21" s="1">
        <v>-7.8585761553588679E-2</v>
      </c>
      <c r="DR21" s="1">
        <v>2.338795468302448E-2</v>
      </c>
      <c r="DS21" s="1">
        <v>5.7552840810003593E-2</v>
      </c>
      <c r="DT21" s="1">
        <v>5.4627214600170011E-2</v>
      </c>
      <c r="DU21" s="1">
        <v>1.56578310797106E-2</v>
      </c>
      <c r="DV21" s="1">
        <v>-2.474639112866801E-2</v>
      </c>
      <c r="DW21" s="1">
        <v>0.12946161299762771</v>
      </c>
      <c r="DX21" s="1">
        <v>1.075661109313428E-3</v>
      </c>
      <c r="DY21" s="1">
        <v>2.1405240620780999E-2</v>
      </c>
      <c r="DZ21" s="1">
        <v>2.8577986744951229E-2</v>
      </c>
      <c r="EA21" s="1">
        <v>4.3166640555219397E-2</v>
      </c>
      <c r="EB21" s="1">
        <v>1.3076060132007791E-2</v>
      </c>
      <c r="EC21" s="1">
        <v>1.2779655863860829E-2</v>
      </c>
      <c r="ED21" s="1">
        <v>7.4490617321158886E-2</v>
      </c>
      <c r="EE21" s="1">
        <v>2.5631186582519679E-2</v>
      </c>
      <c r="EF21" s="1">
        <v>0.101233900908465</v>
      </c>
    </row>
    <row r="22" spans="1:136" ht="16" customHeight="1">
      <c r="A22" s="6">
        <v>192</v>
      </c>
      <c r="B22" s="6">
        <v>5</v>
      </c>
      <c r="C22" s="9">
        <v>0.89798478135778881</v>
      </c>
      <c r="D22" s="9">
        <v>0.94543461730038048</v>
      </c>
      <c r="E22" s="9">
        <v>0.73386991122812639</v>
      </c>
      <c r="F22" s="9">
        <v>1.197341782651421</v>
      </c>
      <c r="G22" s="9">
        <v>0.76583068363062146</v>
      </c>
      <c r="H22" s="9">
        <v>0.69624213521707223</v>
      </c>
      <c r="I22" s="9">
        <v>0.67505622873446913</v>
      </c>
      <c r="J22" s="9">
        <v>0.83838692223881606</v>
      </c>
      <c r="K22" s="9">
        <v>0.91933406661063111</v>
      </c>
      <c r="L22" s="2">
        <v>0.80295741996208558</v>
      </c>
      <c r="M22" s="2">
        <v>1.1686636529269461</v>
      </c>
      <c r="N22" s="2">
        <v>0.89526735840343419</v>
      </c>
      <c r="O22" s="1">
        <v>0.1175307280459226</v>
      </c>
      <c r="P22" s="1">
        <v>2.2332824926016241E-2</v>
      </c>
      <c r="Q22" s="1">
        <v>-0.11453169397326871</v>
      </c>
      <c r="R22" s="1">
        <v>-5.753054520130859E-2</v>
      </c>
      <c r="S22" s="1">
        <v>-0.28163244382220581</v>
      </c>
      <c r="T22" s="1">
        <v>3.4378815733230067E-2</v>
      </c>
      <c r="U22" s="1">
        <v>2.0840616062457181E-2</v>
      </c>
      <c r="V22" s="1">
        <v>5.7534211652579381E-2</v>
      </c>
      <c r="W22" s="1">
        <v>3.6572369306607913E-2</v>
      </c>
      <c r="X22" s="1">
        <v>8.5487621634552008E-2</v>
      </c>
      <c r="Y22" s="1">
        <v>4.7431466314694221E-3</v>
      </c>
      <c r="Z22" s="1">
        <v>7.4027168257954579E-2</v>
      </c>
      <c r="AA22" s="1">
        <v>-0.12390598158318911</v>
      </c>
      <c r="AB22" s="1">
        <v>-2.9838534361080721E-2</v>
      </c>
      <c r="AC22" s="1">
        <v>1.7221723694356761E-2</v>
      </c>
      <c r="AD22" s="1">
        <v>8.4152137353024584E-2</v>
      </c>
      <c r="AE22" s="1">
        <v>-6.6617836306928982E-2</v>
      </c>
      <c r="AF22" s="1">
        <v>0.21306705372439949</v>
      </c>
      <c r="AG22" s="1">
        <v>-3.5531536773574367E-2</v>
      </c>
      <c r="AH22" s="1">
        <v>-2.8150244291549369E-2</v>
      </c>
      <c r="AI22" s="1">
        <v>-4.2319198847756971E-2</v>
      </c>
      <c r="AJ22" s="1">
        <v>-5.003417188353184E-2</v>
      </c>
      <c r="AK22" s="1">
        <v>-5.4383742590992441E-2</v>
      </c>
      <c r="AL22" s="1">
        <v>-9.4575934088606595E-2</v>
      </c>
      <c r="AM22" s="1">
        <v>0.20070309395378619</v>
      </c>
      <c r="AN22" s="1">
        <v>-2.7928522830304281E-2</v>
      </c>
      <c r="AO22" s="1">
        <v>-0.15459112204746361</v>
      </c>
      <c r="AP22" s="1">
        <v>-0.1003417130030637</v>
      </c>
      <c r="AQ22" s="1">
        <v>0.24310312388051411</v>
      </c>
      <c r="AR22" s="1">
        <v>7.9033538267286804E-3</v>
      </c>
      <c r="AS22" s="1">
        <v>-2.897108081466538E-2</v>
      </c>
      <c r="AT22" s="1">
        <v>9.9337328745661771E-3</v>
      </c>
      <c r="AU22" s="1">
        <v>1.440967532659536E-2</v>
      </c>
      <c r="AV22" s="1">
        <v>-5.1610685200664738E-3</v>
      </c>
      <c r="AW22" s="1">
        <v>-7.3411247625852327E-2</v>
      </c>
      <c r="AX22" s="1">
        <v>-3.2674180711458597E-2</v>
      </c>
      <c r="AY22" s="1">
        <v>1.152489913852661E-2</v>
      </c>
      <c r="AZ22" s="1">
        <v>-1.495567867147375E-2</v>
      </c>
      <c r="BA22" s="1">
        <v>-8.1267139327273353E-3</v>
      </c>
      <c r="BB22" s="1">
        <v>-0.14818362612417951</v>
      </c>
      <c r="BC22" s="1">
        <v>-1.6384161803204639E-2</v>
      </c>
      <c r="BD22" s="1">
        <v>4.8133687453452589E-2</v>
      </c>
      <c r="BE22" s="1">
        <v>-1.411130813937133E-2</v>
      </c>
      <c r="BF22" s="1">
        <v>7.6703927980230041E-2</v>
      </c>
      <c r="BG22" s="1">
        <v>0.1177980068158839</v>
      </c>
      <c r="BH22" s="1">
        <v>0.1022855524662737</v>
      </c>
      <c r="BI22" s="1">
        <v>-5.9359815975830607E-2</v>
      </c>
      <c r="BJ22" s="1">
        <v>0.10059797520112911</v>
      </c>
      <c r="BK22" s="1">
        <v>7.132454366650684E-2</v>
      </c>
      <c r="BL22" s="1">
        <v>0.1076052157965192</v>
      </c>
      <c r="BM22" s="1">
        <v>4.6199085270258629E-2</v>
      </c>
      <c r="BN22" s="1">
        <v>4.6172829281594482E-2</v>
      </c>
      <c r="BO22" s="1">
        <v>-4.3368169161328421E-2</v>
      </c>
      <c r="BP22" s="1">
        <v>0.18031495452035759</v>
      </c>
      <c r="BQ22" s="1">
        <v>-1.5210643875950751E-2</v>
      </c>
      <c r="BR22" s="1">
        <v>-0.16110020907113651</v>
      </c>
      <c r="BS22" s="1">
        <v>-7.338908995040351E-2</v>
      </c>
      <c r="BT22" s="1">
        <v>0.1242395124864721</v>
      </c>
      <c r="BU22" s="1">
        <v>-2.5096024396515058E-2</v>
      </c>
      <c r="BV22" s="1">
        <v>0.106444592582925</v>
      </c>
      <c r="BW22" s="1">
        <v>-0.1496586094590977</v>
      </c>
      <c r="BX22" s="1">
        <v>1.8271861483143241E-2</v>
      </c>
      <c r="BY22" s="1">
        <v>-3.6573234538187373E-2</v>
      </c>
      <c r="BZ22" s="1">
        <v>2.1943516973826141E-2</v>
      </c>
      <c r="CA22" s="1">
        <v>-5.5700306852370818E-2</v>
      </c>
      <c r="CB22" s="1">
        <v>-9.96846148854591E-3</v>
      </c>
      <c r="CC22" s="1">
        <v>0.1207158432708809</v>
      </c>
      <c r="CD22" s="1">
        <v>-6.5341471556282837E-2</v>
      </c>
      <c r="CE22" s="1">
        <v>-7.563679695284254E-4</v>
      </c>
      <c r="CF22" s="1">
        <v>2.0681813701312609E-2</v>
      </c>
      <c r="CG22" s="1">
        <v>-1.8927559817228989E-2</v>
      </c>
      <c r="CH22" s="1">
        <v>2.3059611651124291E-2</v>
      </c>
      <c r="CI22" s="1">
        <v>6.6733110144397673E-2</v>
      </c>
      <c r="CJ22" s="1">
        <v>-1.129022838360756E-2</v>
      </c>
      <c r="CK22" s="1">
        <v>-5.9201520325501862E-2</v>
      </c>
      <c r="CL22" s="1">
        <v>-0.1677853999895085</v>
      </c>
      <c r="CM22" s="1">
        <v>6.042671110665275E-2</v>
      </c>
      <c r="CN22" s="1">
        <v>0.16526469760472179</v>
      </c>
      <c r="CO22" s="1">
        <v>0.16001139226870439</v>
      </c>
      <c r="CP22" s="1">
        <v>0.20616852753448889</v>
      </c>
      <c r="CQ22" s="1">
        <v>-0.29882954905921821</v>
      </c>
      <c r="CR22" s="1">
        <v>-0.19007887133551879</v>
      </c>
      <c r="CS22" s="1">
        <v>6.2157143337404498E-2</v>
      </c>
      <c r="CT22" s="1">
        <v>-0.18244317950776401</v>
      </c>
      <c r="CU22" s="1">
        <v>-5.9669283805368643E-2</v>
      </c>
      <c r="CV22" s="1">
        <v>-8.5542167600861085E-2</v>
      </c>
      <c r="CW22" s="1">
        <v>-6.7954545678800566E-3</v>
      </c>
      <c r="CX22" s="1">
        <v>9.7950625248405948E-3</v>
      </c>
      <c r="CY22" s="1">
        <v>-0.10904880589040079</v>
      </c>
      <c r="CZ22" s="1">
        <v>0.10948323803269119</v>
      </c>
      <c r="DA22" s="1">
        <v>-5.4278230570163961E-2</v>
      </c>
      <c r="DB22" s="1">
        <v>3.7973493666997413E-2</v>
      </c>
      <c r="DC22" s="1">
        <v>-0.10079786314021009</v>
      </c>
      <c r="DD22" s="1">
        <v>1.003055449733792E-2</v>
      </c>
      <c r="DE22" s="1">
        <v>5.9503490380534568E-2</v>
      </c>
      <c r="DF22" s="1">
        <v>-4.997940353445144E-2</v>
      </c>
      <c r="DG22" s="1">
        <v>1.199474007399212E-2</v>
      </c>
      <c r="DH22" s="1">
        <v>-3.7358449283709863E-2</v>
      </c>
      <c r="DI22" s="1">
        <v>6.4370661463254389E-2</v>
      </c>
      <c r="DJ22" s="1">
        <v>0.17245570744115779</v>
      </c>
      <c r="DK22" s="1">
        <v>2.8400558129505121E-2</v>
      </c>
      <c r="DL22" s="1">
        <v>-4.5152305403100723E-2</v>
      </c>
      <c r="DM22" s="1">
        <v>-0.1910700624683232</v>
      </c>
      <c r="DN22" s="1">
        <v>-7.7746476907317771E-2</v>
      </c>
      <c r="DO22" s="1">
        <v>-5.4920463544912347E-2</v>
      </c>
      <c r="DP22" s="1">
        <v>-6.9092978109511788E-2</v>
      </c>
      <c r="DQ22" s="1">
        <v>-6.2392528206771103E-3</v>
      </c>
      <c r="DR22" s="1">
        <v>2.9050769286840559E-2</v>
      </c>
      <c r="DS22" s="1">
        <v>6.2384151690431738E-2</v>
      </c>
      <c r="DT22" s="1">
        <v>5.5342800952912038E-2</v>
      </c>
      <c r="DU22" s="1">
        <v>3.4850028946554978E-2</v>
      </c>
      <c r="DV22" s="1">
        <v>-3.8393354873422228E-2</v>
      </c>
      <c r="DW22" s="1">
        <v>4.8845141818356752E-2</v>
      </c>
      <c r="DX22" s="1">
        <v>5.8677129366995883E-3</v>
      </c>
      <c r="DY22" s="1">
        <v>1.8725299723242769E-2</v>
      </c>
      <c r="DZ22" s="1">
        <v>4.7652751547276509E-2</v>
      </c>
      <c r="EA22" s="1">
        <v>4.5115538660738301E-2</v>
      </c>
      <c r="EB22" s="1">
        <v>-1.676684677380164E-3</v>
      </c>
      <c r="EC22" s="1">
        <v>1.389283957189465E-2</v>
      </c>
      <c r="ED22" s="1">
        <v>7.5847776048919971E-2</v>
      </c>
      <c r="EE22" s="1">
        <v>2.4867610335870101E-2</v>
      </c>
      <c r="EF22" s="1">
        <v>8.0230117438153961E-2</v>
      </c>
    </row>
    <row r="23" spans="1:136" ht="16" customHeight="1">
      <c r="A23" s="6">
        <v>241</v>
      </c>
      <c r="B23" s="6">
        <v>4</v>
      </c>
      <c r="C23" s="9">
        <v>0.89783896967174559</v>
      </c>
      <c r="D23" s="9">
        <v>1.0020828641417929</v>
      </c>
      <c r="E23" s="9">
        <v>0.78060473193313129</v>
      </c>
      <c r="F23" s="9">
        <v>1.2842883581113269</v>
      </c>
      <c r="G23" s="9">
        <v>0.802634884371353</v>
      </c>
      <c r="H23" s="9">
        <v>0.72491377556269598</v>
      </c>
      <c r="I23" s="9">
        <v>0.70115460797250995</v>
      </c>
      <c r="J23" s="9">
        <v>0.88608965698580133</v>
      </c>
      <c r="K23" s="9">
        <v>1.026246552056266</v>
      </c>
      <c r="L23" s="2">
        <v>0.86975802325047802</v>
      </c>
      <c r="M23" s="2">
        <v>1.256207384188867</v>
      </c>
      <c r="N23" s="2">
        <v>0.98784075557128825</v>
      </c>
      <c r="O23" s="1">
        <v>0.1060648503796984</v>
      </c>
      <c r="P23" s="1">
        <v>3.0767552266086549E-2</v>
      </c>
      <c r="Q23" s="1">
        <v>-0.19146939014088249</v>
      </c>
      <c r="R23" s="1">
        <v>-8.5418074094239599E-2</v>
      </c>
      <c r="S23" s="1">
        <v>3.2310906147136049E-3</v>
      </c>
      <c r="T23" s="1">
        <v>8.9324819748786408E-2</v>
      </c>
      <c r="U23" s="1">
        <v>3.614962183530207E-2</v>
      </c>
      <c r="V23" s="1">
        <v>1.3187181107135709E-2</v>
      </c>
      <c r="W23" s="1">
        <v>2.9262156990866931E-2</v>
      </c>
      <c r="X23" s="1">
        <v>7.9534653942819805E-2</v>
      </c>
      <c r="Y23" s="1">
        <v>-2.1091062844106681E-3</v>
      </c>
      <c r="Z23" s="1">
        <v>4.7424042287321763E-2</v>
      </c>
      <c r="AA23" s="1">
        <v>-8.8434891544418998E-2</v>
      </c>
      <c r="AB23" s="1">
        <v>-2.1286599446455081E-2</v>
      </c>
      <c r="AC23" s="1">
        <v>2.1961257869925779E-2</v>
      </c>
      <c r="AD23" s="1">
        <v>0.1276167581354575</v>
      </c>
      <c r="AE23" s="1">
        <v>-8.1830038289013779E-2</v>
      </c>
      <c r="AF23" s="1">
        <v>0.24783001104101779</v>
      </c>
      <c r="AG23" s="1">
        <v>-2.848647309891569E-2</v>
      </c>
      <c r="AH23" s="1">
        <v>-1.1587424472469601E-2</v>
      </c>
      <c r="AI23" s="1">
        <v>-3.8013934496405728E-2</v>
      </c>
      <c r="AJ23" s="1">
        <v>-1.8953338048988119E-2</v>
      </c>
      <c r="AK23" s="1">
        <v>-3.7866538097322142E-2</v>
      </c>
      <c r="AL23" s="1">
        <v>-0.10161843378266661</v>
      </c>
      <c r="AM23" s="1">
        <v>0.23315200876376399</v>
      </c>
      <c r="AN23" s="1">
        <v>-4.0887481917513124E-3</v>
      </c>
      <c r="AO23" s="1">
        <v>-8.7094926745197102E-2</v>
      </c>
      <c r="AP23" s="1">
        <v>-0.1122264720016703</v>
      </c>
      <c r="AQ23" s="1">
        <v>0.2026803335006554</v>
      </c>
      <c r="AR23" s="1">
        <v>-1.245507381966096E-3</v>
      </c>
      <c r="AS23" s="1">
        <v>-1.7496950601188641E-2</v>
      </c>
      <c r="AT23" s="1">
        <v>1.708445761002433E-2</v>
      </c>
      <c r="AU23" s="1">
        <v>6.9478499529214352E-3</v>
      </c>
      <c r="AV23" s="1">
        <v>-1.276226514872165E-2</v>
      </c>
      <c r="AW23" s="1">
        <v>-0.10772528717250569</v>
      </c>
      <c r="AX23" s="1">
        <v>-5.357635631632883E-2</v>
      </c>
      <c r="AY23" s="1">
        <v>3.3665897163803457E-2</v>
      </c>
      <c r="AZ23" s="1">
        <v>1.250583044894057E-2</v>
      </c>
      <c r="BA23" s="1">
        <v>-2.7224161205473388E-2</v>
      </c>
      <c r="BB23" s="1">
        <v>-9.8709291559867379E-2</v>
      </c>
      <c r="BC23" s="1">
        <v>2.5402165216535249E-2</v>
      </c>
      <c r="BD23" s="1">
        <v>-2.1044623283766429E-2</v>
      </c>
      <c r="BE23" s="1">
        <v>-6.1636101776957913E-2</v>
      </c>
      <c r="BF23" s="1">
        <v>8.744266379112732E-2</v>
      </c>
      <c r="BG23" s="1">
        <v>0.11621240092235589</v>
      </c>
      <c r="BH23" s="1">
        <v>4.9555146577335507E-2</v>
      </c>
      <c r="BI23" s="1">
        <v>-5.9572683921310488E-2</v>
      </c>
      <c r="BJ23" s="1">
        <v>0.1358072297964569</v>
      </c>
      <c r="BK23" s="1">
        <v>0.1132077049319393</v>
      </c>
      <c r="BL23" s="1">
        <v>0.12937905251924131</v>
      </c>
      <c r="BM23" s="1">
        <v>3.4113211791341198E-2</v>
      </c>
      <c r="BN23" s="1">
        <v>3.9265042956152747E-2</v>
      </c>
      <c r="BO23" s="1">
        <v>1.0631557711881141E-2</v>
      </c>
      <c r="BP23" s="1">
        <v>0.23088660343644851</v>
      </c>
      <c r="BQ23" s="1">
        <v>1.828030839173956E-2</v>
      </c>
      <c r="BR23" s="1">
        <v>-0.17751187152434689</v>
      </c>
      <c r="BS23" s="1">
        <v>-4.2872972641788347E-2</v>
      </c>
      <c r="BT23" s="1">
        <v>0.16568482900009801</v>
      </c>
      <c r="BU23" s="1">
        <v>-1.3224713035923151E-2</v>
      </c>
      <c r="BV23" s="1">
        <v>6.1813873247395512E-2</v>
      </c>
      <c r="BW23" s="1">
        <v>-0.21452699896060989</v>
      </c>
      <c r="BX23" s="1">
        <v>1.5484342741650141E-2</v>
      </c>
      <c r="BY23" s="1">
        <v>-3.6768693404570008E-2</v>
      </c>
      <c r="BZ23" s="1">
        <v>-0.1175667127391552</v>
      </c>
      <c r="CA23" s="1">
        <v>-5.4048985180864803E-2</v>
      </c>
      <c r="CB23" s="1">
        <v>1.2747026471429249E-3</v>
      </c>
      <c r="CC23" s="1">
        <v>7.5534654590331068E-2</v>
      </c>
      <c r="CD23" s="1">
        <v>-8.1232169019391384E-2</v>
      </c>
      <c r="CE23" s="1">
        <v>3.8064709514119329E-3</v>
      </c>
      <c r="CF23" s="1">
        <v>2.4796562843735069E-2</v>
      </c>
      <c r="CG23" s="1">
        <v>5.2759811004695983E-2</v>
      </c>
      <c r="CH23" s="1">
        <v>5.0615917773975207E-2</v>
      </c>
      <c r="CI23" s="1">
        <v>4.9728700655381007E-2</v>
      </c>
      <c r="CJ23" s="1">
        <v>-2.8200575176673778E-2</v>
      </c>
      <c r="CK23" s="1">
        <v>-6.5740088928728416E-2</v>
      </c>
      <c r="CL23" s="1">
        <v>-0.2132961036855083</v>
      </c>
      <c r="CM23" s="1">
        <v>3.52462366295902E-2</v>
      </c>
      <c r="CN23" s="1">
        <v>9.7932664997628482E-2</v>
      </c>
      <c r="CO23" s="1">
        <v>0.17895133305220429</v>
      </c>
      <c r="CP23" s="1">
        <v>0.18968170465102729</v>
      </c>
      <c r="CQ23" s="1">
        <v>-0.29565562468387829</v>
      </c>
      <c r="CR23" s="1">
        <v>-0.16736738314521121</v>
      </c>
      <c r="CS23" s="1">
        <v>6.1774128985310178E-2</v>
      </c>
      <c r="CT23" s="1">
        <v>-8.291926477736232E-2</v>
      </c>
      <c r="CU23" s="1">
        <v>-7.5996710301153639E-2</v>
      </c>
      <c r="CV23" s="1">
        <v>-0.1012419188380962</v>
      </c>
      <c r="CW23" s="1">
        <v>-3.2629762449060781E-2</v>
      </c>
      <c r="CX23" s="1">
        <v>1.9190105205189201E-2</v>
      </c>
      <c r="CY23" s="1">
        <v>-6.5949245481599986E-2</v>
      </c>
      <c r="CZ23" s="1">
        <v>0.15117998986954789</v>
      </c>
      <c r="DA23" s="1">
        <v>-7.7619402696181922E-2</v>
      </c>
      <c r="DB23" s="1">
        <v>5.0138627212063219E-2</v>
      </c>
      <c r="DC23" s="1">
        <v>-0.1040982496627743</v>
      </c>
      <c r="DD23" s="1">
        <v>1.178654081654182E-2</v>
      </c>
      <c r="DE23" s="1">
        <v>1.9740148226272292E-2</v>
      </c>
      <c r="DF23" s="1">
        <v>-4.0654908273175833E-2</v>
      </c>
      <c r="DG23" s="1">
        <v>-1.469361168963345E-2</v>
      </c>
      <c r="DH23" s="1">
        <v>-4.9906332759142878E-2</v>
      </c>
      <c r="DI23" s="1">
        <v>5.8000688575727058E-2</v>
      </c>
      <c r="DJ23" s="1">
        <v>0.16072930514581729</v>
      </c>
      <c r="DK23" s="1">
        <v>4.9668729531762837E-2</v>
      </c>
      <c r="DL23" s="1">
        <v>-0.13239744137775911</v>
      </c>
      <c r="DM23" s="1">
        <v>-0.18287766959937449</v>
      </c>
      <c r="DN23" s="1">
        <v>-5.8299937357359957E-2</v>
      </c>
      <c r="DO23" s="1">
        <v>-6.4936699873838682E-2</v>
      </c>
      <c r="DP23" s="1">
        <v>-8.7197177612278715E-2</v>
      </c>
      <c r="DQ23" s="1">
        <v>-6.7701313948516362E-5</v>
      </c>
      <c r="DR23" s="1">
        <v>1.329433390134784E-2</v>
      </c>
      <c r="DS23" s="1">
        <v>1.9041483276053449E-2</v>
      </c>
      <c r="DT23" s="1">
        <v>2.750568834157285E-2</v>
      </c>
      <c r="DU23" s="1">
        <v>4.399344138423731E-2</v>
      </c>
      <c r="DV23" s="1">
        <v>-5.8315208206769102E-2</v>
      </c>
      <c r="DW23" s="1">
        <v>6.5352586330569507E-2</v>
      </c>
      <c r="DX23" s="1">
        <v>1.766456743639554E-2</v>
      </c>
      <c r="DY23" s="1">
        <v>-4.431557087457811E-2</v>
      </c>
      <c r="DZ23" s="1">
        <v>6.1710545358991738E-2</v>
      </c>
      <c r="EA23" s="1">
        <v>5.5283081345048772E-2</v>
      </c>
      <c r="EB23" s="1">
        <v>3.5098692001998238E-3</v>
      </c>
      <c r="EC23" s="1">
        <v>3.185825304075024E-3</v>
      </c>
      <c r="ED23" s="1">
        <v>9.0028621442761025E-2</v>
      </c>
      <c r="EE23" s="1">
        <v>3.6135189749217457E-2</v>
      </c>
      <c r="EF23" s="1">
        <v>7.6086492595632507E-2</v>
      </c>
    </row>
    <row r="24" spans="1:136" ht="16" customHeight="1">
      <c r="A24" s="6">
        <v>321</v>
      </c>
      <c r="B24" s="6">
        <v>3</v>
      </c>
      <c r="C24" s="9">
        <v>0.98736986204569799</v>
      </c>
      <c r="D24" s="9">
        <v>1.094271324089658</v>
      </c>
      <c r="E24" s="9">
        <v>0.82743789931966227</v>
      </c>
      <c r="F24" s="9">
        <v>1.351826780711425</v>
      </c>
      <c r="G24" s="9">
        <v>0.82579708423586151</v>
      </c>
      <c r="H24" s="9">
        <v>0.69623533527332526</v>
      </c>
      <c r="I24" s="9">
        <v>0.70311817853932801</v>
      </c>
      <c r="J24" s="9">
        <v>0.94552337808971632</v>
      </c>
      <c r="K24" s="9">
        <v>1.187407043672329</v>
      </c>
      <c r="L24" s="2">
        <v>1.002472657402756</v>
      </c>
      <c r="M24" s="2">
        <v>1.4450191057373489</v>
      </c>
      <c r="N24" s="2">
        <v>1.1048150966807651</v>
      </c>
      <c r="O24" s="1">
        <v>9.5951270412425016E-2</v>
      </c>
      <c r="P24" s="1">
        <v>1.9855609954055421E-2</v>
      </c>
      <c r="Q24" s="1">
        <v>-0.34936842745947738</v>
      </c>
      <c r="R24" s="1">
        <v>-4.446913376772331E-2</v>
      </c>
      <c r="S24" s="1">
        <v>-2.876006701481831E-2</v>
      </c>
      <c r="T24" s="1">
        <v>0.10289639562875021</v>
      </c>
      <c r="U24" s="1">
        <v>-2.171519778305608E-2</v>
      </c>
      <c r="V24" s="1">
        <v>9.9829252998761275E-3</v>
      </c>
      <c r="W24" s="1">
        <v>8.3020961182600148E-2</v>
      </c>
      <c r="X24" s="1">
        <v>0.1000850497697718</v>
      </c>
      <c r="Y24" s="1">
        <v>-2.1809849451659511E-2</v>
      </c>
      <c r="Z24" s="1">
        <v>3.092923753549293E-2</v>
      </c>
      <c r="AA24" s="1">
        <v>-7.3338112296670976E-2</v>
      </c>
      <c r="AB24" s="1">
        <v>-1.1586439349951461E-2</v>
      </c>
      <c r="AC24" s="1">
        <v>3.5941748212258748E-2</v>
      </c>
      <c r="AD24" s="1">
        <v>4.9999952278119937E-2</v>
      </c>
      <c r="AE24" s="1">
        <v>-8.1122845294005166E-2</v>
      </c>
      <c r="AF24" s="1">
        <v>0.27542439334803609</v>
      </c>
      <c r="AG24" s="1">
        <v>2.797205062300331E-2</v>
      </c>
      <c r="AH24" s="1">
        <v>3.5085512931502312E-2</v>
      </c>
      <c r="AI24" s="1">
        <v>-0.15058733446806849</v>
      </c>
      <c r="AJ24" s="1">
        <v>2.7868636228890048E-4</v>
      </c>
      <c r="AK24" s="1">
        <v>-6.2743331026272275E-2</v>
      </c>
      <c r="AL24" s="1">
        <v>-5.2143047489657333E-2</v>
      </c>
      <c r="AM24" s="1">
        <v>0.14555517710727969</v>
      </c>
      <c r="AN24" s="1">
        <v>8.0952555443258745E-2</v>
      </c>
      <c r="AO24" s="1">
        <v>-9.3240229385543563E-2</v>
      </c>
      <c r="AP24" s="1">
        <v>-0.1664252019949792</v>
      </c>
      <c r="AQ24" s="1">
        <v>0.40213417609970242</v>
      </c>
      <c r="AR24" s="1">
        <v>4.1833659599704143E-2</v>
      </c>
      <c r="AS24" s="1">
        <v>-5.1664866614316289E-2</v>
      </c>
      <c r="AT24" s="1">
        <v>3.2672261312832157E-2</v>
      </c>
      <c r="AU24" s="1">
        <v>-4.8831637304284872E-2</v>
      </c>
      <c r="AV24" s="1">
        <v>-4.3739625189257864E-3</v>
      </c>
      <c r="AW24" s="1">
        <v>-6.2517800100496318E-2</v>
      </c>
      <c r="AX24" s="1">
        <v>-6.0009663578711299E-2</v>
      </c>
      <c r="AY24" s="1">
        <v>-0.10172032392576991</v>
      </c>
      <c r="AZ24" s="1">
        <v>-5.3830868757232489E-2</v>
      </c>
      <c r="BA24" s="1">
        <v>-6.8409471458415222E-2</v>
      </c>
      <c r="BB24" s="1">
        <v>-0.17617855240058419</v>
      </c>
      <c r="BC24" s="1">
        <v>2.832157534220979E-2</v>
      </c>
      <c r="BD24" s="1">
        <v>-7.1088477999721456E-2</v>
      </c>
      <c r="BE24" s="1">
        <v>-3.2158538731974932E-2</v>
      </c>
      <c r="BF24" s="1">
        <v>8.9507660963876523E-2</v>
      </c>
      <c r="BG24" s="1">
        <v>0.12525192010263231</v>
      </c>
      <c r="BH24" s="1">
        <v>0.10441599905891399</v>
      </c>
      <c r="BI24" s="1">
        <v>-0.1239840943256926</v>
      </c>
      <c r="BJ24" s="1">
        <v>0.1581402267090031</v>
      </c>
      <c r="BK24" s="1">
        <v>0.1089012263604166</v>
      </c>
      <c r="BL24" s="1">
        <v>0.16992546167277689</v>
      </c>
      <c r="BM24" s="1">
        <v>3.5128318113685823E-2</v>
      </c>
      <c r="BN24" s="1">
        <v>8.155433629090815E-2</v>
      </c>
      <c r="BO24" s="1">
        <v>-4.2193027254465817E-2</v>
      </c>
      <c r="BP24" s="1">
        <v>0.26185376197336668</v>
      </c>
      <c r="BQ24" s="1">
        <v>1.724416000965124E-2</v>
      </c>
      <c r="BR24" s="1">
        <v>-0.16405140914596991</v>
      </c>
      <c r="BS24" s="1">
        <v>-1.639744520312381E-2</v>
      </c>
      <c r="BT24" s="1">
        <v>4.878819734375936E-2</v>
      </c>
      <c r="BU24" s="1">
        <v>-1.6244322814751459E-2</v>
      </c>
      <c r="BV24" s="1">
        <v>0.1084025556577473</v>
      </c>
      <c r="BW24" s="1">
        <v>-0.1716963636649709</v>
      </c>
      <c r="BX24" s="1">
        <v>-1.9924632314752631E-2</v>
      </c>
      <c r="BY24" s="1">
        <v>6.4456250926684083E-2</v>
      </c>
      <c r="BZ24" s="1">
        <v>-4.494226971405188E-2</v>
      </c>
      <c r="CA24" s="1">
        <v>-5.9220121470078768E-2</v>
      </c>
      <c r="CB24" s="1">
        <v>1.4423190028550151E-2</v>
      </c>
      <c r="CC24" s="1">
        <v>4.1339582807023233E-2</v>
      </c>
      <c r="CD24" s="1">
        <v>-7.3084910734996594E-2</v>
      </c>
      <c r="CE24" s="1">
        <v>5.9238448851206202E-2</v>
      </c>
      <c r="CF24" s="1">
        <v>5.8746433222844436E-3</v>
      </c>
      <c r="CG24" s="1">
        <v>8.1567471362576027E-2</v>
      </c>
      <c r="CH24" s="1">
        <v>1.37833957366633E-2</v>
      </c>
      <c r="CI24" s="1">
        <v>-5.5946992235198043E-2</v>
      </c>
      <c r="CJ24" s="1">
        <v>-2.592447791588353E-2</v>
      </c>
      <c r="CK24" s="1">
        <v>-0.11272484792327089</v>
      </c>
      <c r="CL24" s="1">
        <v>-0.23315439864926241</v>
      </c>
      <c r="CM24" s="1">
        <v>0.1159726437479037</v>
      </c>
      <c r="CN24" s="1">
        <v>0.1124563465533963</v>
      </c>
      <c r="CO24" s="1">
        <v>0.21503388206267179</v>
      </c>
      <c r="CP24" s="1">
        <v>0.23464912986016651</v>
      </c>
      <c r="CQ24" s="1">
        <v>-0.38945649264572041</v>
      </c>
      <c r="CR24" s="1">
        <v>-0.13974246274937641</v>
      </c>
      <c r="CS24" s="1">
        <v>0.11124117694535569</v>
      </c>
      <c r="CT24" s="1">
        <v>-9.8268996352840352E-2</v>
      </c>
      <c r="CU24" s="1">
        <v>-0.1248320283539751</v>
      </c>
      <c r="CV24" s="1">
        <v>-0.1186238901698972</v>
      </c>
      <c r="CW24" s="1">
        <v>-7.9751654679440898E-2</v>
      </c>
      <c r="CX24" s="1">
        <v>5.7301938419216478E-2</v>
      </c>
      <c r="CY24" s="1">
        <v>-9.1829300462472577E-2</v>
      </c>
      <c r="CZ24" s="1">
        <v>0.13417621342247071</v>
      </c>
      <c r="DA24" s="1">
        <v>-5.9841202825910329E-2</v>
      </c>
      <c r="DB24" s="1">
        <v>-8.5654590209324741E-2</v>
      </c>
      <c r="DC24" s="1">
        <v>-0.1515772767164256</v>
      </c>
      <c r="DD24" s="1">
        <v>8.3019621161130847E-2</v>
      </c>
      <c r="DE24" s="1">
        <v>-5.9402561670725378E-2</v>
      </c>
      <c r="DF24" s="1">
        <v>-1.8396144549805451E-2</v>
      </c>
      <c r="DG24" s="1">
        <v>1.7490433054085801E-2</v>
      </c>
      <c r="DH24" s="1">
        <v>-2.298813547163028E-2</v>
      </c>
      <c r="DI24" s="1">
        <v>0.11142720114110879</v>
      </c>
      <c r="DJ24" s="1">
        <v>0.1110678366404847</v>
      </c>
      <c r="DK24" s="1">
        <v>0.16853807270058491</v>
      </c>
      <c r="DL24" s="1">
        <v>-0.17117371672324919</v>
      </c>
      <c r="DM24" s="1">
        <v>-0.19461800607365459</v>
      </c>
      <c r="DN24" s="1">
        <v>-7.8061162958569519E-2</v>
      </c>
      <c r="DO24" s="1">
        <v>-6.340433993076007E-2</v>
      </c>
      <c r="DP24" s="1">
        <v>-6.0051224998042482E-2</v>
      </c>
      <c r="DQ24" s="1">
        <v>-1.8871329635958878E-2</v>
      </c>
      <c r="DR24" s="1">
        <v>4.5152240175575169E-2</v>
      </c>
      <c r="DS24" s="1">
        <v>3.5147979838061442E-2</v>
      </c>
      <c r="DT24" s="1">
        <v>3.802624297322213E-2</v>
      </c>
      <c r="DU24" s="1">
        <v>2.0368379716074539E-2</v>
      </c>
      <c r="DV24" s="1">
        <v>-6.0704284772251121E-2</v>
      </c>
      <c r="DW24" s="1">
        <v>5.7589342228337767E-2</v>
      </c>
      <c r="DX24" s="1">
        <v>-5.7302559538600327E-3</v>
      </c>
      <c r="DY24" s="1">
        <v>-5.5099335433434322E-2</v>
      </c>
      <c r="DZ24" s="1">
        <v>5.8259090202062172E-2</v>
      </c>
      <c r="EA24" s="1">
        <v>4.3144705227055408E-2</v>
      </c>
      <c r="EB24" s="1">
        <v>-9.8401024445556144E-3</v>
      </c>
      <c r="EC24" s="1">
        <v>-1.0375916165265669E-4</v>
      </c>
      <c r="ED24" s="1">
        <v>7.5527697715507214E-2</v>
      </c>
      <c r="EE24" s="1">
        <v>4.4247910010664637E-3</v>
      </c>
      <c r="EF24" s="1">
        <v>8.6516088733619989E-2</v>
      </c>
    </row>
    <row r="25" spans="1:136" ht="16" customHeight="1">
      <c r="A25" s="6">
        <v>482</v>
      </c>
      <c r="B25" s="6">
        <v>2</v>
      </c>
      <c r="C25" s="9">
        <v>1.1374397124464179</v>
      </c>
      <c r="D25" s="9">
        <v>1.2261253153015761</v>
      </c>
      <c r="E25" s="9">
        <v>0.91010680412118183</v>
      </c>
      <c r="F25" s="9">
        <v>1.5345969045394621</v>
      </c>
      <c r="G25" s="9">
        <v>0.8558788474107436</v>
      </c>
      <c r="H25" s="9">
        <v>0.74148683604788146</v>
      </c>
      <c r="I25" s="9">
        <v>0.72018309526738711</v>
      </c>
      <c r="J25" s="9">
        <v>1.004057646548159</v>
      </c>
      <c r="K25" s="9">
        <v>1.517486761386692</v>
      </c>
      <c r="L25" s="2">
        <v>1.0896013433352469</v>
      </c>
      <c r="M25" s="2">
        <v>1.731784609011813</v>
      </c>
      <c r="N25" s="2">
        <v>1.3608173869463389</v>
      </c>
      <c r="O25" s="1">
        <v>5.9773043561695029E-2</v>
      </c>
      <c r="P25" s="1">
        <v>7.9909749415180246E-3</v>
      </c>
      <c r="Q25" s="1">
        <v>-0.38713791586494578</v>
      </c>
      <c r="R25" s="1">
        <v>-9.8737352954014576E-2</v>
      </c>
      <c r="S25" s="1">
        <v>2.049330116386058E-2</v>
      </c>
      <c r="T25" s="1">
        <v>0.23541450389507401</v>
      </c>
      <c r="U25" s="1">
        <v>1.1072452879099691E-2</v>
      </c>
      <c r="V25" s="1">
        <v>0.12534885491373421</v>
      </c>
      <c r="W25" s="1">
        <v>9.2338815430109411E-2</v>
      </c>
      <c r="X25" s="1">
        <v>0.17035048873517311</v>
      </c>
      <c r="Y25" s="1">
        <v>-2.4590591273635051E-2</v>
      </c>
      <c r="Z25" s="1">
        <v>5.2858618887073557E-2</v>
      </c>
      <c r="AA25" s="1">
        <v>-0.27602790425069418</v>
      </c>
      <c r="AB25" s="1">
        <v>8.9452054085443225E-2</v>
      </c>
      <c r="AC25" s="1">
        <v>6.1391272424710847E-2</v>
      </c>
      <c r="AD25" s="1">
        <v>6.251869579958963E-3</v>
      </c>
      <c r="AE25" s="1">
        <v>-8.316366560611782E-2</v>
      </c>
      <c r="AF25" s="1">
        <v>0.37409482443455772</v>
      </c>
      <c r="AG25" s="1">
        <v>-2.947473192182953E-2</v>
      </c>
      <c r="AH25" s="1">
        <v>5.5941234355501662E-2</v>
      </c>
      <c r="AI25" s="1">
        <v>-0.2155130524625137</v>
      </c>
      <c r="AJ25" s="1">
        <v>1.005831095511023E-2</v>
      </c>
      <c r="AK25" s="1">
        <v>-5.8836699807841293E-2</v>
      </c>
      <c r="AL25" s="1">
        <v>-0.15757765071006319</v>
      </c>
      <c r="AM25" s="1">
        <v>-2.580654967902662E-3</v>
      </c>
      <c r="AN25" s="1">
        <v>0.14410910075871899</v>
      </c>
      <c r="AO25" s="1">
        <v>1.7353725507271401E-3</v>
      </c>
      <c r="AP25" s="1">
        <v>-8.7042998120897802E-2</v>
      </c>
      <c r="AQ25" s="1">
        <v>0.49475647349469898</v>
      </c>
      <c r="AR25" s="1">
        <v>1.191545182336423E-2</v>
      </c>
      <c r="AS25" s="1">
        <v>-0.15932191566398371</v>
      </c>
      <c r="AT25" s="1">
        <v>5.0288745543011097E-2</v>
      </c>
      <c r="AU25" s="1">
        <v>-2.729766341352469E-2</v>
      </c>
      <c r="AV25" s="1">
        <v>6.8670671567515731E-2</v>
      </c>
      <c r="AW25" s="1">
        <v>-0.1349426557845799</v>
      </c>
      <c r="AX25" s="1">
        <v>-0.1025392213435162</v>
      </c>
      <c r="AY25" s="1">
        <v>-0.10028846211002521</v>
      </c>
      <c r="AZ25" s="1">
        <v>-7.6368791134566627E-2</v>
      </c>
      <c r="BA25" s="1">
        <v>-7.8045733519541943E-2</v>
      </c>
      <c r="BB25" s="1">
        <v>-0.2497032747148287</v>
      </c>
      <c r="BC25" s="1">
        <v>3.5272674017014109E-2</v>
      </c>
      <c r="BD25" s="1">
        <v>-5.9785318578650277E-2</v>
      </c>
      <c r="BE25" s="1">
        <v>-2.7421758711253071E-2</v>
      </c>
      <c r="BF25" s="1">
        <v>7.3070062030357888E-2</v>
      </c>
      <c r="BG25" s="1">
        <v>6.7099557250892061E-2</v>
      </c>
      <c r="BH25" s="1">
        <v>0.1118505042088361</v>
      </c>
      <c r="BI25" s="1">
        <v>-0.13778559357911641</v>
      </c>
      <c r="BJ25" s="1">
        <v>0.15789565582398299</v>
      </c>
      <c r="BK25" s="1">
        <v>0.15593098179320269</v>
      </c>
      <c r="BL25" s="1">
        <v>0.18641842359451141</v>
      </c>
      <c r="BM25" s="1">
        <v>0.16868329057514689</v>
      </c>
      <c r="BN25" s="1">
        <v>0.19314386284448601</v>
      </c>
      <c r="BO25" s="1">
        <v>-0.1231367305438735</v>
      </c>
      <c r="BP25" s="1">
        <v>0.1142827651916877</v>
      </c>
      <c r="BQ25" s="1">
        <v>9.8310589075229077E-2</v>
      </c>
      <c r="BR25" s="1">
        <v>-0.16373105728326159</v>
      </c>
      <c r="BS25" s="1">
        <v>7.9227316273146775E-2</v>
      </c>
      <c r="BT25" s="1">
        <v>-6.3825998653959742E-2</v>
      </c>
      <c r="BU25" s="1">
        <v>0.14218127128384581</v>
      </c>
      <c r="BV25" s="1">
        <v>0.28186181770076951</v>
      </c>
      <c r="BW25" s="1">
        <v>-0.26479648105925069</v>
      </c>
      <c r="BX25" s="1">
        <v>-1.4498279125233601E-2</v>
      </c>
      <c r="BY25" s="1">
        <v>8.7748083842747571E-2</v>
      </c>
      <c r="BZ25" s="1">
        <v>-5.411435599373185E-2</v>
      </c>
      <c r="CA25" s="1">
        <v>-0.1235746953538317</v>
      </c>
      <c r="CB25" s="1">
        <v>-6.1107292767924898E-2</v>
      </c>
      <c r="CC25" s="1">
        <v>0.17671208626689669</v>
      </c>
      <c r="CD25" s="1">
        <v>-9.9177411008695149E-2</v>
      </c>
      <c r="CE25" s="1">
        <v>3.6594952006606868E-2</v>
      </c>
      <c r="CF25" s="1">
        <v>-5.4035201647141123E-2</v>
      </c>
      <c r="CG25" s="1">
        <v>-2.3533702829676682E-2</v>
      </c>
      <c r="CH25" s="1">
        <v>6.5836412751637791E-2</v>
      </c>
      <c r="CI25" s="1">
        <v>-6.7624178055672723E-3</v>
      </c>
      <c r="CJ25" s="1">
        <v>-4.5575140704693262E-2</v>
      </c>
      <c r="CK25" s="1">
        <v>-9.8702132703048881E-2</v>
      </c>
      <c r="CL25" s="1">
        <v>-0.28361300407158618</v>
      </c>
      <c r="CM25" s="1">
        <v>9.8351883421743058E-2</v>
      </c>
      <c r="CN25" s="1">
        <v>-1.5853708047206389E-2</v>
      </c>
      <c r="CO25" s="1">
        <v>0.29264998805566222</v>
      </c>
      <c r="CP25" s="1">
        <v>0.27456697466596369</v>
      </c>
      <c r="CQ25" s="1">
        <v>-4.9218854967772202E-2</v>
      </c>
      <c r="CR25" s="1">
        <v>-0.102727012610752</v>
      </c>
      <c r="CS25" s="1">
        <v>0.10033932632466711</v>
      </c>
      <c r="CT25" s="1">
        <v>-0.13084377461178581</v>
      </c>
      <c r="CU25" s="1">
        <v>-0.16837909598356399</v>
      </c>
      <c r="CV25" s="1">
        <v>-0.190139573079918</v>
      </c>
      <c r="CW25" s="1">
        <v>-4.1641377688277033E-2</v>
      </c>
      <c r="CX25" s="1">
        <v>1.385079152695487E-2</v>
      </c>
      <c r="CY25" s="1">
        <v>-0.1208170513995438</v>
      </c>
      <c r="CZ25" s="1">
        <v>0.19361577342241859</v>
      </c>
      <c r="DA25" s="1">
        <v>-9.3976552967317231E-2</v>
      </c>
      <c r="DB25" s="1">
        <v>-0.13506269942549981</v>
      </c>
      <c r="DC25" s="1">
        <v>-0.12577824486128589</v>
      </c>
      <c r="DD25" s="1">
        <v>0.18257245130263969</v>
      </c>
      <c r="DE25" s="1">
        <v>-2.7105299748558909E-2</v>
      </c>
      <c r="DF25" s="1">
        <v>2.2446127049570681E-2</v>
      </c>
      <c r="DG25" s="1">
        <v>-4.7603312864063357E-2</v>
      </c>
      <c r="DH25" s="1">
        <v>-9.0540938955370229E-2</v>
      </c>
      <c r="DI25" s="1">
        <v>0.1146722092607501</v>
      </c>
      <c r="DJ25" s="1">
        <v>0.1066611880137673</v>
      </c>
      <c r="DK25" s="1">
        <v>0.1104522140470281</v>
      </c>
      <c r="DL25" s="1">
        <v>-2.0531079143977608E-2</v>
      </c>
      <c r="DM25" s="1">
        <v>-0.28184469255503891</v>
      </c>
      <c r="DN25" s="1">
        <v>-3.9196721899462952E-2</v>
      </c>
      <c r="DO25" s="1">
        <v>-7.9801775903393615E-2</v>
      </c>
      <c r="DP25" s="1">
        <v>-8.6307172167805979E-2</v>
      </c>
      <c r="DQ25" s="1">
        <v>4.7732241836820302E-2</v>
      </c>
      <c r="DR25" s="1">
        <v>8.2734452697946631E-2</v>
      </c>
      <c r="DS25" s="1">
        <v>0.1058772870041655</v>
      </c>
      <c r="DT25" s="1">
        <v>7.8580225324527617E-3</v>
      </c>
      <c r="DU25" s="1">
        <v>7.9737300188323701E-2</v>
      </c>
      <c r="DV25" s="1">
        <v>-8.9230584080065692E-2</v>
      </c>
      <c r="DW25" s="1">
        <v>1.694177924973964E-3</v>
      </c>
      <c r="DX25" s="1">
        <v>-2.5413191441130741E-2</v>
      </c>
      <c r="DY25" s="1">
        <v>-8.1570435565268731E-2</v>
      </c>
      <c r="DZ25" s="1">
        <v>-6.8895316683381405E-2</v>
      </c>
      <c r="EA25" s="1">
        <v>5.0474176232262503E-2</v>
      </c>
      <c r="EB25" s="1">
        <v>-1.196849199213239E-2</v>
      </c>
      <c r="EC25" s="1">
        <v>8.4055451606696932E-2</v>
      </c>
      <c r="ED25" s="1">
        <v>0.1145904608614932</v>
      </c>
      <c r="EE25" s="1">
        <v>3.2965078662359447E-2</v>
      </c>
      <c r="EF25" s="1">
        <v>2.428344989536654E-2</v>
      </c>
    </row>
    <row r="26" spans="1:136" ht="16" customHeight="1">
      <c r="A26" s="6">
        <v>964</v>
      </c>
      <c r="B26" s="6">
        <v>1</v>
      </c>
      <c r="C26" s="9">
        <v>1.274316755103944</v>
      </c>
      <c r="D26" s="9">
        <v>1.5484498429402771</v>
      </c>
      <c r="E26" s="9">
        <v>1.0878457145291369</v>
      </c>
      <c r="F26" s="9">
        <v>1.7939017275235281</v>
      </c>
      <c r="G26" s="9">
        <v>0.81847334661468563</v>
      </c>
      <c r="H26" s="9">
        <v>0.80669328080421099</v>
      </c>
      <c r="I26" s="9">
        <v>0.79810469903798387</v>
      </c>
      <c r="J26" s="9">
        <v>0.99024159806542444</v>
      </c>
      <c r="K26" s="9">
        <v>2.409583883092397</v>
      </c>
      <c r="L26" s="2">
        <v>1.2461442598384671</v>
      </c>
      <c r="M26" s="2">
        <v>1.9358494819298779</v>
      </c>
      <c r="N26" s="2">
        <v>1.8998395949385229</v>
      </c>
      <c r="O26" s="1">
        <v>0.22046375825666001</v>
      </c>
      <c r="P26" s="1">
        <v>-1.23529379702506E-2</v>
      </c>
      <c r="Q26" s="1">
        <v>-3.242511077960968E-3</v>
      </c>
      <c r="R26" s="1">
        <v>-0.23883610315384321</v>
      </c>
      <c r="S26" s="1">
        <v>6.7547477365483208E-2</v>
      </c>
      <c r="T26" s="1">
        <v>2.609040179169014E-2</v>
      </c>
      <c r="U26" s="1">
        <v>1.7576293857331619E-2</v>
      </c>
      <c r="V26" s="1">
        <v>0.27540859209656809</v>
      </c>
      <c r="W26" s="1">
        <v>0.21110574864083381</v>
      </c>
      <c r="X26" s="1">
        <v>0.16079780154067341</v>
      </c>
      <c r="Y26" s="1">
        <v>-5.2630286039302143E-2</v>
      </c>
      <c r="Z26" s="1">
        <v>-8.2453344612817267E-2</v>
      </c>
      <c r="AA26" s="1">
        <v>-0.18509425047975869</v>
      </c>
      <c r="AB26" s="1">
        <v>0.1219338798824466</v>
      </c>
      <c r="AC26" s="1">
        <v>4.6703653501537067E-2</v>
      </c>
      <c r="AD26" s="1">
        <v>-0.46171230561087362</v>
      </c>
      <c r="AE26" s="1">
        <v>-0.19314178971175811</v>
      </c>
      <c r="AF26" s="1">
        <v>0.49538941280416188</v>
      </c>
      <c r="AG26" s="1">
        <v>0.14943000816137739</v>
      </c>
      <c r="AH26" s="1">
        <v>0.1161970468887954</v>
      </c>
      <c r="AI26" s="1">
        <v>-0.38401214015685131</v>
      </c>
      <c r="AJ26" s="1">
        <v>-8.1596994929311245E-2</v>
      </c>
      <c r="AK26" s="1">
        <v>4.1856518083319139E-3</v>
      </c>
      <c r="AL26" s="1">
        <v>-0.16007282612512999</v>
      </c>
      <c r="AM26" s="1">
        <v>4.512287032860457E-2</v>
      </c>
      <c r="AN26" s="1">
        <v>0.15817700010999919</v>
      </c>
      <c r="AO26" s="1">
        <v>7.4292186701340496E-2</v>
      </c>
      <c r="AP26" s="1">
        <v>5.0877884536363369E-2</v>
      </c>
      <c r="AQ26" s="1">
        <v>0.52024737639071184</v>
      </c>
      <c r="AR26" s="1">
        <v>0.13530999573036789</v>
      </c>
      <c r="AS26" s="1">
        <v>-0.14330079320423489</v>
      </c>
      <c r="AT26" s="1">
        <v>-2.7319332135596241E-2</v>
      </c>
      <c r="AU26" s="1">
        <v>-7.4705995153881044E-2</v>
      </c>
      <c r="AV26" s="1">
        <v>0.16261077373002161</v>
      </c>
      <c r="AW26" s="1">
        <v>-0.25174311257878601</v>
      </c>
      <c r="AX26" s="1">
        <v>0.1018669288403321</v>
      </c>
      <c r="AY26" s="1">
        <v>0.1089061944102583</v>
      </c>
      <c r="AZ26" s="1">
        <v>-2.9000144876560739E-2</v>
      </c>
      <c r="BA26" s="1">
        <v>-3.201437466459485E-2</v>
      </c>
      <c r="BB26" s="1">
        <v>-0.36846088615781969</v>
      </c>
      <c r="BC26" s="1">
        <v>5.7786489474308027E-2</v>
      </c>
      <c r="BD26" s="1">
        <v>-0.1635622064388349</v>
      </c>
      <c r="BE26" s="1">
        <v>-1.1316127994466589E-2</v>
      </c>
      <c r="BF26" s="1">
        <v>0.1552131045524722</v>
      </c>
      <c r="BG26" s="1">
        <v>-0.12085975847002629</v>
      </c>
      <c r="BH26" s="1">
        <v>0.35757281604230989</v>
      </c>
      <c r="BI26" s="1">
        <v>-0.1811860225653599</v>
      </c>
      <c r="BJ26" s="1">
        <v>0.1692843816414806</v>
      </c>
      <c r="BK26" s="1">
        <v>0.1542218567374985</v>
      </c>
      <c r="BL26" s="1">
        <v>0.19690896784786871</v>
      </c>
      <c r="BM26" s="1">
        <v>0.37128516990718269</v>
      </c>
      <c r="BN26" s="1">
        <v>0.34362722854625682</v>
      </c>
      <c r="BO26" s="1">
        <v>-0.22401801056041379</v>
      </c>
      <c r="BP26" s="1">
        <v>0.21777922027564239</v>
      </c>
      <c r="BQ26" s="1">
        <v>0.11828987261207741</v>
      </c>
      <c r="BR26" s="1">
        <v>-0.20755395169093649</v>
      </c>
      <c r="BS26" s="1">
        <v>7.7458059039004101E-2</v>
      </c>
      <c r="BT26" s="1">
        <v>-1.193802432173389E-2</v>
      </c>
      <c r="BU26" s="1">
        <v>0.45498428288053611</v>
      </c>
      <c r="BV26" s="1">
        <v>-2.786403437453731E-2</v>
      </c>
      <c r="BW26" s="1">
        <v>-0.20142979109042561</v>
      </c>
      <c r="BX26" s="1">
        <v>-5.9047936802217947E-2</v>
      </c>
      <c r="BY26" s="1">
        <v>0.1614650964965581</v>
      </c>
      <c r="BZ26" s="1">
        <v>-0.1605910032465846</v>
      </c>
      <c r="CA26" s="1">
        <v>-0.22127264337839811</v>
      </c>
      <c r="CB26" s="1">
        <v>-3.9571189652009862E-2</v>
      </c>
      <c r="CC26" s="1">
        <v>0.23239978420333701</v>
      </c>
      <c r="CD26" s="1">
        <v>9.8126601857457307E-2</v>
      </c>
      <c r="CE26" s="1">
        <v>7.1905693565461809E-2</v>
      </c>
      <c r="CF26" s="1">
        <v>-0.10893220622702041</v>
      </c>
      <c r="CG26" s="1">
        <v>0.36465886050348251</v>
      </c>
      <c r="CH26" s="1">
        <v>0.25265698459265401</v>
      </c>
      <c r="CI26" s="1">
        <v>0.12033187986382229</v>
      </c>
      <c r="CJ26" s="1">
        <v>-3.6949281732761963E-2</v>
      </c>
      <c r="CK26" s="1">
        <v>0.13933637598562629</v>
      </c>
      <c r="CL26" s="1">
        <v>-0.49854577432592212</v>
      </c>
      <c r="CM26" s="1">
        <v>-9.297601621493555E-2</v>
      </c>
      <c r="CN26" s="1">
        <v>-5.8458200486594052E-2</v>
      </c>
      <c r="CO26" s="1">
        <v>0.25125124905832752</v>
      </c>
      <c r="CP26" s="1">
        <v>0.22531983073680531</v>
      </c>
      <c r="CQ26" s="1">
        <v>-0.15526088524426351</v>
      </c>
      <c r="CR26" s="1">
        <v>1.7859827892234139E-2</v>
      </c>
      <c r="CS26" s="1">
        <v>0.1007940185434434</v>
      </c>
      <c r="CT26" s="1">
        <v>-0.25244548711892723</v>
      </c>
      <c r="CU26" s="1">
        <v>-0.2215788124625972</v>
      </c>
      <c r="CV26" s="1">
        <v>-0.1116514909055808</v>
      </c>
      <c r="CW26" s="1">
        <v>-8.5981192495512143E-2</v>
      </c>
      <c r="CX26" s="1">
        <v>3.6845313155357259E-2</v>
      </c>
      <c r="CY26" s="1">
        <v>-6.4456226770574054E-2</v>
      </c>
      <c r="CZ26" s="1">
        <v>0.35718348415443718</v>
      </c>
      <c r="DA26" s="1">
        <v>-7.3199180102587372E-2</v>
      </c>
      <c r="DB26" s="1">
        <v>-0.24975809602656601</v>
      </c>
      <c r="DC26" s="1">
        <v>-0.34048223140890121</v>
      </c>
      <c r="DD26" s="1">
        <v>0.14217002802251441</v>
      </c>
      <c r="DE26" s="1">
        <v>-0.13396346049751401</v>
      </c>
      <c r="DF26" s="1">
        <v>3.9018253735022608E-2</v>
      </c>
      <c r="DG26" s="1">
        <v>-8.1195888658528392E-2</v>
      </c>
      <c r="DH26" s="1">
        <v>-4.0775633201083163E-2</v>
      </c>
      <c r="DI26" s="1">
        <v>0.37614904154618278</v>
      </c>
      <c r="DJ26" s="1">
        <v>0.14423645954077699</v>
      </c>
      <c r="DK26" s="1">
        <v>-8.0864890748402599E-2</v>
      </c>
      <c r="DL26" s="1">
        <v>0.13067998802599751</v>
      </c>
      <c r="DM26" s="1">
        <v>-9.608467319530456E-2</v>
      </c>
      <c r="DN26" s="1">
        <v>-0.1005277055656217</v>
      </c>
      <c r="DO26" s="1">
        <v>-1.2249451417979441E-2</v>
      </c>
      <c r="DP26" s="1">
        <v>-3.4800684454440428E-2</v>
      </c>
      <c r="DQ26" s="1">
        <v>8.4460701306151201E-2</v>
      </c>
      <c r="DR26" s="1">
        <v>0.1796628868333042</v>
      </c>
      <c r="DS26" s="1">
        <v>0.13076502140103341</v>
      </c>
      <c r="DT26" s="1">
        <v>-2.9185654415507709E-3</v>
      </c>
      <c r="DU26" s="1">
        <v>6.6506497441388243E-2</v>
      </c>
      <c r="DV26" s="1">
        <v>-6.9942611911583019E-2</v>
      </c>
      <c r="DW26" s="1">
        <v>-0.3052196931171085</v>
      </c>
      <c r="DX26" s="1">
        <v>-3.7063050611884973E-2</v>
      </c>
      <c r="DY26" s="1">
        <v>-0.1191146223740471</v>
      </c>
      <c r="DZ26" s="1">
        <v>-0.18891967892663239</v>
      </c>
      <c r="EA26" s="1">
        <v>7.1593653187008818E-2</v>
      </c>
      <c r="EB26" s="1">
        <v>4.0830075439231631E-5</v>
      </c>
      <c r="EC26" s="1">
        <v>0.19436128610440251</v>
      </c>
      <c r="ED26" s="1">
        <v>0.24781424969869659</v>
      </c>
      <c r="EE26" s="1">
        <v>1.7018538751575621E-2</v>
      </c>
      <c r="EF26" s="1">
        <v>1.7684005705405421E-2</v>
      </c>
    </row>
    <row r="27" spans="1:136" ht="16" customHeight="1">
      <c r="A27" s="6" t="s">
        <v>147</v>
      </c>
      <c r="B27" s="6" t="s">
        <v>148</v>
      </c>
      <c r="C27" s="20">
        <v>-1.7446770539390338E-2</v>
      </c>
      <c r="D27" s="20">
        <v>2.070106053181563E-2</v>
      </c>
      <c r="E27" s="20">
        <v>2.3982129254766709E-2</v>
      </c>
      <c r="F27" s="20">
        <v>-6.557578972823077E-3</v>
      </c>
      <c r="G27" s="20">
        <v>3.1845129800519692E-2</v>
      </c>
      <c r="H27" s="20">
        <v>3.4348532736990518E-2</v>
      </c>
      <c r="I27" s="20">
        <v>-8.2549327813252367E-3</v>
      </c>
      <c r="J27" s="20">
        <v>1.2843524394052759E-2</v>
      </c>
      <c r="K27" s="20">
        <v>-5.1018524626790823E-2</v>
      </c>
      <c r="L27" s="20">
        <v>8.7394274103658827E-4</v>
      </c>
      <c r="M27" s="20">
        <v>2.3389575505495919E-2</v>
      </c>
      <c r="N27" s="20">
        <v>1.2988972200332851E-2</v>
      </c>
      <c r="O27" s="20">
        <v>5.8545887256348812E-3</v>
      </c>
      <c r="P27" s="20">
        <v>2.7413206571790558E-2</v>
      </c>
      <c r="Q27" s="20">
        <v>-3.7129361176928542E-3</v>
      </c>
      <c r="R27" s="20">
        <v>2.4076614047823328E-2</v>
      </c>
      <c r="S27" s="20">
        <v>-1.219002529903996E-2</v>
      </c>
      <c r="T27" s="20">
        <v>-3.9749578159589592E-2</v>
      </c>
      <c r="U27" s="20">
        <v>-7.3155449831649552E-2</v>
      </c>
      <c r="V27" s="20">
        <v>-5.8260229910114661E-2</v>
      </c>
      <c r="W27" s="20">
        <v>7.7279756550837221E-4</v>
      </c>
      <c r="X27" s="20">
        <v>4.459152113521897E-2</v>
      </c>
      <c r="Y27" s="20">
        <v>-2.7699680050213091E-2</v>
      </c>
      <c r="Z27" s="20">
        <v>2.0950059497436462E-3</v>
      </c>
      <c r="AA27" s="20">
        <v>-2.340055099256411E-2</v>
      </c>
      <c r="AB27" s="20">
        <v>3.2129371097322189E-2</v>
      </c>
      <c r="AC27" s="20">
        <v>3.890327309406643E-2</v>
      </c>
      <c r="AD27" s="20">
        <v>-4.286538217110427E-2</v>
      </c>
      <c r="AE27" s="20">
        <v>1.8647194550152159E-2</v>
      </c>
      <c r="AF27" s="20">
        <v>1.5229768322528949E-2</v>
      </c>
      <c r="AG27" s="20">
        <v>3.6016603778892417E-2</v>
      </c>
      <c r="AH27" s="20">
        <v>9.3546113853161701E-3</v>
      </c>
      <c r="AI27" s="20">
        <v>1.0748251336838139E-2</v>
      </c>
      <c r="AJ27" s="20">
        <v>1.335775405308097E-2</v>
      </c>
      <c r="AK27" s="20">
        <v>-5.3327473290953921E-3</v>
      </c>
      <c r="AL27" s="20">
        <v>1.383135807261675E-3</v>
      </c>
      <c r="AM27" s="20">
        <v>2.079592842007446E-2</v>
      </c>
      <c r="AN27" s="20">
        <v>3.1517702220390638E-2</v>
      </c>
      <c r="AO27" s="20">
        <v>6.2417165333294418E-3</v>
      </c>
      <c r="AP27" s="20">
        <v>6.1452616535713897E-3</v>
      </c>
      <c r="AQ27" s="20">
        <v>1.694635767669651E-2</v>
      </c>
      <c r="AR27" s="20">
        <v>3.4682830454308228E-2</v>
      </c>
      <c r="AS27" s="20">
        <v>3.0985886171969678E-3</v>
      </c>
      <c r="AT27" s="20">
        <v>1.508134714348611E-2</v>
      </c>
      <c r="AU27" s="20">
        <v>-1.9251209229863991E-2</v>
      </c>
      <c r="AV27" s="20">
        <v>3.8711513387631437E-2</v>
      </c>
      <c r="AW27" s="20">
        <v>-2.1856951135736599E-2</v>
      </c>
      <c r="AX27" s="20">
        <v>7.7743007097896798E-3</v>
      </c>
      <c r="AY27" s="20">
        <v>4.2397246695325942E-2</v>
      </c>
      <c r="AZ27" s="20">
        <v>-2.630897486115975E-2</v>
      </c>
      <c r="BA27" s="20">
        <v>9.5717493087162323E-3</v>
      </c>
      <c r="BB27" s="20">
        <v>-2.424974126627483E-2</v>
      </c>
      <c r="BC27" s="20">
        <v>2.0163374143915822E-2</v>
      </c>
      <c r="BD27" s="20">
        <v>-3.5049987821160239E-3</v>
      </c>
      <c r="BE27" s="20">
        <v>2.0151935098542271E-2</v>
      </c>
      <c r="BF27" s="20">
        <v>5.8133623077027128E-4</v>
      </c>
      <c r="BG27" s="20">
        <v>-5.2197009532526043E-3</v>
      </c>
      <c r="BH27" s="20">
        <v>-0.11587176140213</v>
      </c>
      <c r="BI27" s="20">
        <v>8.7252256924373536E-3</v>
      </c>
      <c r="BJ27" s="20">
        <v>-1.6377260977822151E-2</v>
      </c>
      <c r="BK27" s="20">
        <v>2.0840371600260421E-2</v>
      </c>
      <c r="BL27" s="20">
        <v>4.4975872102114713E-2</v>
      </c>
      <c r="BM27" s="20">
        <v>2.3954306081863871E-2</v>
      </c>
      <c r="BN27" s="20">
        <v>3.0239101391442601E-2</v>
      </c>
      <c r="BO27" s="20">
        <v>-4.372588759108751E-2</v>
      </c>
      <c r="BP27" s="20">
        <v>2.1889469568198618E-2</v>
      </c>
      <c r="BQ27" s="20">
        <v>8.6274302635084028E-3</v>
      </c>
      <c r="BR27" s="20">
        <v>-1.9192953994658781E-2</v>
      </c>
      <c r="BS27" s="20">
        <v>1.973512988813305E-2</v>
      </c>
      <c r="BT27" s="20">
        <v>4.7694337483699438E-2</v>
      </c>
      <c r="BU27" s="20">
        <v>1.145481680658339E-2</v>
      </c>
      <c r="BV27" s="20">
        <v>4.3228620735213191E-2</v>
      </c>
      <c r="BW27" s="20">
        <v>-4.2747430436922793E-2</v>
      </c>
      <c r="BX27" s="20">
        <v>-1.781129242779457E-2</v>
      </c>
      <c r="BY27" s="20">
        <v>-0.1511530968690756</v>
      </c>
      <c r="BZ27" s="20">
        <v>0.12422400361957529</v>
      </c>
      <c r="CA27" s="20">
        <v>-4.5572538445296431E-3</v>
      </c>
      <c r="CB27" s="20">
        <v>6.0211240204911178E-2</v>
      </c>
      <c r="CC27" s="20">
        <v>8.5992033482502284E-2</v>
      </c>
      <c r="CD27" s="20">
        <v>-5.8084795823660634E-3</v>
      </c>
      <c r="CE27" s="20">
        <v>-6.0413469889680736E-3</v>
      </c>
      <c r="CF27" s="20">
        <v>2.4523243722520739E-3</v>
      </c>
      <c r="CG27" s="20">
        <v>8.963625193702289E-2</v>
      </c>
      <c r="CH27" s="20">
        <v>7.099273252675789E-2</v>
      </c>
      <c r="CI27" s="20">
        <v>2.7170642901783448E-2</v>
      </c>
      <c r="CJ27" s="20">
        <v>5.2468428425330033E-2</v>
      </c>
      <c r="CK27" s="20">
        <v>2.9480660943049509E-2</v>
      </c>
      <c r="CL27" s="20">
        <v>6.6825081060201283E-2</v>
      </c>
      <c r="CM27" s="20">
        <v>-2.8772229019816971E-2</v>
      </c>
      <c r="CN27" s="20">
        <v>3.9462515901637851E-2</v>
      </c>
      <c r="CO27" s="20">
        <v>-2.9031086977359909E-2</v>
      </c>
      <c r="CP27" s="20">
        <v>1.3983882519467901E-2</v>
      </c>
      <c r="CQ27" s="20">
        <v>-3.2276964959333833E-2</v>
      </c>
      <c r="CR27" s="20">
        <v>3.1035766128940231E-3</v>
      </c>
      <c r="CS27" s="20">
        <v>2.5591855767083171E-2</v>
      </c>
      <c r="CT27" s="20">
        <v>4.4391886287193302E-2</v>
      </c>
      <c r="CU27" s="20">
        <v>-3.0338958549577438E-2</v>
      </c>
      <c r="CV27" s="20">
        <v>-1.2579764545717069E-3</v>
      </c>
      <c r="CW27" s="20">
        <v>2.336356455857952E-3</v>
      </c>
      <c r="CX27" s="20">
        <v>-6.4264144925906069E-2</v>
      </c>
      <c r="CY27" s="20">
        <v>1.2909779458992439E-2</v>
      </c>
      <c r="CZ27" s="20">
        <v>-0.12547709467085871</v>
      </c>
      <c r="DA27" s="20">
        <v>1.1690682939792569E-2</v>
      </c>
      <c r="DB27" s="20">
        <v>6.3378437007417512E-3</v>
      </c>
      <c r="DC27" s="20">
        <v>-0.1173053564693855</v>
      </c>
      <c r="DD27" s="20">
        <v>-3.6010872049446613E-2</v>
      </c>
      <c r="DE27" s="20">
        <v>0.1389113040722679</v>
      </c>
      <c r="DF27" s="20">
        <v>-5.1143506226105737E-2</v>
      </c>
      <c r="DG27" s="20">
        <v>7.6731447181969059E-2</v>
      </c>
      <c r="DH27" s="20">
        <v>1.550878219700816E-2</v>
      </c>
      <c r="DI27" s="20">
        <v>2.3223773674755831E-2</v>
      </c>
      <c r="DJ27" s="20">
        <v>-1.8372876361227891E-2</v>
      </c>
      <c r="DK27" s="20">
        <v>6.2199014085099431E-2</v>
      </c>
      <c r="DL27" s="20">
        <v>2.0098304486957191E-2</v>
      </c>
      <c r="DM27" s="20">
        <v>1.349893974806809E-2</v>
      </c>
      <c r="DN27" s="20">
        <v>-3.025221272842088E-2</v>
      </c>
      <c r="DO27" s="20">
        <v>-1.7022835708053841E-2</v>
      </c>
      <c r="DP27" s="20">
        <v>-2.1788523272461981E-2</v>
      </c>
      <c r="DQ27" s="20">
        <v>8.5745624585137223E-2</v>
      </c>
      <c r="DR27" s="20">
        <v>2.8106743604973752E-2</v>
      </c>
      <c r="DS27" s="20">
        <v>-2.3031598073594501E-3</v>
      </c>
      <c r="DT27" s="20">
        <v>5.8471198131487503E-2</v>
      </c>
      <c r="DU27" s="20">
        <v>6.7658949048647651E-2</v>
      </c>
      <c r="DV27" s="20">
        <v>5.0207706404322644E-3</v>
      </c>
      <c r="DW27" s="20">
        <v>3.7416183675207063E-2</v>
      </c>
      <c r="DX27" s="20">
        <v>8.4111003746042121E-2</v>
      </c>
      <c r="DY27" s="20">
        <v>-3.6832398544012837E-2</v>
      </c>
      <c r="DZ27" s="20">
        <v>3.0917028169369942E-3</v>
      </c>
      <c r="EA27" s="20">
        <v>-1.957628214294549E-3</v>
      </c>
      <c r="EB27" s="20">
        <v>2.6459103603519739E-2</v>
      </c>
      <c r="EC27" s="20">
        <v>-2.4752538760690269E-2</v>
      </c>
      <c r="ED27" s="20">
        <v>3.4115490982559941E-2</v>
      </c>
      <c r="EE27" s="20">
        <v>2.1061973989032982E-2</v>
      </c>
      <c r="EF27" s="20">
        <v>-2.0277392706005919E-2</v>
      </c>
    </row>
    <row r="28" spans="1:136">
      <c r="A28" s="3"/>
      <c r="B28" s="3"/>
      <c r="K28" s="3"/>
    </row>
    <row r="29" spans="1:136">
      <c r="C29" s="38">
        <v>1101</v>
      </c>
      <c r="D29" s="38">
        <v>2484</v>
      </c>
      <c r="E29" s="38">
        <v>1233</v>
      </c>
      <c r="F29" s="38">
        <v>2524</v>
      </c>
      <c r="G29" s="38">
        <v>2611</v>
      </c>
      <c r="H29" s="38">
        <v>1233</v>
      </c>
      <c r="I29" s="38">
        <v>2379</v>
      </c>
      <c r="J29" s="38">
        <v>2379</v>
      </c>
      <c r="K29" s="38">
        <v>2524</v>
      </c>
      <c r="L29" s="38">
        <v>1233</v>
      </c>
      <c r="M29" s="38">
        <v>2524</v>
      </c>
      <c r="N29" s="38">
        <v>1805</v>
      </c>
      <c r="O29" s="38">
        <v>2538</v>
      </c>
      <c r="P29" s="38">
        <v>3033</v>
      </c>
      <c r="Q29" s="38">
        <v>2385</v>
      </c>
      <c r="R29" s="38">
        <v>3024</v>
      </c>
      <c r="S29" s="38">
        <v>3024</v>
      </c>
      <c r="T29" s="38">
        <v>1314</v>
      </c>
      <c r="U29" s="38">
        <v>3024</v>
      </c>
      <c r="V29" s="38">
        <v>3024</v>
      </c>
      <c r="W29" s="38">
        <v>5521</v>
      </c>
      <c r="X29" s="38">
        <v>2535</v>
      </c>
      <c r="Y29" s="38">
        <v>3033</v>
      </c>
      <c r="Z29" s="38">
        <v>5201</v>
      </c>
      <c r="AA29" s="38">
        <v>2535</v>
      </c>
      <c r="AB29" s="38">
        <v>5201</v>
      </c>
      <c r="AC29" s="38">
        <v>5471</v>
      </c>
      <c r="AD29" s="38">
        <v>5521</v>
      </c>
      <c r="AE29" s="38">
        <v>2023</v>
      </c>
      <c r="AF29" s="38">
        <v>2023</v>
      </c>
      <c r="AG29" s="38">
        <v>3017</v>
      </c>
      <c r="AH29" s="38">
        <v>3033</v>
      </c>
      <c r="AI29" s="38">
        <v>1464</v>
      </c>
      <c r="AJ29" s="38">
        <v>2451</v>
      </c>
      <c r="AK29" s="38">
        <v>2451</v>
      </c>
      <c r="AL29" s="38">
        <v>4413</v>
      </c>
      <c r="AM29" s="38">
        <v>2451</v>
      </c>
      <c r="AN29" s="38">
        <v>2451</v>
      </c>
      <c r="AO29" s="38">
        <v>6121</v>
      </c>
      <c r="AP29" s="38">
        <v>2451</v>
      </c>
      <c r="AQ29" s="38">
        <v>1805</v>
      </c>
      <c r="AR29" s="38">
        <v>4416</v>
      </c>
      <c r="AS29" s="38">
        <v>5523</v>
      </c>
      <c r="AT29" s="38">
        <v>2524</v>
      </c>
      <c r="AU29" s="38">
        <v>1436</v>
      </c>
      <c r="AV29" s="38">
        <v>2338</v>
      </c>
      <c r="AW29" s="38">
        <v>5212</v>
      </c>
      <c r="AX29" s="38">
        <v>2338</v>
      </c>
      <c r="AY29" s="38">
        <v>6186</v>
      </c>
      <c r="AZ29" s="38">
        <v>5523</v>
      </c>
      <c r="BA29" s="38">
        <v>5523</v>
      </c>
      <c r="BB29" s="38">
        <v>5443</v>
      </c>
      <c r="BC29" s="38">
        <v>3051</v>
      </c>
      <c r="BD29" s="38">
        <v>5523</v>
      </c>
      <c r="BE29" s="38">
        <v>3051</v>
      </c>
      <c r="BF29" s="38">
        <v>3051</v>
      </c>
      <c r="BG29" s="38">
        <v>3051</v>
      </c>
      <c r="BH29" s="38">
        <v>6186</v>
      </c>
      <c r="BI29" s="38">
        <v>6186</v>
      </c>
      <c r="BJ29" s="38">
        <v>2537</v>
      </c>
      <c r="BK29" s="38">
        <v>2537</v>
      </c>
      <c r="BL29" s="38">
        <v>2488</v>
      </c>
      <c r="BM29" s="38">
        <v>6192</v>
      </c>
      <c r="BN29" s="38">
        <v>8927</v>
      </c>
      <c r="BO29" s="38">
        <v>2537</v>
      </c>
      <c r="BP29" s="38">
        <v>4416</v>
      </c>
      <c r="BQ29" s="38">
        <v>2537</v>
      </c>
      <c r="BR29" s="38">
        <v>6128</v>
      </c>
      <c r="BS29" s="38">
        <v>3002</v>
      </c>
      <c r="BT29" s="38">
        <v>5007</v>
      </c>
      <c r="BU29" s="38">
        <v>4109</v>
      </c>
      <c r="BV29" s="38">
        <v>6128</v>
      </c>
      <c r="BW29" s="38">
        <v>8085</v>
      </c>
      <c r="BX29" s="38">
        <v>8927</v>
      </c>
      <c r="BY29" s="38">
        <v>1737</v>
      </c>
      <c r="BZ29" s="38">
        <v>6242</v>
      </c>
      <c r="CA29" s="38">
        <v>6242</v>
      </c>
      <c r="CB29" s="38">
        <v>8927</v>
      </c>
      <c r="CC29" s="38">
        <v>8927</v>
      </c>
      <c r="CD29" s="38">
        <v>6242</v>
      </c>
      <c r="CE29" s="38">
        <v>8927</v>
      </c>
      <c r="CF29" s="38">
        <v>6242</v>
      </c>
      <c r="CG29" s="38">
        <v>8050</v>
      </c>
      <c r="CH29" s="38">
        <v>6242</v>
      </c>
      <c r="CI29" s="38">
        <v>6242</v>
      </c>
      <c r="CJ29" s="38">
        <v>8050</v>
      </c>
      <c r="CK29" s="38">
        <v>8050</v>
      </c>
      <c r="CL29" s="38">
        <v>6242</v>
      </c>
      <c r="CM29" s="38">
        <v>4402</v>
      </c>
      <c r="CN29" s="38">
        <v>3016</v>
      </c>
      <c r="CO29" s="38">
        <v>1436</v>
      </c>
      <c r="CP29" s="38">
        <v>6242</v>
      </c>
      <c r="CQ29" s="38">
        <v>3016</v>
      </c>
      <c r="CR29" s="38">
        <v>6242</v>
      </c>
      <c r="CS29" s="38">
        <v>3005</v>
      </c>
      <c r="CT29" s="38">
        <v>2493</v>
      </c>
      <c r="CU29" s="38">
        <v>2423</v>
      </c>
      <c r="CV29" s="38">
        <v>1734</v>
      </c>
      <c r="CW29" s="38">
        <v>5306</v>
      </c>
      <c r="CX29" s="38">
        <v>4402</v>
      </c>
      <c r="CY29" s="38">
        <v>9904</v>
      </c>
      <c r="CZ29" s="38">
        <v>8072</v>
      </c>
      <c r="DA29" s="38">
        <v>5007</v>
      </c>
      <c r="DB29" s="38">
        <v>9904</v>
      </c>
      <c r="DC29" s="38">
        <v>8072</v>
      </c>
      <c r="DD29" s="38">
        <v>6021</v>
      </c>
      <c r="DE29" s="38">
        <v>3232</v>
      </c>
      <c r="DF29" s="38">
        <v>2538</v>
      </c>
      <c r="DG29" s="38">
        <v>2538</v>
      </c>
      <c r="DH29" s="38">
        <v>5306</v>
      </c>
      <c r="DI29" s="38">
        <v>2538</v>
      </c>
      <c r="DJ29" s="38">
        <v>2434</v>
      </c>
      <c r="DK29" s="38">
        <v>2538</v>
      </c>
      <c r="DL29" s="38">
        <v>6020</v>
      </c>
      <c r="DM29" s="38">
        <v>2538</v>
      </c>
      <c r="DN29" s="38">
        <v>4402</v>
      </c>
      <c r="DO29" s="38">
        <v>2538</v>
      </c>
      <c r="DP29" s="38">
        <v>5425</v>
      </c>
      <c r="DQ29" s="38">
        <v>5425</v>
      </c>
      <c r="DR29" s="38">
        <v>4402</v>
      </c>
      <c r="DS29" s="38">
        <v>6291</v>
      </c>
      <c r="DT29" s="38">
        <v>2031</v>
      </c>
      <c r="DU29" s="38">
        <v>6291</v>
      </c>
      <c r="DV29" s="38">
        <v>3232</v>
      </c>
      <c r="DW29" s="38">
        <v>2538</v>
      </c>
      <c r="DX29" s="38">
        <v>6291</v>
      </c>
      <c r="DY29" s="38">
        <v>2538</v>
      </c>
      <c r="DZ29" s="38">
        <v>2538</v>
      </c>
      <c r="EA29" s="38">
        <v>8074</v>
      </c>
      <c r="EB29" s="38">
        <v>8074</v>
      </c>
      <c r="EC29" s="38">
        <v>3232</v>
      </c>
      <c r="ED29" s="38">
        <v>4402</v>
      </c>
      <c r="EE29" s="38">
        <v>2538</v>
      </c>
      <c r="EF29" s="38">
        <v>2538</v>
      </c>
    </row>
    <row r="30" spans="1:136">
      <c r="C30" s="38" t="s">
        <v>149</v>
      </c>
      <c r="D30" s="38" t="s">
        <v>150</v>
      </c>
      <c r="E30" s="38" t="s">
        <v>151</v>
      </c>
      <c r="F30" s="38" t="s">
        <v>152</v>
      </c>
      <c r="G30" s="38" t="s">
        <v>153</v>
      </c>
      <c r="H30" s="38" t="s">
        <v>151</v>
      </c>
      <c r="I30" s="38" t="s">
        <v>154</v>
      </c>
      <c r="J30" s="38" t="s">
        <v>154</v>
      </c>
      <c r="K30" s="38" t="s">
        <v>152</v>
      </c>
      <c r="L30" s="38" t="s">
        <v>151</v>
      </c>
      <c r="M30" s="38" t="s">
        <v>152</v>
      </c>
      <c r="N30" s="38" t="s">
        <v>155</v>
      </c>
      <c r="O30" s="38" t="s">
        <v>156</v>
      </c>
      <c r="P30" s="38" t="s">
        <v>157</v>
      </c>
      <c r="Q30" s="38" t="s">
        <v>158</v>
      </c>
      <c r="R30" s="38" t="s">
        <v>159</v>
      </c>
      <c r="S30" s="38" t="s">
        <v>159</v>
      </c>
      <c r="T30" s="38" t="s">
        <v>160</v>
      </c>
      <c r="U30" s="38" t="s">
        <v>159</v>
      </c>
      <c r="V30" s="38" t="s">
        <v>159</v>
      </c>
      <c r="W30" s="38" t="s">
        <v>161</v>
      </c>
      <c r="X30" s="38" t="s">
        <v>162</v>
      </c>
      <c r="Y30" s="38" t="s">
        <v>157</v>
      </c>
      <c r="Z30" s="38" t="s">
        <v>163</v>
      </c>
      <c r="AA30" s="38" t="s">
        <v>162</v>
      </c>
      <c r="AB30" s="38" t="s">
        <v>163</v>
      </c>
      <c r="AC30" s="38" t="s">
        <v>164</v>
      </c>
      <c r="AD30" s="38" t="s">
        <v>161</v>
      </c>
      <c r="AE30" s="38" t="s">
        <v>165</v>
      </c>
      <c r="AF30" s="38" t="s">
        <v>165</v>
      </c>
      <c r="AG30" s="38" t="s">
        <v>166</v>
      </c>
      <c r="AH30" s="38" t="s">
        <v>157</v>
      </c>
      <c r="AI30" s="38" t="s">
        <v>167</v>
      </c>
      <c r="AJ30" s="38" t="s">
        <v>168</v>
      </c>
      <c r="AK30" s="38" t="s">
        <v>168</v>
      </c>
      <c r="AL30" s="38" t="s">
        <v>169</v>
      </c>
      <c r="AM30" s="38" t="s">
        <v>168</v>
      </c>
      <c r="AN30" s="38" t="s">
        <v>168</v>
      </c>
      <c r="AO30" s="38" t="s">
        <v>170</v>
      </c>
      <c r="AP30" s="38" t="s">
        <v>168</v>
      </c>
      <c r="AQ30" s="38" t="s">
        <v>155</v>
      </c>
      <c r="AR30" s="38" t="s">
        <v>171</v>
      </c>
      <c r="AS30" s="38" t="s">
        <v>172</v>
      </c>
      <c r="AT30" s="38" t="s">
        <v>152</v>
      </c>
      <c r="AU30" s="38" t="s">
        <v>173</v>
      </c>
      <c r="AV30" s="38" t="s">
        <v>174</v>
      </c>
      <c r="AW30" s="38" t="s">
        <v>175</v>
      </c>
      <c r="AX30" s="38" t="s">
        <v>174</v>
      </c>
      <c r="AY30" s="38" t="s">
        <v>176</v>
      </c>
      <c r="AZ30" s="38" t="s">
        <v>172</v>
      </c>
      <c r="BA30" s="38" t="s">
        <v>172</v>
      </c>
      <c r="BB30" s="38" t="s">
        <v>177</v>
      </c>
      <c r="BC30" s="38" t="s">
        <v>178</v>
      </c>
      <c r="BD30" s="38" t="s">
        <v>172</v>
      </c>
      <c r="BE30" s="38" t="s">
        <v>178</v>
      </c>
      <c r="BF30" s="38" t="s">
        <v>178</v>
      </c>
      <c r="BG30" s="38" t="s">
        <v>178</v>
      </c>
      <c r="BH30" s="38" t="s">
        <v>176</v>
      </c>
      <c r="BI30" s="38" t="s">
        <v>176</v>
      </c>
      <c r="BJ30" s="38" t="s">
        <v>179</v>
      </c>
      <c r="BK30" s="38" t="s">
        <v>179</v>
      </c>
      <c r="BL30" s="38" t="s">
        <v>180</v>
      </c>
      <c r="BM30" s="38" t="s">
        <v>181</v>
      </c>
      <c r="BN30" s="38" t="s">
        <v>182</v>
      </c>
      <c r="BO30" s="38" t="s">
        <v>179</v>
      </c>
      <c r="BP30" s="38" t="s">
        <v>171</v>
      </c>
      <c r="BQ30" s="38" t="s">
        <v>179</v>
      </c>
      <c r="BR30" s="38" t="s">
        <v>183</v>
      </c>
      <c r="BS30" s="38" t="s">
        <v>184</v>
      </c>
      <c r="BT30" s="38" t="s">
        <v>185</v>
      </c>
      <c r="BU30" s="38" t="s">
        <v>186</v>
      </c>
      <c r="BV30" s="38" t="s">
        <v>183</v>
      </c>
      <c r="BW30" s="38" t="s">
        <v>187</v>
      </c>
      <c r="BX30" s="38" t="s">
        <v>182</v>
      </c>
      <c r="BY30" s="38" t="s">
        <v>188</v>
      </c>
      <c r="BZ30" s="38" t="s">
        <v>189</v>
      </c>
      <c r="CA30" s="38" t="s">
        <v>189</v>
      </c>
      <c r="CB30" s="38" t="s">
        <v>182</v>
      </c>
      <c r="CC30" s="38" t="s">
        <v>182</v>
      </c>
      <c r="CD30" s="38" t="s">
        <v>189</v>
      </c>
      <c r="CE30" s="38" t="s">
        <v>182</v>
      </c>
      <c r="CF30" s="38" t="s">
        <v>189</v>
      </c>
      <c r="CG30" s="38" t="s">
        <v>190</v>
      </c>
      <c r="CH30" s="38" t="s">
        <v>189</v>
      </c>
      <c r="CI30" s="38" t="s">
        <v>189</v>
      </c>
      <c r="CJ30" s="38" t="s">
        <v>190</v>
      </c>
      <c r="CK30" s="38" t="s">
        <v>190</v>
      </c>
      <c r="CL30" s="38" t="s">
        <v>189</v>
      </c>
      <c r="CM30" s="38" t="s">
        <v>191</v>
      </c>
      <c r="CN30" s="38" t="s">
        <v>192</v>
      </c>
      <c r="CO30" s="38" t="s">
        <v>173</v>
      </c>
      <c r="CP30" s="38" t="s">
        <v>189</v>
      </c>
      <c r="CQ30" s="38" t="s">
        <v>192</v>
      </c>
      <c r="CR30" s="38" t="s">
        <v>189</v>
      </c>
      <c r="CS30" s="38" t="s">
        <v>193</v>
      </c>
      <c r="CT30" s="38" t="s">
        <v>194</v>
      </c>
      <c r="CU30" s="38" t="s">
        <v>195</v>
      </c>
      <c r="CV30" s="38" t="s">
        <v>196</v>
      </c>
      <c r="CW30" s="38" t="s">
        <v>197</v>
      </c>
      <c r="CX30" s="38" t="s">
        <v>191</v>
      </c>
      <c r="CY30" s="38" t="s">
        <v>198</v>
      </c>
      <c r="CZ30" s="38" t="s">
        <v>199</v>
      </c>
      <c r="DA30" s="38" t="s">
        <v>185</v>
      </c>
      <c r="DB30" s="38" t="s">
        <v>198</v>
      </c>
      <c r="DC30" s="38" t="s">
        <v>199</v>
      </c>
      <c r="DD30" s="38" t="s">
        <v>200</v>
      </c>
      <c r="DE30" s="38" t="s">
        <v>201</v>
      </c>
      <c r="DF30" s="38" t="s">
        <v>156</v>
      </c>
      <c r="DG30" s="38" t="s">
        <v>156</v>
      </c>
      <c r="DH30" s="38" t="s">
        <v>197</v>
      </c>
      <c r="DI30" s="38" t="s">
        <v>156</v>
      </c>
      <c r="DJ30" s="38" t="s">
        <v>202</v>
      </c>
      <c r="DK30" s="38" t="s">
        <v>156</v>
      </c>
      <c r="DL30" s="38" t="s">
        <v>203</v>
      </c>
      <c r="DM30" s="38" t="s">
        <v>156</v>
      </c>
      <c r="DN30" s="38" t="s">
        <v>191</v>
      </c>
      <c r="DO30" s="38" t="s">
        <v>156</v>
      </c>
      <c r="DP30" s="38" t="s">
        <v>204</v>
      </c>
      <c r="DQ30" s="38" t="s">
        <v>204</v>
      </c>
      <c r="DR30" s="38" t="s">
        <v>191</v>
      </c>
      <c r="DS30" s="38" t="s">
        <v>205</v>
      </c>
      <c r="DT30" s="38" t="s">
        <v>206</v>
      </c>
      <c r="DU30" s="38" t="s">
        <v>205</v>
      </c>
      <c r="DV30" s="38" t="s">
        <v>201</v>
      </c>
      <c r="DW30" s="38" t="s">
        <v>156</v>
      </c>
      <c r="DX30" s="38" t="s">
        <v>205</v>
      </c>
      <c r="DY30" s="38" t="s">
        <v>156</v>
      </c>
      <c r="DZ30" s="38" t="s">
        <v>156</v>
      </c>
      <c r="EA30" s="38" t="s">
        <v>207</v>
      </c>
      <c r="EB30" s="38" t="s">
        <v>207</v>
      </c>
      <c r="EC30" s="38" t="s">
        <v>201</v>
      </c>
      <c r="ED30" s="38" t="s">
        <v>191</v>
      </c>
      <c r="EE30" s="38" t="s">
        <v>156</v>
      </c>
      <c r="EF30" s="38" t="s">
        <v>156</v>
      </c>
    </row>
    <row r="31" spans="1:136">
      <c r="C31" s="38">
        <v>9951</v>
      </c>
      <c r="D31" s="38">
        <v>3219</v>
      </c>
      <c r="E31" s="38">
        <v>2328</v>
      </c>
      <c r="F31" s="38">
        <v>2489</v>
      </c>
      <c r="G31" s="38">
        <v>2489</v>
      </c>
      <c r="H31" s="38">
        <v>2328</v>
      </c>
      <c r="I31" s="38">
        <v>1805</v>
      </c>
      <c r="J31" s="38">
        <v>1440</v>
      </c>
      <c r="K31" s="38">
        <v>2489</v>
      </c>
      <c r="L31" s="38">
        <v>2328</v>
      </c>
      <c r="M31" s="38">
        <v>2436</v>
      </c>
      <c r="N31" s="38">
        <v>2328</v>
      </c>
      <c r="O31" s="38">
        <v>2436</v>
      </c>
      <c r="P31" s="38">
        <v>2524</v>
      </c>
      <c r="Q31" s="38">
        <v>2524</v>
      </c>
      <c r="R31" s="38">
        <v>2524</v>
      </c>
      <c r="S31" s="38">
        <v>2524</v>
      </c>
      <c r="T31" s="38">
        <v>1451</v>
      </c>
      <c r="U31" s="38">
        <v>2524</v>
      </c>
      <c r="V31" s="38">
        <v>2524</v>
      </c>
      <c r="W31" s="38">
        <v>2328</v>
      </c>
      <c r="X31" s="38">
        <v>5007</v>
      </c>
      <c r="Y31" s="38">
        <v>2524</v>
      </c>
      <c r="Z31" s="38">
        <v>2524</v>
      </c>
      <c r="AA31" s="38">
        <v>5007</v>
      </c>
      <c r="AB31" s="38">
        <v>2524</v>
      </c>
      <c r="AC31" s="38">
        <v>5432</v>
      </c>
      <c r="AD31" s="38">
        <v>2328</v>
      </c>
      <c r="AE31" s="38">
        <v>5443</v>
      </c>
      <c r="AF31" s="38">
        <v>4528</v>
      </c>
      <c r="AG31" s="38">
        <v>2524</v>
      </c>
      <c r="AH31" s="38">
        <v>2527</v>
      </c>
      <c r="AI31" s="38">
        <v>2328</v>
      </c>
      <c r="AJ31" s="38">
        <v>2002</v>
      </c>
      <c r="AK31" s="38">
        <v>2538</v>
      </c>
      <c r="AL31" s="38">
        <v>2328</v>
      </c>
      <c r="AM31" s="38">
        <v>2538</v>
      </c>
      <c r="AN31" s="38">
        <v>2022</v>
      </c>
      <c r="AO31" s="38">
        <v>2023</v>
      </c>
      <c r="AP31" s="38">
        <v>2023</v>
      </c>
      <c r="AQ31" s="38">
        <v>2328</v>
      </c>
      <c r="AR31" s="38">
        <v>2328</v>
      </c>
      <c r="AS31" s="38">
        <v>2022</v>
      </c>
      <c r="AT31" s="38">
        <v>9904</v>
      </c>
      <c r="AU31" s="38">
        <v>2328</v>
      </c>
      <c r="AV31" s="38">
        <v>2607</v>
      </c>
      <c r="AW31" s="38">
        <v>1440</v>
      </c>
      <c r="AX31" s="38">
        <v>2539</v>
      </c>
      <c r="AY31" s="38">
        <v>2527</v>
      </c>
      <c r="AZ31" s="38">
        <v>2328</v>
      </c>
      <c r="BA31" s="38">
        <v>2328</v>
      </c>
      <c r="BB31" s="38">
        <v>5523</v>
      </c>
      <c r="BC31" s="38">
        <v>5523</v>
      </c>
      <c r="BD31" s="38">
        <v>2328</v>
      </c>
      <c r="BE31" s="38">
        <v>5523</v>
      </c>
      <c r="BF31" s="38">
        <v>5523</v>
      </c>
      <c r="BG31" s="38">
        <v>5523</v>
      </c>
      <c r="BH31" s="38">
        <v>5523</v>
      </c>
      <c r="BI31" s="38">
        <v>1785</v>
      </c>
      <c r="BJ31" s="38">
        <v>2328</v>
      </c>
      <c r="BK31" s="38">
        <v>2328</v>
      </c>
      <c r="BL31" s="38">
        <v>2537</v>
      </c>
      <c r="BM31" s="38">
        <v>5015</v>
      </c>
      <c r="BN31" s="38">
        <v>2328</v>
      </c>
      <c r="BO31" s="38">
        <v>1785</v>
      </c>
      <c r="BP31" s="38">
        <v>2328</v>
      </c>
      <c r="BQ31" s="38">
        <v>1785</v>
      </c>
      <c r="BR31" s="38">
        <v>6242</v>
      </c>
      <c r="BS31" s="38">
        <v>2538</v>
      </c>
      <c r="BT31" s="38">
        <v>2328</v>
      </c>
      <c r="BU31" s="38">
        <v>2328</v>
      </c>
      <c r="BV31" s="38">
        <v>3060</v>
      </c>
      <c r="BW31" s="38">
        <v>5355</v>
      </c>
      <c r="BX31" s="38">
        <v>2328</v>
      </c>
      <c r="BY31" s="38">
        <v>6285</v>
      </c>
      <c r="BZ31" s="38">
        <v>2504</v>
      </c>
      <c r="CA31" s="38">
        <v>4205</v>
      </c>
      <c r="CB31" s="38">
        <v>2328</v>
      </c>
      <c r="CC31" s="38">
        <v>2328</v>
      </c>
      <c r="CD31" s="38">
        <v>4205</v>
      </c>
      <c r="CE31" s="38">
        <v>2328</v>
      </c>
      <c r="CF31" s="38">
        <v>8927</v>
      </c>
      <c r="CG31" s="38">
        <v>4906</v>
      </c>
      <c r="CH31" s="38">
        <v>2504</v>
      </c>
      <c r="CI31" s="38">
        <v>4205</v>
      </c>
      <c r="CJ31" s="38">
        <v>8066</v>
      </c>
      <c r="CK31" s="38">
        <v>8066</v>
      </c>
      <c r="CL31" s="38">
        <v>4205</v>
      </c>
      <c r="CM31" s="38">
        <v>2328</v>
      </c>
      <c r="CN31" s="38">
        <v>5450</v>
      </c>
      <c r="CO31" s="38">
        <v>2328</v>
      </c>
      <c r="CP31" s="38">
        <v>4205</v>
      </c>
      <c r="CQ31" s="38">
        <v>6128</v>
      </c>
      <c r="CR31" s="38">
        <v>6128</v>
      </c>
      <c r="CS31" s="38">
        <v>6128</v>
      </c>
      <c r="CT31" s="38">
        <v>2328</v>
      </c>
      <c r="CU31" s="38">
        <v>5464</v>
      </c>
      <c r="CV31" s="38">
        <v>5464</v>
      </c>
      <c r="CW31" s="38">
        <v>5464</v>
      </c>
      <c r="CX31" s="38">
        <v>3016</v>
      </c>
      <c r="CY31" s="38">
        <v>2328</v>
      </c>
      <c r="CZ31" s="38">
        <v>3016</v>
      </c>
      <c r="DA31" s="38">
        <v>2328</v>
      </c>
      <c r="DB31" s="38">
        <v>2328</v>
      </c>
      <c r="DC31" s="38">
        <v>4205</v>
      </c>
      <c r="DD31" s="38">
        <v>2538</v>
      </c>
      <c r="DE31" s="38">
        <v>5306</v>
      </c>
      <c r="DF31" s="38">
        <v>2328</v>
      </c>
      <c r="DG31" s="38">
        <v>2328</v>
      </c>
      <c r="DH31" s="38">
        <v>2328</v>
      </c>
      <c r="DI31" s="38">
        <v>2328</v>
      </c>
      <c r="DJ31" s="38">
        <v>5306</v>
      </c>
      <c r="DK31" s="38">
        <v>2328</v>
      </c>
      <c r="DL31" s="38">
        <v>5306</v>
      </c>
      <c r="DM31" s="38">
        <v>2328</v>
      </c>
      <c r="DN31" s="38">
        <v>8074</v>
      </c>
      <c r="DO31" s="38">
        <v>2328</v>
      </c>
      <c r="DP31" s="38">
        <v>6167</v>
      </c>
      <c r="DQ31" s="38">
        <v>6167</v>
      </c>
      <c r="DR31" s="38">
        <v>8074</v>
      </c>
      <c r="DS31" s="38">
        <v>2328</v>
      </c>
      <c r="DT31" s="38">
        <v>8112</v>
      </c>
      <c r="DU31" s="38">
        <v>2328</v>
      </c>
      <c r="DV31" s="38">
        <v>3049</v>
      </c>
      <c r="DW31" s="38">
        <v>2328</v>
      </c>
      <c r="DX31" s="38">
        <v>2434</v>
      </c>
      <c r="DY31" s="38">
        <v>2328</v>
      </c>
      <c r="DZ31" s="38">
        <v>2328</v>
      </c>
      <c r="EA31" s="38">
        <v>8112</v>
      </c>
      <c r="EB31" s="38">
        <v>8112</v>
      </c>
      <c r="EC31" s="38">
        <v>3049</v>
      </c>
      <c r="ED31" s="38">
        <v>4205</v>
      </c>
      <c r="EE31" s="38">
        <v>2328</v>
      </c>
      <c r="EF31" s="38">
        <v>2328</v>
      </c>
    </row>
    <row r="32" spans="1:136">
      <c r="C32" s="38" t="s">
        <v>208</v>
      </c>
      <c r="D32" s="38" t="s">
        <v>209</v>
      </c>
      <c r="E32" s="38" t="s">
        <v>210</v>
      </c>
      <c r="F32" s="38" t="s">
        <v>211</v>
      </c>
      <c r="G32" s="38" t="s">
        <v>211</v>
      </c>
      <c r="H32" s="38" t="s">
        <v>210</v>
      </c>
      <c r="I32" s="38" t="s">
        <v>155</v>
      </c>
      <c r="J32" s="38" t="s">
        <v>212</v>
      </c>
      <c r="K32" s="38" t="s">
        <v>211</v>
      </c>
      <c r="L32" s="38" t="s">
        <v>210</v>
      </c>
      <c r="M32" s="38" t="s">
        <v>213</v>
      </c>
      <c r="N32" s="38" t="s">
        <v>210</v>
      </c>
      <c r="O32" s="38" t="s">
        <v>213</v>
      </c>
      <c r="P32" s="38" t="s">
        <v>152</v>
      </c>
      <c r="Q32" s="38" t="s">
        <v>152</v>
      </c>
      <c r="R32" s="38" t="s">
        <v>152</v>
      </c>
      <c r="S32" s="38" t="s">
        <v>152</v>
      </c>
      <c r="T32" s="38" t="s">
        <v>214</v>
      </c>
      <c r="U32" s="38" t="s">
        <v>152</v>
      </c>
      <c r="V32" s="38" t="s">
        <v>152</v>
      </c>
      <c r="W32" s="38" t="s">
        <v>210</v>
      </c>
      <c r="X32" s="38" t="s">
        <v>185</v>
      </c>
      <c r="Y32" s="38" t="s">
        <v>152</v>
      </c>
      <c r="Z32" s="38" t="s">
        <v>152</v>
      </c>
      <c r="AA32" s="38" t="s">
        <v>185</v>
      </c>
      <c r="AB32" s="38" t="s">
        <v>152</v>
      </c>
      <c r="AC32" s="38" t="s">
        <v>215</v>
      </c>
      <c r="AD32" s="38" t="s">
        <v>210</v>
      </c>
      <c r="AE32" s="38" t="s">
        <v>177</v>
      </c>
      <c r="AF32" s="38" t="s">
        <v>216</v>
      </c>
      <c r="AG32" s="38" t="s">
        <v>152</v>
      </c>
      <c r="AH32" s="38" t="s">
        <v>217</v>
      </c>
      <c r="AI32" s="38" t="s">
        <v>210</v>
      </c>
      <c r="AJ32" s="38" t="s">
        <v>218</v>
      </c>
      <c r="AK32" s="38" t="s">
        <v>156</v>
      </c>
      <c r="AL32" s="38" t="s">
        <v>210</v>
      </c>
      <c r="AM32" s="38" t="s">
        <v>156</v>
      </c>
      <c r="AN32" s="38" t="s">
        <v>219</v>
      </c>
      <c r="AO32" s="38" t="s">
        <v>165</v>
      </c>
      <c r="AP32" s="38" t="s">
        <v>165</v>
      </c>
      <c r="AQ32" s="38" t="s">
        <v>210</v>
      </c>
      <c r="AR32" s="38" t="s">
        <v>210</v>
      </c>
      <c r="AS32" s="38" t="s">
        <v>219</v>
      </c>
      <c r="AT32" s="38" t="s">
        <v>198</v>
      </c>
      <c r="AU32" s="38" t="s">
        <v>210</v>
      </c>
      <c r="AV32" s="38" t="s">
        <v>220</v>
      </c>
      <c r="AW32" s="38" t="s">
        <v>212</v>
      </c>
      <c r="AX32" s="38" t="s">
        <v>221</v>
      </c>
      <c r="AY32" s="38" t="s">
        <v>217</v>
      </c>
      <c r="AZ32" s="38" t="s">
        <v>210</v>
      </c>
      <c r="BA32" s="38" t="s">
        <v>210</v>
      </c>
      <c r="BB32" s="38" t="s">
        <v>172</v>
      </c>
      <c r="BC32" s="38" t="s">
        <v>172</v>
      </c>
      <c r="BD32" s="38" t="s">
        <v>210</v>
      </c>
      <c r="BE32" s="38" t="s">
        <v>172</v>
      </c>
      <c r="BF32" s="38" t="s">
        <v>172</v>
      </c>
      <c r="BG32" s="38" t="s">
        <v>172</v>
      </c>
      <c r="BH32" s="38" t="s">
        <v>172</v>
      </c>
      <c r="BI32" s="38" t="s">
        <v>222</v>
      </c>
      <c r="BJ32" s="38" t="s">
        <v>210</v>
      </c>
      <c r="BK32" s="38" t="s">
        <v>210</v>
      </c>
      <c r="BL32" s="38" t="s">
        <v>179</v>
      </c>
      <c r="BM32" s="38" t="s">
        <v>223</v>
      </c>
      <c r="BN32" s="38" t="s">
        <v>210</v>
      </c>
      <c r="BO32" s="38" t="s">
        <v>222</v>
      </c>
      <c r="BP32" s="38" t="s">
        <v>210</v>
      </c>
      <c r="BQ32" s="38" t="s">
        <v>222</v>
      </c>
      <c r="BR32" s="38" t="s">
        <v>189</v>
      </c>
      <c r="BS32" s="38" t="s">
        <v>156</v>
      </c>
      <c r="BT32" s="38" t="s">
        <v>210</v>
      </c>
      <c r="BU32" s="38" t="s">
        <v>210</v>
      </c>
      <c r="BV32" s="38" t="s">
        <v>224</v>
      </c>
      <c r="BW32" s="38" t="s">
        <v>225</v>
      </c>
      <c r="BX32" s="38" t="s">
        <v>210</v>
      </c>
      <c r="BY32" s="38" t="s">
        <v>226</v>
      </c>
      <c r="BZ32" s="38" t="s">
        <v>227</v>
      </c>
      <c r="CA32" s="38" t="s">
        <v>228</v>
      </c>
      <c r="CB32" s="38" t="s">
        <v>210</v>
      </c>
      <c r="CC32" s="38" t="s">
        <v>210</v>
      </c>
      <c r="CD32" s="38" t="s">
        <v>228</v>
      </c>
      <c r="CE32" s="38" t="s">
        <v>210</v>
      </c>
      <c r="CF32" s="38" t="s">
        <v>182</v>
      </c>
      <c r="CG32" s="38" t="s">
        <v>229</v>
      </c>
      <c r="CH32" s="38" t="s">
        <v>227</v>
      </c>
      <c r="CI32" s="38" t="s">
        <v>228</v>
      </c>
      <c r="CJ32" s="38" t="s">
        <v>230</v>
      </c>
      <c r="CK32" s="38" t="s">
        <v>230</v>
      </c>
      <c r="CL32" s="38" t="s">
        <v>228</v>
      </c>
      <c r="CM32" s="38" t="s">
        <v>210</v>
      </c>
      <c r="CN32" s="38" t="s">
        <v>231</v>
      </c>
      <c r="CO32" s="38" t="s">
        <v>210</v>
      </c>
      <c r="CP32" s="38" t="s">
        <v>228</v>
      </c>
      <c r="CQ32" s="38" t="s">
        <v>183</v>
      </c>
      <c r="CR32" s="38" t="s">
        <v>183</v>
      </c>
      <c r="CS32" s="38" t="s">
        <v>183</v>
      </c>
      <c r="CT32" s="38" t="s">
        <v>210</v>
      </c>
      <c r="CU32" s="38" t="s">
        <v>232</v>
      </c>
      <c r="CV32" s="38" t="s">
        <v>232</v>
      </c>
      <c r="CW32" s="38" t="s">
        <v>232</v>
      </c>
      <c r="CX32" s="38" t="s">
        <v>192</v>
      </c>
      <c r="CY32" s="38" t="s">
        <v>210</v>
      </c>
      <c r="CZ32" s="38" t="s">
        <v>192</v>
      </c>
      <c r="DA32" s="38" t="s">
        <v>210</v>
      </c>
      <c r="DB32" s="38" t="s">
        <v>210</v>
      </c>
      <c r="DC32" s="38" t="s">
        <v>228</v>
      </c>
      <c r="DD32" s="38" t="s">
        <v>156</v>
      </c>
      <c r="DE32" s="38" t="s">
        <v>197</v>
      </c>
      <c r="DF32" s="38" t="s">
        <v>210</v>
      </c>
      <c r="DG32" s="38" t="s">
        <v>210</v>
      </c>
      <c r="DH32" s="38" t="s">
        <v>210</v>
      </c>
      <c r="DI32" s="38" t="s">
        <v>210</v>
      </c>
      <c r="DJ32" s="38" t="s">
        <v>197</v>
      </c>
      <c r="DK32" s="38" t="s">
        <v>210</v>
      </c>
      <c r="DL32" s="38" t="s">
        <v>197</v>
      </c>
      <c r="DM32" s="38" t="s">
        <v>210</v>
      </c>
      <c r="DN32" s="38" t="s">
        <v>207</v>
      </c>
      <c r="DO32" s="38" t="s">
        <v>210</v>
      </c>
      <c r="DP32" s="38" t="s">
        <v>233</v>
      </c>
      <c r="DQ32" s="38" t="s">
        <v>233</v>
      </c>
      <c r="DR32" s="38" t="s">
        <v>207</v>
      </c>
      <c r="DS32" s="38" t="s">
        <v>210</v>
      </c>
      <c r="DT32" s="38" t="s">
        <v>234</v>
      </c>
      <c r="DU32" s="38" t="s">
        <v>210</v>
      </c>
      <c r="DV32" s="38" t="s">
        <v>235</v>
      </c>
      <c r="DW32" s="38" t="s">
        <v>210</v>
      </c>
      <c r="DX32" s="38" t="s">
        <v>202</v>
      </c>
      <c r="DY32" s="38" t="s">
        <v>210</v>
      </c>
      <c r="DZ32" s="38" t="s">
        <v>210</v>
      </c>
      <c r="EA32" s="38" t="s">
        <v>234</v>
      </c>
      <c r="EB32" s="38" t="s">
        <v>234</v>
      </c>
      <c r="EC32" s="38" t="s">
        <v>235</v>
      </c>
      <c r="ED32" s="38" t="s">
        <v>228</v>
      </c>
      <c r="EE32" s="38" t="s">
        <v>210</v>
      </c>
      <c r="EF32" s="38" t="s">
        <v>210</v>
      </c>
    </row>
  </sheetData>
  <mergeCells count="2">
    <mergeCell ref="A8:B8"/>
    <mergeCell ref="A12:B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H28"/>
  <sheetViews>
    <sheetView topLeftCell="DN2" zoomScale="108" workbookViewId="0">
      <selection activeCell="EJ25" sqref="EJ25"/>
    </sheetView>
  </sheetViews>
  <sheetFormatPr baseColWidth="10" defaultColWidth="8.83203125" defaultRowHeight="15"/>
  <cols>
    <col min="1" max="1" width="8.33203125" style="21" customWidth="1"/>
    <col min="2" max="3" width="9.33203125" style="21" customWidth="1"/>
    <col min="11" max="11" width="8.1640625" style="21" customWidth="1"/>
    <col min="64" max="64" width="8.33203125" style="21" customWidth="1"/>
  </cols>
  <sheetData>
    <row r="1" spans="1:138" s="3" customFormat="1" ht="16" customHeight="1">
      <c r="A1" s="42" t="s">
        <v>236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8" s="3" customFormat="1" ht="16" customHeight="1">
      <c r="A2" s="5"/>
      <c r="B2" s="6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5" t="s">
        <v>133</v>
      </c>
      <c r="EE2" s="12" t="s">
        <v>134</v>
      </c>
      <c r="EF2" s="14" t="s">
        <v>135</v>
      </c>
    </row>
    <row r="3" spans="1:138" s="3" customFormat="1" ht="16" customHeight="1">
      <c r="A3" s="5"/>
      <c r="B3" s="25" t="s">
        <v>136</v>
      </c>
      <c r="C3" s="30">
        <v>-7.0510312914848328E-2</v>
      </c>
      <c r="D3" s="30">
        <v>-2.069076336920261E-2</v>
      </c>
      <c r="E3" s="30">
        <v>-4.9750484526157379E-2</v>
      </c>
      <c r="F3" s="30">
        <v>-9.2162974178791046E-2</v>
      </c>
      <c r="G3" s="30">
        <v>-9.0981476008892059E-2</v>
      </c>
      <c r="H3" s="30">
        <v>1.7403693869709969E-2</v>
      </c>
      <c r="I3" s="30">
        <v>-1.4660321176052089E-3</v>
      </c>
      <c r="J3" s="30">
        <v>-4.2782600969076157E-2</v>
      </c>
      <c r="K3" s="30">
        <v>-4.8218093812465668E-2</v>
      </c>
      <c r="L3" s="30">
        <v>-5.4908208549022668E-2</v>
      </c>
      <c r="M3" s="30">
        <v>-4.2270971462130547E-3</v>
      </c>
      <c r="N3" s="30">
        <v>-1.5415508300065991E-2</v>
      </c>
      <c r="O3" s="30">
        <v>-2.6379581540822979E-2</v>
      </c>
      <c r="P3" s="30">
        <v>2.1669322159141302E-3</v>
      </c>
      <c r="Q3" s="30">
        <v>-6.3427776098251343E-2</v>
      </c>
      <c r="R3" s="30">
        <v>-2.6445759460330009E-2</v>
      </c>
      <c r="S3" s="30">
        <v>-3.0793072655797001E-2</v>
      </c>
      <c r="T3" s="30">
        <v>-1.3314301613718269E-3</v>
      </c>
      <c r="U3" s="30">
        <v>-1.1667066253721711E-2</v>
      </c>
      <c r="V3" s="30">
        <v>-7.4396813288331032E-3</v>
      </c>
      <c r="W3" s="30">
        <v>-5.6037697941064826E-3</v>
      </c>
      <c r="X3" s="30">
        <v>-5.478285625576973E-2</v>
      </c>
      <c r="Y3" s="30">
        <v>1.460128463804722E-3</v>
      </c>
      <c r="Z3" s="30">
        <v>-5.1124587655067437E-2</v>
      </c>
      <c r="AA3" s="30">
        <v>-4.9931928515434272E-2</v>
      </c>
      <c r="AB3" s="30">
        <v>3.5460174083709717E-2</v>
      </c>
      <c r="AC3" s="30">
        <v>-3.6260023713111877E-2</v>
      </c>
      <c r="AD3" s="30">
        <v>-2.177857048809528E-2</v>
      </c>
      <c r="AE3" s="30">
        <v>-1.296189334243536E-2</v>
      </c>
      <c r="AF3" s="30">
        <v>-1.9972652196884159E-2</v>
      </c>
      <c r="AG3" s="30">
        <v>-4.2137693613767617E-2</v>
      </c>
      <c r="AH3" s="30">
        <v>1.1005618143826721E-3</v>
      </c>
      <c r="AI3" s="30">
        <v>1.791437389329076E-3</v>
      </c>
      <c r="AJ3" s="30">
        <v>1.232342515140772E-2</v>
      </c>
      <c r="AK3" s="30">
        <v>-4.1931521147489548E-2</v>
      </c>
      <c r="AL3" s="30">
        <v>-3.6095079034566879E-2</v>
      </c>
      <c r="AM3" s="30">
        <v>-1.382274786010385E-3</v>
      </c>
      <c r="AN3" s="30">
        <v>-2.8956376016139981E-2</v>
      </c>
      <c r="AO3" s="30">
        <v>-4.2428314685821533E-2</v>
      </c>
      <c r="AP3" s="30">
        <v>-4.9674943089485168E-2</v>
      </c>
      <c r="AQ3" s="30">
        <v>-3.2604295760393143E-2</v>
      </c>
      <c r="AR3" s="30">
        <v>-1.3108822517097E-2</v>
      </c>
      <c r="AS3" s="30">
        <v>-3.5700481384992599E-2</v>
      </c>
      <c r="AT3" s="30">
        <v>-5.7888049632310867E-3</v>
      </c>
      <c r="AU3" s="30">
        <v>-1.4518599025905131E-2</v>
      </c>
      <c r="AV3" s="30">
        <v>-3.1922928988933563E-2</v>
      </c>
      <c r="AW3" s="30">
        <v>-1.19499359279871E-2</v>
      </c>
      <c r="AX3" s="30">
        <v>-1.0149506852030751E-2</v>
      </c>
      <c r="AY3" s="30">
        <v>-3.3810734748840332E-2</v>
      </c>
      <c r="AZ3" s="30">
        <v>-4.8453211784362793E-2</v>
      </c>
      <c r="BA3" s="30">
        <v>-2.7815299108624458E-2</v>
      </c>
      <c r="BB3" s="30">
        <v>-3.037967719137669E-2</v>
      </c>
      <c r="BC3" s="30">
        <v>2.4711607024073601E-2</v>
      </c>
      <c r="BD3" s="30">
        <v>-2.3138821125030521E-2</v>
      </c>
      <c r="BE3" s="30">
        <v>-1.548535423353314E-3</v>
      </c>
      <c r="BF3" s="30">
        <v>4.8466574400663383E-2</v>
      </c>
      <c r="BG3" s="30">
        <v>-6.8415170535445213E-3</v>
      </c>
      <c r="BH3" s="30">
        <v>-2.9017321765422821E-2</v>
      </c>
      <c r="BI3" s="30">
        <v>6.3621185719966888E-2</v>
      </c>
      <c r="BJ3" s="30">
        <v>5.1039993762969971E-2</v>
      </c>
      <c r="BK3" s="30">
        <v>2.0570620894432071E-2</v>
      </c>
      <c r="BL3" s="30">
        <v>-4.445323720574379E-2</v>
      </c>
      <c r="BM3" s="30">
        <v>1.6062213107943531E-2</v>
      </c>
      <c r="BN3" s="30">
        <v>-1.140725240111351E-2</v>
      </c>
      <c r="BO3" s="30">
        <v>-2.1107044070959091E-2</v>
      </c>
      <c r="BP3" s="30">
        <v>-2.457004226744175E-2</v>
      </c>
      <c r="BQ3" s="30">
        <v>5.8053538668900728E-4</v>
      </c>
      <c r="BR3" s="30">
        <v>1.410697121173143E-2</v>
      </c>
      <c r="BS3" s="30">
        <v>-2.221696637570858E-2</v>
      </c>
      <c r="BT3" s="30">
        <v>-2.1804684773087502E-2</v>
      </c>
      <c r="BU3" s="30">
        <v>-3.2476775231771171E-4</v>
      </c>
      <c r="BV3" s="30">
        <v>-1.6946583986282349E-2</v>
      </c>
      <c r="BW3" s="30">
        <v>-9.1368407011032104E-3</v>
      </c>
      <c r="BX3" s="30">
        <v>-2.4530710652470589E-2</v>
      </c>
      <c r="BY3" s="30">
        <v>-1.374499686062336E-2</v>
      </c>
      <c r="BZ3" s="30">
        <v>1.6965670511126522E-2</v>
      </c>
      <c r="CA3" s="30">
        <v>-4.9971737898886204E-3</v>
      </c>
      <c r="CB3" s="30">
        <v>2.5937315076589581E-2</v>
      </c>
      <c r="CC3" s="30">
        <v>-5.0457574427127838E-2</v>
      </c>
      <c r="CD3" s="30">
        <v>-1.7129437997937199E-2</v>
      </c>
      <c r="CE3" s="30">
        <v>-1.5958411619067189E-2</v>
      </c>
      <c r="CF3" s="30">
        <v>-3.6173265427350998E-2</v>
      </c>
      <c r="CG3" s="30">
        <v>-3.3427383750677109E-2</v>
      </c>
      <c r="CH3" s="30">
        <v>-1.898007653653622E-2</v>
      </c>
      <c r="CI3" s="30">
        <v>-1.589265838265419E-2</v>
      </c>
      <c r="CJ3" s="30">
        <v>-1.93511638790369E-2</v>
      </c>
      <c r="CK3" s="30">
        <v>-3.6270283162593842E-2</v>
      </c>
      <c r="CL3" s="30">
        <v>2.18544602394104E-2</v>
      </c>
      <c r="CM3" s="30">
        <v>-3.06690763682127E-2</v>
      </c>
      <c r="CN3" s="30">
        <v>-3.356621041893959E-2</v>
      </c>
      <c r="CO3" s="30">
        <v>-5.7102173566818237E-2</v>
      </c>
      <c r="CP3" s="30">
        <v>-1.416866108775139E-2</v>
      </c>
      <c r="CQ3" s="30">
        <v>-2.447781153023243E-2</v>
      </c>
      <c r="CR3" s="30">
        <v>-5.1261065527796754E-3</v>
      </c>
      <c r="CS3" s="30">
        <v>1.865070499479771E-2</v>
      </c>
      <c r="CT3" s="30">
        <v>-3.6899782717227943E-2</v>
      </c>
      <c r="CU3" s="30">
        <v>-3.0328931286931041E-2</v>
      </c>
      <c r="CV3" s="30">
        <v>-1.5965379774570469E-2</v>
      </c>
      <c r="CW3" s="30">
        <v>-2.833480574190617E-2</v>
      </c>
      <c r="CX3" s="30">
        <v>-2.26152203977108E-2</v>
      </c>
      <c r="CY3" s="30">
        <v>-8.1325806677341461E-3</v>
      </c>
      <c r="CZ3" s="30">
        <v>-6.5493392758071423E-3</v>
      </c>
      <c r="DA3" s="30">
        <v>-1.8719475716352459E-2</v>
      </c>
      <c r="DB3" s="30">
        <v>-2.3759631440043449E-2</v>
      </c>
      <c r="DC3" s="30">
        <v>-1.5671692788600922E-2</v>
      </c>
      <c r="DD3" s="30">
        <v>-1.9522979855537411E-2</v>
      </c>
      <c r="DE3" s="30">
        <v>-4.0282517671585083E-2</v>
      </c>
      <c r="DF3" s="30">
        <v>-8.8851423934102058E-3</v>
      </c>
      <c r="DG3" s="30">
        <v>9.1460929252207279E-4</v>
      </c>
      <c r="DH3" s="30">
        <v>-1.2378844432532791E-2</v>
      </c>
      <c r="DI3" s="30">
        <v>9.0523073449730873E-3</v>
      </c>
      <c r="DJ3" s="30">
        <v>-1.9859632477164268E-2</v>
      </c>
      <c r="DK3" s="30">
        <v>-2.2675381973385811E-2</v>
      </c>
      <c r="DL3" s="30">
        <v>-4.2003385722637183E-2</v>
      </c>
      <c r="DM3" s="30">
        <v>-2.7967073023319241E-2</v>
      </c>
      <c r="DN3" s="30">
        <v>7.005348801612854E-3</v>
      </c>
      <c r="DO3" s="30">
        <v>-2.6276815682649609E-2</v>
      </c>
      <c r="DP3" s="30">
        <v>-3.6057945340871811E-2</v>
      </c>
      <c r="DQ3" s="30">
        <v>-3.3415287733078003E-2</v>
      </c>
      <c r="DR3" s="30">
        <v>-1.6046343371272091E-2</v>
      </c>
      <c r="DS3" s="30">
        <v>-1.464163418859243E-2</v>
      </c>
      <c r="DT3" s="30">
        <v>-3.5933751612901688E-2</v>
      </c>
      <c r="DU3" s="30">
        <v>3.071782179176807E-3</v>
      </c>
      <c r="DV3" s="30">
        <v>-1.5330854803323749E-2</v>
      </c>
      <c r="DW3" s="30">
        <v>-1.4946370385587221E-2</v>
      </c>
      <c r="DX3" s="30">
        <v>-1.1101509444415569E-2</v>
      </c>
      <c r="DY3" s="30">
        <v>-4.7925966791808614E-3</v>
      </c>
      <c r="DZ3" s="30">
        <v>-1.846695318818092E-2</v>
      </c>
      <c r="EA3" s="30">
        <v>-1.2543918564915661E-2</v>
      </c>
      <c r="EB3" s="30">
        <v>-3.26961949467659E-2</v>
      </c>
      <c r="EC3" s="30">
        <v>-5.6490704417228699E-2</v>
      </c>
      <c r="ED3" s="30">
        <v>-2.6412356644868851E-2</v>
      </c>
      <c r="EE3" s="30">
        <v>-1.807861402630806E-2</v>
      </c>
      <c r="EF3" s="30">
        <v>-3.6580674350261688E-3</v>
      </c>
    </row>
    <row r="4" spans="1:138" s="3" customFormat="1" ht="16" customHeight="1">
      <c r="A4" s="5"/>
      <c r="B4" s="25" t="s">
        <v>137</v>
      </c>
      <c r="C4" s="30">
        <v>2.8248634189367291E-2</v>
      </c>
      <c r="D4" s="30">
        <v>1.4183226972818369E-2</v>
      </c>
      <c r="E4" s="30">
        <v>3.1993348151445389E-2</v>
      </c>
      <c r="F4" s="30">
        <v>4.2365593835711479E-3</v>
      </c>
      <c r="G4" s="30">
        <v>1.271493919193745E-2</v>
      </c>
      <c r="H4" s="30">
        <v>1.0832134634256359E-2</v>
      </c>
      <c r="I4" s="30">
        <v>6.3727825880050659E-2</v>
      </c>
      <c r="J4" s="30">
        <v>1.4011073857545849E-2</v>
      </c>
      <c r="K4" s="30">
        <v>6.6770575940608978E-2</v>
      </c>
      <c r="L4" s="30">
        <v>2.1485414355993271E-2</v>
      </c>
      <c r="M4" s="30">
        <v>2.8019288554787639E-2</v>
      </c>
      <c r="N4" s="30">
        <v>8.4238220006227493E-3</v>
      </c>
      <c r="O4" s="30">
        <v>2.601810917258263E-2</v>
      </c>
      <c r="P4" s="30">
        <v>8.8989315554499626E-3</v>
      </c>
      <c r="Q4" s="30">
        <v>1.201280951499939E-2</v>
      </c>
      <c r="R4" s="30">
        <v>6.5032718703150749E-3</v>
      </c>
      <c r="S4" s="30">
        <v>-6.6254293778911233E-4</v>
      </c>
      <c r="T4" s="30">
        <v>1.1814413592219349E-2</v>
      </c>
      <c r="U4" s="30">
        <v>1.339553762227297E-2</v>
      </c>
      <c r="V4" s="30">
        <v>1.19242062792182E-2</v>
      </c>
      <c r="W4" s="30">
        <v>2.7815572917461399E-2</v>
      </c>
      <c r="X4" s="30">
        <v>2.5693094357848171E-5</v>
      </c>
      <c r="Y4" s="30">
        <v>3.9316866546869278E-2</v>
      </c>
      <c r="Z4" s="30">
        <v>5.6920211762189872E-2</v>
      </c>
      <c r="AA4" s="30">
        <v>9.8233535885810852E-2</v>
      </c>
      <c r="AB4" s="30">
        <v>6.4750097692012787E-2</v>
      </c>
      <c r="AC4" s="30">
        <v>6.7361786961555481E-2</v>
      </c>
      <c r="AD4" s="30">
        <v>5.1507804542779922E-2</v>
      </c>
      <c r="AE4" s="30">
        <v>4.9662109464406967E-2</v>
      </c>
      <c r="AF4" s="30">
        <v>2.0239388570189479E-2</v>
      </c>
      <c r="AG4" s="30">
        <v>9.3923445092514157E-4</v>
      </c>
      <c r="AH4" s="30">
        <v>-1.105708070099354E-2</v>
      </c>
      <c r="AI4" s="30">
        <v>1.6824111342430111E-2</v>
      </c>
      <c r="AJ4" s="30">
        <v>-7.4724433943629265E-4</v>
      </c>
      <c r="AK4" s="30">
        <v>1.1401809751987461E-2</v>
      </c>
      <c r="AL4" s="30">
        <v>4.4149282621219749E-4</v>
      </c>
      <c r="AM4" s="30">
        <v>-1.789861731231213E-2</v>
      </c>
      <c r="AN4" s="30">
        <v>-1.0071121156215669E-2</v>
      </c>
      <c r="AO4" s="30">
        <v>6.6899019293487072E-3</v>
      </c>
      <c r="AP4" s="30">
        <v>-1.1917488649487501E-2</v>
      </c>
      <c r="AQ4" s="30">
        <v>-2.7241043746471408E-2</v>
      </c>
      <c r="AR4" s="30">
        <v>-4.9140769988298416E-3</v>
      </c>
      <c r="AS4" s="30">
        <v>-3.0879320576786991E-2</v>
      </c>
      <c r="AT4" s="30">
        <v>-1.474843081086874E-2</v>
      </c>
      <c r="AU4" s="30">
        <v>-2.2974038496613499E-2</v>
      </c>
      <c r="AV4" s="30">
        <v>-2.274879720062017E-3</v>
      </c>
      <c r="AW4" s="30">
        <v>-1.657006144523621E-2</v>
      </c>
      <c r="AX4" s="30">
        <v>-1.187692023813725E-2</v>
      </c>
      <c r="AY4" s="30">
        <v>-2.4517569690942761E-2</v>
      </c>
      <c r="AZ4" s="30">
        <v>1.4865461271256211E-3</v>
      </c>
      <c r="BA4" s="30">
        <v>1.029744930565357E-2</v>
      </c>
      <c r="BB4" s="30">
        <v>2.5721301790326829E-3</v>
      </c>
      <c r="BC4" s="30">
        <v>3.9163189940154552E-3</v>
      </c>
      <c r="BD4" s="30">
        <v>-2.5292611680924888E-3</v>
      </c>
      <c r="BE4" s="30">
        <v>-8.299974724650383E-3</v>
      </c>
      <c r="BF4" s="30">
        <v>-4.618610255420208E-3</v>
      </c>
      <c r="BG4" s="30">
        <v>-6.1649740673601627E-3</v>
      </c>
      <c r="BH4" s="30">
        <v>-3.748608753085136E-3</v>
      </c>
      <c r="BI4" s="30">
        <v>5.9695299714803696E-3</v>
      </c>
      <c r="BJ4" s="30">
        <v>-8.2524949684739113E-3</v>
      </c>
      <c r="BK4" s="30">
        <v>-3.1494102440774441E-3</v>
      </c>
      <c r="BL4" s="30">
        <v>-2.2762905806303021E-2</v>
      </c>
      <c r="BM4" s="30">
        <v>-1.5299521386623381E-2</v>
      </c>
      <c r="BN4" s="30">
        <v>-1.056381408125162E-2</v>
      </c>
      <c r="BO4" s="30">
        <v>4.6637067571282387E-3</v>
      </c>
      <c r="BP4" s="30">
        <v>4.6207541599869728E-3</v>
      </c>
      <c r="BQ4" s="30">
        <v>3.3099830150604248E-2</v>
      </c>
      <c r="BR4" s="30">
        <v>7.9383321106433868E-2</v>
      </c>
      <c r="BS4" s="30">
        <v>3.2730802893638611E-2</v>
      </c>
      <c r="BT4" s="30">
        <v>1.551901735365391E-2</v>
      </c>
      <c r="BU4" s="30">
        <v>1.7918560653924939E-2</v>
      </c>
      <c r="BV4" s="30">
        <v>1.257674675434828E-2</v>
      </c>
      <c r="BW4" s="30">
        <v>1.75600815564394E-2</v>
      </c>
      <c r="BX4" s="30">
        <v>1.9561545923352242E-2</v>
      </c>
      <c r="BY4" s="30">
        <v>9.4829900190234184E-3</v>
      </c>
      <c r="BZ4" s="30">
        <v>2.3618856444954869E-2</v>
      </c>
      <c r="CA4" s="30">
        <v>2.434477768838406E-2</v>
      </c>
      <c r="CB4" s="30">
        <v>-8.4261037409305573E-3</v>
      </c>
      <c r="CC4" s="30">
        <v>7.1666632720734924E-5</v>
      </c>
      <c r="CD4" s="30">
        <v>1.58525153528899E-3</v>
      </c>
      <c r="CE4" s="30">
        <v>-4.1839517652988434E-3</v>
      </c>
      <c r="CF4" s="30">
        <v>-1.925571262836456E-2</v>
      </c>
      <c r="CG4" s="30">
        <v>-2.450777031481266E-2</v>
      </c>
      <c r="CH4" s="30">
        <v>-2.5543062016367909E-2</v>
      </c>
      <c r="CI4" s="30">
        <v>-1.6113311052322391E-2</v>
      </c>
      <c r="CJ4" s="30">
        <v>-2.3990631103515622E-2</v>
      </c>
      <c r="CK4" s="30">
        <v>-3.0572861433029171E-2</v>
      </c>
      <c r="CL4" s="30">
        <v>-3.3399540930986397E-2</v>
      </c>
      <c r="CM4" s="30">
        <v>-1.3533868826925749E-2</v>
      </c>
      <c r="CN4" s="30">
        <v>-1.659691147506237E-2</v>
      </c>
      <c r="CO4" s="30">
        <v>-1.24882385134697E-2</v>
      </c>
      <c r="CP4" s="30">
        <v>-1.5990793704986569E-2</v>
      </c>
      <c r="CQ4" s="30">
        <v>-7.2096372023224831E-3</v>
      </c>
      <c r="CR4" s="30">
        <v>-2.841118723154068E-2</v>
      </c>
      <c r="CS4" s="30">
        <v>-3.007250651717186E-2</v>
      </c>
      <c r="CT4" s="30">
        <v>-2.765975333750248E-2</v>
      </c>
      <c r="CU4" s="30">
        <v>-1.706959493458271E-2</v>
      </c>
      <c r="CV4" s="30">
        <v>-1.7912266775965691E-2</v>
      </c>
      <c r="CW4" s="30">
        <v>-1.239021867513657E-2</v>
      </c>
      <c r="CX4" s="30">
        <v>-1.7721431329846379E-2</v>
      </c>
      <c r="CY4" s="30">
        <v>-1.9734646193683152E-3</v>
      </c>
      <c r="CZ4" s="30">
        <v>8.7843285873532295E-3</v>
      </c>
      <c r="DA4" s="30">
        <v>-3.2751679420471191E-2</v>
      </c>
      <c r="DB4" s="30">
        <v>-9.1977678239345551E-3</v>
      </c>
      <c r="DC4" s="30">
        <v>-4.3027768842875957E-3</v>
      </c>
      <c r="DD4" s="30">
        <v>-1.7814325168728828E-2</v>
      </c>
      <c r="DE4" s="30">
        <v>4.1021797806024551E-3</v>
      </c>
      <c r="DF4" s="30">
        <v>-7.2315400466322899E-3</v>
      </c>
      <c r="DG4" s="30">
        <v>4.2892070487141609E-3</v>
      </c>
      <c r="DH4" s="30">
        <v>9.5487143844366074E-3</v>
      </c>
      <c r="DI4" s="30">
        <v>7.0580318570137024E-3</v>
      </c>
      <c r="DJ4" s="30">
        <v>6.8894680589437476E-3</v>
      </c>
      <c r="DK4" s="30">
        <v>7.0452648214995861E-3</v>
      </c>
      <c r="DL4" s="30">
        <v>7.8367050737142563E-3</v>
      </c>
      <c r="DM4" s="30">
        <v>1.132010761648417E-2</v>
      </c>
      <c r="DN4" s="30">
        <v>3.335223533213139E-3</v>
      </c>
      <c r="DO4" s="30">
        <v>1.380339544266462E-2</v>
      </c>
      <c r="DP4" s="30">
        <v>1.0737471282482151E-2</v>
      </c>
      <c r="DQ4" s="30">
        <v>6.1118975281715393E-4</v>
      </c>
      <c r="DR4" s="30">
        <v>1.4212187379598619E-2</v>
      </c>
      <c r="DS4" s="30">
        <v>1.7021110979840159E-3</v>
      </c>
      <c r="DT4" s="30">
        <v>3.5690043587237601E-3</v>
      </c>
      <c r="DU4" s="30">
        <v>2.0074488129466772E-3</v>
      </c>
      <c r="DV4" s="30">
        <v>2.9247954487800602E-2</v>
      </c>
      <c r="DW4" s="30">
        <v>1.8428530544042591E-2</v>
      </c>
      <c r="DX4" s="30">
        <v>1.877508498728275E-2</v>
      </c>
      <c r="DY4" s="30">
        <v>1.251648087054491E-2</v>
      </c>
      <c r="DZ4" s="30">
        <v>1.859314180910587E-2</v>
      </c>
      <c r="EA4" s="30">
        <v>1.8734032288193699E-2</v>
      </c>
      <c r="EB4" s="30">
        <v>1.160619128495455E-2</v>
      </c>
      <c r="EC4" s="30">
        <v>3.1247735023498539E-2</v>
      </c>
      <c r="ED4" s="30">
        <v>1.844197511672974E-2</v>
      </c>
      <c r="EE4" s="30">
        <v>7.5100352987647057E-3</v>
      </c>
      <c r="EF4" s="30">
        <v>1.825511455535889E-2</v>
      </c>
      <c r="EG4" s="16"/>
    </row>
    <row r="5" spans="1:138" s="3" customFormat="1" ht="16" customHeight="1">
      <c r="A5" s="5"/>
      <c r="B5" s="25" t="s">
        <v>138</v>
      </c>
      <c r="C5" s="30">
        <v>-3.093557246029377E-2</v>
      </c>
      <c r="D5" s="30">
        <v>-7.8517265617847443E-2</v>
      </c>
      <c r="E5" s="30">
        <v>-7.1969844400882721E-2</v>
      </c>
      <c r="F5" s="30">
        <v>-2.1682599559426311E-2</v>
      </c>
      <c r="G5" s="30">
        <v>3.9315680041909218E-3</v>
      </c>
      <c r="H5" s="30">
        <v>-1.978492550551891E-2</v>
      </c>
      <c r="I5" s="30">
        <v>-1.0177304036915301E-2</v>
      </c>
      <c r="J5" s="30">
        <v>-8.2358997315168381E-3</v>
      </c>
      <c r="K5" s="30">
        <v>2.3635530844330791E-2</v>
      </c>
      <c r="L5" s="30">
        <v>-1.4618006534874439E-2</v>
      </c>
      <c r="M5" s="30">
        <v>2.2768089547753331E-2</v>
      </c>
      <c r="N5" s="30">
        <v>-4.363420233130455E-2</v>
      </c>
      <c r="O5" s="30">
        <v>-5.7530194520950317E-2</v>
      </c>
      <c r="P5" s="30">
        <v>-6.1749737709760673E-2</v>
      </c>
      <c r="Q5" s="30">
        <v>-6.4170286059379578E-2</v>
      </c>
      <c r="R5" s="30">
        <v>-5.6614186614751823E-2</v>
      </c>
      <c r="S5" s="30">
        <v>-3.9280273020267487E-2</v>
      </c>
      <c r="T5" s="30">
        <v>-4.5374378561973572E-2</v>
      </c>
      <c r="U5" s="30">
        <v>2.1098524332046509E-2</v>
      </c>
      <c r="V5" s="30">
        <v>-5.0834860652685172E-2</v>
      </c>
      <c r="W5" s="30">
        <v>-4.3037977069616318E-2</v>
      </c>
      <c r="X5" s="30">
        <v>-2.6595532894134521E-2</v>
      </c>
      <c r="Y5" s="30">
        <v>-1.513876207172871E-2</v>
      </c>
      <c r="Z5" s="30">
        <v>-2.4952776730060581E-2</v>
      </c>
      <c r="AA5" s="30">
        <v>-6.4031586050987244E-2</v>
      </c>
      <c r="AB5" s="30">
        <v>-2.9604986310005191E-2</v>
      </c>
      <c r="AC5" s="30">
        <v>-1.944617601111531E-3</v>
      </c>
      <c r="AD5" s="30">
        <v>5.7631758973002434E-3</v>
      </c>
      <c r="AE5" s="30">
        <v>-1.179056335240602E-2</v>
      </c>
      <c r="AF5" s="30">
        <v>-2.2569329012185339E-3</v>
      </c>
      <c r="AG5" s="30">
        <v>-2.7719086036086079E-2</v>
      </c>
      <c r="AH5" s="30">
        <v>-2.121474826708436E-3</v>
      </c>
      <c r="AI5" s="30">
        <v>-2.9802717268466949E-2</v>
      </c>
      <c r="AJ5" s="30">
        <v>-3.3187164808623487E-4</v>
      </c>
      <c r="AK5" s="30">
        <v>1.3484867289662359E-2</v>
      </c>
      <c r="AL5" s="30">
        <v>-7.8548425808548927E-3</v>
      </c>
      <c r="AM5" s="30">
        <v>-2.1816307678818699E-2</v>
      </c>
      <c r="AN5" s="30">
        <v>1.06990709900856E-2</v>
      </c>
      <c r="AO5" s="30">
        <v>1.110227429307997E-3</v>
      </c>
      <c r="AP5" s="30">
        <v>7.9638074385002255E-4</v>
      </c>
      <c r="AQ5" s="30">
        <v>-5.5128955282270908E-3</v>
      </c>
      <c r="AR5" s="30">
        <v>-1.548982225358486E-2</v>
      </c>
      <c r="AS5" s="30">
        <v>-1.3374983333051199E-2</v>
      </c>
      <c r="AT5" s="30">
        <v>-2.8082795906811948E-3</v>
      </c>
      <c r="AU5" s="30">
        <v>1.3588436879217619E-2</v>
      </c>
      <c r="AV5" s="30">
        <v>1.1518656276166441E-2</v>
      </c>
      <c r="AW5" s="30">
        <v>-5.1678195595741272E-3</v>
      </c>
      <c r="AX5" s="30">
        <v>-1.7534591257572171E-2</v>
      </c>
      <c r="AY5" s="30">
        <v>-1.2889344245195391E-2</v>
      </c>
      <c r="AZ5" s="30">
        <v>4.608450923115015E-3</v>
      </c>
      <c r="BA5" s="30">
        <v>-3.7847871426492929E-3</v>
      </c>
      <c r="BB5" s="30">
        <v>-4.9904352053999901E-3</v>
      </c>
      <c r="BC5" s="30">
        <v>-1.7079908400773999E-2</v>
      </c>
      <c r="BD5" s="30">
        <v>-2.3915629833936691E-2</v>
      </c>
      <c r="BE5" s="30">
        <v>2.1333401091396809E-3</v>
      </c>
      <c r="BF5" s="30">
        <v>3.1931266188621521E-2</v>
      </c>
      <c r="BG5" s="30">
        <v>2.271440252661705E-2</v>
      </c>
      <c r="BH5" s="30">
        <v>5.4914258420467377E-2</v>
      </c>
      <c r="BI5" s="30">
        <v>2.3081650957465168E-2</v>
      </c>
      <c r="BJ5" s="30">
        <v>4.1425202041864402E-2</v>
      </c>
      <c r="BK5" s="30">
        <v>-4.5687265694141388E-2</v>
      </c>
      <c r="BL5" s="30">
        <v>-2.4188106879591938E-2</v>
      </c>
      <c r="BM5" s="30">
        <v>-4.5954536646604538E-2</v>
      </c>
      <c r="BN5" s="30">
        <v>-5.2363675087690353E-2</v>
      </c>
      <c r="BO5" s="30">
        <v>-6.0948830097913742E-2</v>
      </c>
      <c r="BP5" s="30">
        <v>-4.6518847346305847E-2</v>
      </c>
      <c r="BQ5" s="30">
        <v>-3.1062062829732891E-2</v>
      </c>
      <c r="BR5" s="30">
        <v>3.2680220901966091E-3</v>
      </c>
      <c r="BS5" s="30">
        <v>6.8480938673019409E-2</v>
      </c>
      <c r="BT5" s="30">
        <v>2.1564350463449951E-3</v>
      </c>
      <c r="BU5" s="30">
        <v>-3.8370478898286819E-2</v>
      </c>
      <c r="BV5" s="30">
        <v>-3.7749018520116813E-2</v>
      </c>
      <c r="BW5" s="30">
        <v>-3.7364158779382713E-2</v>
      </c>
      <c r="BX5" s="30">
        <v>-2.7728324756026271E-2</v>
      </c>
      <c r="BY5" s="30">
        <v>-3.0275849625468251E-2</v>
      </c>
      <c r="BZ5" s="30">
        <v>-4.346185177564621E-2</v>
      </c>
      <c r="CA5" s="30">
        <v>-3.151523694396019E-2</v>
      </c>
      <c r="CB5" s="30">
        <v>-3.108143620193005E-2</v>
      </c>
      <c r="CC5" s="30">
        <v>-3.5361416637897491E-2</v>
      </c>
      <c r="CD5" s="30">
        <v>-3.3158984035253518E-2</v>
      </c>
      <c r="CE5" s="30">
        <v>-2.35139075666666E-2</v>
      </c>
      <c r="CF5" s="30">
        <v>-1.2064295820891861E-2</v>
      </c>
      <c r="CG5" s="30">
        <v>-3.2220706343650818E-3</v>
      </c>
      <c r="CH5" s="30">
        <v>-1.9549626857042309E-2</v>
      </c>
      <c r="CI5" s="30">
        <v>-9.6641974523663521E-3</v>
      </c>
      <c r="CJ5" s="30">
        <v>-2.0440889056771989E-3</v>
      </c>
      <c r="CK5" s="30">
        <v>-2.6424447074532509E-2</v>
      </c>
      <c r="CL5" s="30">
        <v>-4.3267767876386642E-2</v>
      </c>
      <c r="CM5" s="30">
        <v>-1.9405793398618702E-2</v>
      </c>
      <c r="CN5" s="30">
        <v>-2.635003998875618E-2</v>
      </c>
      <c r="CO5" s="30">
        <v>3.1805969774723049E-3</v>
      </c>
      <c r="CP5" s="30">
        <v>-6.2574027106165886E-3</v>
      </c>
      <c r="CQ5" s="30">
        <v>-1.3818861916661261E-2</v>
      </c>
      <c r="CR5" s="30">
        <v>-2.1159159019589421E-2</v>
      </c>
      <c r="CS5" s="30">
        <v>-1.896608434617519E-2</v>
      </c>
      <c r="CT5" s="30">
        <v>-2.906819432973862E-2</v>
      </c>
      <c r="CU5" s="30">
        <v>-5.1458954811096191E-2</v>
      </c>
      <c r="CV5" s="30">
        <v>-2.4589415639638901E-2</v>
      </c>
      <c r="CW5" s="30">
        <v>-4.7959472984075553E-2</v>
      </c>
      <c r="CX5" s="30">
        <v>-2.462939731776714E-2</v>
      </c>
      <c r="CY5" s="30">
        <v>-2.7626641094684601E-2</v>
      </c>
      <c r="CZ5" s="30">
        <v>-5.503227561712265E-2</v>
      </c>
      <c r="DA5" s="30">
        <v>-2.8730303049087521E-2</v>
      </c>
      <c r="DB5" s="30">
        <v>-6.6727802157402039E-2</v>
      </c>
      <c r="DC5" s="30">
        <v>-0.1073298379778862</v>
      </c>
      <c r="DD5" s="30">
        <v>-5.2791092544794083E-2</v>
      </c>
      <c r="DE5" s="30">
        <v>-6.0571521520614617E-2</v>
      </c>
      <c r="DF5" s="30">
        <v>-3.9159800857305527E-2</v>
      </c>
      <c r="DG5" s="30">
        <v>-5.1414530724287033E-2</v>
      </c>
      <c r="DH5" s="30">
        <v>-6.5701395273208618E-2</v>
      </c>
      <c r="DI5" s="30">
        <v>-3.3493325114250183E-2</v>
      </c>
      <c r="DJ5" s="30">
        <v>-2.4839011952281002E-2</v>
      </c>
      <c r="DK5" s="30">
        <v>-2.238474972546101E-2</v>
      </c>
      <c r="DL5" s="30">
        <v>-3.6509480327367783E-2</v>
      </c>
      <c r="DM5" s="30">
        <v>-3.9328606799244881E-3</v>
      </c>
      <c r="DN5" s="30">
        <v>-9.6125034615397453E-3</v>
      </c>
      <c r="DO5" s="30">
        <v>1.495146192610264E-2</v>
      </c>
      <c r="DP5" s="30">
        <v>-3.1372068915516138E-3</v>
      </c>
      <c r="DQ5" s="30">
        <v>-2.8361598961055279E-3</v>
      </c>
      <c r="DR5" s="30">
        <v>5.198170430958271E-3</v>
      </c>
      <c r="DS5" s="30">
        <v>1.1405284516513349E-2</v>
      </c>
      <c r="DT5" s="30">
        <v>-6.4447050681337714E-4</v>
      </c>
      <c r="DU5" s="30">
        <v>-1.273592282086611E-2</v>
      </c>
      <c r="DV5" s="30">
        <v>-2.1273775026202198E-2</v>
      </c>
      <c r="DW5" s="30">
        <v>-1.183168590068817E-2</v>
      </c>
      <c r="DX5" s="30">
        <v>-4.303129855543375E-3</v>
      </c>
      <c r="DY5" s="30">
        <v>5.929900798946619E-3</v>
      </c>
      <c r="DZ5" s="30">
        <v>-3.1490330584347248E-3</v>
      </c>
      <c r="EA5" s="30">
        <v>-8.7568778544664383E-3</v>
      </c>
      <c r="EB5" s="30">
        <v>4.7055804170668134E-3</v>
      </c>
      <c r="EC5" s="30">
        <v>-1.4093491248786449E-2</v>
      </c>
      <c r="ED5" s="30">
        <v>-7.3874481022357941E-3</v>
      </c>
      <c r="EE5" s="30">
        <v>-2.4573959410190579E-2</v>
      </c>
      <c r="EF5" s="30">
        <v>-3.00772450864315E-2</v>
      </c>
      <c r="EG5" s="16"/>
    </row>
    <row r="6" spans="1:138" s="3" customFormat="1" ht="16" customHeight="1">
      <c r="A6" s="5"/>
      <c r="B6" s="25" t="s">
        <v>139</v>
      </c>
      <c r="C6" s="30">
        <v>2.2974487394094471E-2</v>
      </c>
      <c r="D6" s="30">
        <v>1.7081409692764279E-2</v>
      </c>
      <c r="E6" s="30">
        <v>3.1377147883176797E-2</v>
      </c>
      <c r="F6" s="30">
        <v>1.6779405996203419E-2</v>
      </c>
      <c r="G6" s="30">
        <v>-1.317084766924381E-3</v>
      </c>
      <c r="H6" s="30">
        <v>1.38464504852891E-2</v>
      </c>
      <c r="I6" s="30">
        <v>2.191024087369442E-2</v>
      </c>
      <c r="J6" s="30">
        <v>1.260905526578426E-2</v>
      </c>
      <c r="K6" s="30">
        <v>-5.0779725424945346E-3</v>
      </c>
      <c r="L6" s="30">
        <v>5.8798324316740036E-3</v>
      </c>
      <c r="M6" s="30">
        <v>1.3324283063411709E-2</v>
      </c>
      <c r="N6" s="30">
        <v>1.7233520746231079E-2</v>
      </c>
      <c r="O6" s="30">
        <v>-5.6088712881319218E-5</v>
      </c>
      <c r="P6" s="30">
        <v>-6.2972903251647949E-3</v>
      </c>
      <c r="Q6" s="30">
        <v>2.4710532277822491E-2</v>
      </c>
      <c r="R6" s="30">
        <v>1.392411347478628E-2</v>
      </c>
      <c r="S6" s="30">
        <v>2.3693526163697239E-2</v>
      </c>
      <c r="T6" s="30">
        <v>1.9597101956605911E-2</v>
      </c>
      <c r="U6" s="30">
        <v>1.067257020622492E-2</v>
      </c>
      <c r="V6" s="30">
        <v>2.010666020214558E-2</v>
      </c>
      <c r="W6" s="30">
        <v>1.6704599838703871E-3</v>
      </c>
      <c r="X6" s="30">
        <v>2.5238168891519308E-3</v>
      </c>
      <c r="Y6" s="30">
        <v>9.2325033619999886E-3</v>
      </c>
      <c r="Z6" s="30">
        <v>1.28249591216445E-2</v>
      </c>
      <c r="AA6" s="30">
        <v>9.0660788118839264E-3</v>
      </c>
      <c r="AB6" s="30">
        <v>-1.209302456118166E-3</v>
      </c>
      <c r="AC6" s="30">
        <v>-6.8358690477907658E-3</v>
      </c>
      <c r="AD6" s="30">
        <v>1.9463960779830809E-3</v>
      </c>
      <c r="AE6" s="30">
        <v>1.42386257648468E-2</v>
      </c>
      <c r="AF6" s="30">
        <v>8.8263219222426414E-3</v>
      </c>
      <c r="AG6" s="30">
        <v>2.088212966918945E-2</v>
      </c>
      <c r="AH6" s="30">
        <v>5.198381096124649E-2</v>
      </c>
      <c r="AI6" s="30">
        <v>1.8810819834470749E-2</v>
      </c>
      <c r="AJ6" s="30">
        <v>1.617512293159962E-2</v>
      </c>
      <c r="AK6" s="30">
        <v>1.7538744956254959E-2</v>
      </c>
      <c r="AL6" s="30">
        <v>1.953974366188049E-2</v>
      </c>
      <c r="AM6" s="30">
        <v>1.2414112687110899E-2</v>
      </c>
      <c r="AN6" s="30">
        <v>-3.0713342130184169E-3</v>
      </c>
      <c r="AO6" s="30">
        <v>1.8124989001080389E-3</v>
      </c>
      <c r="AP6" s="30">
        <v>2.7226977050304409E-2</v>
      </c>
      <c r="AQ6" s="30">
        <v>1.5237000770866869E-2</v>
      </c>
      <c r="AR6" s="30">
        <v>2.0699001848697659E-2</v>
      </c>
      <c r="AS6" s="30">
        <v>1.803973130881786E-2</v>
      </c>
      <c r="AT6" s="30">
        <v>1.9905209541320801E-2</v>
      </c>
      <c r="AU6" s="30">
        <v>1.392220333218575E-2</v>
      </c>
      <c r="AV6" s="30">
        <v>1.49183738976717E-2</v>
      </c>
      <c r="AW6" s="30">
        <v>2.6367004029452801E-3</v>
      </c>
      <c r="AX6" s="30">
        <v>4.1243366897106171E-2</v>
      </c>
      <c r="AY6" s="30">
        <v>1.622296683490276E-2</v>
      </c>
      <c r="AZ6" s="30">
        <v>2.0173013210296631E-2</v>
      </c>
      <c r="BA6" s="30">
        <v>1.64332315325737E-2</v>
      </c>
      <c r="BB6" s="30">
        <v>2.2108843550086021E-2</v>
      </c>
      <c r="BC6" s="30">
        <v>2.0426224917173389E-2</v>
      </c>
      <c r="BD6" s="30">
        <v>1.4836631715297701E-2</v>
      </c>
      <c r="BE6" s="30">
        <v>1.464955974370241E-2</v>
      </c>
      <c r="BF6" s="30">
        <v>9.8656453192234039E-3</v>
      </c>
      <c r="BG6" s="30">
        <v>6.5305721946060658E-3</v>
      </c>
      <c r="BH6" s="30">
        <v>4.2353100143373013E-3</v>
      </c>
      <c r="BI6" s="30">
        <v>5.6681097485125056E-3</v>
      </c>
      <c r="BJ6" s="30">
        <v>2.540989313274622E-3</v>
      </c>
      <c r="BK6" s="30">
        <v>2.1666570100933309E-3</v>
      </c>
      <c r="BL6" s="30">
        <v>3.3819519449025388E-3</v>
      </c>
      <c r="BM6" s="30">
        <v>4.0704761631786823E-3</v>
      </c>
      <c r="BN6" s="30">
        <v>8.9805722236633301E-3</v>
      </c>
      <c r="BO6" s="30">
        <v>9.7311185672879219E-3</v>
      </c>
      <c r="BP6" s="30">
        <v>4.8173125833272934E-3</v>
      </c>
      <c r="BQ6" s="30">
        <v>9.8657906055450439E-3</v>
      </c>
      <c r="BR6" s="30">
        <v>1.3763009570538999E-2</v>
      </c>
      <c r="BS6" s="30">
        <v>1.4573461376130579E-2</v>
      </c>
      <c r="BT6" s="30">
        <v>2.0938688889145851E-2</v>
      </c>
      <c r="BU6" s="30">
        <v>1.4000543393194681E-2</v>
      </c>
      <c r="BV6" s="30">
        <v>1.9158285111188889E-2</v>
      </c>
      <c r="BW6" s="30">
        <v>1.7214477062225338E-2</v>
      </c>
      <c r="BX6" s="30">
        <v>1.1270095594227311E-2</v>
      </c>
      <c r="BY6" s="30">
        <v>2.503050863742828E-2</v>
      </c>
      <c r="BZ6" s="30">
        <v>3.1615070998668671E-2</v>
      </c>
      <c r="CA6" s="30">
        <v>2.5428475812077519E-2</v>
      </c>
      <c r="CB6" s="30">
        <v>0.11305705457925801</v>
      </c>
      <c r="CC6" s="30">
        <v>2.7973102405667302E-2</v>
      </c>
      <c r="CD6" s="30">
        <v>7.6278587803244591E-3</v>
      </c>
      <c r="CE6" s="30">
        <v>1.3782011345028881E-2</v>
      </c>
      <c r="CF6" s="30">
        <v>2.5310907512903209E-3</v>
      </c>
      <c r="CG6" s="30">
        <v>1.7127167666330929E-3</v>
      </c>
      <c r="CH6" s="30">
        <v>-5.0100181251764297E-3</v>
      </c>
      <c r="CI6" s="30">
        <v>3.2922136597335339E-3</v>
      </c>
      <c r="CJ6" s="30">
        <v>8.8564753532409668E-2</v>
      </c>
      <c r="CK6" s="30">
        <v>1.210253778845072E-2</v>
      </c>
      <c r="CL6" s="30">
        <v>1.323739159852266E-2</v>
      </c>
      <c r="CM6" s="30">
        <v>1.0921693406999109E-2</v>
      </c>
      <c r="CN6" s="30">
        <v>4.0465407073497772E-3</v>
      </c>
      <c r="CO6" s="30">
        <v>1.302310964092612E-3</v>
      </c>
      <c r="CP6" s="30">
        <v>1.0241216048598289E-2</v>
      </c>
      <c r="CQ6" s="30">
        <v>5.9799491427838802E-3</v>
      </c>
      <c r="CR6" s="30">
        <v>-7.5976653024554253E-3</v>
      </c>
      <c r="CS6" s="30">
        <v>2.3250426165759559E-3</v>
      </c>
      <c r="CT6" s="30">
        <v>2.201069891452789E-2</v>
      </c>
      <c r="CU6" s="30">
        <v>2.3386678658425808E-3</v>
      </c>
      <c r="CV6" s="30">
        <v>7.6710118446499109E-4</v>
      </c>
      <c r="CW6" s="30">
        <v>8.8794771581888199E-3</v>
      </c>
      <c r="CX6" s="30">
        <v>1.35622089728713E-2</v>
      </c>
      <c r="CY6" s="30">
        <v>1.2153903022408491E-2</v>
      </c>
      <c r="CZ6" s="30">
        <v>1.677262969315052E-2</v>
      </c>
      <c r="DA6" s="30">
        <v>1.464688777923584E-2</v>
      </c>
      <c r="DB6" s="30">
        <v>1.7232054844498631E-2</v>
      </c>
      <c r="DC6" s="30">
        <v>1.39602292329073E-2</v>
      </c>
      <c r="DD6" s="30">
        <v>9.7235096618533134E-3</v>
      </c>
      <c r="DE6" s="30">
        <v>1.149020344018936E-2</v>
      </c>
      <c r="DF6" s="30">
        <v>5.3679053671658039E-3</v>
      </c>
      <c r="DG6" s="30">
        <v>6.8998713977634907E-3</v>
      </c>
      <c r="DH6" s="30">
        <v>7.6307100243866444E-3</v>
      </c>
      <c r="DI6" s="30">
        <v>1.1459525674581529E-2</v>
      </c>
      <c r="DJ6" s="30">
        <v>9.3496376648545265E-3</v>
      </c>
      <c r="DK6" s="30">
        <v>1.047230791300535E-2</v>
      </c>
      <c r="DL6" s="30">
        <v>9.9879391491413116E-3</v>
      </c>
      <c r="DM6" s="30">
        <v>1.4417587779462339E-2</v>
      </c>
      <c r="DN6" s="30">
        <v>1.5461321920156481E-2</v>
      </c>
      <c r="DO6" s="30">
        <v>7.2593644261360168E-2</v>
      </c>
      <c r="DP6" s="30">
        <v>6.6633999347686768E-2</v>
      </c>
      <c r="DQ6" s="30">
        <v>7.6050832867622375E-2</v>
      </c>
      <c r="DR6" s="30">
        <v>7.9444080591201782E-2</v>
      </c>
      <c r="DS6" s="30">
        <v>9.6407637000083923E-2</v>
      </c>
      <c r="DT6" s="30">
        <v>9.8738469183444977E-2</v>
      </c>
      <c r="DU6" s="30">
        <v>8.4987722337245941E-2</v>
      </c>
      <c r="DV6" s="30">
        <v>8.3614706993103027E-2</v>
      </c>
      <c r="DW6" s="30">
        <v>7.9545408487319946E-2</v>
      </c>
      <c r="DX6" s="30">
        <v>9.6235953271389008E-2</v>
      </c>
      <c r="DY6" s="30">
        <v>0.10154732316732409</v>
      </c>
      <c r="DZ6" s="30">
        <v>0.13149091601371771</v>
      </c>
      <c r="EA6" s="30">
        <v>0.1148593798279762</v>
      </c>
      <c r="EB6" s="30">
        <v>0.11237455904483799</v>
      </c>
      <c r="EC6" s="30">
        <v>0.12511362135410309</v>
      </c>
      <c r="ED6" s="30">
        <v>3.1657200306653983E-2</v>
      </c>
      <c r="EE6" s="30">
        <v>2.9610974714159969E-2</v>
      </c>
      <c r="EF6" s="30">
        <v>3.123905323445797E-2</v>
      </c>
      <c r="EG6" s="16"/>
    </row>
    <row r="7" spans="1:138" s="3" customFormat="1" ht="16" customHeight="1">
      <c r="A7" s="5"/>
      <c r="B7" s="25" t="s">
        <v>140</v>
      </c>
      <c r="C7" s="30">
        <v>2.1774524357169871E-3</v>
      </c>
      <c r="D7" s="30">
        <v>1.301506627351046E-2</v>
      </c>
      <c r="E7" s="30">
        <v>9.8455846309661865E-3</v>
      </c>
      <c r="F7" s="30">
        <v>8.0243432894349098E-3</v>
      </c>
      <c r="G7" s="30">
        <v>-5.2677239291369924E-3</v>
      </c>
      <c r="H7" s="30">
        <v>1.4040330424904819E-3</v>
      </c>
      <c r="I7" s="30">
        <v>3.35096032358706E-3</v>
      </c>
      <c r="J7" s="30">
        <v>-4.0541882626712322E-3</v>
      </c>
      <c r="K7" s="30">
        <v>1.641397830098867E-3</v>
      </c>
      <c r="L7" s="30">
        <v>-3.6045860033482309E-3</v>
      </c>
      <c r="M7" s="30">
        <v>2.5401564780622721E-3</v>
      </c>
      <c r="N7" s="30">
        <v>-8.9025497436523438E-3</v>
      </c>
      <c r="O7" s="30">
        <v>1.0533438064157959E-2</v>
      </c>
      <c r="P7" s="30">
        <v>9.7276493906974792E-3</v>
      </c>
      <c r="Q7" s="30">
        <v>1.1463933624327179E-2</v>
      </c>
      <c r="R7" s="30">
        <v>2.0894568413496021E-2</v>
      </c>
      <c r="S7" s="30">
        <v>2.1158933639526371E-2</v>
      </c>
      <c r="T7" s="30">
        <v>2.5689143687486649E-2</v>
      </c>
      <c r="U7" s="30">
        <v>2.4543272331356999E-2</v>
      </c>
      <c r="V7" s="30">
        <v>1.1583937332034109E-2</v>
      </c>
      <c r="W7" s="30">
        <v>1.7569646239280701E-2</v>
      </c>
      <c r="X7" s="30">
        <v>8.7800547480583191E-2</v>
      </c>
      <c r="Y7" s="30">
        <v>5.0161927938461297E-2</v>
      </c>
      <c r="Z7" s="30">
        <v>3.1262714415788651E-2</v>
      </c>
      <c r="AA7" s="30">
        <v>4.2858966626226902E-3</v>
      </c>
      <c r="AB7" s="30">
        <v>4.6123538166284561E-2</v>
      </c>
      <c r="AC7" s="30">
        <v>8.0575473606586456E-2</v>
      </c>
      <c r="AD7" s="30">
        <v>3.6530923098325729E-2</v>
      </c>
      <c r="AE7" s="30">
        <v>2.4605680257081989E-2</v>
      </c>
      <c r="AF7" s="30">
        <v>1.2908365577459341E-2</v>
      </c>
      <c r="AG7" s="30">
        <v>2.1753383800387379E-2</v>
      </c>
      <c r="AH7" s="30">
        <v>3.0683320946991439E-3</v>
      </c>
      <c r="AI7" s="30">
        <v>8.5161365568637848E-3</v>
      </c>
      <c r="AJ7" s="30">
        <v>-4.9905562773346901E-3</v>
      </c>
      <c r="AK7" s="30">
        <v>-4.0547512471675873E-3</v>
      </c>
      <c r="AL7" s="30">
        <v>9.6464334055781364E-3</v>
      </c>
      <c r="AM7" s="30">
        <v>2.0504780113697049E-2</v>
      </c>
      <c r="AN7" s="30">
        <v>2.0692810416221619E-2</v>
      </c>
      <c r="AO7" s="30">
        <v>4.6984786167740822E-3</v>
      </c>
      <c r="AP7" s="30">
        <v>-4.5743486844003201E-3</v>
      </c>
      <c r="AQ7" s="30">
        <v>-6.8781576119363308E-3</v>
      </c>
      <c r="AR7" s="30">
        <v>-9.8103778436779976E-3</v>
      </c>
      <c r="AS7" s="30">
        <v>-9.5568029209971428E-3</v>
      </c>
      <c r="AT7" s="30">
        <v>5.923053715378046E-3</v>
      </c>
      <c r="AU7" s="30">
        <v>1.4722419437021019E-3</v>
      </c>
      <c r="AV7" s="30">
        <v>2.8763983398675919E-2</v>
      </c>
      <c r="AW7" s="30">
        <v>2.653876505792141E-2</v>
      </c>
      <c r="AX7" s="30">
        <v>8.3058588206768036E-3</v>
      </c>
      <c r="AY7" s="30">
        <v>5.37489028647542E-3</v>
      </c>
      <c r="AZ7" s="30">
        <v>1.18672801181674E-2</v>
      </c>
      <c r="BA7" s="30">
        <v>1.1852427385747429E-2</v>
      </c>
      <c r="BB7" s="30">
        <v>3.2360877841711037E-2</v>
      </c>
      <c r="BC7" s="30">
        <v>1.428650598973036E-2</v>
      </c>
      <c r="BD7" s="30">
        <v>7.969927042722702E-3</v>
      </c>
      <c r="BE7" s="30">
        <v>-6.0811341973021626E-4</v>
      </c>
      <c r="BF7" s="30">
        <v>-1.118848752230406E-2</v>
      </c>
      <c r="BG7" s="30">
        <v>-1.926126517355442E-2</v>
      </c>
      <c r="BH7" s="30">
        <v>-2.15022973716259E-2</v>
      </c>
      <c r="BI7" s="30">
        <v>5.8418240398168557E-2</v>
      </c>
      <c r="BJ7" s="30">
        <v>4.0143381804227829E-2</v>
      </c>
      <c r="BK7" s="30">
        <v>2.839156799018383E-2</v>
      </c>
      <c r="BL7" s="30">
        <v>2.5553938001394268E-2</v>
      </c>
      <c r="BM7" s="30">
        <v>9.6509531140327454E-3</v>
      </c>
      <c r="BN7" s="30">
        <v>4.6400707215070716E-3</v>
      </c>
      <c r="BO7" s="30">
        <v>3.6845332942903042E-3</v>
      </c>
      <c r="BP7" s="30">
        <v>1.329131051898003E-2</v>
      </c>
      <c r="BQ7" s="30">
        <v>7.8903371468186378E-3</v>
      </c>
      <c r="BR7" s="30">
        <v>7.0404992438852787E-3</v>
      </c>
      <c r="BS7" s="30">
        <v>7.1611646562814713E-3</v>
      </c>
      <c r="BT7" s="30">
        <v>1.4413587749004361E-2</v>
      </c>
      <c r="BU7" s="30">
        <v>1.103820279240608E-2</v>
      </c>
      <c r="BV7" s="30">
        <v>2.3246251046657559E-2</v>
      </c>
      <c r="BW7" s="30">
        <v>2.311362512409687E-2</v>
      </c>
      <c r="BX7" s="30">
        <v>7.0206619799137115E-2</v>
      </c>
      <c r="BY7" s="30">
        <v>6.1465926468372338E-2</v>
      </c>
      <c r="BZ7" s="30">
        <v>5.822661891579628E-2</v>
      </c>
      <c r="CA7" s="30">
        <v>4.9403347074985504E-3</v>
      </c>
      <c r="CB7" s="30">
        <v>1.0325175710022449E-2</v>
      </c>
      <c r="CC7" s="30">
        <v>5.5629480630159378E-4</v>
      </c>
      <c r="CD7" s="30">
        <v>2.5742873549461361E-2</v>
      </c>
      <c r="CE7" s="30">
        <v>2.6346748694777489E-2</v>
      </c>
      <c r="CF7" s="30">
        <v>2.078045159578323E-2</v>
      </c>
      <c r="CG7" s="30">
        <v>1.9359627738595009E-2</v>
      </c>
      <c r="CH7" s="30">
        <v>2.7750680223107341E-2</v>
      </c>
      <c r="CI7" s="30">
        <v>2.482840791344643E-2</v>
      </c>
      <c r="CJ7" s="30">
        <v>2.208101749420166E-2</v>
      </c>
      <c r="CK7" s="30">
        <v>8.6565986275672913E-3</v>
      </c>
      <c r="CL7" s="30">
        <v>7.0795947685837746E-3</v>
      </c>
      <c r="CM7" s="30">
        <v>8.4662102162837982E-3</v>
      </c>
      <c r="CN7" s="30">
        <v>2.7852556668221951E-3</v>
      </c>
      <c r="CO7" s="30">
        <v>6.0324417427182198E-3</v>
      </c>
      <c r="CP7" s="30">
        <v>4.8775835894048214E-3</v>
      </c>
      <c r="CQ7" s="30">
        <v>-8.8366348063573241E-4</v>
      </c>
      <c r="CR7" s="30">
        <v>-2.9415215831249948E-3</v>
      </c>
      <c r="CS7" s="30">
        <v>-6.5762377344071874E-3</v>
      </c>
      <c r="CT7" s="30">
        <v>-5.0856703892350197E-3</v>
      </c>
      <c r="CU7" s="30">
        <v>3.7310883402824402E-2</v>
      </c>
      <c r="CV7" s="30">
        <v>3.0856955796480179E-2</v>
      </c>
      <c r="CW7" s="30">
        <v>1.9465599209070209E-2</v>
      </c>
      <c r="CX7" s="30">
        <v>2.1523755043745041E-2</v>
      </c>
      <c r="CY7" s="30">
        <v>3.0290527269244191E-2</v>
      </c>
      <c r="CZ7" s="30">
        <v>3.0590202659368518E-2</v>
      </c>
      <c r="DA7" s="30">
        <v>2.849986590445042E-2</v>
      </c>
      <c r="DB7" s="30">
        <v>2.1195517852902409E-2</v>
      </c>
      <c r="DC7" s="30">
        <v>2.6068830862641331E-2</v>
      </c>
      <c r="DD7" s="30">
        <v>5.9307549148797989E-2</v>
      </c>
      <c r="DE7" s="30">
        <v>1.9247701391577721E-2</v>
      </c>
      <c r="DF7" s="30">
        <v>1.8887985497713089E-2</v>
      </c>
      <c r="DG7" s="30">
        <v>1.481551211327314E-2</v>
      </c>
      <c r="DH7" s="30">
        <v>1.667135767638683E-2</v>
      </c>
      <c r="DI7" s="30">
        <v>1.7327722162008289E-2</v>
      </c>
      <c r="DJ7" s="30">
        <v>1.56103502959013E-2</v>
      </c>
      <c r="DK7" s="30">
        <v>1.583695225417614E-2</v>
      </c>
      <c r="DL7" s="30">
        <v>1.7583077773451809E-2</v>
      </c>
      <c r="DM7" s="30">
        <v>1.280764956027269E-2</v>
      </c>
      <c r="DN7" s="30">
        <v>2.0481692627072331E-2</v>
      </c>
      <c r="DO7" s="30">
        <v>1.108080800622702E-2</v>
      </c>
      <c r="DP7" s="30">
        <v>1.5453166328370569E-2</v>
      </c>
      <c r="DQ7" s="30">
        <v>1.020689029246569E-2</v>
      </c>
      <c r="DR7" s="30">
        <v>1.2916479259729391E-2</v>
      </c>
      <c r="DS7" s="30">
        <v>1.966420374810696E-2</v>
      </c>
      <c r="DT7" s="30">
        <v>2.2220226004719731E-2</v>
      </c>
      <c r="DU7" s="30">
        <v>2.3969663307070729E-2</v>
      </c>
      <c r="DV7" s="30">
        <v>1.4732354320585729E-2</v>
      </c>
      <c r="DW7" s="30">
        <v>1.3176582753658289E-2</v>
      </c>
      <c r="DX7" s="30">
        <v>1.7936071380972859E-2</v>
      </c>
      <c r="DY7" s="30">
        <v>1.6969321295619011E-2</v>
      </c>
      <c r="DZ7" s="30">
        <v>1.628573052585125E-2</v>
      </c>
      <c r="EA7" s="30">
        <v>1.1118081398308281E-2</v>
      </c>
      <c r="EB7" s="30">
        <v>1.420325227081776E-2</v>
      </c>
      <c r="EC7" s="30">
        <v>8.9012579992413521E-3</v>
      </c>
      <c r="ED7" s="30">
        <v>7.0330379530787468E-3</v>
      </c>
      <c r="EE7" s="30">
        <v>1.109445281326771E-2</v>
      </c>
      <c r="EF7" s="30">
        <v>1.149675436317921E-2</v>
      </c>
    </row>
    <row r="8" spans="1:138" s="3" customFormat="1" ht="16" customHeight="1">
      <c r="A8" s="50" t="s">
        <v>141</v>
      </c>
      <c r="B8" s="51"/>
      <c r="C8" s="19">
        <f t="array" ref="C8">MATCH(MAX(ABS(C3:C7)), ABS(C3:C7), 0)</f>
        <v>1</v>
      </c>
      <c r="D8" s="19">
        <f t="array" ref="D8">MATCH(MAX(ABS(D3:D7)), ABS(D3:D7), 0)</f>
        <v>3</v>
      </c>
      <c r="E8" s="19">
        <f t="array" ref="E8">MATCH(MAX(ABS(E3:E7)), ABS(E3:E7), 0)</f>
        <v>3</v>
      </c>
      <c r="F8" s="19">
        <f t="array" ref="F8">MATCH(MAX(ABS(F3:F7)), ABS(F3:F7), 0)</f>
        <v>1</v>
      </c>
      <c r="G8" s="19">
        <f t="array" ref="G8">MATCH(MAX(ABS(G3:G7)), ABS(G3:G7), 0)</f>
        <v>1</v>
      </c>
      <c r="H8" s="19">
        <f t="array" ref="H8">MATCH(MAX(ABS(H3:H7)), ABS(H3:H7), 0)</f>
        <v>3</v>
      </c>
      <c r="I8" s="19">
        <f t="array" ref="I8">MATCH(MAX(ABS(I3:I7)), ABS(I3:I7), 0)</f>
        <v>2</v>
      </c>
      <c r="J8" s="19">
        <f t="array" ref="J8">MATCH(MAX(ABS(J3:J7)), ABS(J3:J7), 0)</f>
        <v>1</v>
      </c>
      <c r="K8" s="19">
        <f t="array" ref="K8">MATCH(MAX(ABS(K3:K7)), ABS(K3:K7), 0)</f>
        <v>2</v>
      </c>
      <c r="L8" s="19">
        <f t="array" ref="L8">MATCH(MAX(ABS(L3:L7)), ABS(L3:L7), 0)</f>
        <v>1</v>
      </c>
      <c r="M8" s="19">
        <f t="array" ref="M8">MATCH(MAX(ABS(M3:M7)), ABS(M3:M7), 0)</f>
        <v>2</v>
      </c>
      <c r="N8" s="19">
        <f t="array" ref="N8">MATCH(MAX(ABS(N3:N7)), ABS(N3:N7), 0)</f>
        <v>3</v>
      </c>
      <c r="O8" s="19">
        <f t="array" ref="O8">MATCH(MAX(ABS(O3:O7)), ABS(O3:O7), 0)</f>
        <v>3</v>
      </c>
      <c r="P8" s="19">
        <f t="array" ref="P8">MATCH(MAX(ABS(P3:P7)), ABS(P3:P7), 0)</f>
        <v>3</v>
      </c>
      <c r="Q8" s="19">
        <f t="array" ref="Q8">MATCH(MAX(ABS(Q3:Q7)), ABS(Q3:Q7), 0)</f>
        <v>3</v>
      </c>
      <c r="R8" s="19">
        <f t="array" ref="R8">MATCH(MAX(ABS(R3:R7)), ABS(R3:R7), 0)</f>
        <v>3</v>
      </c>
      <c r="S8" s="19">
        <f t="array" ref="S8">MATCH(MAX(ABS(S3:S7)), ABS(S3:S7), 0)</f>
        <v>3</v>
      </c>
      <c r="T8" s="19">
        <f t="array" ref="T8">MATCH(MAX(ABS(T3:T7)), ABS(T3:T7), 0)</f>
        <v>3</v>
      </c>
      <c r="U8" s="19">
        <f t="array" ref="U8">MATCH(MAX(ABS(U3:U7)), ABS(U3:U7), 0)</f>
        <v>5</v>
      </c>
      <c r="V8" s="19">
        <f t="array" ref="V8">MATCH(MAX(ABS(V3:V7)), ABS(V3:V7), 0)</f>
        <v>3</v>
      </c>
      <c r="W8" s="19">
        <f t="array" ref="W8">MATCH(MAX(ABS(W3:W7)), ABS(W3:W7), 0)</f>
        <v>3</v>
      </c>
      <c r="X8" s="19">
        <f t="array" ref="X8">MATCH(MAX(ABS(X3:X7)), ABS(X3:X7), 0)</f>
        <v>5</v>
      </c>
      <c r="Y8" s="19">
        <f t="array" ref="Y8">MATCH(MAX(ABS(Y3:Y7)), ABS(Y3:Y7), 0)</f>
        <v>5</v>
      </c>
      <c r="Z8" s="19">
        <f t="array" ref="Z8">MATCH(MAX(ABS(Z3:Z7)), ABS(Z3:Z7), 0)</f>
        <v>2</v>
      </c>
      <c r="AA8" s="19">
        <f t="array" ref="AA8">MATCH(MAX(ABS(AA3:AA7)), ABS(AA3:AA7), 0)</f>
        <v>2</v>
      </c>
      <c r="AB8" s="19">
        <f t="array" ref="AB8">MATCH(MAX(ABS(AB3:AB7)), ABS(AB3:AB7), 0)</f>
        <v>2</v>
      </c>
      <c r="AC8" s="19">
        <f t="array" ref="AC8">MATCH(MAX(ABS(AC3:AC7)), ABS(AC3:AC7), 0)</f>
        <v>5</v>
      </c>
      <c r="AD8" s="19">
        <f t="array" ref="AD8">MATCH(MAX(ABS(AD3:AD7)), ABS(AD3:AD7), 0)</f>
        <v>2</v>
      </c>
      <c r="AE8" s="19">
        <f t="array" ref="AE8">MATCH(MAX(ABS(AE3:AE7)), ABS(AE3:AE7), 0)</f>
        <v>2</v>
      </c>
      <c r="AF8" s="19">
        <f t="array" ref="AF8">MATCH(MAX(ABS(AF3:AF7)), ABS(AF3:AF7), 0)</f>
        <v>2</v>
      </c>
      <c r="AG8" s="19">
        <f t="array" ref="AG8">MATCH(MAX(ABS(AG3:AG7)), ABS(AG3:AG7), 0)</f>
        <v>1</v>
      </c>
      <c r="AH8" s="19">
        <f t="array" ref="AH8">MATCH(MAX(ABS(AH3:AH7)), ABS(AH3:AH7), 0)</f>
        <v>4</v>
      </c>
      <c r="AI8" s="19">
        <f t="array" ref="AI8">MATCH(MAX(ABS(AI3:AI7)), ABS(AI3:AI7), 0)</f>
        <v>3</v>
      </c>
      <c r="AJ8" s="19">
        <f t="array" ref="AJ8">MATCH(MAX(ABS(AJ3:AJ7)), ABS(AJ3:AJ7), 0)</f>
        <v>4</v>
      </c>
      <c r="AK8" s="19">
        <f t="array" ref="AK8">MATCH(MAX(ABS(AK3:AK7)), ABS(AK3:AK7), 0)</f>
        <v>1</v>
      </c>
      <c r="AL8" s="19">
        <f t="array" ref="AL8">MATCH(MAX(ABS(AL3:AL7)), ABS(AL3:AL7), 0)</f>
        <v>1</v>
      </c>
      <c r="AM8" s="19">
        <f t="array" ref="AM8">MATCH(MAX(ABS(AM3:AM7)), ABS(AM3:AM7), 0)</f>
        <v>3</v>
      </c>
      <c r="AN8" s="19">
        <f t="array" ref="AN8">MATCH(MAX(ABS(AN3:AN7)), ABS(AN3:AN7), 0)</f>
        <v>1</v>
      </c>
      <c r="AO8" s="19">
        <f t="array" ref="AO8">MATCH(MAX(ABS(AO3:AO7)), ABS(AO3:AO7), 0)</f>
        <v>1</v>
      </c>
      <c r="AP8" s="19">
        <f t="array" ref="AP8">MATCH(MAX(ABS(AP3:AP7)), ABS(AP3:AP7), 0)</f>
        <v>1</v>
      </c>
      <c r="AQ8" s="19">
        <f t="array" ref="AQ8">MATCH(MAX(ABS(AQ3:AQ7)), ABS(AQ3:AQ7), 0)</f>
        <v>1</v>
      </c>
      <c r="AR8" s="19">
        <f t="array" ref="AR8">MATCH(MAX(ABS(AR3:AR7)), ABS(AR3:AR7), 0)</f>
        <v>4</v>
      </c>
      <c r="AS8" s="19">
        <f t="array" ref="AS8">MATCH(MAX(ABS(AS3:AS7)), ABS(AS3:AS7), 0)</f>
        <v>1</v>
      </c>
      <c r="AT8" s="19">
        <f t="array" ref="AT8">MATCH(MAX(ABS(AT3:AT7)), ABS(AT3:AT7), 0)</f>
        <v>4</v>
      </c>
      <c r="AU8" s="19">
        <f t="array" ref="AU8">MATCH(MAX(ABS(AU3:AU7)), ABS(AU3:AU7), 0)</f>
        <v>2</v>
      </c>
      <c r="AV8" s="19">
        <f t="array" ref="AV8">MATCH(MAX(ABS(AV3:AV7)), ABS(AV3:AV7), 0)</f>
        <v>1</v>
      </c>
      <c r="AW8" s="19">
        <f t="array" ref="AW8">MATCH(MAX(ABS(AW3:AW7)), ABS(AW3:AW7), 0)</f>
        <v>5</v>
      </c>
      <c r="AX8" s="19">
        <f t="array" ref="AX8">MATCH(MAX(ABS(AX3:AX7)), ABS(AX3:AX7), 0)</f>
        <v>4</v>
      </c>
      <c r="AY8" s="19">
        <f t="array" ref="AY8">MATCH(MAX(ABS(AY3:AY7)), ABS(AY3:AY7), 0)</f>
        <v>1</v>
      </c>
      <c r="AZ8" s="19">
        <f t="array" ref="AZ8">MATCH(MAX(ABS(AZ3:AZ7)), ABS(AZ3:AZ7), 0)</f>
        <v>1</v>
      </c>
      <c r="BA8" s="19">
        <f t="array" ref="BA8">MATCH(MAX(ABS(BA3:BA7)), ABS(BA3:BA7), 0)</f>
        <v>1</v>
      </c>
      <c r="BB8" s="19">
        <f t="array" ref="BB8">MATCH(MAX(ABS(BB3:BB7)), ABS(BB3:BB7), 0)</f>
        <v>5</v>
      </c>
      <c r="BC8" s="19">
        <f t="array" ref="BC8">MATCH(MAX(ABS(BC3:BC7)), ABS(BC3:BC7), 0)</f>
        <v>1</v>
      </c>
      <c r="BD8" s="19">
        <f t="array" ref="BD8">MATCH(MAX(ABS(BD3:BD7)), ABS(BD3:BD7), 0)</f>
        <v>3</v>
      </c>
      <c r="BE8" s="19">
        <f t="array" ref="BE8">MATCH(MAX(ABS(BE3:BE7)), ABS(BE3:BE7), 0)</f>
        <v>4</v>
      </c>
      <c r="BF8" s="19">
        <f t="array" ref="BF8">MATCH(MAX(ABS(BF3:BF7)), ABS(BF3:BF7), 0)</f>
        <v>1</v>
      </c>
      <c r="BG8" s="19">
        <f t="array" ref="BG8">MATCH(MAX(ABS(BG3:BG7)), ABS(BG3:BG7), 0)</f>
        <v>3</v>
      </c>
      <c r="BH8" s="19">
        <f t="array" ref="BH8">MATCH(MAX(ABS(BH3:BH7)), ABS(BH3:BH7), 0)</f>
        <v>3</v>
      </c>
      <c r="BI8" s="19">
        <f t="array" ref="BI8">MATCH(MAX(ABS(BI3:BI7)), ABS(BI3:BI7), 0)</f>
        <v>1</v>
      </c>
      <c r="BJ8" s="19">
        <f t="array" ref="BJ8">MATCH(MAX(ABS(BJ3:BJ7)), ABS(BJ3:BJ7), 0)</f>
        <v>1</v>
      </c>
      <c r="BK8" s="19">
        <f t="array" ref="BK8">MATCH(MAX(ABS(BK3:BK7)), ABS(BK3:BK7), 0)</f>
        <v>3</v>
      </c>
      <c r="BL8" s="19">
        <f t="array" ref="BL8">MATCH(MAX(ABS(BL3:BL7)), ABS(BL3:BL7), 0)</f>
        <v>1</v>
      </c>
      <c r="BM8" s="19">
        <f t="array" ref="BM8">MATCH(MAX(ABS(BM3:BM7)), ABS(BM3:BM7), 0)</f>
        <v>3</v>
      </c>
      <c r="BN8" s="19">
        <f t="array" ref="BN8">MATCH(MAX(ABS(BN3:BN7)), ABS(BN3:BN7), 0)</f>
        <v>3</v>
      </c>
      <c r="BO8" s="19">
        <f t="array" ref="BO8">MATCH(MAX(ABS(BO3:BO7)), ABS(BO3:BO7), 0)</f>
        <v>3</v>
      </c>
      <c r="BP8" s="19">
        <f t="array" ref="BP8">MATCH(MAX(ABS(BP3:BP7)), ABS(BP3:BP7), 0)</f>
        <v>3</v>
      </c>
      <c r="BQ8" s="19">
        <f t="array" ref="BQ8">MATCH(MAX(ABS(BQ3:BQ7)), ABS(BQ3:BQ7), 0)</f>
        <v>2</v>
      </c>
      <c r="BR8" s="19">
        <f t="array" ref="BR8">MATCH(MAX(ABS(BR3:BR7)), ABS(BR3:BR7), 0)</f>
        <v>2</v>
      </c>
      <c r="BS8" s="19">
        <f t="array" ref="BS8">MATCH(MAX(ABS(BS3:BS7)), ABS(BS3:BS7), 0)</f>
        <v>3</v>
      </c>
      <c r="BT8" s="19">
        <f t="array" ref="BT8">MATCH(MAX(ABS(BT3:BT7)), ABS(BT3:BT7), 0)</f>
        <v>1</v>
      </c>
      <c r="BU8" s="19">
        <f t="array" ref="BU8">MATCH(MAX(ABS(BU3:BU7)), ABS(BU3:BU7), 0)</f>
        <v>3</v>
      </c>
      <c r="BV8" s="19">
        <f t="array" ref="BV8">MATCH(MAX(ABS(BV3:BV7)), ABS(BV3:BV7), 0)</f>
        <v>3</v>
      </c>
      <c r="BW8" s="19">
        <f t="array" ref="BW8">MATCH(MAX(ABS(BW3:BW7)), ABS(BW3:BW7), 0)</f>
        <v>3</v>
      </c>
      <c r="BX8" s="19">
        <f t="array" ref="BX8">MATCH(MAX(ABS(BX3:BX7)), ABS(BX3:BX7), 0)</f>
        <v>5</v>
      </c>
      <c r="BY8" s="19">
        <f t="array" ref="BY8">MATCH(MAX(ABS(BY3:BY7)), ABS(BY3:BY7), 0)</f>
        <v>5</v>
      </c>
      <c r="BZ8" s="19">
        <f t="array" ref="BZ8">MATCH(MAX(ABS(BZ3:BZ7)), ABS(BZ3:BZ7), 0)</f>
        <v>5</v>
      </c>
      <c r="CA8" s="19">
        <f t="array" ref="CA8">MATCH(MAX(ABS(CA3:CA7)), ABS(CA3:CA7), 0)</f>
        <v>3</v>
      </c>
      <c r="CB8" s="19">
        <f t="array" ref="CB8">MATCH(MAX(ABS(CB3:CB7)), ABS(CB3:CB7), 0)</f>
        <v>4</v>
      </c>
      <c r="CC8" s="19">
        <f t="array" ref="CC8">MATCH(MAX(ABS(CC3:CC7)), ABS(CC3:CC7), 0)</f>
        <v>1</v>
      </c>
      <c r="CD8" s="19">
        <f t="array" ref="CD8">MATCH(MAX(ABS(CD3:CD7)), ABS(CD3:CD7), 0)</f>
        <v>3</v>
      </c>
      <c r="CE8" s="19">
        <f t="array" ref="CE8">MATCH(MAX(ABS(CE3:CE7)), ABS(CE3:CE7), 0)</f>
        <v>5</v>
      </c>
      <c r="CF8" s="19">
        <f t="array" ref="CF8">MATCH(MAX(ABS(CF3:CF7)), ABS(CF3:CF7), 0)</f>
        <v>1</v>
      </c>
      <c r="CG8" s="19">
        <f t="array" ref="CG8">MATCH(MAX(ABS(CG3:CG7)), ABS(CG3:CG7), 0)</f>
        <v>1</v>
      </c>
      <c r="CH8" s="19">
        <f t="array" ref="CH8">MATCH(MAX(ABS(CH3:CH7)), ABS(CH3:CH7), 0)</f>
        <v>5</v>
      </c>
      <c r="CI8" s="19">
        <f t="array" ref="CI8">MATCH(MAX(ABS(CI3:CI7)), ABS(CI3:CI7), 0)</f>
        <v>5</v>
      </c>
      <c r="CJ8" s="19">
        <f t="array" ref="CJ8">MATCH(MAX(ABS(CJ3:CJ7)), ABS(CJ3:CJ7), 0)</f>
        <v>4</v>
      </c>
      <c r="CK8" s="19">
        <f t="array" ref="CK8">MATCH(MAX(ABS(CK3:CK7)), ABS(CK3:CK7), 0)</f>
        <v>1</v>
      </c>
      <c r="CL8" s="19">
        <f t="array" ref="CL8">MATCH(MAX(ABS(CL3:CL7)), ABS(CL3:CL7), 0)</f>
        <v>3</v>
      </c>
      <c r="CM8" s="19">
        <f t="array" ref="CM8">MATCH(MAX(ABS(CM3:CM7)), ABS(CM3:CM7), 0)</f>
        <v>1</v>
      </c>
      <c r="CN8" s="19">
        <f t="array" ref="CN8">MATCH(MAX(ABS(CN3:CN7)), ABS(CN3:CN7), 0)</f>
        <v>1</v>
      </c>
      <c r="CO8" s="19">
        <f t="array" ref="CO8">MATCH(MAX(ABS(CO3:CO7)), ABS(CO3:CO7), 0)</f>
        <v>1</v>
      </c>
      <c r="CP8" s="19">
        <f t="array" ref="CP8">MATCH(MAX(ABS(CP3:CP7)), ABS(CP3:CP7), 0)</f>
        <v>2</v>
      </c>
      <c r="CQ8" s="19">
        <f t="array" ref="CQ8">MATCH(MAX(ABS(CQ3:CQ7)), ABS(CQ3:CQ7), 0)</f>
        <v>1</v>
      </c>
      <c r="CR8" s="19">
        <f t="array" ref="CR8">MATCH(MAX(ABS(CR3:CR7)), ABS(CR3:CR7), 0)</f>
        <v>2</v>
      </c>
      <c r="CS8" s="19">
        <f t="array" ref="CS8">MATCH(MAX(ABS(CS3:CS7)), ABS(CS3:CS7), 0)</f>
        <v>2</v>
      </c>
      <c r="CT8" s="19">
        <f t="array" ref="CT8">MATCH(MAX(ABS(CT3:CT7)), ABS(CT3:CT7), 0)</f>
        <v>1</v>
      </c>
      <c r="CU8" s="19">
        <f t="array" ref="CU8">MATCH(MAX(ABS(CU3:CU7)), ABS(CU3:CU7), 0)</f>
        <v>3</v>
      </c>
      <c r="CV8" s="19">
        <f t="array" ref="CV8">MATCH(MAX(ABS(CV3:CV7)), ABS(CV3:CV7), 0)</f>
        <v>5</v>
      </c>
      <c r="CW8" s="19">
        <f t="array" ref="CW8">MATCH(MAX(ABS(CW3:CW7)), ABS(CW3:CW7), 0)</f>
        <v>3</v>
      </c>
      <c r="CX8" s="19">
        <f t="array" ref="CX8">MATCH(MAX(ABS(CX3:CX7)), ABS(CX3:CX7), 0)</f>
        <v>3</v>
      </c>
      <c r="CY8" s="19">
        <f t="array" ref="CY8">MATCH(MAX(ABS(CY3:CY7)), ABS(CY3:CY7), 0)</f>
        <v>5</v>
      </c>
      <c r="CZ8" s="19">
        <f t="array" ref="CZ8">MATCH(MAX(ABS(CZ3:CZ7)), ABS(CZ3:CZ7), 0)</f>
        <v>3</v>
      </c>
      <c r="DA8" s="19">
        <f t="array" ref="DA8">MATCH(MAX(ABS(DA3:DA7)), ABS(DA3:DA7), 0)</f>
        <v>2</v>
      </c>
      <c r="DB8" s="19">
        <f t="array" ref="DB8">MATCH(MAX(ABS(DB3:DB7)), ABS(DB3:DB7), 0)</f>
        <v>3</v>
      </c>
      <c r="DC8" s="19">
        <f t="array" ref="DC8">MATCH(MAX(ABS(DC3:DC7)), ABS(DC3:DC7), 0)</f>
        <v>3</v>
      </c>
      <c r="DD8" s="19">
        <f t="array" ref="DD8">MATCH(MAX(ABS(DD3:DD7)), ABS(DD3:DD7), 0)</f>
        <v>5</v>
      </c>
      <c r="DE8" s="19">
        <f t="array" ref="DE8">MATCH(MAX(ABS(DE3:DE7)), ABS(DE3:DE7), 0)</f>
        <v>3</v>
      </c>
      <c r="DF8" s="19">
        <f t="array" ref="DF8">MATCH(MAX(ABS(DF3:DF7)), ABS(DF3:DF7), 0)</f>
        <v>3</v>
      </c>
      <c r="DG8" s="19">
        <f t="array" ref="DG8">MATCH(MAX(ABS(DG3:DG7)), ABS(DG3:DG7), 0)</f>
        <v>3</v>
      </c>
      <c r="DH8" s="19">
        <f t="array" ref="DH8">MATCH(MAX(ABS(DH3:DH7)), ABS(DH3:DH7), 0)</f>
        <v>3</v>
      </c>
      <c r="DI8" s="19">
        <f t="array" ref="DI8">MATCH(MAX(ABS(DI3:DI7)), ABS(DI3:DI7), 0)</f>
        <v>3</v>
      </c>
      <c r="DJ8" s="19">
        <f t="array" ref="DJ8">MATCH(MAX(ABS(DJ3:DJ7)), ABS(DJ3:DJ7), 0)</f>
        <v>3</v>
      </c>
      <c r="DK8" s="19">
        <f t="array" ref="DK8">MATCH(MAX(ABS(DK3:DK7)), ABS(DK3:DK7), 0)</f>
        <v>1</v>
      </c>
      <c r="DL8" s="19">
        <f t="array" ref="DL8">MATCH(MAX(ABS(DL3:DL7)), ABS(DL3:DL7), 0)</f>
        <v>1</v>
      </c>
      <c r="DM8" s="19">
        <f t="array" ref="DM8">MATCH(MAX(ABS(DM3:DM7)), ABS(DM3:DM7), 0)</f>
        <v>1</v>
      </c>
      <c r="DN8" s="19">
        <f t="array" ref="DN8">MATCH(MAX(ABS(DN3:DN7)), ABS(DN3:DN7), 0)</f>
        <v>5</v>
      </c>
      <c r="DO8" s="19">
        <f t="array" ref="DO8">MATCH(MAX(ABS(DO3:DO7)), ABS(DO3:DO7), 0)</f>
        <v>4</v>
      </c>
      <c r="DP8" s="19">
        <f t="array" ref="DP8">MATCH(MAX(ABS(DP3:DP7)), ABS(DP3:DP7), 0)</f>
        <v>4</v>
      </c>
      <c r="DQ8" s="19">
        <f t="array" ref="DQ8">MATCH(MAX(ABS(DQ3:DQ7)), ABS(DQ3:DQ7), 0)</f>
        <v>4</v>
      </c>
      <c r="DR8" s="19">
        <f t="array" ref="DR8">MATCH(MAX(ABS(DR3:DR7)), ABS(DR3:DR7), 0)</f>
        <v>4</v>
      </c>
      <c r="DS8" s="19">
        <f t="array" ref="DS8">MATCH(MAX(ABS(DS3:DS7)), ABS(DS3:DS7), 0)</f>
        <v>4</v>
      </c>
      <c r="DT8" s="19">
        <f t="array" ref="DT8">MATCH(MAX(ABS(DT3:DT7)), ABS(DT3:DT7), 0)</f>
        <v>4</v>
      </c>
      <c r="DU8" s="19">
        <f t="array" ref="DU8">MATCH(MAX(ABS(DU3:DU7)), ABS(DU3:DU7), 0)</f>
        <v>4</v>
      </c>
      <c r="DV8" s="19">
        <f t="array" ref="DV8">MATCH(MAX(ABS(DV3:DV7)), ABS(DV3:DV7), 0)</f>
        <v>4</v>
      </c>
      <c r="DW8" s="19">
        <f t="array" ref="DW8">MATCH(MAX(ABS(DW3:DW7)), ABS(DW3:DW7), 0)</f>
        <v>4</v>
      </c>
      <c r="DX8" s="19">
        <f t="array" ref="DX8">MATCH(MAX(ABS(DX3:DX7)), ABS(DX3:DX7), 0)</f>
        <v>4</v>
      </c>
      <c r="DY8" s="19">
        <f t="array" ref="DY8">MATCH(MAX(ABS(DY3:DY7)), ABS(DY3:DY7), 0)</f>
        <v>4</v>
      </c>
      <c r="DZ8" s="19">
        <f t="array" ref="DZ8">MATCH(MAX(ABS(DZ3:DZ7)), ABS(DZ3:DZ7), 0)</f>
        <v>4</v>
      </c>
      <c r="EA8" s="19">
        <f t="array" ref="EA8">MATCH(MAX(ABS(EA3:EA7)), ABS(EA3:EA7), 0)</f>
        <v>4</v>
      </c>
      <c r="EB8" s="19">
        <f t="array" ref="EB8">MATCH(MAX(ABS(EB3:EB7)), ABS(EB3:EB7), 0)</f>
        <v>4</v>
      </c>
      <c r="EC8" s="19">
        <f t="array" ref="EC8">MATCH(MAX(ABS(EC3:EC7)), ABS(EC3:EC7), 0)</f>
        <v>4</v>
      </c>
      <c r="ED8" s="19">
        <f t="array" ref="ED8">MATCH(MAX(ABS(ED3:ED7)), ABS(ED3:ED7), 0)</f>
        <v>4</v>
      </c>
      <c r="EE8" s="19">
        <f t="array" ref="EE8">MATCH(MAX(ABS(EE3:EE7)), ABS(EE3:EE7), 0)</f>
        <v>4</v>
      </c>
      <c r="EF8" s="19">
        <f t="array" ref="EF8">MATCH(MAX(ABS(EF3:EF7)), ABS(EF3:EF7), 0)</f>
        <v>4</v>
      </c>
    </row>
    <row r="9" spans="1:138" s="3" customFormat="1" ht="16" customHeight="1">
      <c r="A9" s="5"/>
      <c r="B9" s="17"/>
      <c r="C9" s="19" t="str">
        <f t="shared" ref="C9:BN9" si="0">IF(C8=1,"mom1",
IF(C8=2,"mom12",
IF(C8=3,"chmom",
IF(C8=4,"retvol",
IF(C8=5,"maxret","")))))</f>
        <v>mom1</v>
      </c>
      <c r="D9" s="19" t="str">
        <f t="shared" si="0"/>
        <v>chmom</v>
      </c>
      <c r="E9" s="19" t="str">
        <f t="shared" si="0"/>
        <v>chmom</v>
      </c>
      <c r="F9" s="19" t="str">
        <f t="shared" si="0"/>
        <v>mom1</v>
      </c>
      <c r="G9" s="19" t="str">
        <f t="shared" si="0"/>
        <v>mom1</v>
      </c>
      <c r="H9" s="19" t="str">
        <f t="shared" si="0"/>
        <v>chmom</v>
      </c>
      <c r="I9" s="19" t="str">
        <f t="shared" si="0"/>
        <v>mom12</v>
      </c>
      <c r="J9" s="19" t="str">
        <f t="shared" si="0"/>
        <v>mom1</v>
      </c>
      <c r="K9" s="19" t="str">
        <f t="shared" si="0"/>
        <v>mom12</v>
      </c>
      <c r="L9" s="19" t="str">
        <f t="shared" si="0"/>
        <v>mom1</v>
      </c>
      <c r="M9" s="19" t="str">
        <f t="shared" si="0"/>
        <v>mom12</v>
      </c>
      <c r="N9" s="19" t="str">
        <f t="shared" si="0"/>
        <v>chmom</v>
      </c>
      <c r="O9" s="19" t="str">
        <f t="shared" si="0"/>
        <v>chmom</v>
      </c>
      <c r="P9" s="19" t="str">
        <f t="shared" si="0"/>
        <v>chmom</v>
      </c>
      <c r="Q9" s="19" t="str">
        <f t="shared" si="0"/>
        <v>chmom</v>
      </c>
      <c r="R9" s="19" t="str">
        <f t="shared" si="0"/>
        <v>chmom</v>
      </c>
      <c r="S9" s="19" t="str">
        <f t="shared" si="0"/>
        <v>chmom</v>
      </c>
      <c r="T9" s="19" t="str">
        <f t="shared" si="0"/>
        <v>chmom</v>
      </c>
      <c r="U9" s="19" t="str">
        <f t="shared" si="0"/>
        <v>maxret</v>
      </c>
      <c r="V9" s="19" t="str">
        <f t="shared" si="0"/>
        <v>chmom</v>
      </c>
      <c r="W9" s="19" t="str">
        <f t="shared" si="0"/>
        <v>chmom</v>
      </c>
      <c r="X9" s="19" t="str">
        <f t="shared" si="0"/>
        <v>maxret</v>
      </c>
      <c r="Y9" s="19" t="str">
        <f t="shared" si="0"/>
        <v>maxret</v>
      </c>
      <c r="Z9" s="19" t="str">
        <f t="shared" si="0"/>
        <v>mom12</v>
      </c>
      <c r="AA9" s="19" t="str">
        <f t="shared" si="0"/>
        <v>mom12</v>
      </c>
      <c r="AB9" s="19" t="str">
        <f t="shared" si="0"/>
        <v>mom12</v>
      </c>
      <c r="AC9" s="19" t="str">
        <f t="shared" si="0"/>
        <v>maxret</v>
      </c>
      <c r="AD9" s="19" t="str">
        <f t="shared" si="0"/>
        <v>mom12</v>
      </c>
      <c r="AE9" s="19" t="str">
        <f t="shared" si="0"/>
        <v>mom12</v>
      </c>
      <c r="AF9" s="19" t="str">
        <f t="shared" si="0"/>
        <v>mom12</v>
      </c>
      <c r="AG9" s="19" t="str">
        <f t="shared" si="0"/>
        <v>mom1</v>
      </c>
      <c r="AH9" s="19" t="str">
        <f t="shared" si="0"/>
        <v>retvol</v>
      </c>
      <c r="AI9" s="19" t="str">
        <f t="shared" si="0"/>
        <v>chmom</v>
      </c>
      <c r="AJ9" s="19" t="str">
        <f t="shared" si="0"/>
        <v>retvol</v>
      </c>
      <c r="AK9" s="19" t="str">
        <f t="shared" si="0"/>
        <v>mom1</v>
      </c>
      <c r="AL9" s="19" t="str">
        <f t="shared" si="0"/>
        <v>mom1</v>
      </c>
      <c r="AM9" s="19" t="str">
        <f t="shared" si="0"/>
        <v>chmom</v>
      </c>
      <c r="AN9" s="19" t="str">
        <f t="shared" si="0"/>
        <v>mom1</v>
      </c>
      <c r="AO9" s="19" t="str">
        <f t="shared" si="0"/>
        <v>mom1</v>
      </c>
      <c r="AP9" s="19" t="str">
        <f t="shared" si="0"/>
        <v>mom1</v>
      </c>
      <c r="AQ9" s="19" t="str">
        <f t="shared" si="0"/>
        <v>mom1</v>
      </c>
      <c r="AR9" s="19" t="str">
        <f t="shared" si="0"/>
        <v>retvol</v>
      </c>
      <c r="AS9" s="19" t="str">
        <f t="shared" si="0"/>
        <v>mom1</v>
      </c>
      <c r="AT9" s="19" t="str">
        <f t="shared" si="0"/>
        <v>retvol</v>
      </c>
      <c r="AU9" s="19" t="str">
        <f t="shared" si="0"/>
        <v>mom12</v>
      </c>
      <c r="AV9" s="19" t="str">
        <f t="shared" si="0"/>
        <v>mom1</v>
      </c>
      <c r="AW9" s="19" t="str">
        <f t="shared" si="0"/>
        <v>maxret</v>
      </c>
      <c r="AX9" s="19" t="str">
        <f t="shared" si="0"/>
        <v>retvol</v>
      </c>
      <c r="AY9" s="19" t="str">
        <f t="shared" si="0"/>
        <v>mom1</v>
      </c>
      <c r="AZ9" s="19" t="str">
        <f t="shared" si="0"/>
        <v>mom1</v>
      </c>
      <c r="BA9" s="19" t="str">
        <f t="shared" si="0"/>
        <v>mom1</v>
      </c>
      <c r="BB9" s="19" t="str">
        <f t="shared" si="0"/>
        <v>maxret</v>
      </c>
      <c r="BC9" s="19" t="str">
        <f t="shared" si="0"/>
        <v>mom1</v>
      </c>
      <c r="BD9" s="19" t="str">
        <f t="shared" si="0"/>
        <v>chmom</v>
      </c>
      <c r="BE9" s="19" t="str">
        <f t="shared" si="0"/>
        <v>retvol</v>
      </c>
      <c r="BF9" s="19" t="str">
        <f t="shared" si="0"/>
        <v>mom1</v>
      </c>
      <c r="BG9" s="19" t="str">
        <f t="shared" si="0"/>
        <v>chmom</v>
      </c>
      <c r="BH9" s="19" t="str">
        <f t="shared" si="0"/>
        <v>chmom</v>
      </c>
      <c r="BI9" s="19" t="str">
        <f t="shared" si="0"/>
        <v>mom1</v>
      </c>
      <c r="BJ9" s="19" t="str">
        <f t="shared" si="0"/>
        <v>mom1</v>
      </c>
      <c r="BK9" s="19" t="str">
        <f t="shared" si="0"/>
        <v>chmom</v>
      </c>
      <c r="BL9" s="19" t="str">
        <f t="shared" si="0"/>
        <v>mom1</v>
      </c>
      <c r="BM9" s="19" t="str">
        <f t="shared" si="0"/>
        <v>chmom</v>
      </c>
      <c r="BN9" s="19" t="str">
        <f t="shared" si="0"/>
        <v>chmom</v>
      </c>
      <c r="BO9" s="19" t="str">
        <f t="shared" ref="BO9:DZ9" si="1">IF(BO8=1,"mom1",
IF(BO8=2,"mom12",
IF(BO8=3,"chmom",
IF(BO8=4,"retvol",
IF(BO8=5,"maxret","")))))</f>
        <v>chmom</v>
      </c>
      <c r="BP9" s="19" t="str">
        <f t="shared" si="1"/>
        <v>chmom</v>
      </c>
      <c r="BQ9" s="19" t="str">
        <f t="shared" si="1"/>
        <v>mom12</v>
      </c>
      <c r="BR9" s="19" t="str">
        <f t="shared" si="1"/>
        <v>mom12</v>
      </c>
      <c r="BS9" s="19" t="str">
        <f t="shared" si="1"/>
        <v>chmom</v>
      </c>
      <c r="BT9" s="19" t="str">
        <f t="shared" si="1"/>
        <v>mom1</v>
      </c>
      <c r="BU9" s="19" t="str">
        <f t="shared" si="1"/>
        <v>chmom</v>
      </c>
      <c r="BV9" s="19" t="str">
        <f t="shared" si="1"/>
        <v>chmom</v>
      </c>
      <c r="BW9" s="19" t="str">
        <f t="shared" si="1"/>
        <v>chmom</v>
      </c>
      <c r="BX9" s="19" t="str">
        <f t="shared" si="1"/>
        <v>maxret</v>
      </c>
      <c r="BY9" s="19" t="str">
        <f t="shared" si="1"/>
        <v>maxret</v>
      </c>
      <c r="BZ9" s="19" t="str">
        <f t="shared" si="1"/>
        <v>maxret</v>
      </c>
      <c r="CA9" s="19" t="str">
        <f t="shared" si="1"/>
        <v>chmom</v>
      </c>
      <c r="CB9" s="19" t="str">
        <f t="shared" si="1"/>
        <v>retvol</v>
      </c>
      <c r="CC9" s="19" t="str">
        <f t="shared" si="1"/>
        <v>mom1</v>
      </c>
      <c r="CD9" s="19" t="str">
        <f t="shared" si="1"/>
        <v>chmom</v>
      </c>
      <c r="CE9" s="19" t="str">
        <f t="shared" si="1"/>
        <v>maxret</v>
      </c>
      <c r="CF9" s="19" t="str">
        <f t="shared" si="1"/>
        <v>mom1</v>
      </c>
      <c r="CG9" s="19" t="str">
        <f t="shared" si="1"/>
        <v>mom1</v>
      </c>
      <c r="CH9" s="19" t="str">
        <f t="shared" si="1"/>
        <v>maxret</v>
      </c>
      <c r="CI9" s="19" t="str">
        <f t="shared" si="1"/>
        <v>maxret</v>
      </c>
      <c r="CJ9" s="19" t="str">
        <f t="shared" si="1"/>
        <v>retvol</v>
      </c>
      <c r="CK9" s="19" t="str">
        <f t="shared" si="1"/>
        <v>mom1</v>
      </c>
      <c r="CL9" s="19" t="str">
        <f t="shared" si="1"/>
        <v>chmom</v>
      </c>
      <c r="CM9" s="19" t="str">
        <f t="shared" si="1"/>
        <v>mom1</v>
      </c>
      <c r="CN9" s="19" t="str">
        <f t="shared" si="1"/>
        <v>mom1</v>
      </c>
      <c r="CO9" s="19" t="str">
        <f t="shared" si="1"/>
        <v>mom1</v>
      </c>
      <c r="CP9" s="19" t="str">
        <f t="shared" si="1"/>
        <v>mom12</v>
      </c>
      <c r="CQ9" s="19" t="str">
        <f t="shared" si="1"/>
        <v>mom1</v>
      </c>
      <c r="CR9" s="19" t="str">
        <f t="shared" si="1"/>
        <v>mom12</v>
      </c>
      <c r="CS9" s="19" t="str">
        <f t="shared" si="1"/>
        <v>mom12</v>
      </c>
      <c r="CT9" s="19" t="str">
        <f t="shared" si="1"/>
        <v>mom1</v>
      </c>
      <c r="CU9" s="19" t="str">
        <f t="shared" si="1"/>
        <v>chmom</v>
      </c>
      <c r="CV9" s="19" t="str">
        <f t="shared" si="1"/>
        <v>maxret</v>
      </c>
      <c r="CW9" s="19" t="str">
        <f t="shared" si="1"/>
        <v>chmom</v>
      </c>
      <c r="CX9" s="19" t="str">
        <f t="shared" si="1"/>
        <v>chmom</v>
      </c>
      <c r="CY9" s="19" t="str">
        <f t="shared" si="1"/>
        <v>maxret</v>
      </c>
      <c r="CZ9" s="19" t="str">
        <f t="shared" si="1"/>
        <v>chmom</v>
      </c>
      <c r="DA9" s="19" t="str">
        <f t="shared" si="1"/>
        <v>mom12</v>
      </c>
      <c r="DB9" s="19" t="str">
        <f t="shared" si="1"/>
        <v>chmom</v>
      </c>
      <c r="DC9" s="19" t="str">
        <f t="shared" si="1"/>
        <v>chmom</v>
      </c>
      <c r="DD9" s="19" t="str">
        <f t="shared" si="1"/>
        <v>maxret</v>
      </c>
      <c r="DE9" s="19" t="str">
        <f t="shared" si="1"/>
        <v>chmom</v>
      </c>
      <c r="DF9" s="19" t="str">
        <f t="shared" si="1"/>
        <v>chmom</v>
      </c>
      <c r="DG9" s="19" t="str">
        <f t="shared" si="1"/>
        <v>chmom</v>
      </c>
      <c r="DH9" s="19" t="str">
        <f t="shared" si="1"/>
        <v>chmom</v>
      </c>
      <c r="DI9" s="19" t="str">
        <f t="shared" si="1"/>
        <v>chmom</v>
      </c>
      <c r="DJ9" s="19" t="str">
        <f t="shared" si="1"/>
        <v>chmom</v>
      </c>
      <c r="DK9" s="19" t="str">
        <f t="shared" si="1"/>
        <v>mom1</v>
      </c>
      <c r="DL9" s="19" t="str">
        <f t="shared" si="1"/>
        <v>mom1</v>
      </c>
      <c r="DM9" s="19" t="str">
        <f t="shared" si="1"/>
        <v>mom1</v>
      </c>
      <c r="DN9" s="19" t="str">
        <f t="shared" si="1"/>
        <v>maxret</v>
      </c>
      <c r="DO9" s="19" t="str">
        <f t="shared" si="1"/>
        <v>retvol</v>
      </c>
      <c r="DP9" s="19" t="str">
        <f t="shared" si="1"/>
        <v>retvol</v>
      </c>
      <c r="DQ9" s="19" t="str">
        <f t="shared" si="1"/>
        <v>retvol</v>
      </c>
      <c r="DR9" s="19" t="str">
        <f t="shared" si="1"/>
        <v>retvol</v>
      </c>
      <c r="DS9" s="19" t="str">
        <f t="shared" si="1"/>
        <v>retvol</v>
      </c>
      <c r="DT9" s="19" t="str">
        <f t="shared" si="1"/>
        <v>retvol</v>
      </c>
      <c r="DU9" s="19" t="str">
        <f t="shared" si="1"/>
        <v>retvol</v>
      </c>
      <c r="DV9" s="19" t="str">
        <f t="shared" si="1"/>
        <v>retvol</v>
      </c>
      <c r="DW9" s="19" t="str">
        <f t="shared" si="1"/>
        <v>retvol</v>
      </c>
      <c r="DX9" s="19" t="str">
        <f t="shared" si="1"/>
        <v>retvol</v>
      </c>
      <c r="DY9" s="19" t="str">
        <f t="shared" si="1"/>
        <v>retvol</v>
      </c>
      <c r="DZ9" s="19" t="str">
        <f t="shared" si="1"/>
        <v>retvol</v>
      </c>
      <c r="EA9" s="19" t="str">
        <f t="shared" ref="EA9:EF9" si="2">IF(EA8=1,"mom1",
IF(EA8=2,"mom12",
IF(EA8=3,"chmom",
IF(EA8=4,"retvol",
IF(EA8=5,"maxret","")))))</f>
        <v>retvol</v>
      </c>
      <c r="EB9" s="19" t="str">
        <f t="shared" si="2"/>
        <v>retvol</v>
      </c>
      <c r="EC9" s="19" t="str">
        <f t="shared" si="2"/>
        <v>retvol</v>
      </c>
      <c r="ED9" s="19" t="str">
        <f t="shared" si="2"/>
        <v>retvol</v>
      </c>
      <c r="EE9" s="19" t="str">
        <f t="shared" si="2"/>
        <v>retvol</v>
      </c>
      <c r="EF9" s="19" t="str">
        <f t="shared" si="2"/>
        <v>retvol</v>
      </c>
    </row>
    <row r="10" spans="1:138" s="3" customFormat="1" ht="16" customHeight="1">
      <c r="A10" s="5"/>
      <c r="B10" s="17"/>
      <c r="C10" s="32">
        <f t="shared" ref="C10:BN10" si="3">IF(C8=1,C3,IF(C8=2,C4,IF(C8=3,C5,IF(C8=4,C6,IF(C8=5,C7)))))</f>
        <v>-7.0510312914848328E-2</v>
      </c>
      <c r="D10" s="32">
        <f t="shared" si="3"/>
        <v>-7.8517265617847443E-2</v>
      </c>
      <c r="E10" s="32">
        <f t="shared" si="3"/>
        <v>-7.1969844400882721E-2</v>
      </c>
      <c r="F10" s="32">
        <f t="shared" si="3"/>
        <v>-9.2162974178791046E-2</v>
      </c>
      <c r="G10" s="32">
        <f t="shared" si="3"/>
        <v>-9.0981476008892059E-2</v>
      </c>
      <c r="H10" s="32">
        <f t="shared" si="3"/>
        <v>-1.978492550551891E-2</v>
      </c>
      <c r="I10" s="32">
        <f t="shared" si="3"/>
        <v>6.3727825880050659E-2</v>
      </c>
      <c r="J10" s="32">
        <f t="shared" si="3"/>
        <v>-4.2782600969076157E-2</v>
      </c>
      <c r="K10" s="32">
        <f t="shared" si="3"/>
        <v>6.6770575940608978E-2</v>
      </c>
      <c r="L10" s="32">
        <f t="shared" si="3"/>
        <v>-5.4908208549022668E-2</v>
      </c>
      <c r="M10" s="32">
        <f t="shared" si="3"/>
        <v>2.8019288554787639E-2</v>
      </c>
      <c r="N10" s="32">
        <f t="shared" si="3"/>
        <v>-4.363420233130455E-2</v>
      </c>
      <c r="O10" s="32">
        <f t="shared" si="3"/>
        <v>-5.7530194520950317E-2</v>
      </c>
      <c r="P10" s="32">
        <f t="shared" si="3"/>
        <v>-6.1749737709760673E-2</v>
      </c>
      <c r="Q10" s="32">
        <f t="shared" si="3"/>
        <v>-6.4170286059379578E-2</v>
      </c>
      <c r="R10" s="32">
        <f t="shared" si="3"/>
        <v>-5.6614186614751823E-2</v>
      </c>
      <c r="S10" s="32">
        <f t="shared" si="3"/>
        <v>-3.9280273020267487E-2</v>
      </c>
      <c r="T10" s="32">
        <f t="shared" si="3"/>
        <v>-4.5374378561973572E-2</v>
      </c>
      <c r="U10" s="32">
        <f t="shared" si="3"/>
        <v>2.4543272331356999E-2</v>
      </c>
      <c r="V10" s="32">
        <f t="shared" si="3"/>
        <v>-5.0834860652685172E-2</v>
      </c>
      <c r="W10" s="32">
        <f t="shared" si="3"/>
        <v>-4.3037977069616318E-2</v>
      </c>
      <c r="X10" s="32">
        <f t="shared" si="3"/>
        <v>8.7800547480583191E-2</v>
      </c>
      <c r="Y10" s="32">
        <f t="shared" si="3"/>
        <v>5.0161927938461297E-2</v>
      </c>
      <c r="Z10" s="32">
        <f t="shared" si="3"/>
        <v>5.6920211762189872E-2</v>
      </c>
      <c r="AA10" s="32">
        <f t="shared" si="3"/>
        <v>9.8233535885810852E-2</v>
      </c>
      <c r="AB10" s="32">
        <f t="shared" si="3"/>
        <v>6.4750097692012787E-2</v>
      </c>
      <c r="AC10" s="32">
        <f t="shared" si="3"/>
        <v>8.0575473606586456E-2</v>
      </c>
      <c r="AD10" s="32">
        <f t="shared" si="3"/>
        <v>5.1507804542779922E-2</v>
      </c>
      <c r="AE10" s="32">
        <f t="shared" si="3"/>
        <v>4.9662109464406967E-2</v>
      </c>
      <c r="AF10" s="32">
        <f t="shared" si="3"/>
        <v>2.0239388570189479E-2</v>
      </c>
      <c r="AG10" s="32">
        <f t="shared" si="3"/>
        <v>-4.2137693613767617E-2</v>
      </c>
      <c r="AH10" s="32">
        <f t="shared" si="3"/>
        <v>5.198381096124649E-2</v>
      </c>
      <c r="AI10" s="32">
        <f t="shared" si="3"/>
        <v>-2.9802717268466949E-2</v>
      </c>
      <c r="AJ10" s="32">
        <f t="shared" si="3"/>
        <v>1.617512293159962E-2</v>
      </c>
      <c r="AK10" s="32">
        <f t="shared" si="3"/>
        <v>-4.1931521147489548E-2</v>
      </c>
      <c r="AL10" s="32">
        <f t="shared" si="3"/>
        <v>-3.6095079034566879E-2</v>
      </c>
      <c r="AM10" s="32">
        <f t="shared" si="3"/>
        <v>-2.1816307678818699E-2</v>
      </c>
      <c r="AN10" s="32">
        <f t="shared" si="3"/>
        <v>-2.8956376016139981E-2</v>
      </c>
      <c r="AO10" s="32">
        <f t="shared" si="3"/>
        <v>-4.2428314685821533E-2</v>
      </c>
      <c r="AP10" s="32">
        <f t="shared" si="3"/>
        <v>-4.9674943089485168E-2</v>
      </c>
      <c r="AQ10" s="32">
        <f t="shared" si="3"/>
        <v>-3.2604295760393143E-2</v>
      </c>
      <c r="AR10" s="32">
        <f t="shared" si="3"/>
        <v>2.0699001848697659E-2</v>
      </c>
      <c r="AS10" s="32">
        <f t="shared" si="3"/>
        <v>-3.5700481384992599E-2</v>
      </c>
      <c r="AT10" s="32">
        <f t="shared" si="3"/>
        <v>1.9905209541320801E-2</v>
      </c>
      <c r="AU10" s="32">
        <f t="shared" si="3"/>
        <v>-2.2974038496613499E-2</v>
      </c>
      <c r="AV10" s="32">
        <f t="shared" si="3"/>
        <v>-3.1922928988933563E-2</v>
      </c>
      <c r="AW10" s="32">
        <f t="shared" si="3"/>
        <v>2.653876505792141E-2</v>
      </c>
      <c r="AX10" s="32">
        <f t="shared" si="3"/>
        <v>4.1243366897106171E-2</v>
      </c>
      <c r="AY10" s="32">
        <f t="shared" si="3"/>
        <v>-3.3810734748840332E-2</v>
      </c>
      <c r="AZ10" s="32">
        <f t="shared" si="3"/>
        <v>-4.8453211784362793E-2</v>
      </c>
      <c r="BA10" s="32">
        <f t="shared" si="3"/>
        <v>-2.7815299108624458E-2</v>
      </c>
      <c r="BB10" s="32">
        <f t="shared" si="3"/>
        <v>3.2360877841711037E-2</v>
      </c>
      <c r="BC10" s="32">
        <f t="shared" si="3"/>
        <v>2.4711607024073601E-2</v>
      </c>
      <c r="BD10" s="32">
        <f t="shared" si="3"/>
        <v>-2.3915629833936691E-2</v>
      </c>
      <c r="BE10" s="32">
        <f t="shared" si="3"/>
        <v>1.464955974370241E-2</v>
      </c>
      <c r="BF10" s="32">
        <f t="shared" si="3"/>
        <v>4.8466574400663383E-2</v>
      </c>
      <c r="BG10" s="32">
        <f t="shared" si="3"/>
        <v>2.271440252661705E-2</v>
      </c>
      <c r="BH10" s="32">
        <f t="shared" si="3"/>
        <v>5.4914258420467377E-2</v>
      </c>
      <c r="BI10" s="32">
        <f t="shared" si="3"/>
        <v>6.3621185719966888E-2</v>
      </c>
      <c r="BJ10" s="32">
        <f t="shared" si="3"/>
        <v>5.1039993762969971E-2</v>
      </c>
      <c r="BK10" s="32">
        <f t="shared" si="3"/>
        <v>-4.5687265694141388E-2</v>
      </c>
      <c r="BL10" s="32">
        <f t="shared" si="3"/>
        <v>-4.445323720574379E-2</v>
      </c>
      <c r="BM10" s="32">
        <f t="shared" si="3"/>
        <v>-4.5954536646604538E-2</v>
      </c>
      <c r="BN10" s="32">
        <f t="shared" si="3"/>
        <v>-5.2363675087690353E-2</v>
      </c>
      <c r="BO10" s="32">
        <f t="shared" ref="BO10:DZ10" si="4">IF(BO8=1,BO3,IF(BO8=2,BO4,IF(BO8=3,BO5,IF(BO8=4,BO6,IF(BO8=5,BO7)))))</f>
        <v>-6.0948830097913742E-2</v>
      </c>
      <c r="BP10" s="32">
        <f t="shared" si="4"/>
        <v>-4.6518847346305847E-2</v>
      </c>
      <c r="BQ10" s="32">
        <f t="shared" si="4"/>
        <v>3.3099830150604248E-2</v>
      </c>
      <c r="BR10" s="32">
        <f t="shared" si="4"/>
        <v>7.9383321106433868E-2</v>
      </c>
      <c r="BS10" s="32">
        <f t="shared" si="4"/>
        <v>6.8480938673019409E-2</v>
      </c>
      <c r="BT10" s="32">
        <f t="shared" si="4"/>
        <v>-2.1804684773087502E-2</v>
      </c>
      <c r="BU10" s="32">
        <f t="shared" si="4"/>
        <v>-3.8370478898286819E-2</v>
      </c>
      <c r="BV10" s="32">
        <f t="shared" si="4"/>
        <v>-3.7749018520116813E-2</v>
      </c>
      <c r="BW10" s="32">
        <f t="shared" si="4"/>
        <v>-3.7364158779382713E-2</v>
      </c>
      <c r="BX10" s="32">
        <f t="shared" si="4"/>
        <v>7.0206619799137115E-2</v>
      </c>
      <c r="BY10" s="32">
        <f t="shared" si="4"/>
        <v>6.1465926468372338E-2</v>
      </c>
      <c r="BZ10" s="32">
        <f t="shared" si="4"/>
        <v>5.822661891579628E-2</v>
      </c>
      <c r="CA10" s="32">
        <f t="shared" si="4"/>
        <v>-3.151523694396019E-2</v>
      </c>
      <c r="CB10" s="32">
        <f t="shared" si="4"/>
        <v>0.11305705457925801</v>
      </c>
      <c r="CC10" s="32">
        <f t="shared" si="4"/>
        <v>-5.0457574427127838E-2</v>
      </c>
      <c r="CD10" s="32">
        <f t="shared" si="4"/>
        <v>-3.3158984035253518E-2</v>
      </c>
      <c r="CE10" s="32">
        <f t="shared" si="4"/>
        <v>2.6346748694777489E-2</v>
      </c>
      <c r="CF10" s="32">
        <f t="shared" si="4"/>
        <v>-3.6173265427350998E-2</v>
      </c>
      <c r="CG10" s="32">
        <f t="shared" si="4"/>
        <v>-3.3427383750677109E-2</v>
      </c>
      <c r="CH10" s="32">
        <f t="shared" si="4"/>
        <v>2.7750680223107341E-2</v>
      </c>
      <c r="CI10" s="32">
        <f t="shared" si="4"/>
        <v>2.482840791344643E-2</v>
      </c>
      <c r="CJ10" s="32">
        <f t="shared" si="4"/>
        <v>8.8564753532409668E-2</v>
      </c>
      <c r="CK10" s="32">
        <f t="shared" si="4"/>
        <v>-3.6270283162593842E-2</v>
      </c>
      <c r="CL10" s="32">
        <f t="shared" si="4"/>
        <v>-4.3267767876386642E-2</v>
      </c>
      <c r="CM10" s="32">
        <f t="shared" si="4"/>
        <v>-3.06690763682127E-2</v>
      </c>
      <c r="CN10" s="32">
        <f t="shared" si="4"/>
        <v>-3.356621041893959E-2</v>
      </c>
      <c r="CO10" s="32">
        <f t="shared" si="4"/>
        <v>-5.7102173566818237E-2</v>
      </c>
      <c r="CP10" s="32">
        <f t="shared" si="4"/>
        <v>-1.5990793704986569E-2</v>
      </c>
      <c r="CQ10" s="32">
        <f t="shared" si="4"/>
        <v>-2.447781153023243E-2</v>
      </c>
      <c r="CR10" s="32">
        <f t="shared" si="4"/>
        <v>-2.841118723154068E-2</v>
      </c>
      <c r="CS10" s="32">
        <f t="shared" si="4"/>
        <v>-3.007250651717186E-2</v>
      </c>
      <c r="CT10" s="32">
        <f t="shared" si="4"/>
        <v>-3.6899782717227943E-2</v>
      </c>
      <c r="CU10" s="32">
        <f t="shared" si="4"/>
        <v>-5.1458954811096191E-2</v>
      </c>
      <c r="CV10" s="32">
        <f t="shared" si="4"/>
        <v>3.0856955796480179E-2</v>
      </c>
      <c r="CW10" s="32">
        <f t="shared" si="4"/>
        <v>-4.7959472984075553E-2</v>
      </c>
      <c r="CX10" s="32">
        <f t="shared" si="4"/>
        <v>-2.462939731776714E-2</v>
      </c>
      <c r="CY10" s="32">
        <f t="shared" si="4"/>
        <v>3.0290527269244191E-2</v>
      </c>
      <c r="CZ10" s="32">
        <f t="shared" si="4"/>
        <v>-5.503227561712265E-2</v>
      </c>
      <c r="DA10" s="32">
        <f t="shared" si="4"/>
        <v>-3.2751679420471191E-2</v>
      </c>
      <c r="DB10" s="32">
        <f t="shared" si="4"/>
        <v>-6.6727802157402039E-2</v>
      </c>
      <c r="DC10" s="32">
        <f t="shared" si="4"/>
        <v>-0.1073298379778862</v>
      </c>
      <c r="DD10" s="32">
        <f t="shared" si="4"/>
        <v>5.9307549148797989E-2</v>
      </c>
      <c r="DE10" s="32">
        <f t="shared" si="4"/>
        <v>-6.0571521520614617E-2</v>
      </c>
      <c r="DF10" s="32">
        <f t="shared" si="4"/>
        <v>-3.9159800857305527E-2</v>
      </c>
      <c r="DG10" s="32">
        <f t="shared" si="4"/>
        <v>-5.1414530724287033E-2</v>
      </c>
      <c r="DH10" s="32">
        <f t="shared" si="4"/>
        <v>-6.5701395273208618E-2</v>
      </c>
      <c r="DI10" s="32">
        <f t="shared" si="4"/>
        <v>-3.3493325114250183E-2</v>
      </c>
      <c r="DJ10" s="32">
        <f t="shared" si="4"/>
        <v>-2.4839011952281002E-2</v>
      </c>
      <c r="DK10" s="32">
        <f t="shared" si="4"/>
        <v>-2.2675381973385811E-2</v>
      </c>
      <c r="DL10" s="32">
        <f t="shared" si="4"/>
        <v>-4.2003385722637183E-2</v>
      </c>
      <c r="DM10" s="32">
        <f t="shared" si="4"/>
        <v>-2.7967073023319241E-2</v>
      </c>
      <c r="DN10" s="32">
        <f t="shared" si="4"/>
        <v>2.0481692627072331E-2</v>
      </c>
      <c r="DO10" s="32">
        <f t="shared" si="4"/>
        <v>7.2593644261360168E-2</v>
      </c>
      <c r="DP10" s="32">
        <f t="shared" si="4"/>
        <v>6.6633999347686768E-2</v>
      </c>
      <c r="DQ10" s="32">
        <f t="shared" si="4"/>
        <v>7.6050832867622375E-2</v>
      </c>
      <c r="DR10" s="32">
        <f t="shared" si="4"/>
        <v>7.9444080591201782E-2</v>
      </c>
      <c r="DS10" s="32">
        <f t="shared" si="4"/>
        <v>9.6407637000083923E-2</v>
      </c>
      <c r="DT10" s="32">
        <f t="shared" si="4"/>
        <v>9.8738469183444977E-2</v>
      </c>
      <c r="DU10" s="32">
        <f t="shared" si="4"/>
        <v>8.4987722337245941E-2</v>
      </c>
      <c r="DV10" s="32">
        <f t="shared" si="4"/>
        <v>8.3614706993103027E-2</v>
      </c>
      <c r="DW10" s="32">
        <f t="shared" si="4"/>
        <v>7.9545408487319946E-2</v>
      </c>
      <c r="DX10" s="32">
        <f t="shared" si="4"/>
        <v>9.6235953271389008E-2</v>
      </c>
      <c r="DY10" s="32">
        <f t="shared" si="4"/>
        <v>0.10154732316732409</v>
      </c>
      <c r="DZ10" s="32">
        <f t="shared" si="4"/>
        <v>0.13149091601371771</v>
      </c>
      <c r="EA10" s="32">
        <f t="shared" ref="EA10:EF10" si="5">IF(EA8=1,EA3,IF(EA8=2,EA4,IF(EA8=3,EA5,IF(EA8=4,EA6,IF(EA8=5,EA7)))))</f>
        <v>0.1148593798279762</v>
      </c>
      <c r="EB10" s="32">
        <f t="shared" si="5"/>
        <v>0.11237455904483799</v>
      </c>
      <c r="EC10" s="32">
        <f t="shared" si="5"/>
        <v>0.12511362135410309</v>
      </c>
      <c r="ED10" s="32">
        <f t="shared" si="5"/>
        <v>3.1657200306653983E-2</v>
      </c>
      <c r="EE10" s="32">
        <f t="shared" si="5"/>
        <v>2.9610974714159969E-2</v>
      </c>
      <c r="EF10" s="32">
        <f t="shared" si="5"/>
        <v>3.123905323445797E-2</v>
      </c>
    </row>
    <row r="13" spans="1:138" ht="16" customHeight="1">
      <c r="A13" s="6" t="s">
        <v>144</v>
      </c>
      <c r="B13" s="6" t="s">
        <v>145</v>
      </c>
      <c r="C13" s="12" t="s">
        <v>3</v>
      </c>
      <c r="D13" s="12" t="s">
        <v>4</v>
      </c>
      <c r="E13" s="12" t="s">
        <v>5</v>
      </c>
      <c r="F13" s="12" t="s">
        <v>6</v>
      </c>
      <c r="G13" s="12" t="s">
        <v>7</v>
      </c>
      <c r="H13" s="12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  <c r="O13" s="12" t="s">
        <v>15</v>
      </c>
      <c r="P13" s="12" t="s">
        <v>16</v>
      </c>
      <c r="Q13" s="12" t="s">
        <v>17</v>
      </c>
      <c r="R13" s="12" t="s">
        <v>18</v>
      </c>
      <c r="S13" s="12" t="s">
        <v>19</v>
      </c>
      <c r="T13" s="12" t="s">
        <v>20</v>
      </c>
      <c r="U13" s="12" t="s">
        <v>21</v>
      </c>
      <c r="V13" s="12" t="s">
        <v>22</v>
      </c>
      <c r="W13" s="12" t="s">
        <v>23</v>
      </c>
      <c r="X13" s="12" t="s">
        <v>24</v>
      </c>
      <c r="Y13" s="12" t="s">
        <v>25</v>
      </c>
      <c r="Z13" s="12" t="s">
        <v>26</v>
      </c>
      <c r="AA13" s="12" t="s">
        <v>27</v>
      </c>
      <c r="AB13" s="12" t="s">
        <v>28</v>
      </c>
      <c r="AC13" s="12" t="s">
        <v>29</v>
      </c>
      <c r="AD13" s="12" t="s">
        <v>30</v>
      </c>
      <c r="AE13" s="12" t="s">
        <v>31</v>
      </c>
      <c r="AF13" s="12" t="s">
        <v>32</v>
      </c>
      <c r="AG13" s="12" t="s">
        <v>33</v>
      </c>
      <c r="AH13" s="12" t="s">
        <v>34</v>
      </c>
      <c r="AI13" s="12" t="s">
        <v>35</v>
      </c>
      <c r="AJ13" s="12" t="s">
        <v>36</v>
      </c>
      <c r="AK13" s="12" t="s">
        <v>37</v>
      </c>
      <c r="AL13" s="12" t="s">
        <v>38</v>
      </c>
      <c r="AM13" s="12" t="s">
        <v>39</v>
      </c>
      <c r="AN13" s="12" t="s">
        <v>40</v>
      </c>
      <c r="AO13" s="12" t="s">
        <v>41</v>
      </c>
      <c r="AP13" s="12" t="s">
        <v>42</v>
      </c>
      <c r="AQ13" s="12" t="s">
        <v>43</v>
      </c>
      <c r="AR13" s="12" t="s">
        <v>44</v>
      </c>
      <c r="AS13" s="12" t="s">
        <v>45</v>
      </c>
      <c r="AT13" s="12" t="s">
        <v>46</v>
      </c>
      <c r="AU13" s="12" t="s">
        <v>47</v>
      </c>
      <c r="AV13" s="12" t="s">
        <v>48</v>
      </c>
      <c r="AW13" s="12" t="s">
        <v>49</v>
      </c>
      <c r="AX13" s="12" t="s">
        <v>50</v>
      </c>
      <c r="AY13" s="12" t="s">
        <v>51</v>
      </c>
      <c r="AZ13" s="12" t="s">
        <v>52</v>
      </c>
      <c r="BA13" s="12" t="s">
        <v>53</v>
      </c>
      <c r="BB13" s="12" t="s">
        <v>54</v>
      </c>
      <c r="BC13" s="12" t="s">
        <v>55</v>
      </c>
      <c r="BD13" s="12" t="s">
        <v>56</v>
      </c>
      <c r="BE13" s="12" t="s">
        <v>57</v>
      </c>
      <c r="BF13" s="12" t="s">
        <v>58</v>
      </c>
      <c r="BG13" s="12" t="s">
        <v>59</v>
      </c>
      <c r="BH13" s="12" t="s">
        <v>60</v>
      </c>
      <c r="BI13" s="12" t="s">
        <v>61</v>
      </c>
      <c r="BJ13" s="12" t="s">
        <v>62</v>
      </c>
      <c r="BK13" s="12" t="s">
        <v>63</v>
      </c>
      <c r="BL13" s="12" t="s">
        <v>64</v>
      </c>
      <c r="BM13" s="12" t="s">
        <v>65</v>
      </c>
      <c r="BN13" s="12" t="s">
        <v>66</v>
      </c>
      <c r="BO13" s="12" t="s">
        <v>67</v>
      </c>
      <c r="BP13" s="12" t="s">
        <v>68</v>
      </c>
      <c r="BQ13" s="12" t="s">
        <v>69</v>
      </c>
      <c r="BR13" s="12" t="s">
        <v>70</v>
      </c>
      <c r="BS13" s="12" t="s">
        <v>71</v>
      </c>
      <c r="BT13" s="12" t="s">
        <v>72</v>
      </c>
      <c r="BU13" s="12" t="s">
        <v>73</v>
      </c>
      <c r="BV13" s="12" t="s">
        <v>74</v>
      </c>
      <c r="BW13" s="12" t="s">
        <v>75</v>
      </c>
      <c r="BX13" s="12" t="s">
        <v>76</v>
      </c>
      <c r="BY13" s="12" t="s">
        <v>77</v>
      </c>
      <c r="BZ13" s="12" t="s">
        <v>78</v>
      </c>
      <c r="CA13" s="12" t="s">
        <v>79</v>
      </c>
      <c r="CB13" s="12" t="s">
        <v>80</v>
      </c>
      <c r="CC13" s="12" t="s">
        <v>81</v>
      </c>
      <c r="CD13" s="12" t="s">
        <v>82</v>
      </c>
      <c r="CE13" s="12" t="s">
        <v>83</v>
      </c>
      <c r="CF13" s="12" t="s">
        <v>84</v>
      </c>
      <c r="CG13" s="12" t="s">
        <v>85</v>
      </c>
      <c r="CH13" s="12" t="s">
        <v>86</v>
      </c>
      <c r="CI13" s="12" t="s">
        <v>87</v>
      </c>
      <c r="CJ13" s="12" t="s">
        <v>88</v>
      </c>
      <c r="CK13" s="12" t="s">
        <v>89</v>
      </c>
      <c r="CL13" s="12" t="s">
        <v>90</v>
      </c>
      <c r="CM13" s="12" t="s">
        <v>91</v>
      </c>
      <c r="CN13" s="12" t="s">
        <v>92</v>
      </c>
      <c r="CO13" s="12" t="s">
        <v>93</v>
      </c>
      <c r="CP13" s="12" t="s">
        <v>94</v>
      </c>
      <c r="CQ13" s="12" t="s">
        <v>95</v>
      </c>
      <c r="CR13" s="12" t="s">
        <v>96</v>
      </c>
      <c r="CS13" s="12" t="s">
        <v>97</v>
      </c>
      <c r="CT13" s="12" t="s">
        <v>98</v>
      </c>
      <c r="CU13" s="12" t="s">
        <v>99</v>
      </c>
      <c r="CV13" s="12" t="s">
        <v>100</v>
      </c>
      <c r="CW13" s="12" t="s">
        <v>101</v>
      </c>
      <c r="CX13" s="12" t="s">
        <v>102</v>
      </c>
      <c r="CY13" s="12" t="s">
        <v>103</v>
      </c>
      <c r="CZ13" s="12" t="s">
        <v>104</v>
      </c>
      <c r="DA13" s="12" t="s">
        <v>105</v>
      </c>
      <c r="DB13" s="12" t="s">
        <v>106</v>
      </c>
      <c r="DC13" s="12" t="s">
        <v>107</v>
      </c>
      <c r="DD13" s="12" t="s">
        <v>108</v>
      </c>
      <c r="DE13" s="12" t="s">
        <v>109</v>
      </c>
      <c r="DF13" s="12" t="s">
        <v>110</v>
      </c>
      <c r="DG13" s="12" t="s">
        <v>111</v>
      </c>
      <c r="DH13" s="12" t="s">
        <v>112</v>
      </c>
      <c r="DI13" s="12" t="s">
        <v>113</v>
      </c>
      <c r="DJ13" s="12" t="s">
        <v>114</v>
      </c>
      <c r="DK13" s="12" t="s">
        <v>115</v>
      </c>
      <c r="DL13" s="12" t="s">
        <v>116</v>
      </c>
      <c r="DM13" s="12" t="s">
        <v>117</v>
      </c>
      <c r="DN13" s="12" t="s">
        <v>118</v>
      </c>
      <c r="DO13" s="12" t="s">
        <v>119</v>
      </c>
      <c r="DP13" s="12" t="s">
        <v>120</v>
      </c>
      <c r="DQ13" s="12" t="s">
        <v>121</v>
      </c>
      <c r="DR13" s="12" t="s">
        <v>122</v>
      </c>
      <c r="DS13" s="12" t="s">
        <v>123</v>
      </c>
      <c r="DT13" s="12" t="s">
        <v>124</v>
      </c>
      <c r="DU13" s="12" t="s">
        <v>125</v>
      </c>
      <c r="DV13" s="12" t="s">
        <v>126</v>
      </c>
      <c r="DW13" s="12" t="s">
        <v>127</v>
      </c>
      <c r="DX13" s="12" t="s">
        <v>128</v>
      </c>
      <c r="DY13" s="12" t="s">
        <v>129</v>
      </c>
      <c r="DZ13" s="12" t="s">
        <v>130</v>
      </c>
      <c r="EA13" s="12" t="s">
        <v>131</v>
      </c>
      <c r="EB13" s="12" t="s">
        <v>132</v>
      </c>
      <c r="EC13" s="12" t="s">
        <v>133</v>
      </c>
      <c r="ED13" s="12" t="s">
        <v>134</v>
      </c>
      <c r="EE13" s="12" t="s">
        <v>135</v>
      </c>
      <c r="EF13" s="12" t="s">
        <v>146</v>
      </c>
      <c r="EG13" s="12" t="s">
        <v>237</v>
      </c>
      <c r="EH13" s="12" t="s">
        <v>238</v>
      </c>
    </row>
    <row r="14" spans="1:138" ht="16" customHeight="1">
      <c r="A14" s="6">
        <v>10</v>
      </c>
      <c r="B14" s="6">
        <v>96</v>
      </c>
      <c r="C14" s="11">
        <f>IF(預測IC!C14&gt;預測IC!C$27,1,0)</f>
        <v>1</v>
      </c>
      <c r="D14" s="11">
        <f>IF(預測IC!D14&gt;預測IC!D$27,1,0)</f>
        <v>1</v>
      </c>
      <c r="E14" s="11">
        <f>IF(預測IC!E14&gt;預測IC!E$27,1,0)</f>
        <v>1</v>
      </c>
      <c r="F14" s="11">
        <f>IF(預測IC!F14&gt;預測IC!F$27,1,0)</f>
        <v>1</v>
      </c>
      <c r="G14" s="11">
        <f>IF(預測IC!G14&gt;預測IC!G$27,1,0)</f>
        <v>1</v>
      </c>
      <c r="H14" s="11">
        <f>IF(預測IC!H14&gt;預測IC!H$27,1,0)</f>
        <v>1</v>
      </c>
      <c r="I14" s="11">
        <f>IF(預測IC!I14&gt;預測IC!I$27,1,0)</f>
        <v>1</v>
      </c>
      <c r="J14" s="11">
        <f>IF(預測IC!J14&gt;預測IC!J$27,1,0)</f>
        <v>1</v>
      </c>
      <c r="K14" s="11">
        <f>IF(預測IC!K14&gt;預測IC!K$27,1,0)</f>
        <v>1</v>
      </c>
      <c r="L14" s="11">
        <f>IF(預測IC!L14&gt;預測IC!L$27,1,0)</f>
        <v>1</v>
      </c>
      <c r="M14" s="11">
        <f>IF(預測IC!M14&gt;預測IC!M$27,1,0)</f>
        <v>1</v>
      </c>
      <c r="N14" s="11">
        <f>IF(預測IC!N14&gt;預測IC!N$27,1,0)</f>
        <v>1</v>
      </c>
      <c r="O14" s="11">
        <f>IF(預測IC!O14&gt;預測IC!O$27,1,0)</f>
        <v>1</v>
      </c>
      <c r="P14" s="11">
        <f>IF(預測IC!P14&gt;預測IC!P$27,1,0)</f>
        <v>0</v>
      </c>
      <c r="Q14" s="11">
        <f>IF(預測IC!Q14&gt;預測IC!Q$27,1,0)</f>
        <v>1</v>
      </c>
      <c r="R14" s="11">
        <f>IF(預測IC!R14&gt;預測IC!R$27,1,0)</f>
        <v>0</v>
      </c>
      <c r="S14" s="11">
        <f>IF(預測IC!S14&gt;預測IC!S$27,1,0)</f>
        <v>1</v>
      </c>
      <c r="T14" s="11">
        <f>IF(預測IC!T14&gt;預測IC!T$27,1,0)</f>
        <v>1</v>
      </c>
      <c r="U14" s="11">
        <f>IF(預測IC!U14&gt;預測IC!U$27,1,0)</f>
        <v>1</v>
      </c>
      <c r="V14" s="11">
        <f>IF(預測IC!V14&gt;預測IC!V$27,1,0)</f>
        <v>1</v>
      </c>
      <c r="W14" s="11">
        <f>IF(預測IC!W14&gt;預測IC!W$27,1,0)</f>
        <v>0</v>
      </c>
      <c r="X14" s="11">
        <f>IF(預測IC!X14&gt;預測IC!X$27,1,0)</f>
        <v>0</v>
      </c>
      <c r="Y14" s="11">
        <f>IF(預測IC!Y14&gt;預測IC!Y$27,1,0)</f>
        <v>1</v>
      </c>
      <c r="Z14" s="11">
        <f>IF(預測IC!Z14&gt;預測IC!Z$27,1,0)</f>
        <v>1</v>
      </c>
      <c r="AA14" s="11">
        <f>IF(預測IC!AA14&gt;預測IC!AA$27,1,0)</f>
        <v>0</v>
      </c>
      <c r="AB14" s="11">
        <f>IF(預測IC!AB14&gt;預測IC!AB$27,1,0)</f>
        <v>0</v>
      </c>
      <c r="AC14" s="11">
        <f>IF(預測IC!AC14&gt;預測IC!AC$27,1,0)</f>
        <v>0</v>
      </c>
      <c r="AD14" s="11">
        <f>IF(預測IC!AD14&gt;預測IC!AD$27,1,0)</f>
        <v>1</v>
      </c>
      <c r="AE14" s="11">
        <f>IF(預測IC!AE14&gt;預測IC!AE$27,1,0)</f>
        <v>0</v>
      </c>
      <c r="AF14" s="11">
        <f>IF(預測IC!AF14&gt;預測IC!AF$27,1,0)</f>
        <v>1</v>
      </c>
      <c r="AG14" s="11">
        <f>IF(預測IC!AG14&gt;預測IC!AG$27,1,0)</f>
        <v>0</v>
      </c>
      <c r="AH14" s="11">
        <f>IF(預測IC!AH14&gt;預測IC!AH$27,1,0)</f>
        <v>0</v>
      </c>
      <c r="AI14" s="11">
        <f>IF(預測IC!AI14&gt;預測IC!AI$27,1,0)</f>
        <v>0</v>
      </c>
      <c r="AJ14" s="11">
        <f>IF(預測IC!AJ14&gt;預測IC!AJ$27,1,0)</f>
        <v>1</v>
      </c>
      <c r="AK14" s="11">
        <f>IF(預測IC!AK14&gt;預測IC!AK$27,1,0)</f>
        <v>1</v>
      </c>
      <c r="AL14" s="11">
        <f>IF(預測IC!AL14&gt;預測IC!AL$27,1,0)</f>
        <v>0</v>
      </c>
      <c r="AM14" s="11">
        <f>IF(預測IC!AM14&gt;預測IC!AM$27,1,0)</f>
        <v>0</v>
      </c>
      <c r="AN14" s="11">
        <f>IF(預測IC!AN14&gt;預測IC!AN$27,1,0)</f>
        <v>0</v>
      </c>
      <c r="AO14" s="11">
        <f>IF(預測IC!AO14&gt;預測IC!AO$27,1,0)</f>
        <v>0</v>
      </c>
      <c r="AP14" s="11">
        <f>IF(預測IC!AP14&gt;預測IC!AP$27,1,0)</f>
        <v>0</v>
      </c>
      <c r="AQ14" s="11">
        <f>IF(預測IC!AQ14&gt;預測IC!AQ$27,1,0)</f>
        <v>0</v>
      </c>
      <c r="AR14" s="11">
        <f>IF(預測IC!AR14&gt;預測IC!AR$27,1,0)</f>
        <v>0</v>
      </c>
      <c r="AS14" s="11">
        <f>IF(預測IC!AS14&gt;預測IC!AS$27,1,0)</f>
        <v>0</v>
      </c>
      <c r="AT14" s="11">
        <f>IF(預測IC!AT14&gt;預測IC!AT$27,1,0)</f>
        <v>0</v>
      </c>
      <c r="AU14" s="11">
        <f>IF(預測IC!AU14&gt;預測IC!AU$27,1,0)</f>
        <v>1</v>
      </c>
      <c r="AV14" s="11">
        <f>IF(預測IC!AV14&gt;預測IC!AV$27,1,0)</f>
        <v>0</v>
      </c>
      <c r="AW14" s="11">
        <f>IF(預測IC!AW14&gt;預測IC!AW$27,1,0)</f>
        <v>1</v>
      </c>
      <c r="AX14" s="11">
        <f>IF(預測IC!AX14&gt;預測IC!AX$27,1,0)</f>
        <v>0</v>
      </c>
      <c r="AY14" s="11">
        <f>IF(預測IC!AY14&gt;預測IC!AY$27,1,0)</f>
        <v>0</v>
      </c>
      <c r="AZ14" s="11">
        <f>IF(預測IC!AZ14&gt;預測IC!AZ$27,1,0)</f>
        <v>1</v>
      </c>
      <c r="BA14" s="11">
        <f>IF(預測IC!BA14&gt;預測IC!BA$27,1,0)</f>
        <v>0</v>
      </c>
      <c r="BB14" s="11">
        <f>IF(預測IC!BB14&gt;預測IC!BB$27,1,0)</f>
        <v>1</v>
      </c>
      <c r="BC14" s="11">
        <f>IF(預測IC!BC14&gt;預測IC!BC$27,1,0)</f>
        <v>0</v>
      </c>
      <c r="BD14" s="11">
        <f>IF(預測IC!BD14&gt;預測IC!BD$27,1,0)</f>
        <v>0</v>
      </c>
      <c r="BE14" s="11">
        <f>IF(預測IC!BE14&gt;預測IC!BE$27,1,0)</f>
        <v>0</v>
      </c>
      <c r="BF14" s="11">
        <f>IF(預測IC!BF14&gt;預測IC!BF$27,1,0)</f>
        <v>1</v>
      </c>
      <c r="BG14" s="11">
        <f>IF(預測IC!BG14&gt;預測IC!BG$27,1,0)</f>
        <v>1</v>
      </c>
      <c r="BH14" s="11">
        <f>IF(預測IC!BH14&gt;預測IC!BH$27,1,0)</f>
        <v>1</v>
      </c>
      <c r="BI14" s="11">
        <f>IF(預測IC!BI14&gt;預測IC!BI$27,1,0)</f>
        <v>0</v>
      </c>
      <c r="BJ14" s="11">
        <f>IF(預測IC!BJ14&gt;預測IC!BJ$27,1,0)</f>
        <v>1</v>
      </c>
      <c r="BK14" s="11">
        <f>IF(預測IC!BK14&gt;預測IC!BK$27,1,0)</f>
        <v>0</v>
      </c>
      <c r="BL14" s="11">
        <f>IF(預測IC!BL14&gt;預測IC!BL$27,1,0)</f>
        <v>0</v>
      </c>
      <c r="BM14" s="11">
        <f>IF(預測IC!BM14&gt;預測IC!BM$27,1,0)</f>
        <v>0</v>
      </c>
      <c r="BN14" s="11">
        <f>IF(預測IC!BN14&gt;預測IC!BN$27,1,0)</f>
        <v>0</v>
      </c>
      <c r="BO14" s="11">
        <f>IF(預測IC!BO14&gt;預測IC!BO$27,1,0)</f>
        <v>1</v>
      </c>
      <c r="BP14" s="11">
        <f>IF(預測IC!BP14&gt;預測IC!BP$27,1,0)</f>
        <v>1</v>
      </c>
      <c r="BQ14" s="11">
        <f>IF(預測IC!BQ14&gt;預測IC!BQ$27,1,0)</f>
        <v>1</v>
      </c>
      <c r="BR14" s="11">
        <f>IF(預測IC!BR14&gt;預測IC!BR$27,1,0)</f>
        <v>0</v>
      </c>
      <c r="BS14" s="11">
        <f>IF(預測IC!BS14&gt;預測IC!BS$27,1,0)</f>
        <v>0</v>
      </c>
      <c r="BT14" s="11">
        <f>IF(預測IC!BT14&gt;預測IC!BT$27,1,0)</f>
        <v>0</v>
      </c>
      <c r="BU14" s="11">
        <f>IF(預測IC!BU14&gt;預測IC!BU$27,1,0)</f>
        <v>1</v>
      </c>
      <c r="BV14" s="11">
        <f>IF(預測IC!BV14&gt;預測IC!BV$27,1,0)</f>
        <v>0</v>
      </c>
      <c r="BW14" s="11">
        <f>IF(預測IC!BW14&gt;預測IC!BW$27,1,0)</f>
        <v>1</v>
      </c>
      <c r="BX14" s="11">
        <f>IF(預測IC!BX14&gt;預測IC!BX$27,1,0)</f>
        <v>1</v>
      </c>
      <c r="BY14" s="11">
        <f>IF(預測IC!BY14&gt;預測IC!BY$27,1,0)</f>
        <v>1</v>
      </c>
      <c r="BZ14" s="11">
        <f>IF(預測IC!BZ14&gt;預測IC!BZ$27,1,0)</f>
        <v>0</v>
      </c>
      <c r="CA14" s="11">
        <f>IF(預測IC!CA14&gt;預測IC!CA$27,1,0)</f>
        <v>1</v>
      </c>
      <c r="CB14" s="11">
        <f>IF(預測IC!CB14&gt;預測IC!CB$27,1,0)</f>
        <v>0</v>
      </c>
      <c r="CC14" s="11">
        <f>IF(預測IC!CC14&gt;預測IC!CC$27,1,0)</f>
        <v>0</v>
      </c>
      <c r="CD14" s="11">
        <f>IF(預測IC!CD14&gt;預測IC!CD$27,1,0)</f>
        <v>0</v>
      </c>
      <c r="CE14" s="11">
        <f>IF(預測IC!CE14&gt;預測IC!CE$27,1,0)</f>
        <v>1</v>
      </c>
      <c r="CF14" s="11">
        <f>IF(預測IC!CF14&gt;預測IC!CF$27,1,0)</f>
        <v>0</v>
      </c>
      <c r="CG14" s="11">
        <f>IF(預測IC!CG14&gt;預測IC!CG$27,1,0)</f>
        <v>0</v>
      </c>
      <c r="CH14" s="11">
        <f>IF(預測IC!CH14&gt;預測IC!CH$27,1,0)</f>
        <v>0</v>
      </c>
      <c r="CI14" s="11">
        <f>IF(預測IC!CI14&gt;預測IC!CI$27,1,0)</f>
        <v>0</v>
      </c>
      <c r="CJ14" s="11">
        <f>IF(預測IC!CJ14&gt;預測IC!CJ$27,1,0)</f>
        <v>0</v>
      </c>
      <c r="CK14" s="11">
        <f>IF(預測IC!CK14&gt;預測IC!CK$27,1,0)</f>
        <v>0</v>
      </c>
      <c r="CL14" s="11">
        <f>IF(預測IC!CL14&gt;預測IC!CL$27,1,0)</f>
        <v>0</v>
      </c>
      <c r="CM14" s="11">
        <f>IF(預測IC!CM14&gt;預測IC!CM$27,1,0)</f>
        <v>1</v>
      </c>
      <c r="CN14" s="11">
        <f>IF(預測IC!CN14&gt;預測IC!CN$27,1,0)</f>
        <v>1</v>
      </c>
      <c r="CO14" s="11">
        <f>IF(預測IC!CO14&gt;預測IC!CO$27,1,0)</f>
        <v>1</v>
      </c>
      <c r="CP14" s="11">
        <f>IF(預測IC!CP14&gt;預測IC!CP$27,1,0)</f>
        <v>1</v>
      </c>
      <c r="CQ14" s="11">
        <f>IF(預測IC!CQ14&gt;預測IC!CQ$27,1,0)</f>
        <v>0</v>
      </c>
      <c r="CR14" s="11">
        <f>IF(預測IC!CR14&gt;預測IC!CR$27,1,0)</f>
        <v>0</v>
      </c>
      <c r="CS14" s="11">
        <f>IF(預測IC!CS14&gt;預測IC!CS$27,1,0)</f>
        <v>0</v>
      </c>
      <c r="CT14" s="11">
        <f>IF(預測IC!CT14&gt;預測IC!CT$27,1,0)</f>
        <v>0</v>
      </c>
      <c r="CU14" s="11">
        <f>IF(預測IC!CU14&gt;預測IC!CU$27,1,0)</f>
        <v>1</v>
      </c>
      <c r="CV14" s="11">
        <f>IF(預測IC!CV14&gt;預測IC!CV$27,1,0)</f>
        <v>0</v>
      </c>
      <c r="CW14" s="11">
        <f>IF(預測IC!CW14&gt;預測IC!CW$27,1,0)</f>
        <v>1</v>
      </c>
      <c r="CX14" s="11">
        <f>IF(預測IC!CX14&gt;預測IC!CX$27,1,0)</f>
        <v>1</v>
      </c>
      <c r="CY14" s="11">
        <f>IF(預測IC!CY14&gt;預測IC!CY$27,1,0)</f>
        <v>0</v>
      </c>
      <c r="CZ14" s="11">
        <f>IF(預測IC!CZ14&gt;預測IC!CZ$27,1,0)</f>
        <v>1</v>
      </c>
      <c r="DA14" s="11">
        <f>IF(預測IC!DA14&gt;預測IC!DA$27,1,0)</f>
        <v>0</v>
      </c>
      <c r="DB14" s="11">
        <f>IF(預測IC!DB14&gt;預測IC!DB$27,1,0)</f>
        <v>1</v>
      </c>
      <c r="DC14" s="11">
        <f>IF(預測IC!DC14&gt;預測IC!DC$27,1,0)</f>
        <v>1</v>
      </c>
      <c r="DD14" s="11">
        <f>IF(預測IC!DD14&gt;預測IC!DD$27,1,0)</f>
        <v>1</v>
      </c>
      <c r="DE14" s="11">
        <f>IF(預測IC!DE14&gt;預測IC!DE$27,1,0)</f>
        <v>0</v>
      </c>
      <c r="DF14" s="11">
        <f>IF(預測IC!DF14&gt;預測IC!DF$27,1,0)</f>
        <v>1</v>
      </c>
      <c r="DG14" s="11">
        <f>IF(預測IC!DG14&gt;預測IC!DG$27,1,0)</f>
        <v>0</v>
      </c>
      <c r="DH14" s="11">
        <f>IF(預測IC!DH14&gt;預測IC!DH$27,1,0)</f>
        <v>0</v>
      </c>
      <c r="DI14" s="11">
        <f>IF(預測IC!DI14&gt;預測IC!DI$27,1,0)</f>
        <v>0</v>
      </c>
      <c r="DJ14" s="11">
        <f>IF(預測IC!DJ14&gt;預測IC!DJ$27,1,0)</f>
        <v>1</v>
      </c>
      <c r="DK14" s="11">
        <f>IF(預測IC!DK14&gt;預測IC!DK$27,1,0)</f>
        <v>0</v>
      </c>
      <c r="DL14" s="11">
        <f>IF(預測IC!DL14&gt;預測IC!DL$27,1,0)</f>
        <v>0</v>
      </c>
      <c r="DM14" s="11">
        <f>IF(預測IC!DM14&gt;預測IC!DM$27,1,0)</f>
        <v>0</v>
      </c>
      <c r="DN14" s="11">
        <f>IF(預測IC!DN14&gt;預測IC!DN$27,1,0)</f>
        <v>1</v>
      </c>
      <c r="DO14" s="11">
        <f>IF(預測IC!DO14&gt;預測IC!DO$27,1,0)</f>
        <v>0</v>
      </c>
      <c r="DP14" s="11">
        <f>IF(預測IC!DP14&gt;預測IC!DP$27,1,0)</f>
        <v>1</v>
      </c>
      <c r="DQ14" s="11">
        <f>IF(預測IC!DQ14&gt;預測IC!DQ$27,1,0)</f>
        <v>0</v>
      </c>
      <c r="DR14" s="11">
        <f>IF(預測IC!DR14&gt;預測IC!DR$27,1,0)</f>
        <v>0</v>
      </c>
      <c r="DS14" s="11">
        <f>IF(預測IC!DS14&gt;預測IC!DS$27,1,0)</f>
        <v>0</v>
      </c>
      <c r="DT14" s="11">
        <f>IF(預測IC!DT14&gt;預測IC!DT$27,1,0)</f>
        <v>0</v>
      </c>
      <c r="DU14" s="11">
        <f>IF(預測IC!DU14&gt;預測IC!DU$27,1,0)</f>
        <v>0</v>
      </c>
      <c r="DV14" s="11">
        <f>IF(預測IC!DV14&gt;預測IC!DV$27,1,0)</f>
        <v>0</v>
      </c>
      <c r="DW14" s="11">
        <f>IF(預測IC!DW14&gt;預測IC!DW$27,1,0)</f>
        <v>0</v>
      </c>
      <c r="DX14" s="11">
        <f>IF(預測IC!DX14&gt;預測IC!DX$27,1,0)</f>
        <v>0</v>
      </c>
      <c r="DY14" s="11">
        <f>IF(預測IC!DY14&gt;預測IC!DY$27,1,0)</f>
        <v>1</v>
      </c>
      <c r="DZ14" s="11">
        <f>IF(預測IC!DZ14&gt;預測IC!DZ$27,1,0)</f>
        <v>0</v>
      </c>
      <c r="EA14" s="11">
        <f>IF(預測IC!EA14&gt;預測IC!EA$27,1,0)</f>
        <v>1</v>
      </c>
      <c r="EB14" s="11">
        <f>IF(預測IC!EB14&gt;預測IC!EB$27,1,0)</f>
        <v>0</v>
      </c>
      <c r="EC14" s="11">
        <f>IF(預測IC!EC14&gt;預測IC!EC$27,1,0)</f>
        <v>1</v>
      </c>
      <c r="ED14" s="11">
        <f>IF(預測IC!ED14&gt;預測IC!ED$27,1,0)</f>
        <v>0</v>
      </c>
      <c r="EE14" s="11">
        <f>IF(預測IC!EE14&gt;預測IC!EE$27,1,0)</f>
        <v>0</v>
      </c>
      <c r="EF14" s="11">
        <f>IF(預測IC!EF14&gt;預測IC!EF$27,1,0)</f>
        <v>1</v>
      </c>
      <c r="EG14" s="1">
        <f t="shared" ref="EG14:EG26" si="6">SUM(C14:EF14)</f>
        <v>60</v>
      </c>
      <c r="EH14" s="2">
        <f t="shared" ref="EH14:EH26" si="7">SUM(C14:EF14)/134</f>
        <v>0.44776119402985076</v>
      </c>
    </row>
    <row r="15" spans="1:138" ht="16" customHeight="1">
      <c r="A15" s="6">
        <v>20</v>
      </c>
      <c r="B15" s="6">
        <v>48</v>
      </c>
      <c r="C15" s="11">
        <f>IF(預測IC!C15&gt;預測IC!C$27,1,0)</f>
        <v>1</v>
      </c>
      <c r="D15" s="11">
        <f>IF(預測IC!D15&gt;預測IC!D$27,1,0)</f>
        <v>1</v>
      </c>
      <c r="E15" s="11">
        <f>IF(預測IC!E15&gt;預測IC!E$27,1,0)</f>
        <v>1</v>
      </c>
      <c r="F15" s="11">
        <f>IF(預測IC!F15&gt;預測IC!F$27,1,0)</f>
        <v>1</v>
      </c>
      <c r="G15" s="11">
        <f>IF(預測IC!G15&gt;預測IC!G$27,1,0)</f>
        <v>1</v>
      </c>
      <c r="H15" s="11">
        <f>IF(預測IC!H15&gt;預測IC!H$27,1,0)</f>
        <v>1</v>
      </c>
      <c r="I15" s="11">
        <f>IF(預測IC!I15&gt;預測IC!I$27,1,0)</f>
        <v>1</v>
      </c>
      <c r="J15" s="11">
        <f>IF(預測IC!J15&gt;預測IC!J$27,1,0)</f>
        <v>1</v>
      </c>
      <c r="K15" s="11">
        <f>IF(預測IC!K15&gt;預測IC!K$27,1,0)</f>
        <v>1</v>
      </c>
      <c r="L15" s="11">
        <f>IF(預測IC!L15&gt;預測IC!L$27,1,0)</f>
        <v>1</v>
      </c>
      <c r="M15" s="11">
        <f>IF(預測IC!M15&gt;預測IC!M$27,1,0)</f>
        <v>1</v>
      </c>
      <c r="N15" s="11">
        <f>IF(預測IC!N15&gt;預測IC!N$27,1,0)</f>
        <v>1</v>
      </c>
      <c r="O15" s="11">
        <f>IF(預測IC!O15&gt;預測IC!O$27,1,0)</f>
        <v>1</v>
      </c>
      <c r="P15" s="11">
        <f>IF(預測IC!P15&gt;預測IC!P$27,1,0)</f>
        <v>0</v>
      </c>
      <c r="Q15" s="11">
        <f>IF(預測IC!Q15&gt;預測IC!Q$27,1,0)</f>
        <v>1</v>
      </c>
      <c r="R15" s="11">
        <f>IF(預測IC!R15&gt;預測IC!R$27,1,0)</f>
        <v>1</v>
      </c>
      <c r="S15" s="11">
        <f>IF(預測IC!S15&gt;預測IC!S$27,1,0)</f>
        <v>0</v>
      </c>
      <c r="T15" s="11">
        <f>IF(預測IC!T15&gt;預測IC!T$27,1,0)</f>
        <v>1</v>
      </c>
      <c r="U15" s="11">
        <f>IF(預測IC!U15&gt;預測IC!U$27,1,0)</f>
        <v>1</v>
      </c>
      <c r="V15" s="11">
        <f>IF(預測IC!V15&gt;預測IC!V$27,1,0)</f>
        <v>1</v>
      </c>
      <c r="W15" s="11">
        <f>IF(預測IC!W15&gt;預測IC!W$27,1,0)</f>
        <v>0</v>
      </c>
      <c r="X15" s="11">
        <f>IF(預測IC!X15&gt;預測IC!X$27,1,0)</f>
        <v>0</v>
      </c>
      <c r="Y15" s="11">
        <f>IF(預測IC!Y15&gt;預測IC!Y$27,1,0)</f>
        <v>1</v>
      </c>
      <c r="Z15" s="11">
        <f>IF(預測IC!Z15&gt;預測IC!Z$27,1,0)</f>
        <v>1</v>
      </c>
      <c r="AA15" s="11">
        <f>IF(預測IC!AA15&gt;預測IC!AA$27,1,0)</f>
        <v>0</v>
      </c>
      <c r="AB15" s="11">
        <f>IF(預測IC!AB15&gt;預測IC!AB$27,1,0)</f>
        <v>0</v>
      </c>
      <c r="AC15" s="11">
        <f>IF(預測IC!AC15&gt;預測IC!AC$27,1,0)</f>
        <v>0</v>
      </c>
      <c r="AD15" s="11">
        <f>IF(預測IC!AD15&gt;預測IC!AD$27,1,0)</f>
        <v>1</v>
      </c>
      <c r="AE15" s="11">
        <f>IF(預測IC!AE15&gt;預測IC!AE$27,1,0)</f>
        <v>0</v>
      </c>
      <c r="AF15" s="11">
        <f>IF(預測IC!AF15&gt;預測IC!AF$27,1,0)</f>
        <v>1</v>
      </c>
      <c r="AG15" s="11">
        <f>IF(預測IC!AG15&gt;預測IC!AG$27,1,0)</f>
        <v>0</v>
      </c>
      <c r="AH15" s="11">
        <f>IF(預測IC!AH15&gt;預測IC!AH$27,1,0)</f>
        <v>1</v>
      </c>
      <c r="AI15" s="11">
        <f>IF(預測IC!AI15&gt;預測IC!AI$27,1,0)</f>
        <v>0</v>
      </c>
      <c r="AJ15" s="11">
        <f>IF(預測IC!AJ15&gt;預測IC!AJ$27,1,0)</f>
        <v>1</v>
      </c>
      <c r="AK15" s="11">
        <f>IF(預測IC!AK15&gt;預測IC!AK$27,1,0)</f>
        <v>0</v>
      </c>
      <c r="AL15" s="11">
        <f>IF(預測IC!AL15&gt;預測IC!AL$27,1,0)</f>
        <v>0</v>
      </c>
      <c r="AM15" s="11">
        <f>IF(預測IC!AM15&gt;預測IC!AM$27,1,0)</f>
        <v>1</v>
      </c>
      <c r="AN15" s="11">
        <f>IF(預測IC!AN15&gt;預測IC!AN$27,1,0)</f>
        <v>0</v>
      </c>
      <c r="AO15" s="11">
        <f>IF(預測IC!AO15&gt;預測IC!AO$27,1,0)</f>
        <v>0</v>
      </c>
      <c r="AP15" s="11">
        <f>IF(預測IC!AP15&gt;預測IC!AP$27,1,0)</f>
        <v>0</v>
      </c>
      <c r="AQ15" s="11">
        <f>IF(預測IC!AQ15&gt;預測IC!AQ$27,1,0)</f>
        <v>1</v>
      </c>
      <c r="AR15" s="11">
        <f>IF(預測IC!AR15&gt;預測IC!AR$27,1,0)</f>
        <v>0</v>
      </c>
      <c r="AS15" s="11">
        <f>IF(預測IC!AS15&gt;預測IC!AS$27,1,0)</f>
        <v>0</v>
      </c>
      <c r="AT15" s="11">
        <f>IF(預測IC!AT15&gt;預測IC!AT$27,1,0)</f>
        <v>0</v>
      </c>
      <c r="AU15" s="11">
        <f>IF(預測IC!AU15&gt;預測IC!AU$27,1,0)</f>
        <v>1</v>
      </c>
      <c r="AV15" s="11">
        <f>IF(預測IC!AV15&gt;預測IC!AV$27,1,0)</f>
        <v>0</v>
      </c>
      <c r="AW15" s="11">
        <f>IF(預測IC!AW15&gt;預測IC!AW$27,1,0)</f>
        <v>1</v>
      </c>
      <c r="AX15" s="11">
        <f>IF(預測IC!AX15&gt;預測IC!AX$27,1,0)</f>
        <v>0</v>
      </c>
      <c r="AY15" s="11">
        <f>IF(預測IC!AY15&gt;預測IC!AY$27,1,0)</f>
        <v>0</v>
      </c>
      <c r="AZ15" s="11">
        <f>IF(預測IC!AZ15&gt;預測IC!AZ$27,1,0)</f>
        <v>1</v>
      </c>
      <c r="BA15" s="11">
        <f>IF(預測IC!BA15&gt;預測IC!BA$27,1,0)</f>
        <v>0</v>
      </c>
      <c r="BB15" s="11">
        <f>IF(預測IC!BB15&gt;預測IC!BB$27,1,0)</f>
        <v>0</v>
      </c>
      <c r="BC15" s="11">
        <f>IF(預測IC!BC15&gt;預測IC!BC$27,1,0)</f>
        <v>0</v>
      </c>
      <c r="BD15" s="11">
        <f>IF(預測IC!BD15&gt;預測IC!BD$27,1,0)</f>
        <v>1</v>
      </c>
      <c r="BE15" s="11">
        <f>IF(預測IC!BE15&gt;預測IC!BE$27,1,0)</f>
        <v>0</v>
      </c>
      <c r="BF15" s="11">
        <f>IF(預測IC!BF15&gt;預測IC!BF$27,1,0)</f>
        <v>0</v>
      </c>
      <c r="BG15" s="11">
        <f>IF(預測IC!BG15&gt;預測IC!BG$27,1,0)</f>
        <v>1</v>
      </c>
      <c r="BH15" s="11">
        <f>IF(預測IC!BH15&gt;預測IC!BH$27,1,0)</f>
        <v>1</v>
      </c>
      <c r="BI15" s="11">
        <f>IF(預測IC!BI15&gt;預測IC!BI$27,1,0)</f>
        <v>0</v>
      </c>
      <c r="BJ15" s="11">
        <f>IF(預測IC!BJ15&gt;預測IC!BJ$27,1,0)</f>
        <v>0</v>
      </c>
      <c r="BK15" s="11">
        <f>IF(預測IC!BK15&gt;預測IC!BK$27,1,0)</f>
        <v>1</v>
      </c>
      <c r="BL15" s="11">
        <f>IF(預測IC!BL15&gt;預測IC!BL$27,1,0)</f>
        <v>0</v>
      </c>
      <c r="BM15" s="11">
        <f>IF(預測IC!BM15&gt;預測IC!BM$27,1,0)</f>
        <v>0</v>
      </c>
      <c r="BN15" s="11">
        <f>IF(預測IC!BN15&gt;預測IC!BN$27,1,0)</f>
        <v>0</v>
      </c>
      <c r="BO15" s="11">
        <f>IF(預測IC!BO15&gt;預測IC!BO$27,1,0)</f>
        <v>1</v>
      </c>
      <c r="BP15" s="11">
        <f>IF(預測IC!BP15&gt;預測IC!BP$27,1,0)</f>
        <v>1</v>
      </c>
      <c r="BQ15" s="11">
        <f>IF(預測IC!BQ15&gt;預測IC!BQ$27,1,0)</f>
        <v>1</v>
      </c>
      <c r="BR15" s="11">
        <f>IF(預測IC!BR15&gt;預測IC!BR$27,1,0)</f>
        <v>0</v>
      </c>
      <c r="BS15" s="11">
        <f>IF(預測IC!BS15&gt;預測IC!BS$27,1,0)</f>
        <v>0</v>
      </c>
      <c r="BT15" s="11">
        <f>IF(預測IC!BT15&gt;預測IC!BT$27,1,0)</f>
        <v>0</v>
      </c>
      <c r="BU15" s="11">
        <f>IF(預測IC!BU15&gt;預測IC!BU$27,1,0)</f>
        <v>1</v>
      </c>
      <c r="BV15" s="11">
        <f>IF(預測IC!BV15&gt;預測IC!BV$27,1,0)</f>
        <v>1</v>
      </c>
      <c r="BW15" s="11">
        <f>IF(預測IC!BW15&gt;預測IC!BW$27,1,0)</f>
        <v>1</v>
      </c>
      <c r="BX15" s="11">
        <f>IF(預測IC!BX15&gt;預測IC!BX$27,1,0)</f>
        <v>1</v>
      </c>
      <c r="BY15" s="11">
        <f>IF(預測IC!BY15&gt;預測IC!BY$27,1,0)</f>
        <v>1</v>
      </c>
      <c r="BZ15" s="11">
        <f>IF(預測IC!BZ15&gt;預測IC!BZ$27,1,0)</f>
        <v>0</v>
      </c>
      <c r="CA15" s="11">
        <f>IF(預測IC!CA15&gt;預測IC!CA$27,1,0)</f>
        <v>1</v>
      </c>
      <c r="CB15" s="11">
        <f>IF(預測IC!CB15&gt;預測IC!CB$27,1,0)</f>
        <v>0</v>
      </c>
      <c r="CC15" s="11">
        <f>IF(預測IC!CC15&gt;預測IC!CC$27,1,0)</f>
        <v>0</v>
      </c>
      <c r="CD15" s="11">
        <f>IF(預測IC!CD15&gt;預測IC!CD$27,1,0)</f>
        <v>0</v>
      </c>
      <c r="CE15" s="11">
        <f>IF(預測IC!CE15&gt;預測IC!CE$27,1,0)</f>
        <v>1</v>
      </c>
      <c r="CF15" s="11">
        <f>IF(預測IC!CF15&gt;預測IC!CF$27,1,0)</f>
        <v>1</v>
      </c>
      <c r="CG15" s="11">
        <f>IF(預測IC!CG15&gt;預測IC!CG$27,1,0)</f>
        <v>0</v>
      </c>
      <c r="CH15" s="11">
        <f>IF(預測IC!CH15&gt;預測IC!CH$27,1,0)</f>
        <v>0</v>
      </c>
      <c r="CI15" s="11">
        <f>IF(預測IC!CI15&gt;預測IC!CI$27,1,0)</f>
        <v>0</v>
      </c>
      <c r="CJ15" s="11">
        <f>IF(預測IC!CJ15&gt;預測IC!CJ$27,1,0)</f>
        <v>0</v>
      </c>
      <c r="CK15" s="11">
        <f>IF(預測IC!CK15&gt;預測IC!CK$27,1,0)</f>
        <v>0</v>
      </c>
      <c r="CL15" s="11">
        <f>IF(預測IC!CL15&gt;預測IC!CL$27,1,0)</f>
        <v>0</v>
      </c>
      <c r="CM15" s="11">
        <f>IF(預測IC!CM15&gt;預測IC!CM$27,1,0)</f>
        <v>0</v>
      </c>
      <c r="CN15" s="11">
        <f>IF(預測IC!CN15&gt;預測IC!CN$27,1,0)</f>
        <v>1</v>
      </c>
      <c r="CO15" s="11">
        <f>IF(預測IC!CO15&gt;預測IC!CO$27,1,0)</f>
        <v>1</v>
      </c>
      <c r="CP15" s="11">
        <f>IF(預測IC!CP15&gt;預測IC!CP$27,1,0)</f>
        <v>1</v>
      </c>
      <c r="CQ15" s="11">
        <f>IF(預測IC!CQ15&gt;預測IC!CQ$27,1,0)</f>
        <v>0</v>
      </c>
      <c r="CR15" s="11">
        <f>IF(預測IC!CR15&gt;預測IC!CR$27,1,0)</f>
        <v>0</v>
      </c>
      <c r="CS15" s="11">
        <f>IF(預測IC!CS15&gt;預測IC!CS$27,1,0)</f>
        <v>0</v>
      </c>
      <c r="CT15" s="11">
        <f>IF(預測IC!CT15&gt;預測IC!CT$27,1,0)</f>
        <v>0</v>
      </c>
      <c r="CU15" s="11">
        <f>IF(預測IC!CU15&gt;預測IC!CU$27,1,0)</f>
        <v>1</v>
      </c>
      <c r="CV15" s="11">
        <f>IF(預測IC!CV15&gt;預測IC!CV$27,1,0)</f>
        <v>0</v>
      </c>
      <c r="CW15" s="11">
        <f>IF(預測IC!CW15&gt;預測IC!CW$27,1,0)</f>
        <v>1</v>
      </c>
      <c r="CX15" s="11">
        <f>IF(預測IC!CX15&gt;預測IC!CX$27,1,0)</f>
        <v>1</v>
      </c>
      <c r="CY15" s="11">
        <f>IF(預測IC!CY15&gt;預測IC!CY$27,1,0)</f>
        <v>0</v>
      </c>
      <c r="CZ15" s="11">
        <f>IF(預測IC!CZ15&gt;預測IC!CZ$27,1,0)</f>
        <v>1</v>
      </c>
      <c r="DA15" s="11">
        <f>IF(預測IC!DA15&gt;預測IC!DA$27,1,0)</f>
        <v>1</v>
      </c>
      <c r="DB15" s="11">
        <f>IF(預測IC!DB15&gt;預測IC!DB$27,1,0)</f>
        <v>1</v>
      </c>
      <c r="DC15" s="11">
        <f>IF(預測IC!DC15&gt;預測IC!DC$27,1,0)</f>
        <v>1</v>
      </c>
      <c r="DD15" s="11">
        <f>IF(預測IC!DD15&gt;預測IC!DD$27,1,0)</f>
        <v>1</v>
      </c>
      <c r="DE15" s="11">
        <f>IF(預測IC!DE15&gt;預測IC!DE$27,1,0)</f>
        <v>0</v>
      </c>
      <c r="DF15" s="11">
        <f>IF(預測IC!DF15&gt;預測IC!DF$27,1,0)</f>
        <v>1</v>
      </c>
      <c r="DG15" s="11">
        <f>IF(預測IC!DG15&gt;預測IC!DG$27,1,0)</f>
        <v>0</v>
      </c>
      <c r="DH15" s="11">
        <f>IF(預測IC!DH15&gt;預測IC!DH$27,1,0)</f>
        <v>0</v>
      </c>
      <c r="DI15" s="11">
        <f>IF(預測IC!DI15&gt;預測IC!DI$27,1,0)</f>
        <v>1</v>
      </c>
      <c r="DJ15" s="11">
        <f>IF(預測IC!DJ15&gt;預測IC!DJ$27,1,0)</f>
        <v>1</v>
      </c>
      <c r="DK15" s="11">
        <f>IF(預測IC!DK15&gt;預測IC!DK$27,1,0)</f>
        <v>0</v>
      </c>
      <c r="DL15" s="11">
        <f>IF(預測IC!DL15&gt;預測IC!DL$27,1,0)</f>
        <v>0</v>
      </c>
      <c r="DM15" s="11">
        <f>IF(預測IC!DM15&gt;預測IC!DM$27,1,0)</f>
        <v>0</v>
      </c>
      <c r="DN15" s="11">
        <f>IF(預測IC!DN15&gt;預測IC!DN$27,1,0)</f>
        <v>1</v>
      </c>
      <c r="DO15" s="11">
        <f>IF(預測IC!DO15&gt;預測IC!DO$27,1,0)</f>
        <v>0</v>
      </c>
      <c r="DP15" s="11">
        <f>IF(預測IC!DP15&gt;預測IC!DP$27,1,0)</f>
        <v>1</v>
      </c>
      <c r="DQ15" s="11">
        <f>IF(預測IC!DQ15&gt;預測IC!DQ$27,1,0)</f>
        <v>0</v>
      </c>
      <c r="DR15" s="11">
        <f>IF(預測IC!DR15&gt;預測IC!DR$27,1,0)</f>
        <v>0</v>
      </c>
      <c r="DS15" s="11">
        <f>IF(預測IC!DS15&gt;預測IC!DS$27,1,0)</f>
        <v>1</v>
      </c>
      <c r="DT15" s="11">
        <f>IF(預測IC!DT15&gt;預測IC!DT$27,1,0)</f>
        <v>0</v>
      </c>
      <c r="DU15" s="11">
        <f>IF(預測IC!DU15&gt;預測IC!DU$27,1,0)</f>
        <v>0</v>
      </c>
      <c r="DV15" s="11">
        <f>IF(預測IC!DV15&gt;預測IC!DV$27,1,0)</f>
        <v>0</v>
      </c>
      <c r="DW15" s="11">
        <f>IF(預測IC!DW15&gt;預測IC!DW$27,1,0)</f>
        <v>0</v>
      </c>
      <c r="DX15" s="11">
        <f>IF(預測IC!DX15&gt;預測IC!DX$27,1,0)</f>
        <v>0</v>
      </c>
      <c r="DY15" s="11">
        <f>IF(預測IC!DY15&gt;預測IC!DY$27,1,0)</f>
        <v>1</v>
      </c>
      <c r="DZ15" s="11">
        <f>IF(預測IC!DZ15&gt;預測IC!DZ$27,1,0)</f>
        <v>0</v>
      </c>
      <c r="EA15" s="11">
        <f>IF(預測IC!EA15&gt;預測IC!EA$27,1,0)</f>
        <v>1</v>
      </c>
      <c r="EB15" s="11">
        <f>IF(預測IC!EB15&gt;預測IC!EB$27,1,0)</f>
        <v>0</v>
      </c>
      <c r="EC15" s="11">
        <f>IF(預測IC!EC15&gt;預測IC!EC$27,1,0)</f>
        <v>1</v>
      </c>
      <c r="ED15" s="11">
        <f>IF(預測IC!ED15&gt;預測IC!ED$27,1,0)</f>
        <v>0</v>
      </c>
      <c r="EE15" s="11">
        <f>IF(預測IC!EE15&gt;預測IC!EE$27,1,0)</f>
        <v>0</v>
      </c>
      <c r="EF15" s="11">
        <f>IF(預測IC!EF15&gt;預測IC!EF$27,1,0)</f>
        <v>1</v>
      </c>
      <c r="EG15" s="1">
        <f t="shared" si="6"/>
        <v>65</v>
      </c>
      <c r="EH15" s="2">
        <f t="shared" si="7"/>
        <v>0.48507462686567165</v>
      </c>
    </row>
    <row r="16" spans="1:138" ht="16" customHeight="1">
      <c r="A16" s="6">
        <v>50</v>
      </c>
      <c r="B16" s="6">
        <v>19</v>
      </c>
      <c r="C16" s="11">
        <f>IF(預測IC!C16&gt;預測IC!C$27,1,0)</f>
        <v>1</v>
      </c>
      <c r="D16" s="11">
        <f>IF(預測IC!D16&gt;預測IC!D$27,1,0)</f>
        <v>1</v>
      </c>
      <c r="E16" s="11">
        <f>IF(預測IC!E16&gt;預測IC!E$27,1,0)</f>
        <v>1</v>
      </c>
      <c r="F16" s="11">
        <f>IF(預測IC!F16&gt;預測IC!F$27,1,0)</f>
        <v>1</v>
      </c>
      <c r="G16" s="11">
        <f>IF(預測IC!G16&gt;預測IC!G$27,1,0)</f>
        <v>1</v>
      </c>
      <c r="H16" s="11">
        <f>IF(預測IC!H16&gt;預測IC!H$27,1,0)</f>
        <v>1</v>
      </c>
      <c r="I16" s="11">
        <f>IF(預測IC!I16&gt;預測IC!I$27,1,0)</f>
        <v>1</v>
      </c>
      <c r="J16" s="11">
        <f>IF(預測IC!J16&gt;預測IC!J$27,1,0)</f>
        <v>1</v>
      </c>
      <c r="K16" s="11">
        <f>IF(預測IC!K16&gt;預測IC!K$27,1,0)</f>
        <v>1</v>
      </c>
      <c r="L16" s="11">
        <f>IF(預測IC!L16&gt;預測IC!L$27,1,0)</f>
        <v>1</v>
      </c>
      <c r="M16" s="11">
        <f>IF(預測IC!M16&gt;預測IC!M$27,1,0)</f>
        <v>1</v>
      </c>
      <c r="N16" s="11">
        <f>IF(預測IC!N16&gt;預測IC!N$27,1,0)</f>
        <v>1</v>
      </c>
      <c r="O16" s="11">
        <f>IF(預測IC!O16&gt;預測IC!O$27,1,0)</f>
        <v>1</v>
      </c>
      <c r="P16" s="11">
        <f>IF(預測IC!P16&gt;預測IC!P$27,1,0)</f>
        <v>0</v>
      </c>
      <c r="Q16" s="11">
        <f>IF(預測IC!Q16&gt;預測IC!Q$27,1,0)</f>
        <v>1</v>
      </c>
      <c r="R16" s="11">
        <f>IF(預測IC!R16&gt;預測IC!R$27,1,0)</f>
        <v>0</v>
      </c>
      <c r="S16" s="11">
        <f>IF(預測IC!S16&gt;預測IC!S$27,1,0)</f>
        <v>0</v>
      </c>
      <c r="T16" s="11">
        <f>IF(預測IC!T16&gt;預測IC!T$27,1,0)</f>
        <v>1</v>
      </c>
      <c r="U16" s="11">
        <f>IF(預測IC!U16&gt;預測IC!U$27,1,0)</f>
        <v>1</v>
      </c>
      <c r="V16" s="11">
        <f>IF(預測IC!V16&gt;預測IC!V$27,1,0)</f>
        <v>1</v>
      </c>
      <c r="W16" s="11">
        <f>IF(預測IC!W16&gt;預測IC!W$27,1,0)</f>
        <v>0</v>
      </c>
      <c r="X16" s="11">
        <f>IF(預測IC!X16&gt;預測IC!X$27,1,0)</f>
        <v>0</v>
      </c>
      <c r="Y16" s="11">
        <f>IF(預測IC!Y16&gt;預測IC!Y$27,1,0)</f>
        <v>1</v>
      </c>
      <c r="Z16" s="11">
        <f>IF(預測IC!Z16&gt;預測IC!Z$27,1,0)</f>
        <v>1</v>
      </c>
      <c r="AA16" s="11">
        <f>IF(預測IC!AA16&gt;預測IC!AA$27,1,0)</f>
        <v>0</v>
      </c>
      <c r="AB16" s="11">
        <f>IF(預測IC!AB16&gt;預測IC!AB$27,1,0)</f>
        <v>0</v>
      </c>
      <c r="AC16" s="11">
        <f>IF(預測IC!AC16&gt;預測IC!AC$27,1,0)</f>
        <v>0</v>
      </c>
      <c r="AD16" s="11">
        <f>IF(預測IC!AD16&gt;預測IC!AD$27,1,0)</f>
        <v>1</v>
      </c>
      <c r="AE16" s="11">
        <f>IF(預測IC!AE16&gt;預測IC!AE$27,1,0)</f>
        <v>0</v>
      </c>
      <c r="AF16" s="11">
        <f>IF(預測IC!AF16&gt;預測IC!AF$27,1,0)</f>
        <v>1</v>
      </c>
      <c r="AG16" s="11">
        <f>IF(預測IC!AG16&gt;預測IC!AG$27,1,0)</f>
        <v>0</v>
      </c>
      <c r="AH16" s="11">
        <f>IF(預測IC!AH16&gt;預測IC!AH$27,1,0)</f>
        <v>0</v>
      </c>
      <c r="AI16" s="11">
        <f>IF(預測IC!AI16&gt;預測IC!AI$27,1,0)</f>
        <v>0</v>
      </c>
      <c r="AJ16" s="11">
        <f>IF(預測IC!AJ16&gt;預測IC!AJ$27,1,0)</f>
        <v>1</v>
      </c>
      <c r="AK16" s="11">
        <f>IF(預測IC!AK16&gt;預測IC!AK$27,1,0)</f>
        <v>0</v>
      </c>
      <c r="AL16" s="11">
        <f>IF(預測IC!AL16&gt;預測IC!AL$27,1,0)</f>
        <v>0</v>
      </c>
      <c r="AM16" s="11">
        <f>IF(預測IC!AM16&gt;預測IC!AM$27,1,0)</f>
        <v>1</v>
      </c>
      <c r="AN16" s="11">
        <f>IF(預測IC!AN16&gt;預測IC!AN$27,1,0)</f>
        <v>0</v>
      </c>
      <c r="AO16" s="11">
        <f>IF(預測IC!AO16&gt;預測IC!AO$27,1,0)</f>
        <v>0</v>
      </c>
      <c r="AP16" s="11">
        <f>IF(預測IC!AP16&gt;預測IC!AP$27,1,0)</f>
        <v>0</v>
      </c>
      <c r="AQ16" s="11">
        <f>IF(預測IC!AQ16&gt;預測IC!AQ$27,1,0)</f>
        <v>1</v>
      </c>
      <c r="AR16" s="11">
        <f>IF(預測IC!AR16&gt;預測IC!AR$27,1,0)</f>
        <v>1</v>
      </c>
      <c r="AS16" s="11">
        <f>IF(預測IC!AS16&gt;預測IC!AS$27,1,0)</f>
        <v>0</v>
      </c>
      <c r="AT16" s="11">
        <f>IF(預測IC!AT16&gt;預測IC!AT$27,1,0)</f>
        <v>0</v>
      </c>
      <c r="AU16" s="11">
        <f>IF(預測IC!AU16&gt;預測IC!AU$27,1,0)</f>
        <v>1</v>
      </c>
      <c r="AV16" s="11">
        <f>IF(預測IC!AV16&gt;預測IC!AV$27,1,0)</f>
        <v>0</v>
      </c>
      <c r="AW16" s="11">
        <f>IF(預測IC!AW16&gt;預測IC!AW$27,1,0)</f>
        <v>0</v>
      </c>
      <c r="AX16" s="11">
        <f>IF(預測IC!AX16&gt;預測IC!AX$27,1,0)</f>
        <v>1</v>
      </c>
      <c r="AY16" s="11">
        <f>IF(預測IC!AY16&gt;預測IC!AY$27,1,0)</f>
        <v>0</v>
      </c>
      <c r="AZ16" s="11">
        <f>IF(預測IC!AZ16&gt;預測IC!AZ$27,1,0)</f>
        <v>1</v>
      </c>
      <c r="BA16" s="11">
        <f>IF(預測IC!BA16&gt;預測IC!BA$27,1,0)</f>
        <v>1</v>
      </c>
      <c r="BB16" s="11">
        <f>IF(預測IC!BB16&gt;預測IC!BB$27,1,0)</f>
        <v>0</v>
      </c>
      <c r="BC16" s="11">
        <f>IF(預測IC!BC16&gt;預測IC!BC$27,1,0)</f>
        <v>0</v>
      </c>
      <c r="BD16" s="11">
        <f>IF(預測IC!BD16&gt;預測IC!BD$27,1,0)</f>
        <v>0</v>
      </c>
      <c r="BE16" s="11">
        <f>IF(預測IC!BE16&gt;預測IC!BE$27,1,0)</f>
        <v>0</v>
      </c>
      <c r="BF16" s="11">
        <f>IF(預測IC!BF16&gt;預測IC!BF$27,1,0)</f>
        <v>0</v>
      </c>
      <c r="BG16" s="11">
        <f>IF(預測IC!BG16&gt;預測IC!BG$27,1,0)</f>
        <v>0</v>
      </c>
      <c r="BH16" s="11">
        <f>IF(預測IC!BH16&gt;預測IC!BH$27,1,0)</f>
        <v>1</v>
      </c>
      <c r="BI16" s="11">
        <f>IF(預測IC!BI16&gt;預測IC!BI$27,1,0)</f>
        <v>0</v>
      </c>
      <c r="BJ16" s="11">
        <f>IF(預測IC!BJ16&gt;預測IC!BJ$27,1,0)</f>
        <v>1</v>
      </c>
      <c r="BK16" s="11">
        <f>IF(預測IC!BK16&gt;預測IC!BK$27,1,0)</f>
        <v>1</v>
      </c>
      <c r="BL16" s="11">
        <f>IF(預測IC!BL16&gt;預測IC!BL$27,1,0)</f>
        <v>0</v>
      </c>
      <c r="BM16" s="11">
        <f>IF(預測IC!BM16&gt;預測IC!BM$27,1,0)</f>
        <v>1</v>
      </c>
      <c r="BN16" s="11">
        <f>IF(預測IC!BN16&gt;預測IC!BN$27,1,0)</f>
        <v>0</v>
      </c>
      <c r="BO16" s="11">
        <f>IF(預測IC!BO16&gt;預測IC!BO$27,1,0)</f>
        <v>1</v>
      </c>
      <c r="BP16" s="11">
        <f>IF(預測IC!BP16&gt;預測IC!BP$27,1,0)</f>
        <v>1</v>
      </c>
      <c r="BQ16" s="11">
        <f>IF(預測IC!BQ16&gt;預測IC!BQ$27,1,0)</f>
        <v>1</v>
      </c>
      <c r="BR16" s="11">
        <f>IF(預測IC!BR16&gt;預測IC!BR$27,1,0)</f>
        <v>0</v>
      </c>
      <c r="BS16" s="11">
        <f>IF(預測IC!BS16&gt;預測IC!BS$27,1,0)</f>
        <v>0</v>
      </c>
      <c r="BT16" s="11">
        <f>IF(預測IC!BT16&gt;預測IC!BT$27,1,0)</f>
        <v>1</v>
      </c>
      <c r="BU16" s="11">
        <f>IF(預測IC!BU16&gt;預測IC!BU$27,1,0)</f>
        <v>0</v>
      </c>
      <c r="BV16" s="11">
        <f>IF(預測IC!BV16&gt;預測IC!BV$27,1,0)</f>
        <v>1</v>
      </c>
      <c r="BW16" s="11">
        <f>IF(預測IC!BW16&gt;預測IC!BW$27,1,0)</f>
        <v>0</v>
      </c>
      <c r="BX16" s="11">
        <f>IF(預測IC!BX16&gt;預測IC!BX$27,1,0)</f>
        <v>1</v>
      </c>
      <c r="BY16" s="11">
        <f>IF(預測IC!BY16&gt;預測IC!BY$27,1,0)</f>
        <v>1</v>
      </c>
      <c r="BZ16" s="11">
        <f>IF(預測IC!BZ16&gt;預測IC!BZ$27,1,0)</f>
        <v>0</v>
      </c>
      <c r="CA16" s="11">
        <f>IF(預測IC!CA16&gt;預測IC!CA$27,1,0)</f>
        <v>1</v>
      </c>
      <c r="CB16" s="11">
        <f>IF(預測IC!CB16&gt;預測IC!CB$27,1,0)</f>
        <v>0</v>
      </c>
      <c r="CC16" s="11">
        <f>IF(預測IC!CC16&gt;預測IC!CC$27,1,0)</f>
        <v>0</v>
      </c>
      <c r="CD16" s="11">
        <f>IF(預測IC!CD16&gt;預測IC!CD$27,1,0)</f>
        <v>1</v>
      </c>
      <c r="CE16" s="11">
        <f>IF(預測IC!CE16&gt;預測IC!CE$27,1,0)</f>
        <v>1</v>
      </c>
      <c r="CF16" s="11">
        <f>IF(預測IC!CF16&gt;預測IC!CF$27,1,0)</f>
        <v>1</v>
      </c>
      <c r="CG16" s="11">
        <f>IF(預測IC!CG16&gt;預測IC!CG$27,1,0)</f>
        <v>0</v>
      </c>
      <c r="CH16" s="11">
        <f>IF(預測IC!CH16&gt;預測IC!CH$27,1,0)</f>
        <v>0</v>
      </c>
      <c r="CI16" s="11">
        <f>IF(預測IC!CI16&gt;預測IC!CI$27,1,0)</f>
        <v>1</v>
      </c>
      <c r="CJ16" s="11">
        <f>IF(預測IC!CJ16&gt;預測IC!CJ$27,1,0)</f>
        <v>0</v>
      </c>
      <c r="CK16" s="11">
        <f>IF(預測IC!CK16&gt;預測IC!CK$27,1,0)</f>
        <v>0</v>
      </c>
      <c r="CL16" s="11">
        <f>IF(預測IC!CL16&gt;預測IC!CL$27,1,0)</f>
        <v>0</v>
      </c>
      <c r="CM16" s="11">
        <f>IF(預測IC!CM16&gt;預測IC!CM$27,1,0)</f>
        <v>0</v>
      </c>
      <c r="CN16" s="11">
        <f>IF(預測IC!CN16&gt;預測IC!CN$27,1,0)</f>
        <v>1</v>
      </c>
      <c r="CO16" s="11">
        <f>IF(預測IC!CO16&gt;預測IC!CO$27,1,0)</f>
        <v>1</v>
      </c>
      <c r="CP16" s="11">
        <f>IF(預測IC!CP16&gt;預測IC!CP$27,1,0)</f>
        <v>1</v>
      </c>
      <c r="CQ16" s="11">
        <f>IF(預測IC!CQ16&gt;預測IC!CQ$27,1,0)</f>
        <v>0</v>
      </c>
      <c r="CR16" s="11">
        <f>IF(預測IC!CR16&gt;預測IC!CR$27,1,0)</f>
        <v>0</v>
      </c>
      <c r="CS16" s="11">
        <f>IF(預測IC!CS16&gt;預測IC!CS$27,1,0)</f>
        <v>0</v>
      </c>
      <c r="CT16" s="11">
        <f>IF(預測IC!CT16&gt;預測IC!CT$27,1,0)</f>
        <v>0</v>
      </c>
      <c r="CU16" s="11">
        <f>IF(預測IC!CU16&gt;預測IC!CU$27,1,0)</f>
        <v>0</v>
      </c>
      <c r="CV16" s="11">
        <f>IF(預測IC!CV16&gt;預測IC!CV$27,1,0)</f>
        <v>0</v>
      </c>
      <c r="CW16" s="11">
        <f>IF(預測IC!CW16&gt;預測IC!CW$27,1,0)</f>
        <v>1</v>
      </c>
      <c r="CX16" s="11">
        <f>IF(預測IC!CX16&gt;預測IC!CX$27,1,0)</f>
        <v>1</v>
      </c>
      <c r="CY16" s="11">
        <f>IF(預測IC!CY16&gt;預測IC!CY$27,1,0)</f>
        <v>0</v>
      </c>
      <c r="CZ16" s="11">
        <f>IF(預測IC!CZ16&gt;預測IC!CZ$27,1,0)</f>
        <v>1</v>
      </c>
      <c r="DA16" s="11">
        <f>IF(預測IC!DA16&gt;預測IC!DA$27,1,0)</f>
        <v>1</v>
      </c>
      <c r="DB16" s="11">
        <f>IF(預測IC!DB16&gt;預測IC!DB$27,1,0)</f>
        <v>1</v>
      </c>
      <c r="DC16" s="11">
        <f>IF(預測IC!DC16&gt;預測IC!DC$27,1,0)</f>
        <v>1</v>
      </c>
      <c r="DD16" s="11">
        <f>IF(預測IC!DD16&gt;預測IC!DD$27,1,0)</f>
        <v>1</v>
      </c>
      <c r="DE16" s="11">
        <f>IF(預測IC!DE16&gt;預測IC!DE$27,1,0)</f>
        <v>0</v>
      </c>
      <c r="DF16" s="11">
        <f>IF(預測IC!DF16&gt;預測IC!DF$27,1,0)</f>
        <v>1</v>
      </c>
      <c r="DG16" s="11">
        <f>IF(預測IC!DG16&gt;預測IC!DG$27,1,0)</f>
        <v>0</v>
      </c>
      <c r="DH16" s="11">
        <f>IF(預測IC!DH16&gt;預測IC!DH$27,1,0)</f>
        <v>0</v>
      </c>
      <c r="DI16" s="11">
        <f>IF(預測IC!DI16&gt;預測IC!DI$27,1,0)</f>
        <v>0</v>
      </c>
      <c r="DJ16" s="11">
        <f>IF(預測IC!DJ16&gt;預測IC!DJ$27,1,0)</f>
        <v>1</v>
      </c>
      <c r="DK16" s="11">
        <f>IF(預測IC!DK16&gt;預測IC!DK$27,1,0)</f>
        <v>0</v>
      </c>
      <c r="DL16" s="11">
        <f>IF(預測IC!DL16&gt;預測IC!DL$27,1,0)</f>
        <v>0</v>
      </c>
      <c r="DM16" s="11">
        <f>IF(預測IC!DM16&gt;預測IC!DM$27,1,0)</f>
        <v>0</v>
      </c>
      <c r="DN16" s="11">
        <f>IF(預測IC!DN16&gt;預測IC!DN$27,1,0)</f>
        <v>1</v>
      </c>
      <c r="DO16" s="11">
        <f>IF(預測IC!DO16&gt;預測IC!DO$27,1,0)</f>
        <v>0</v>
      </c>
      <c r="DP16" s="11">
        <f>IF(預測IC!DP16&gt;預測IC!DP$27,1,0)</f>
        <v>1</v>
      </c>
      <c r="DQ16" s="11">
        <f>IF(預測IC!DQ16&gt;預測IC!DQ$27,1,0)</f>
        <v>0</v>
      </c>
      <c r="DR16" s="11">
        <f>IF(預測IC!DR16&gt;預測IC!DR$27,1,0)</f>
        <v>0</v>
      </c>
      <c r="DS16" s="11">
        <f>IF(預測IC!DS16&gt;預測IC!DS$27,1,0)</f>
        <v>1</v>
      </c>
      <c r="DT16" s="11">
        <f>IF(預測IC!DT16&gt;預測IC!DT$27,1,0)</f>
        <v>0</v>
      </c>
      <c r="DU16" s="11">
        <f>IF(預測IC!DU16&gt;預測IC!DU$27,1,0)</f>
        <v>0</v>
      </c>
      <c r="DV16" s="11">
        <f>IF(預測IC!DV16&gt;預測IC!DV$27,1,0)</f>
        <v>0</v>
      </c>
      <c r="DW16" s="11">
        <f>IF(預測IC!DW16&gt;預測IC!DW$27,1,0)</f>
        <v>0</v>
      </c>
      <c r="DX16" s="11">
        <f>IF(預測IC!DX16&gt;預測IC!DX$27,1,0)</f>
        <v>0</v>
      </c>
      <c r="DY16" s="11">
        <f>IF(預測IC!DY16&gt;預測IC!DY$27,1,0)</f>
        <v>0</v>
      </c>
      <c r="DZ16" s="11">
        <f>IF(預測IC!DZ16&gt;預測IC!DZ$27,1,0)</f>
        <v>0</v>
      </c>
      <c r="EA16" s="11">
        <f>IF(預測IC!EA16&gt;預測IC!EA$27,1,0)</f>
        <v>1</v>
      </c>
      <c r="EB16" s="11">
        <f>IF(預測IC!EB16&gt;預測IC!EB$27,1,0)</f>
        <v>0</v>
      </c>
      <c r="EC16" s="11">
        <f>IF(預測IC!EC16&gt;預測IC!EC$27,1,0)</f>
        <v>1</v>
      </c>
      <c r="ED16" s="11">
        <f>IF(預測IC!ED16&gt;預測IC!ED$27,1,0)</f>
        <v>0</v>
      </c>
      <c r="EE16" s="11">
        <f>IF(預測IC!EE16&gt;預測IC!EE$27,1,0)</f>
        <v>0</v>
      </c>
      <c r="EF16" s="11">
        <f>IF(預測IC!EF16&gt;預測IC!EF$27,1,0)</f>
        <v>1</v>
      </c>
      <c r="EG16" s="1">
        <f t="shared" si="6"/>
        <v>63</v>
      </c>
      <c r="EH16" s="2">
        <f t="shared" si="7"/>
        <v>0.47014925373134331</v>
      </c>
    </row>
    <row r="17" spans="1:138" ht="16" customHeight="1">
      <c r="A17" s="6">
        <v>100</v>
      </c>
      <c r="B17" s="6">
        <v>10</v>
      </c>
      <c r="C17" s="11">
        <f>IF(預測IC!C17&gt;預測IC!C$27,1,0)</f>
        <v>1</v>
      </c>
      <c r="D17" s="11">
        <f>IF(預測IC!D17&gt;預測IC!D$27,1,0)</f>
        <v>1</v>
      </c>
      <c r="E17" s="11">
        <f>IF(預測IC!E17&gt;預測IC!E$27,1,0)</f>
        <v>1</v>
      </c>
      <c r="F17" s="11">
        <f>IF(預測IC!F17&gt;預測IC!F$27,1,0)</f>
        <v>1</v>
      </c>
      <c r="G17" s="11">
        <f>IF(預測IC!G17&gt;預測IC!G$27,1,0)</f>
        <v>1</v>
      </c>
      <c r="H17" s="11">
        <f>IF(預測IC!H17&gt;預測IC!H$27,1,0)</f>
        <v>1</v>
      </c>
      <c r="I17" s="11">
        <f>IF(預測IC!I17&gt;預測IC!I$27,1,0)</f>
        <v>1</v>
      </c>
      <c r="J17" s="11">
        <f>IF(預測IC!J17&gt;預測IC!J$27,1,0)</f>
        <v>1</v>
      </c>
      <c r="K17" s="11">
        <f>IF(預測IC!K17&gt;預測IC!K$27,1,0)</f>
        <v>1</v>
      </c>
      <c r="L17" s="11">
        <f>IF(預測IC!L17&gt;預測IC!L$27,1,0)</f>
        <v>1</v>
      </c>
      <c r="M17" s="11">
        <f>IF(預測IC!M17&gt;預測IC!M$27,1,0)</f>
        <v>1</v>
      </c>
      <c r="N17" s="11">
        <f>IF(預測IC!N17&gt;預測IC!N$27,1,0)</f>
        <v>1</v>
      </c>
      <c r="O17" s="11">
        <f>IF(預測IC!O17&gt;預測IC!O$27,1,0)</f>
        <v>1</v>
      </c>
      <c r="P17" s="11">
        <f>IF(預測IC!P17&gt;預測IC!P$27,1,0)</f>
        <v>0</v>
      </c>
      <c r="Q17" s="11">
        <f>IF(預測IC!Q17&gt;預測IC!Q$27,1,0)</f>
        <v>0</v>
      </c>
      <c r="R17" s="11">
        <f>IF(預測IC!R17&gt;預測IC!R$27,1,0)</f>
        <v>0</v>
      </c>
      <c r="S17" s="11">
        <f>IF(預測IC!S17&gt;預測IC!S$27,1,0)</f>
        <v>0</v>
      </c>
      <c r="T17" s="11">
        <f>IF(預測IC!T17&gt;預測IC!T$27,1,0)</f>
        <v>0</v>
      </c>
      <c r="U17" s="11">
        <f>IF(預測IC!U17&gt;預測IC!U$27,1,0)</f>
        <v>1</v>
      </c>
      <c r="V17" s="11">
        <f>IF(預測IC!V17&gt;預測IC!V$27,1,0)</f>
        <v>1</v>
      </c>
      <c r="W17" s="11">
        <f>IF(預測IC!W17&gt;預測IC!W$27,1,0)</f>
        <v>0</v>
      </c>
      <c r="X17" s="11">
        <f>IF(預測IC!X17&gt;預測IC!X$27,1,0)</f>
        <v>0</v>
      </c>
      <c r="Y17" s="11">
        <f>IF(預測IC!Y17&gt;預測IC!Y$27,1,0)</f>
        <v>1</v>
      </c>
      <c r="Z17" s="11">
        <f>IF(預測IC!Z17&gt;預測IC!Z$27,1,0)</f>
        <v>1</v>
      </c>
      <c r="AA17" s="11">
        <f>IF(預測IC!AA17&gt;預測IC!AA$27,1,0)</f>
        <v>0</v>
      </c>
      <c r="AB17" s="11">
        <f>IF(預測IC!AB17&gt;預測IC!AB$27,1,0)</f>
        <v>0</v>
      </c>
      <c r="AC17" s="11">
        <f>IF(預測IC!AC17&gt;預測IC!AC$27,1,0)</f>
        <v>0</v>
      </c>
      <c r="AD17" s="11">
        <f>IF(預測IC!AD17&gt;預測IC!AD$27,1,0)</f>
        <v>1</v>
      </c>
      <c r="AE17" s="11">
        <f>IF(預測IC!AE17&gt;預測IC!AE$27,1,0)</f>
        <v>0</v>
      </c>
      <c r="AF17" s="11">
        <f>IF(預測IC!AF17&gt;預測IC!AF$27,1,0)</f>
        <v>1</v>
      </c>
      <c r="AG17" s="11">
        <f>IF(預測IC!AG17&gt;預測IC!AG$27,1,0)</f>
        <v>0</v>
      </c>
      <c r="AH17" s="11">
        <f>IF(預測IC!AH17&gt;預測IC!AH$27,1,0)</f>
        <v>0</v>
      </c>
      <c r="AI17" s="11">
        <f>IF(預測IC!AI17&gt;預測IC!AI$27,1,0)</f>
        <v>0</v>
      </c>
      <c r="AJ17" s="11">
        <f>IF(預測IC!AJ17&gt;預測IC!AJ$27,1,0)</f>
        <v>0</v>
      </c>
      <c r="AK17" s="11">
        <f>IF(預測IC!AK17&gt;預測IC!AK$27,1,0)</f>
        <v>0</v>
      </c>
      <c r="AL17" s="11">
        <f>IF(預測IC!AL17&gt;預測IC!AL$27,1,0)</f>
        <v>0</v>
      </c>
      <c r="AM17" s="11">
        <f>IF(預測IC!AM17&gt;預測IC!AM$27,1,0)</f>
        <v>1</v>
      </c>
      <c r="AN17" s="11">
        <f>IF(預測IC!AN17&gt;預測IC!AN$27,1,0)</f>
        <v>0</v>
      </c>
      <c r="AO17" s="11">
        <f>IF(預測IC!AO17&gt;預測IC!AO$27,1,0)</f>
        <v>0</v>
      </c>
      <c r="AP17" s="11">
        <f>IF(預測IC!AP17&gt;預測IC!AP$27,1,0)</f>
        <v>0</v>
      </c>
      <c r="AQ17" s="11">
        <f>IF(預測IC!AQ17&gt;預測IC!AQ$27,1,0)</f>
        <v>1</v>
      </c>
      <c r="AR17" s="11">
        <f>IF(預測IC!AR17&gt;預測IC!AR$27,1,0)</f>
        <v>0</v>
      </c>
      <c r="AS17" s="11">
        <f>IF(預測IC!AS17&gt;預測IC!AS$27,1,0)</f>
        <v>0</v>
      </c>
      <c r="AT17" s="11">
        <f>IF(預測IC!AT17&gt;預測IC!AT$27,1,0)</f>
        <v>0</v>
      </c>
      <c r="AU17" s="11">
        <f>IF(預測IC!AU17&gt;預測IC!AU$27,1,0)</f>
        <v>1</v>
      </c>
      <c r="AV17" s="11">
        <f>IF(預測IC!AV17&gt;預測IC!AV$27,1,0)</f>
        <v>0</v>
      </c>
      <c r="AW17" s="11">
        <f>IF(預測IC!AW17&gt;預測IC!AW$27,1,0)</f>
        <v>0</v>
      </c>
      <c r="AX17" s="11">
        <f>IF(預測IC!AX17&gt;預測IC!AX$27,1,0)</f>
        <v>1</v>
      </c>
      <c r="AY17" s="11">
        <f>IF(預測IC!AY17&gt;預測IC!AY$27,1,0)</f>
        <v>1</v>
      </c>
      <c r="AZ17" s="11">
        <f>IF(預測IC!AZ17&gt;預測IC!AZ$27,1,0)</f>
        <v>1</v>
      </c>
      <c r="BA17" s="11">
        <f>IF(預測IC!BA17&gt;預測IC!BA$27,1,0)</f>
        <v>1</v>
      </c>
      <c r="BB17" s="11">
        <f>IF(預測IC!BB17&gt;預測IC!BB$27,1,0)</f>
        <v>0</v>
      </c>
      <c r="BC17" s="11">
        <f>IF(預測IC!BC17&gt;預測IC!BC$27,1,0)</f>
        <v>0</v>
      </c>
      <c r="BD17" s="11">
        <f>IF(預測IC!BD17&gt;預測IC!BD$27,1,0)</f>
        <v>0</v>
      </c>
      <c r="BE17" s="11">
        <f>IF(預測IC!BE17&gt;預測IC!BE$27,1,0)</f>
        <v>0</v>
      </c>
      <c r="BF17" s="11">
        <f>IF(預測IC!BF17&gt;預測IC!BF$27,1,0)</f>
        <v>1</v>
      </c>
      <c r="BG17" s="11">
        <f>IF(預測IC!BG17&gt;預測IC!BG$27,1,0)</f>
        <v>1</v>
      </c>
      <c r="BH17" s="11">
        <f>IF(預測IC!BH17&gt;預測IC!BH$27,1,0)</f>
        <v>1</v>
      </c>
      <c r="BI17" s="11">
        <f>IF(預測IC!BI17&gt;預測IC!BI$27,1,0)</f>
        <v>0</v>
      </c>
      <c r="BJ17" s="11">
        <f>IF(預測IC!BJ17&gt;預測IC!BJ$27,1,0)</f>
        <v>1</v>
      </c>
      <c r="BK17" s="11">
        <f>IF(預測IC!BK17&gt;預測IC!BK$27,1,0)</f>
        <v>1</v>
      </c>
      <c r="BL17" s="11">
        <f>IF(預測IC!BL17&gt;預測IC!BL$27,1,0)</f>
        <v>1</v>
      </c>
      <c r="BM17" s="11">
        <f>IF(預測IC!BM17&gt;預測IC!BM$27,1,0)</f>
        <v>1</v>
      </c>
      <c r="BN17" s="11">
        <f>IF(預測IC!BN17&gt;預測IC!BN$27,1,0)</f>
        <v>0</v>
      </c>
      <c r="BO17" s="11">
        <f>IF(預測IC!BO17&gt;預測IC!BO$27,1,0)</f>
        <v>1</v>
      </c>
      <c r="BP17" s="11">
        <f>IF(預測IC!BP17&gt;預測IC!BP$27,1,0)</f>
        <v>1</v>
      </c>
      <c r="BQ17" s="11">
        <f>IF(預測IC!BQ17&gt;預測IC!BQ$27,1,0)</f>
        <v>0</v>
      </c>
      <c r="BR17" s="11">
        <f>IF(預測IC!BR17&gt;預測IC!BR$27,1,0)</f>
        <v>0</v>
      </c>
      <c r="BS17" s="11">
        <f>IF(預測IC!BS17&gt;預測IC!BS$27,1,0)</f>
        <v>0</v>
      </c>
      <c r="BT17" s="11">
        <f>IF(預測IC!BT17&gt;預測IC!BT$27,1,0)</f>
        <v>1</v>
      </c>
      <c r="BU17" s="11">
        <f>IF(預測IC!BU17&gt;預測IC!BU$27,1,0)</f>
        <v>0</v>
      </c>
      <c r="BV17" s="11">
        <f>IF(預測IC!BV17&gt;預測IC!BV$27,1,0)</f>
        <v>1</v>
      </c>
      <c r="BW17" s="11">
        <f>IF(預測IC!BW17&gt;預測IC!BW$27,1,0)</f>
        <v>0</v>
      </c>
      <c r="BX17" s="11">
        <f>IF(預測IC!BX17&gt;預測IC!BX$27,1,0)</f>
        <v>1</v>
      </c>
      <c r="BY17" s="11">
        <f>IF(預測IC!BY17&gt;預測IC!BY$27,1,0)</f>
        <v>1</v>
      </c>
      <c r="BZ17" s="11">
        <f>IF(預測IC!BZ17&gt;預測IC!BZ$27,1,0)</f>
        <v>0</v>
      </c>
      <c r="CA17" s="11">
        <f>IF(預測IC!CA17&gt;預測IC!CA$27,1,0)</f>
        <v>0</v>
      </c>
      <c r="CB17" s="11">
        <f>IF(預測IC!CB17&gt;預測IC!CB$27,1,0)</f>
        <v>1</v>
      </c>
      <c r="CC17" s="11">
        <f>IF(預測IC!CC17&gt;預測IC!CC$27,1,0)</f>
        <v>0</v>
      </c>
      <c r="CD17" s="11">
        <f>IF(預測IC!CD17&gt;預測IC!CD$27,1,0)</f>
        <v>1</v>
      </c>
      <c r="CE17" s="11">
        <f>IF(預測IC!CE17&gt;預測IC!CE$27,1,0)</f>
        <v>1</v>
      </c>
      <c r="CF17" s="11">
        <f>IF(預測IC!CF17&gt;預測IC!CF$27,1,0)</f>
        <v>1</v>
      </c>
      <c r="CG17" s="11">
        <f>IF(預測IC!CG17&gt;預測IC!CG$27,1,0)</f>
        <v>0</v>
      </c>
      <c r="CH17" s="11">
        <f>IF(預測IC!CH17&gt;預測IC!CH$27,1,0)</f>
        <v>0</v>
      </c>
      <c r="CI17" s="11">
        <f>IF(預測IC!CI17&gt;預測IC!CI$27,1,0)</f>
        <v>1</v>
      </c>
      <c r="CJ17" s="11">
        <f>IF(預測IC!CJ17&gt;預測IC!CJ$27,1,0)</f>
        <v>0</v>
      </c>
      <c r="CK17" s="11">
        <f>IF(預測IC!CK17&gt;預測IC!CK$27,1,0)</f>
        <v>0</v>
      </c>
      <c r="CL17" s="11">
        <f>IF(預測IC!CL17&gt;預測IC!CL$27,1,0)</f>
        <v>0</v>
      </c>
      <c r="CM17" s="11">
        <f>IF(預測IC!CM17&gt;預測IC!CM$27,1,0)</f>
        <v>1</v>
      </c>
      <c r="CN17" s="11">
        <f>IF(預測IC!CN17&gt;預測IC!CN$27,1,0)</f>
        <v>1</v>
      </c>
      <c r="CO17" s="11">
        <f>IF(預測IC!CO17&gt;預測IC!CO$27,1,0)</f>
        <v>1</v>
      </c>
      <c r="CP17" s="11">
        <f>IF(預測IC!CP17&gt;預測IC!CP$27,1,0)</f>
        <v>1</v>
      </c>
      <c r="CQ17" s="11">
        <f>IF(預測IC!CQ17&gt;預測IC!CQ$27,1,0)</f>
        <v>0</v>
      </c>
      <c r="CR17" s="11">
        <f>IF(預測IC!CR17&gt;預測IC!CR$27,1,0)</f>
        <v>0</v>
      </c>
      <c r="CS17" s="11">
        <f>IF(預測IC!CS17&gt;預測IC!CS$27,1,0)</f>
        <v>0</v>
      </c>
      <c r="CT17" s="11">
        <f>IF(預測IC!CT17&gt;預測IC!CT$27,1,0)</f>
        <v>0</v>
      </c>
      <c r="CU17" s="11">
        <f>IF(預測IC!CU17&gt;預測IC!CU$27,1,0)</f>
        <v>0</v>
      </c>
      <c r="CV17" s="11">
        <f>IF(預測IC!CV17&gt;預測IC!CV$27,1,0)</f>
        <v>0</v>
      </c>
      <c r="CW17" s="11">
        <f>IF(預測IC!CW17&gt;預測IC!CW$27,1,0)</f>
        <v>1</v>
      </c>
      <c r="CX17" s="11">
        <f>IF(預測IC!CX17&gt;預測IC!CX$27,1,0)</f>
        <v>1</v>
      </c>
      <c r="CY17" s="11">
        <f>IF(預測IC!CY17&gt;預測IC!CY$27,1,0)</f>
        <v>0</v>
      </c>
      <c r="CZ17" s="11">
        <f>IF(預測IC!CZ17&gt;預測IC!CZ$27,1,0)</f>
        <v>1</v>
      </c>
      <c r="DA17" s="11">
        <f>IF(預測IC!DA17&gt;預測IC!DA$27,1,0)</f>
        <v>1</v>
      </c>
      <c r="DB17" s="11">
        <f>IF(預測IC!DB17&gt;預測IC!DB$27,1,0)</f>
        <v>1</v>
      </c>
      <c r="DC17" s="11">
        <f>IF(預測IC!DC17&gt;預測IC!DC$27,1,0)</f>
        <v>1</v>
      </c>
      <c r="DD17" s="11">
        <f>IF(預測IC!DD17&gt;預測IC!DD$27,1,0)</f>
        <v>1</v>
      </c>
      <c r="DE17" s="11">
        <f>IF(預測IC!DE17&gt;預測IC!DE$27,1,0)</f>
        <v>0</v>
      </c>
      <c r="DF17" s="11">
        <f>IF(預測IC!DF17&gt;預測IC!DF$27,1,0)</f>
        <v>1</v>
      </c>
      <c r="DG17" s="11">
        <f>IF(預測IC!DG17&gt;預測IC!DG$27,1,0)</f>
        <v>0</v>
      </c>
      <c r="DH17" s="11">
        <f>IF(預測IC!DH17&gt;預測IC!DH$27,1,0)</f>
        <v>0</v>
      </c>
      <c r="DI17" s="11">
        <f>IF(預測IC!DI17&gt;預測IC!DI$27,1,0)</f>
        <v>1</v>
      </c>
      <c r="DJ17" s="11">
        <f>IF(預測IC!DJ17&gt;預測IC!DJ$27,1,0)</f>
        <v>1</v>
      </c>
      <c r="DK17" s="11">
        <f>IF(預測IC!DK17&gt;預測IC!DK$27,1,0)</f>
        <v>0</v>
      </c>
      <c r="DL17" s="11">
        <f>IF(預測IC!DL17&gt;預測IC!DL$27,1,0)</f>
        <v>0</v>
      </c>
      <c r="DM17" s="11">
        <f>IF(預測IC!DM17&gt;預測IC!DM$27,1,0)</f>
        <v>0</v>
      </c>
      <c r="DN17" s="11">
        <f>IF(預測IC!DN17&gt;預測IC!DN$27,1,0)</f>
        <v>1</v>
      </c>
      <c r="DO17" s="11">
        <v>1</v>
      </c>
      <c r="DP17" s="11">
        <f>IF(預測IC!DP17&gt;預測IC!DP$27,1,0)</f>
        <v>0</v>
      </c>
      <c r="DQ17" s="11">
        <v>1</v>
      </c>
      <c r="DR17" s="11">
        <f>IF(預測IC!DR17&gt;預測IC!DR$27,1,0)</f>
        <v>0</v>
      </c>
      <c r="DS17" s="11">
        <f>IF(預測IC!DS17&gt;預測IC!DS$27,1,0)</f>
        <v>1</v>
      </c>
      <c r="DT17" s="11">
        <f>IF(預測IC!DT17&gt;預測IC!DT$27,1,0)</f>
        <v>0</v>
      </c>
      <c r="DU17" s="11">
        <f>IF(預測IC!DU17&gt;預測IC!DU$27,1,0)</f>
        <v>0</v>
      </c>
      <c r="DV17" s="11">
        <v>1</v>
      </c>
      <c r="DW17" s="11">
        <f>IF(預測IC!DW17&gt;預測IC!DW$27,1,0)</f>
        <v>1</v>
      </c>
      <c r="DX17" s="11">
        <f>IF(預測IC!DX17&gt;預測IC!DX$27,1,0)</f>
        <v>0</v>
      </c>
      <c r="DY17" s="11">
        <f>IF(預測IC!DY17&gt;預測IC!DY$27,1,0)</f>
        <v>1</v>
      </c>
      <c r="DZ17" s="11">
        <f>IF(預測IC!DZ17&gt;預測IC!DZ$27,1,0)</f>
        <v>1</v>
      </c>
      <c r="EA17" s="11">
        <f>IF(預測IC!EA17&gt;預測IC!EA$27,1,0)</f>
        <v>1</v>
      </c>
      <c r="EB17" s="11">
        <f>IF(預測IC!EB17&gt;預測IC!EB$27,1,0)</f>
        <v>1</v>
      </c>
      <c r="EC17" s="11">
        <f>IF(預測IC!EC17&gt;預測IC!EC$27,1,0)</f>
        <v>0</v>
      </c>
      <c r="ED17" s="11">
        <v>1</v>
      </c>
      <c r="EE17" s="11">
        <f>IF(預測IC!EE17&gt;預測IC!EE$27,1,0)</f>
        <v>0</v>
      </c>
      <c r="EF17" s="11">
        <f>IF(預測IC!EF17&gt;預測IC!EF$27,1,0)</f>
        <v>1</v>
      </c>
      <c r="EG17" s="1">
        <f t="shared" si="6"/>
        <v>70</v>
      </c>
      <c r="EH17" s="48">
        <f t="shared" si="7"/>
        <v>0.52238805970149249</v>
      </c>
    </row>
    <row r="18" spans="1:138" ht="16" customHeight="1">
      <c r="A18" s="6">
        <v>107</v>
      </c>
      <c r="B18" s="6">
        <v>9</v>
      </c>
      <c r="C18" s="11">
        <f>IF(預測IC!C18&gt;預測IC!C$27,1,0)</f>
        <v>1</v>
      </c>
      <c r="D18" s="11">
        <f>IF(預測IC!D18&gt;預測IC!D$27,1,0)</f>
        <v>1</v>
      </c>
      <c r="E18" s="11">
        <f>IF(預測IC!E18&gt;預測IC!E$27,1,0)</f>
        <v>1</v>
      </c>
      <c r="F18" s="11">
        <f>IF(預測IC!F18&gt;預測IC!F$27,1,0)</f>
        <v>1</v>
      </c>
      <c r="G18" s="11">
        <f>IF(預測IC!G18&gt;預測IC!G$27,1,0)</f>
        <v>1</v>
      </c>
      <c r="H18" s="11">
        <f>IF(預測IC!H18&gt;預測IC!H$27,1,0)</f>
        <v>1</v>
      </c>
      <c r="I18" s="11">
        <f>IF(預測IC!I18&gt;預測IC!I$27,1,0)</f>
        <v>1</v>
      </c>
      <c r="J18" s="11">
        <f>IF(預測IC!J18&gt;預測IC!J$27,1,0)</f>
        <v>1</v>
      </c>
      <c r="K18" s="11">
        <f>IF(預測IC!K18&gt;預測IC!K$27,1,0)</f>
        <v>1</v>
      </c>
      <c r="L18" s="11">
        <f>IF(預測IC!L18&gt;預測IC!L$27,1,0)</f>
        <v>1</v>
      </c>
      <c r="M18" s="11">
        <f>IF(預測IC!M18&gt;預測IC!M$27,1,0)</f>
        <v>1</v>
      </c>
      <c r="N18" s="11">
        <f>IF(預測IC!N18&gt;預測IC!N$27,1,0)</f>
        <v>1</v>
      </c>
      <c r="O18" s="11">
        <f>IF(預測IC!O18&gt;預測IC!O$27,1,0)</f>
        <v>1</v>
      </c>
      <c r="P18" s="11">
        <f>IF(預測IC!P18&gt;預測IC!P$27,1,0)</f>
        <v>0</v>
      </c>
      <c r="Q18" s="11">
        <f>IF(預測IC!Q18&gt;預測IC!Q$27,1,0)</f>
        <v>0</v>
      </c>
      <c r="R18" s="11">
        <f>IF(預測IC!R18&gt;預測IC!R$27,1,0)</f>
        <v>0</v>
      </c>
      <c r="S18" s="11">
        <f>IF(預測IC!S18&gt;預測IC!S$27,1,0)</f>
        <v>0</v>
      </c>
      <c r="T18" s="11">
        <f>IF(預測IC!T18&gt;預測IC!T$27,1,0)</f>
        <v>1</v>
      </c>
      <c r="U18" s="11">
        <f>IF(預測IC!U18&gt;預測IC!U$27,1,0)</f>
        <v>1</v>
      </c>
      <c r="V18" s="11">
        <f>IF(預測IC!V18&gt;預測IC!V$27,1,0)</f>
        <v>1</v>
      </c>
      <c r="W18" s="11">
        <f>IF(預測IC!W18&gt;預測IC!W$27,1,0)</f>
        <v>0</v>
      </c>
      <c r="X18" s="11">
        <f>IF(預測IC!X18&gt;預測IC!X$27,1,0)</f>
        <v>1</v>
      </c>
      <c r="Y18" s="11">
        <f>IF(預測IC!Y18&gt;預測IC!Y$27,1,0)</f>
        <v>1</v>
      </c>
      <c r="Z18" s="11">
        <f>IF(預測IC!Z18&gt;預測IC!Z$27,1,0)</f>
        <v>1</v>
      </c>
      <c r="AA18" s="11">
        <f>IF(預測IC!AA18&gt;預測IC!AA$27,1,0)</f>
        <v>0</v>
      </c>
      <c r="AB18" s="11">
        <f>IF(預測IC!AB18&gt;預測IC!AB$27,1,0)</f>
        <v>0</v>
      </c>
      <c r="AC18" s="11">
        <f>IF(預測IC!AC18&gt;預測IC!AC$27,1,0)</f>
        <v>0</v>
      </c>
      <c r="AD18" s="11">
        <f>IF(預測IC!AD18&gt;預測IC!AD$27,1,0)</f>
        <v>1</v>
      </c>
      <c r="AE18" s="11">
        <f>IF(預測IC!AE18&gt;預測IC!AE$27,1,0)</f>
        <v>0</v>
      </c>
      <c r="AF18" s="11">
        <f>IF(預測IC!AF18&gt;預測IC!AF$27,1,0)</f>
        <v>1</v>
      </c>
      <c r="AG18" s="11">
        <f>IF(預測IC!AG18&gt;預測IC!AG$27,1,0)</f>
        <v>0</v>
      </c>
      <c r="AH18" s="11">
        <f>IF(預測IC!AH18&gt;預測IC!AH$27,1,0)</f>
        <v>0</v>
      </c>
      <c r="AI18" s="11">
        <f>IF(預測IC!AI18&gt;預測IC!AI$27,1,0)</f>
        <v>0</v>
      </c>
      <c r="AJ18" s="11">
        <f>IF(預測IC!AJ18&gt;預測IC!AJ$27,1,0)</f>
        <v>0</v>
      </c>
      <c r="AK18" s="11">
        <f>IF(預測IC!AK18&gt;預測IC!AK$27,1,0)</f>
        <v>0</v>
      </c>
      <c r="AL18" s="11">
        <f>IF(預測IC!AL18&gt;預測IC!AL$27,1,0)</f>
        <v>0</v>
      </c>
      <c r="AM18" s="11">
        <f>IF(預測IC!AM18&gt;預測IC!AM$27,1,0)</f>
        <v>1</v>
      </c>
      <c r="AN18" s="11">
        <f>IF(預測IC!AN18&gt;預測IC!AN$27,1,0)</f>
        <v>0</v>
      </c>
      <c r="AO18" s="11">
        <f>IF(預測IC!AO18&gt;預測IC!AO$27,1,0)</f>
        <v>0</v>
      </c>
      <c r="AP18" s="11">
        <f>IF(預測IC!AP18&gt;預測IC!AP$27,1,0)</f>
        <v>0</v>
      </c>
      <c r="AQ18" s="11">
        <f>IF(預測IC!AQ18&gt;預測IC!AQ$27,1,0)</f>
        <v>1</v>
      </c>
      <c r="AR18" s="11">
        <f>IF(預測IC!AR18&gt;預測IC!AR$27,1,0)</f>
        <v>1</v>
      </c>
      <c r="AS18" s="11">
        <f>IF(預測IC!AS18&gt;預測IC!AS$27,1,0)</f>
        <v>0</v>
      </c>
      <c r="AT18" s="11">
        <f>IF(預測IC!AT18&gt;預測IC!AT$27,1,0)</f>
        <v>0</v>
      </c>
      <c r="AU18" s="11">
        <f>IF(預測IC!AU18&gt;預測IC!AU$27,1,0)</f>
        <v>1</v>
      </c>
      <c r="AV18" s="11">
        <f>IF(預測IC!AV18&gt;預測IC!AV$27,1,0)</f>
        <v>0</v>
      </c>
      <c r="AW18" s="11">
        <f>IF(預測IC!AW18&gt;預測IC!AW$27,1,0)</f>
        <v>0</v>
      </c>
      <c r="AX18" s="11">
        <f>IF(預測IC!AX18&gt;預測IC!AX$27,1,0)</f>
        <v>0</v>
      </c>
      <c r="AY18" s="11">
        <f>IF(預測IC!AY18&gt;預測IC!AY$27,1,0)</f>
        <v>1</v>
      </c>
      <c r="AZ18" s="11">
        <f>IF(預測IC!AZ18&gt;預測IC!AZ$27,1,0)</f>
        <v>1</v>
      </c>
      <c r="BA18" s="11">
        <f>IF(預測IC!BA18&gt;預測IC!BA$27,1,0)</f>
        <v>1</v>
      </c>
      <c r="BB18" s="11">
        <f>IF(預測IC!BB18&gt;預測IC!BB$27,1,0)</f>
        <v>0</v>
      </c>
      <c r="BC18" s="11">
        <f>IF(預測IC!BC18&gt;預測IC!BC$27,1,0)</f>
        <v>0</v>
      </c>
      <c r="BD18" s="11">
        <f>IF(預測IC!BD18&gt;預測IC!BD$27,1,0)</f>
        <v>0</v>
      </c>
      <c r="BE18" s="11">
        <f>IF(預測IC!BE18&gt;預測IC!BE$27,1,0)</f>
        <v>0</v>
      </c>
      <c r="BF18" s="11">
        <f>IF(預測IC!BF18&gt;預測IC!BF$27,1,0)</f>
        <v>1</v>
      </c>
      <c r="BG18" s="11">
        <f>IF(預測IC!BG18&gt;預測IC!BG$27,1,0)</f>
        <v>1</v>
      </c>
      <c r="BH18" s="11">
        <f>IF(預測IC!BH18&gt;預測IC!BH$27,1,0)</f>
        <v>1</v>
      </c>
      <c r="BI18" s="11">
        <f>IF(預測IC!BI18&gt;預測IC!BI$27,1,0)</f>
        <v>0</v>
      </c>
      <c r="BJ18" s="11">
        <f>IF(預測IC!BJ18&gt;預測IC!BJ$27,1,0)</f>
        <v>1</v>
      </c>
      <c r="BK18" s="11">
        <f>IF(預測IC!BK18&gt;預測IC!BK$27,1,0)</f>
        <v>1</v>
      </c>
      <c r="BL18" s="11">
        <f>IF(預測IC!BL18&gt;預測IC!BL$27,1,0)</f>
        <v>1</v>
      </c>
      <c r="BM18" s="11">
        <f>IF(預測IC!BM18&gt;預測IC!BM$27,1,0)</f>
        <v>0</v>
      </c>
      <c r="BN18" s="11">
        <f>IF(預測IC!BN18&gt;預測IC!BN$27,1,0)</f>
        <v>0</v>
      </c>
      <c r="BO18" s="11">
        <f>IF(預測IC!BO18&gt;預測IC!BO$27,1,0)</f>
        <v>1</v>
      </c>
      <c r="BP18" s="11">
        <f>IF(預測IC!BP18&gt;預測IC!BP$27,1,0)</f>
        <v>1</v>
      </c>
      <c r="BQ18" s="11">
        <f>IF(預測IC!BQ18&gt;預測IC!BQ$27,1,0)</f>
        <v>0</v>
      </c>
      <c r="BR18" s="11">
        <f>IF(預測IC!BR18&gt;預測IC!BR$27,1,0)</f>
        <v>0</v>
      </c>
      <c r="BS18" s="11">
        <f>IF(預測IC!BS18&gt;預測IC!BS$27,1,0)</f>
        <v>0</v>
      </c>
      <c r="BT18" s="11">
        <f>IF(預測IC!BT18&gt;預測IC!BT$27,1,0)</f>
        <v>1</v>
      </c>
      <c r="BU18" s="11">
        <f>IF(預測IC!BU18&gt;預測IC!BU$27,1,0)</f>
        <v>0</v>
      </c>
      <c r="BV18" s="11">
        <f>IF(預測IC!BV18&gt;預測IC!BV$27,1,0)</f>
        <v>1</v>
      </c>
      <c r="BW18" s="11">
        <f>IF(預測IC!BW18&gt;預測IC!BW$27,1,0)</f>
        <v>0</v>
      </c>
      <c r="BX18" s="11">
        <f>IF(預測IC!BX18&gt;預測IC!BX$27,1,0)</f>
        <v>1</v>
      </c>
      <c r="BY18" s="11">
        <f>IF(預測IC!BY18&gt;預測IC!BY$27,1,0)</f>
        <v>1</v>
      </c>
      <c r="BZ18" s="11">
        <f>IF(預測IC!BZ18&gt;預測IC!BZ$27,1,0)</f>
        <v>0</v>
      </c>
      <c r="CA18" s="11">
        <f>IF(預測IC!CA18&gt;預測IC!CA$27,1,0)</f>
        <v>0</v>
      </c>
      <c r="CB18" s="11">
        <f>IF(預測IC!CB18&gt;預測IC!CB$27,1,0)</f>
        <v>1</v>
      </c>
      <c r="CC18" s="11">
        <f>IF(預測IC!CC18&gt;預測IC!CC$27,1,0)</f>
        <v>0</v>
      </c>
      <c r="CD18" s="11">
        <f>IF(預測IC!CD18&gt;預測IC!CD$27,1,0)</f>
        <v>0</v>
      </c>
      <c r="CE18" s="11">
        <f>IF(預測IC!CE18&gt;預測IC!CE$27,1,0)</f>
        <v>0</v>
      </c>
      <c r="CF18" s="11">
        <f>IF(預測IC!CF18&gt;預測IC!CF$27,1,0)</f>
        <v>1</v>
      </c>
      <c r="CG18" s="11">
        <f>IF(預測IC!CG18&gt;預測IC!CG$27,1,0)</f>
        <v>0</v>
      </c>
      <c r="CH18" s="11">
        <f>IF(預測IC!CH18&gt;預測IC!CH$27,1,0)</f>
        <v>0</v>
      </c>
      <c r="CI18" s="11">
        <f>IF(預測IC!CI18&gt;預測IC!CI$27,1,0)</f>
        <v>1</v>
      </c>
      <c r="CJ18" s="11">
        <f>IF(預測IC!CJ18&gt;預測IC!CJ$27,1,0)</f>
        <v>0</v>
      </c>
      <c r="CK18" s="11">
        <f>IF(預測IC!CK18&gt;預測IC!CK$27,1,0)</f>
        <v>0</v>
      </c>
      <c r="CL18" s="11">
        <f>IF(預測IC!CL18&gt;預測IC!CL$27,1,0)</f>
        <v>0</v>
      </c>
      <c r="CM18" s="11">
        <f>IF(預測IC!CM18&gt;預測IC!CM$27,1,0)</f>
        <v>1</v>
      </c>
      <c r="CN18" s="11">
        <f>IF(預測IC!CN18&gt;預測IC!CN$27,1,0)</f>
        <v>1</v>
      </c>
      <c r="CO18" s="11">
        <f>IF(預測IC!CO18&gt;預測IC!CO$27,1,0)</f>
        <v>1</v>
      </c>
      <c r="CP18" s="11">
        <f>IF(預測IC!CP18&gt;預測IC!CP$27,1,0)</f>
        <v>1</v>
      </c>
      <c r="CQ18" s="11">
        <f>IF(預測IC!CQ18&gt;預測IC!CQ$27,1,0)</f>
        <v>0</v>
      </c>
      <c r="CR18" s="11">
        <f>IF(預測IC!CR18&gt;預測IC!CR$27,1,0)</f>
        <v>0</v>
      </c>
      <c r="CS18" s="11">
        <f>IF(預測IC!CS18&gt;預測IC!CS$27,1,0)</f>
        <v>0</v>
      </c>
      <c r="CT18" s="11">
        <f>IF(預測IC!CT18&gt;預測IC!CT$27,1,0)</f>
        <v>0</v>
      </c>
      <c r="CU18" s="11">
        <f>IF(預測IC!CU18&gt;預測IC!CU$27,1,0)</f>
        <v>0</v>
      </c>
      <c r="CV18" s="11">
        <f>IF(預測IC!CV18&gt;預測IC!CV$27,1,0)</f>
        <v>0</v>
      </c>
      <c r="CW18" s="11">
        <f>IF(預測IC!CW18&gt;預測IC!CW$27,1,0)</f>
        <v>1</v>
      </c>
      <c r="CX18" s="11">
        <f>IF(預測IC!CX18&gt;預測IC!CX$27,1,0)</f>
        <v>1</v>
      </c>
      <c r="CY18" s="11">
        <f>IF(預測IC!CY18&gt;預測IC!CY$27,1,0)</f>
        <v>0</v>
      </c>
      <c r="CZ18" s="11">
        <f>IF(預測IC!CZ18&gt;預測IC!CZ$27,1,0)</f>
        <v>1</v>
      </c>
      <c r="DA18" s="11">
        <f>IF(預測IC!DA18&gt;預測IC!DA$27,1,0)</f>
        <v>0</v>
      </c>
      <c r="DB18" s="11">
        <f>IF(預測IC!DB18&gt;預測IC!DB$27,1,0)</f>
        <v>1</v>
      </c>
      <c r="DC18" s="11">
        <f>IF(預測IC!DC18&gt;預測IC!DC$27,1,0)</f>
        <v>1</v>
      </c>
      <c r="DD18" s="11">
        <f>IF(預測IC!DD18&gt;預測IC!DD$27,1,0)</f>
        <v>1</v>
      </c>
      <c r="DE18" s="11">
        <f>IF(預測IC!DE18&gt;預測IC!DE$27,1,0)</f>
        <v>0</v>
      </c>
      <c r="DF18" s="11">
        <f>IF(預測IC!DF18&gt;預測IC!DF$27,1,0)</f>
        <v>1</v>
      </c>
      <c r="DG18" s="11">
        <f>IF(預測IC!DG18&gt;預測IC!DG$27,1,0)</f>
        <v>0</v>
      </c>
      <c r="DH18" s="11">
        <f>IF(預測IC!DH18&gt;預測IC!DH$27,1,0)</f>
        <v>0</v>
      </c>
      <c r="DI18" s="11">
        <f>IF(預測IC!DI18&gt;預測IC!DI$27,1,0)</f>
        <v>1</v>
      </c>
      <c r="DJ18" s="11">
        <f>IF(預測IC!DJ18&gt;預測IC!DJ$27,1,0)</f>
        <v>1</v>
      </c>
      <c r="DK18" s="11">
        <f>IF(預測IC!DK18&gt;預測IC!DK$27,1,0)</f>
        <v>0</v>
      </c>
      <c r="DL18" s="11">
        <f>IF(預測IC!DL18&gt;預測IC!DL$27,1,0)</f>
        <v>0</v>
      </c>
      <c r="DM18" s="11">
        <f>IF(預測IC!DM18&gt;預測IC!DM$27,1,0)</f>
        <v>0</v>
      </c>
      <c r="DN18" s="11">
        <f>IF(預測IC!DN18&gt;預測IC!DN$27,1,0)</f>
        <v>1</v>
      </c>
      <c r="DO18" s="11">
        <f>IF(預測IC!DO18&gt;預測IC!DO$27,1,0)</f>
        <v>0</v>
      </c>
      <c r="DP18" s="11">
        <f>IF(預測IC!DP18&gt;預測IC!DP$27,1,0)</f>
        <v>1</v>
      </c>
      <c r="DQ18" s="11">
        <f>IF(預測IC!DQ18&gt;預測IC!DQ$27,1,0)</f>
        <v>0</v>
      </c>
      <c r="DR18" s="11">
        <f>IF(預測IC!DR18&gt;預測IC!DR$27,1,0)</f>
        <v>0</v>
      </c>
      <c r="DS18" s="11">
        <f>IF(預測IC!DS18&gt;預測IC!DS$27,1,0)</f>
        <v>1</v>
      </c>
      <c r="DT18" s="11">
        <f>IF(預測IC!DT18&gt;預測IC!DT$27,1,0)</f>
        <v>0</v>
      </c>
      <c r="DU18" s="11">
        <f>IF(預測IC!DU18&gt;預測IC!DU$27,1,0)</f>
        <v>0</v>
      </c>
      <c r="DV18" s="11">
        <f>IF(預測IC!DV18&gt;預測IC!DV$27,1,0)</f>
        <v>1</v>
      </c>
      <c r="DW18" s="11">
        <f>IF(預測IC!DW18&gt;預測IC!DW$27,1,0)</f>
        <v>1</v>
      </c>
      <c r="DX18" s="11">
        <f>IF(預測IC!DX18&gt;預測IC!DX$27,1,0)</f>
        <v>0</v>
      </c>
      <c r="DY18" s="11">
        <f>IF(預測IC!DY18&gt;預測IC!DY$27,1,0)</f>
        <v>1</v>
      </c>
      <c r="DZ18" s="11">
        <f>IF(預測IC!DZ18&gt;預測IC!DZ$27,1,0)</f>
        <v>1</v>
      </c>
      <c r="EA18" s="11">
        <f>IF(預測IC!EA18&gt;預測IC!EA$27,1,0)</f>
        <v>1</v>
      </c>
      <c r="EB18" s="11">
        <f>IF(預測IC!EB18&gt;預測IC!EB$27,1,0)</f>
        <v>0</v>
      </c>
      <c r="EC18" s="11">
        <f>IF(預測IC!EC18&gt;預測IC!EC$27,1,0)</f>
        <v>1</v>
      </c>
      <c r="ED18" s="11">
        <v>1</v>
      </c>
      <c r="EE18" s="11">
        <v>1</v>
      </c>
      <c r="EF18" s="11">
        <f>IF(預測IC!EF18&gt;預測IC!EF$27,1,0)</f>
        <v>1</v>
      </c>
      <c r="EG18" s="1">
        <f t="shared" si="6"/>
        <v>68</v>
      </c>
      <c r="EH18" s="48">
        <f t="shared" si="7"/>
        <v>0.5074626865671642</v>
      </c>
    </row>
    <row r="19" spans="1:138" ht="16" customHeight="1">
      <c r="A19" s="6">
        <v>120</v>
      </c>
      <c r="B19" s="6">
        <v>8</v>
      </c>
      <c r="C19" s="11">
        <f>IF(預測IC!C19&gt;預測IC!C$27,1,0)</f>
        <v>1</v>
      </c>
      <c r="D19" s="11">
        <f>IF(預測IC!D19&gt;預測IC!D$27,1,0)</f>
        <v>1</v>
      </c>
      <c r="E19" s="11">
        <f>IF(預測IC!E19&gt;預測IC!E$27,1,0)</f>
        <v>1</v>
      </c>
      <c r="F19" s="11">
        <f>IF(預測IC!F19&gt;預測IC!F$27,1,0)</f>
        <v>1</v>
      </c>
      <c r="G19" s="11">
        <f>IF(預測IC!G19&gt;預測IC!G$27,1,0)</f>
        <v>1</v>
      </c>
      <c r="H19" s="11">
        <f>IF(預測IC!H19&gt;預測IC!H$27,1,0)</f>
        <v>1</v>
      </c>
      <c r="I19" s="11">
        <f>IF(預測IC!I19&gt;預測IC!I$27,1,0)</f>
        <v>1</v>
      </c>
      <c r="J19" s="11">
        <f>IF(預測IC!J19&gt;預測IC!J$27,1,0)</f>
        <v>1</v>
      </c>
      <c r="K19" s="11">
        <f>IF(預測IC!K19&gt;預測IC!K$27,1,0)</f>
        <v>1</v>
      </c>
      <c r="L19" s="11">
        <f>IF(預測IC!L19&gt;預測IC!L$27,1,0)</f>
        <v>1</v>
      </c>
      <c r="M19" s="11">
        <f>IF(預測IC!M19&gt;預測IC!M$27,1,0)</f>
        <v>1</v>
      </c>
      <c r="N19" s="11">
        <f>IF(預測IC!N19&gt;預測IC!N$27,1,0)</f>
        <v>1</v>
      </c>
      <c r="O19" s="11">
        <f>IF(預測IC!O19&gt;預測IC!O$27,1,0)</f>
        <v>1</v>
      </c>
      <c r="P19" s="11">
        <f>IF(預測IC!P19&gt;預測IC!P$27,1,0)</f>
        <v>0</v>
      </c>
      <c r="Q19" s="11">
        <f>IF(預測IC!Q19&gt;預測IC!Q$27,1,0)</f>
        <v>0</v>
      </c>
      <c r="R19" s="11">
        <f>IF(預測IC!R19&gt;預測IC!R$27,1,0)</f>
        <v>0</v>
      </c>
      <c r="S19" s="11">
        <f>IF(預測IC!S19&gt;預測IC!S$27,1,0)</f>
        <v>0</v>
      </c>
      <c r="T19" s="11">
        <f>IF(預測IC!T19&gt;預測IC!T$27,1,0)</f>
        <v>1</v>
      </c>
      <c r="U19" s="11">
        <f>IF(預測IC!U19&gt;預測IC!U$27,1,0)</f>
        <v>1</v>
      </c>
      <c r="V19" s="11">
        <f>IF(預測IC!V19&gt;預測IC!V$27,1,0)</f>
        <v>1</v>
      </c>
      <c r="W19" s="11">
        <f>IF(預測IC!W19&gt;預測IC!W$27,1,0)</f>
        <v>0</v>
      </c>
      <c r="X19" s="11">
        <f>IF(預測IC!X19&gt;預測IC!X$27,1,0)</f>
        <v>1</v>
      </c>
      <c r="Y19" s="11">
        <f>IF(預測IC!Y19&gt;預測IC!Y$27,1,0)</f>
        <v>1</v>
      </c>
      <c r="Z19" s="11">
        <f>IF(預測IC!Z19&gt;預測IC!Z$27,1,0)</f>
        <v>1</v>
      </c>
      <c r="AA19" s="11">
        <f>IF(預測IC!AA19&gt;預測IC!AA$27,1,0)</f>
        <v>0</v>
      </c>
      <c r="AB19" s="11">
        <f>IF(預測IC!AB19&gt;預測IC!AB$27,1,0)</f>
        <v>0</v>
      </c>
      <c r="AC19" s="11">
        <f>IF(預測IC!AC19&gt;預測IC!AC$27,1,0)</f>
        <v>0</v>
      </c>
      <c r="AD19" s="11">
        <f>IF(預測IC!AD19&gt;預測IC!AD$27,1,0)</f>
        <v>1</v>
      </c>
      <c r="AE19" s="11">
        <f>IF(預測IC!AE19&gt;預測IC!AE$27,1,0)</f>
        <v>0</v>
      </c>
      <c r="AF19" s="11">
        <f>IF(預測IC!AF19&gt;預測IC!AF$27,1,0)</f>
        <v>1</v>
      </c>
      <c r="AG19" s="11">
        <f>IF(預測IC!AG19&gt;預測IC!AG$27,1,0)</f>
        <v>0</v>
      </c>
      <c r="AH19" s="11">
        <f>IF(預測IC!AH19&gt;預測IC!AH$27,1,0)</f>
        <v>0</v>
      </c>
      <c r="AI19" s="11">
        <f>IF(預測IC!AI19&gt;預測IC!AI$27,1,0)</f>
        <v>0</v>
      </c>
      <c r="AJ19" s="11">
        <f>IF(預測IC!AJ19&gt;預測IC!AJ$27,1,0)</f>
        <v>0</v>
      </c>
      <c r="AK19" s="11">
        <f>IF(預測IC!AK19&gt;預測IC!AK$27,1,0)</f>
        <v>0</v>
      </c>
      <c r="AL19" s="11">
        <f>IF(預測IC!AL19&gt;預測IC!AL$27,1,0)</f>
        <v>0</v>
      </c>
      <c r="AM19" s="11">
        <f>IF(預測IC!AM19&gt;預測IC!AM$27,1,0)</f>
        <v>1</v>
      </c>
      <c r="AN19" s="11">
        <f>IF(預測IC!AN19&gt;預測IC!AN$27,1,0)</f>
        <v>0</v>
      </c>
      <c r="AO19" s="11">
        <f>IF(預測IC!AO19&gt;預測IC!AO$27,1,0)</f>
        <v>0</v>
      </c>
      <c r="AP19" s="11">
        <f>IF(預測IC!AP19&gt;預測IC!AP$27,1,0)</f>
        <v>0</v>
      </c>
      <c r="AQ19" s="11">
        <f>IF(預測IC!AQ19&gt;預測IC!AQ$27,1,0)</f>
        <v>1</v>
      </c>
      <c r="AR19" s="11">
        <f>IF(預測IC!AR19&gt;預測IC!AR$27,1,0)</f>
        <v>1</v>
      </c>
      <c r="AS19" s="11">
        <f>IF(預測IC!AS19&gt;預測IC!AS$27,1,0)</f>
        <v>0</v>
      </c>
      <c r="AT19" s="11">
        <f>IF(預測IC!AT19&gt;預測IC!AT$27,1,0)</f>
        <v>0</v>
      </c>
      <c r="AU19" s="11">
        <f>IF(預測IC!AU19&gt;預測IC!AU$27,1,0)</f>
        <v>1</v>
      </c>
      <c r="AV19" s="11">
        <f>IF(預測IC!AV19&gt;預測IC!AV$27,1,0)</f>
        <v>0</v>
      </c>
      <c r="AW19" s="11">
        <f>IF(預測IC!AW19&gt;預測IC!AW$27,1,0)</f>
        <v>0</v>
      </c>
      <c r="AX19" s="11">
        <f>IF(預測IC!AX19&gt;預測IC!AX$27,1,0)</f>
        <v>0</v>
      </c>
      <c r="AY19" s="11">
        <f>IF(預測IC!AY19&gt;預測IC!AY$27,1,0)</f>
        <v>1</v>
      </c>
      <c r="AZ19" s="11">
        <f>IF(預測IC!AZ19&gt;預測IC!AZ$27,1,0)</f>
        <v>1</v>
      </c>
      <c r="BA19" s="11">
        <f>IF(預測IC!BA19&gt;預測IC!BA$27,1,0)</f>
        <v>0</v>
      </c>
      <c r="BB19" s="11">
        <f>IF(預測IC!BB19&gt;預測IC!BB$27,1,0)</f>
        <v>0</v>
      </c>
      <c r="BC19" s="11">
        <f>IF(預測IC!BC19&gt;預測IC!BC$27,1,0)</f>
        <v>0</v>
      </c>
      <c r="BD19" s="11">
        <f>IF(預測IC!BD19&gt;預測IC!BD$27,1,0)</f>
        <v>0</v>
      </c>
      <c r="BE19" s="11">
        <f>IF(預測IC!BE19&gt;預測IC!BE$27,1,0)</f>
        <v>0</v>
      </c>
      <c r="BF19" s="11">
        <f>IF(預測IC!BF19&gt;預測IC!BF$27,1,0)</f>
        <v>1</v>
      </c>
      <c r="BG19" s="11">
        <f>IF(預測IC!BG19&gt;預測IC!BG$27,1,0)</f>
        <v>1</v>
      </c>
      <c r="BH19" s="11">
        <f>IF(預測IC!BH19&gt;預測IC!BH$27,1,0)</f>
        <v>1</v>
      </c>
      <c r="BI19" s="11">
        <f>IF(預測IC!BI19&gt;預測IC!BI$27,1,0)</f>
        <v>0</v>
      </c>
      <c r="BJ19" s="11">
        <f>IF(預測IC!BJ19&gt;預測IC!BJ$27,1,0)</f>
        <v>1</v>
      </c>
      <c r="BK19" s="11">
        <f>IF(預測IC!BK19&gt;預測IC!BK$27,1,0)</f>
        <v>1</v>
      </c>
      <c r="BL19" s="11">
        <f>IF(預測IC!BL19&gt;預測IC!BL$27,1,0)</f>
        <v>1</v>
      </c>
      <c r="BM19" s="11">
        <f>IF(預測IC!BM19&gt;預測IC!BM$27,1,0)</f>
        <v>0</v>
      </c>
      <c r="BN19" s="11">
        <f>IF(預測IC!BN19&gt;預測IC!BN$27,1,0)</f>
        <v>1</v>
      </c>
      <c r="BO19" s="11">
        <f>IF(預測IC!BO19&gt;預測IC!BO$27,1,0)</f>
        <v>1</v>
      </c>
      <c r="BP19" s="11">
        <f>IF(預測IC!BP19&gt;預測IC!BP$27,1,0)</f>
        <v>1</v>
      </c>
      <c r="BQ19" s="11">
        <f>IF(預測IC!BQ19&gt;預測IC!BQ$27,1,0)</f>
        <v>1</v>
      </c>
      <c r="BR19" s="11">
        <f>IF(預測IC!BR19&gt;預測IC!BR$27,1,0)</f>
        <v>0</v>
      </c>
      <c r="BS19" s="11">
        <f>IF(預測IC!BS19&gt;預測IC!BS$27,1,0)</f>
        <v>0</v>
      </c>
      <c r="BT19" s="11">
        <f>IF(預測IC!BT19&gt;預測IC!BT$27,1,0)</f>
        <v>1</v>
      </c>
      <c r="BU19" s="11">
        <f>IF(預測IC!BU19&gt;預測IC!BU$27,1,0)</f>
        <v>1</v>
      </c>
      <c r="BV19" s="11">
        <f>IF(預測IC!BV19&gt;預測IC!BV$27,1,0)</f>
        <v>1</v>
      </c>
      <c r="BW19" s="11">
        <f>IF(預測IC!BW19&gt;預測IC!BW$27,1,0)</f>
        <v>0</v>
      </c>
      <c r="BX19" s="11">
        <f>IF(預測IC!BX19&gt;預測IC!BX$27,1,0)</f>
        <v>1</v>
      </c>
      <c r="BY19" s="11">
        <f>IF(預測IC!BY19&gt;預測IC!BY$27,1,0)</f>
        <v>1</v>
      </c>
      <c r="BZ19" s="11">
        <f>IF(預測IC!BZ19&gt;預測IC!BZ$27,1,0)</f>
        <v>0</v>
      </c>
      <c r="CA19" s="11">
        <f>IF(預測IC!CA19&gt;預測IC!CA$27,1,0)</f>
        <v>0</v>
      </c>
      <c r="CB19" s="11">
        <f>IF(預測IC!CB19&gt;預測IC!CB$27,1,0)</f>
        <v>0</v>
      </c>
      <c r="CC19" s="11">
        <f>IF(預測IC!CC19&gt;預測IC!CC$27,1,0)</f>
        <v>0</v>
      </c>
      <c r="CD19" s="11">
        <f>IF(預測IC!CD19&gt;預測IC!CD$27,1,0)</f>
        <v>0</v>
      </c>
      <c r="CE19" s="11">
        <f>IF(預測IC!CE19&gt;預測IC!CE$27,1,0)</f>
        <v>0</v>
      </c>
      <c r="CF19" s="11">
        <f>IF(預測IC!CF19&gt;預測IC!CF$27,1,0)</f>
        <v>1</v>
      </c>
      <c r="CG19" s="11">
        <f>IF(預測IC!CG19&gt;預測IC!CG$27,1,0)</f>
        <v>0</v>
      </c>
      <c r="CH19" s="11">
        <f>IF(預測IC!CH19&gt;預測IC!CH$27,1,0)</f>
        <v>0</v>
      </c>
      <c r="CI19" s="11">
        <f>IF(預測IC!CI19&gt;預測IC!CI$27,1,0)</f>
        <v>1</v>
      </c>
      <c r="CJ19" s="11">
        <f>IF(預測IC!CJ19&gt;預測IC!CJ$27,1,0)</f>
        <v>0</v>
      </c>
      <c r="CK19" s="11">
        <f>IF(預測IC!CK19&gt;預測IC!CK$27,1,0)</f>
        <v>0</v>
      </c>
      <c r="CL19" s="11">
        <f>IF(預測IC!CL19&gt;預測IC!CL$27,1,0)</f>
        <v>0</v>
      </c>
      <c r="CM19" s="11">
        <f>IF(預測IC!CM19&gt;預測IC!CM$27,1,0)</f>
        <v>1</v>
      </c>
      <c r="CN19" s="11">
        <f>IF(預測IC!CN19&gt;預測IC!CN$27,1,0)</f>
        <v>1</v>
      </c>
      <c r="CO19" s="11">
        <f>IF(預測IC!CO19&gt;預測IC!CO$27,1,0)</f>
        <v>1</v>
      </c>
      <c r="CP19" s="11">
        <f>IF(預測IC!CP19&gt;預測IC!CP$27,1,0)</f>
        <v>1</v>
      </c>
      <c r="CQ19" s="11">
        <f>IF(預測IC!CQ19&gt;預測IC!CQ$27,1,0)</f>
        <v>0</v>
      </c>
      <c r="CR19" s="11">
        <f>IF(預測IC!CR19&gt;預測IC!CR$27,1,0)</f>
        <v>0</v>
      </c>
      <c r="CS19" s="11">
        <f>IF(預測IC!CS19&gt;預測IC!CS$27,1,0)</f>
        <v>0</v>
      </c>
      <c r="CT19" s="11">
        <f>IF(預測IC!CT19&gt;預測IC!CT$27,1,0)</f>
        <v>0</v>
      </c>
      <c r="CU19" s="11">
        <f>IF(預測IC!CU19&gt;預測IC!CU$27,1,0)</f>
        <v>0</v>
      </c>
      <c r="CV19" s="11">
        <f>IF(預測IC!CV19&gt;預測IC!CV$27,1,0)</f>
        <v>0</v>
      </c>
      <c r="CW19" s="11">
        <f>IF(預測IC!CW19&gt;預測IC!CW$27,1,0)</f>
        <v>1</v>
      </c>
      <c r="CX19" s="11">
        <f>IF(預測IC!CX19&gt;預測IC!CX$27,1,0)</f>
        <v>1</v>
      </c>
      <c r="CY19" s="11">
        <f>IF(預測IC!CY19&gt;預測IC!CY$27,1,0)</f>
        <v>0</v>
      </c>
      <c r="CZ19" s="11">
        <f>IF(預測IC!CZ19&gt;預測IC!CZ$27,1,0)</f>
        <v>1</v>
      </c>
      <c r="DA19" s="11">
        <f>IF(預測IC!DA19&gt;預測IC!DA$27,1,0)</f>
        <v>0</v>
      </c>
      <c r="DB19" s="11">
        <f>IF(預測IC!DB19&gt;預測IC!DB$27,1,0)</f>
        <v>1</v>
      </c>
      <c r="DC19" s="11">
        <f>IF(預測IC!DC19&gt;預測IC!DC$27,1,0)</f>
        <v>0</v>
      </c>
      <c r="DD19" s="11">
        <f>IF(預測IC!DD19&gt;預測IC!DD$27,1,0)</f>
        <v>1</v>
      </c>
      <c r="DE19" s="11">
        <f>IF(預測IC!DE19&gt;預測IC!DE$27,1,0)</f>
        <v>0</v>
      </c>
      <c r="DF19" s="11">
        <f>IF(預測IC!DF19&gt;預測IC!DF$27,1,0)</f>
        <v>1</v>
      </c>
      <c r="DG19" s="11">
        <f>IF(預測IC!DG19&gt;預測IC!DG$27,1,0)</f>
        <v>0</v>
      </c>
      <c r="DH19" s="11">
        <f>IF(預測IC!DH19&gt;預測IC!DH$27,1,0)</f>
        <v>0</v>
      </c>
      <c r="DI19" s="11">
        <f>IF(預測IC!DI19&gt;預測IC!DI$27,1,0)</f>
        <v>1</v>
      </c>
      <c r="DJ19" s="11">
        <f>IF(預測IC!DJ19&gt;預測IC!DJ$27,1,0)</f>
        <v>1</v>
      </c>
      <c r="DK19" s="11">
        <f>IF(預測IC!DK19&gt;預測IC!DK$27,1,0)</f>
        <v>0</v>
      </c>
      <c r="DL19" s="11">
        <f>IF(預測IC!DL19&gt;預測IC!DL$27,1,0)</f>
        <v>0</v>
      </c>
      <c r="DM19" s="11">
        <f>IF(預測IC!DM19&gt;預測IC!DM$27,1,0)</f>
        <v>0</v>
      </c>
      <c r="DN19" s="11">
        <f>IF(預測IC!DN19&gt;預測IC!DN$27,1,0)</f>
        <v>1</v>
      </c>
      <c r="DO19" s="11">
        <f>IF(預測IC!DO19&gt;預測IC!DO$27,1,0)</f>
        <v>0</v>
      </c>
      <c r="DP19" s="11">
        <f>IF(預測IC!DP19&gt;預測IC!DP$27,1,0)</f>
        <v>1</v>
      </c>
      <c r="DQ19" s="11">
        <f>IF(預測IC!DQ19&gt;預測IC!DQ$27,1,0)</f>
        <v>0</v>
      </c>
      <c r="DR19" s="11">
        <f>IF(預測IC!DR19&gt;預測IC!DR$27,1,0)</f>
        <v>0</v>
      </c>
      <c r="DS19" s="11">
        <f>IF(預測IC!DS19&gt;預測IC!DS$27,1,0)</f>
        <v>1</v>
      </c>
      <c r="DT19" s="11">
        <f>IF(預測IC!DT19&gt;預測IC!DT$27,1,0)</f>
        <v>0</v>
      </c>
      <c r="DU19" s="11">
        <f>IF(預測IC!DU19&gt;預測IC!DU$27,1,0)</f>
        <v>0</v>
      </c>
      <c r="DV19" s="11">
        <f>IF(預測IC!DV19&gt;預測IC!DV$27,1,0)</f>
        <v>0</v>
      </c>
      <c r="DW19" s="11">
        <f>IF(預測IC!DW19&gt;預測IC!DW$27,1,0)</f>
        <v>1</v>
      </c>
      <c r="DX19" s="11">
        <f>IF(預測IC!DX19&gt;預測IC!DX$27,1,0)</f>
        <v>0</v>
      </c>
      <c r="DY19" s="11">
        <f>IF(預測IC!DY19&gt;預測IC!DY$27,1,0)</f>
        <v>1</v>
      </c>
      <c r="DZ19" s="11">
        <f>IF(預測IC!DZ19&gt;預測IC!DZ$27,1,0)</f>
        <v>0</v>
      </c>
      <c r="EA19" s="11">
        <f>IF(預測IC!EA19&gt;預測IC!EA$27,1,0)</f>
        <v>1</v>
      </c>
      <c r="EB19" s="11">
        <f>IF(預測IC!EB19&gt;預測IC!EB$27,1,0)</f>
        <v>0</v>
      </c>
      <c r="EC19" s="11">
        <f>IF(預測IC!EC19&gt;預測IC!EC$27,1,0)</f>
        <v>1</v>
      </c>
      <c r="ED19" s="11">
        <f>IF(預測IC!ED19&gt;預測IC!ED$27,1,0)</f>
        <v>1</v>
      </c>
      <c r="EE19" s="11">
        <f>IF(預測IC!EE19&gt;預測IC!EE$27,1,0)</f>
        <v>0</v>
      </c>
      <c r="EF19" s="11">
        <f>IF(預測IC!EF19&gt;預測IC!EF$27,1,0)</f>
        <v>1</v>
      </c>
      <c r="EG19" s="1">
        <f t="shared" si="6"/>
        <v>65</v>
      </c>
      <c r="EH19" s="2">
        <f t="shared" si="7"/>
        <v>0.48507462686567165</v>
      </c>
    </row>
    <row r="20" spans="1:138" ht="16" customHeight="1">
      <c r="A20" s="6">
        <v>137</v>
      </c>
      <c r="B20" s="6">
        <v>7</v>
      </c>
      <c r="C20" s="11">
        <f>IF(預測IC!C20&gt;預測IC!C$27,1,0)</f>
        <v>1</v>
      </c>
      <c r="D20" s="11">
        <f>IF(預測IC!D20&gt;預測IC!D$27,1,0)</f>
        <v>1</v>
      </c>
      <c r="E20" s="11">
        <f>IF(預測IC!E20&gt;預測IC!E$27,1,0)</f>
        <v>1</v>
      </c>
      <c r="F20" s="11">
        <f>IF(預測IC!F20&gt;預測IC!F$27,1,0)</f>
        <v>1</v>
      </c>
      <c r="G20" s="11">
        <f>IF(預測IC!G20&gt;預測IC!G$27,1,0)</f>
        <v>1</v>
      </c>
      <c r="H20" s="11">
        <f>IF(預測IC!H20&gt;預測IC!H$27,1,0)</f>
        <v>1</v>
      </c>
      <c r="I20" s="11">
        <f>IF(預測IC!I20&gt;預測IC!I$27,1,0)</f>
        <v>1</v>
      </c>
      <c r="J20" s="11">
        <f>IF(預測IC!J20&gt;預測IC!J$27,1,0)</f>
        <v>1</v>
      </c>
      <c r="K20" s="11">
        <f>IF(預測IC!K20&gt;預測IC!K$27,1,0)</f>
        <v>1</v>
      </c>
      <c r="L20" s="11">
        <f>IF(預測IC!L20&gt;預測IC!L$27,1,0)</f>
        <v>1</v>
      </c>
      <c r="M20" s="11">
        <f>IF(預測IC!M20&gt;預測IC!M$27,1,0)</f>
        <v>1</v>
      </c>
      <c r="N20" s="11">
        <f>IF(預測IC!N20&gt;預測IC!N$27,1,0)</f>
        <v>1</v>
      </c>
      <c r="O20" s="11">
        <f>IF(預測IC!O20&gt;預測IC!O$27,1,0)</f>
        <v>1</v>
      </c>
      <c r="P20" s="11">
        <f>IF(預測IC!P20&gt;預測IC!P$27,1,0)</f>
        <v>0</v>
      </c>
      <c r="Q20" s="11">
        <f>IF(預測IC!Q20&gt;預測IC!Q$27,1,0)</f>
        <v>0</v>
      </c>
      <c r="R20" s="11">
        <f>IF(預測IC!R20&gt;預測IC!R$27,1,0)</f>
        <v>0</v>
      </c>
      <c r="S20" s="11">
        <f>IF(預測IC!S20&gt;預測IC!S$27,1,0)</f>
        <v>0</v>
      </c>
      <c r="T20" s="11">
        <f>IF(預測IC!T20&gt;預測IC!T$27,1,0)</f>
        <v>1</v>
      </c>
      <c r="U20" s="11">
        <f>IF(預測IC!U20&gt;預測IC!U$27,1,0)</f>
        <v>1</v>
      </c>
      <c r="V20" s="11">
        <f>IF(預測IC!V20&gt;預測IC!V$27,1,0)</f>
        <v>1</v>
      </c>
      <c r="W20" s="11">
        <f>IF(預測IC!W20&gt;預測IC!W$27,1,0)</f>
        <v>0</v>
      </c>
      <c r="X20" s="11">
        <f>IF(預測IC!X20&gt;預測IC!X$27,1,0)</f>
        <v>1</v>
      </c>
      <c r="Y20" s="11">
        <f>IF(預測IC!Y20&gt;預測IC!Y$27,1,0)</f>
        <v>1</v>
      </c>
      <c r="Z20" s="11">
        <f>IF(預測IC!Z20&gt;預測IC!Z$27,1,0)</f>
        <v>1</v>
      </c>
      <c r="AA20" s="11">
        <f>IF(預測IC!AA20&gt;預測IC!AA$27,1,0)</f>
        <v>0</v>
      </c>
      <c r="AB20" s="11">
        <f>IF(預測IC!AB20&gt;預測IC!AB$27,1,0)</f>
        <v>0</v>
      </c>
      <c r="AC20" s="11">
        <f>IF(預測IC!AC20&gt;預測IC!AC$27,1,0)</f>
        <v>0</v>
      </c>
      <c r="AD20" s="11">
        <f>IF(預測IC!AD20&gt;預測IC!AD$27,1,0)</f>
        <v>1</v>
      </c>
      <c r="AE20" s="11">
        <f>IF(預測IC!AE20&gt;預測IC!AE$27,1,0)</f>
        <v>0</v>
      </c>
      <c r="AF20" s="11">
        <f>IF(預測IC!AF20&gt;預測IC!AF$27,1,0)</f>
        <v>1</v>
      </c>
      <c r="AG20" s="11">
        <f>IF(預測IC!AG20&gt;預測IC!AG$27,1,0)</f>
        <v>0</v>
      </c>
      <c r="AH20" s="11">
        <f>IF(預測IC!AH20&gt;預測IC!AH$27,1,0)</f>
        <v>1</v>
      </c>
      <c r="AI20" s="11">
        <f>IF(預測IC!AI20&gt;預測IC!AI$27,1,0)</f>
        <v>0</v>
      </c>
      <c r="AJ20" s="11">
        <f>IF(預測IC!AJ20&gt;預測IC!AJ$27,1,0)</f>
        <v>0</v>
      </c>
      <c r="AK20" s="11">
        <f>IF(預測IC!AK20&gt;預測IC!AK$27,1,0)</f>
        <v>0</v>
      </c>
      <c r="AL20" s="11">
        <f>IF(預測IC!AL20&gt;預測IC!AL$27,1,0)</f>
        <v>0</v>
      </c>
      <c r="AM20" s="11">
        <f>IF(預測IC!AM20&gt;預測IC!AM$27,1,0)</f>
        <v>1</v>
      </c>
      <c r="AN20" s="11">
        <f>IF(預測IC!AN20&gt;預測IC!AN$27,1,0)</f>
        <v>0</v>
      </c>
      <c r="AO20" s="11">
        <f>IF(預測IC!AO20&gt;預測IC!AO$27,1,0)</f>
        <v>0</v>
      </c>
      <c r="AP20" s="11">
        <f>IF(預測IC!AP20&gt;預測IC!AP$27,1,0)</f>
        <v>0</v>
      </c>
      <c r="AQ20" s="11">
        <f>IF(預測IC!AQ20&gt;預測IC!AQ$27,1,0)</f>
        <v>1</v>
      </c>
      <c r="AR20" s="11">
        <f>IF(預測IC!AR20&gt;預測IC!AR$27,1,0)</f>
        <v>0</v>
      </c>
      <c r="AS20" s="11">
        <f>IF(預測IC!AS20&gt;預測IC!AS$27,1,0)</f>
        <v>0</v>
      </c>
      <c r="AT20" s="11">
        <f>IF(預測IC!AT20&gt;預測IC!AT$27,1,0)</f>
        <v>0</v>
      </c>
      <c r="AU20" s="11">
        <f>IF(預測IC!AU20&gt;預測IC!AU$27,1,0)</f>
        <v>1</v>
      </c>
      <c r="AV20" s="11">
        <f>IF(預測IC!AV20&gt;預測IC!AV$27,1,0)</f>
        <v>0</v>
      </c>
      <c r="AW20" s="11">
        <f>IF(預測IC!AW20&gt;預測IC!AW$27,1,0)</f>
        <v>0</v>
      </c>
      <c r="AX20" s="11">
        <f>IF(預測IC!AX20&gt;預測IC!AX$27,1,0)</f>
        <v>0</v>
      </c>
      <c r="AY20" s="11">
        <f>IF(預測IC!AY20&gt;預測IC!AY$27,1,0)</f>
        <v>1</v>
      </c>
      <c r="AZ20" s="11">
        <f>IF(預測IC!AZ20&gt;預測IC!AZ$27,1,0)</f>
        <v>0</v>
      </c>
      <c r="BA20" s="11">
        <f>IF(預測IC!BA20&gt;預測IC!BA$27,1,0)</f>
        <v>1</v>
      </c>
      <c r="BB20" s="11">
        <f>IF(預測IC!BB20&gt;預測IC!BB$27,1,0)</f>
        <v>0</v>
      </c>
      <c r="BC20" s="11">
        <f>IF(預測IC!BC20&gt;預測IC!BC$27,1,0)</f>
        <v>0</v>
      </c>
      <c r="BD20" s="11">
        <f>IF(預測IC!BD20&gt;預測IC!BD$27,1,0)</f>
        <v>1</v>
      </c>
      <c r="BE20" s="11">
        <f>IF(預測IC!BE20&gt;預測IC!BE$27,1,0)</f>
        <v>0</v>
      </c>
      <c r="BF20" s="11">
        <f>IF(預測IC!BF20&gt;預測IC!BF$27,1,0)</f>
        <v>1</v>
      </c>
      <c r="BG20" s="11">
        <f>IF(預測IC!BG20&gt;預測IC!BG$27,1,0)</f>
        <v>1</v>
      </c>
      <c r="BH20" s="11">
        <f>IF(預測IC!BH20&gt;預測IC!BH$27,1,0)</f>
        <v>1</v>
      </c>
      <c r="BI20" s="11">
        <f>IF(預測IC!BI20&gt;預測IC!BI$27,1,0)</f>
        <v>0</v>
      </c>
      <c r="BJ20" s="11">
        <f>IF(預測IC!BJ20&gt;預測IC!BJ$27,1,0)</f>
        <v>1</v>
      </c>
      <c r="BK20" s="11">
        <f>IF(預測IC!BK20&gt;預測IC!BK$27,1,0)</f>
        <v>1</v>
      </c>
      <c r="BL20" s="11">
        <f>IF(預測IC!BL20&gt;預測IC!BL$27,1,0)</f>
        <v>1</v>
      </c>
      <c r="BM20" s="11">
        <f>IF(預測IC!BM20&gt;預測IC!BM$27,1,0)</f>
        <v>1</v>
      </c>
      <c r="BN20" s="11">
        <f>IF(預測IC!BN20&gt;預測IC!BN$27,1,0)</f>
        <v>1</v>
      </c>
      <c r="BO20" s="11">
        <f>IF(預測IC!BO20&gt;預測IC!BO$27,1,0)</f>
        <v>1</v>
      </c>
      <c r="BP20" s="11">
        <f>IF(預測IC!BP20&gt;預測IC!BP$27,1,0)</f>
        <v>1</v>
      </c>
      <c r="BQ20" s="11">
        <f>IF(預測IC!BQ20&gt;預測IC!BQ$27,1,0)</f>
        <v>1</v>
      </c>
      <c r="BR20" s="11">
        <f>IF(預測IC!BR20&gt;預測IC!BR$27,1,0)</f>
        <v>0</v>
      </c>
      <c r="BS20" s="11">
        <f>IF(預測IC!BS20&gt;預測IC!BS$27,1,0)</f>
        <v>0</v>
      </c>
      <c r="BT20" s="11">
        <f>IF(預測IC!BT20&gt;預測IC!BT$27,1,0)</f>
        <v>1</v>
      </c>
      <c r="BU20" s="11">
        <f>IF(預測IC!BU20&gt;預測IC!BU$27,1,0)</f>
        <v>1</v>
      </c>
      <c r="BV20" s="11">
        <f>IF(預測IC!BV20&gt;預測IC!BV$27,1,0)</f>
        <v>1</v>
      </c>
      <c r="BW20" s="11">
        <f>IF(預測IC!BW20&gt;預測IC!BW$27,1,0)</f>
        <v>0</v>
      </c>
      <c r="BX20" s="11">
        <f>IF(預測IC!BX20&gt;預測IC!BX$27,1,0)</f>
        <v>1</v>
      </c>
      <c r="BY20" s="11">
        <f>IF(預測IC!BY20&gt;預測IC!BY$27,1,0)</f>
        <v>1</v>
      </c>
      <c r="BZ20" s="11">
        <f>IF(預測IC!BZ20&gt;預測IC!BZ$27,1,0)</f>
        <v>0</v>
      </c>
      <c r="CA20" s="11">
        <f>IF(預測IC!CA20&gt;預測IC!CA$27,1,0)</f>
        <v>0</v>
      </c>
      <c r="CB20" s="11">
        <f>IF(預測IC!CB20&gt;預測IC!CB$27,1,0)</f>
        <v>0</v>
      </c>
      <c r="CC20" s="11">
        <f>IF(預測IC!CC20&gt;預測IC!CC$27,1,0)</f>
        <v>0</v>
      </c>
      <c r="CD20" s="11">
        <f>IF(預測IC!CD20&gt;預測IC!CD$27,1,0)</f>
        <v>0</v>
      </c>
      <c r="CE20" s="11">
        <f>IF(預測IC!CE20&gt;預測IC!CE$27,1,0)</f>
        <v>0</v>
      </c>
      <c r="CF20" s="11">
        <f>IF(預測IC!CF20&gt;預測IC!CF$27,1,0)</f>
        <v>1</v>
      </c>
      <c r="CG20" s="11">
        <f>IF(預測IC!CG20&gt;預測IC!CG$27,1,0)</f>
        <v>0</v>
      </c>
      <c r="CH20" s="11">
        <f>IF(預測IC!CH20&gt;預測IC!CH$27,1,0)</f>
        <v>0</v>
      </c>
      <c r="CI20" s="11">
        <f>IF(預測IC!CI20&gt;預測IC!CI$27,1,0)</f>
        <v>1</v>
      </c>
      <c r="CJ20" s="11">
        <f>IF(預測IC!CJ20&gt;預測IC!CJ$27,1,0)</f>
        <v>0</v>
      </c>
      <c r="CK20" s="11">
        <f>IF(預測IC!CK20&gt;預測IC!CK$27,1,0)</f>
        <v>0</v>
      </c>
      <c r="CL20" s="11">
        <f>IF(預測IC!CL20&gt;預測IC!CL$27,1,0)</f>
        <v>0</v>
      </c>
      <c r="CM20" s="11">
        <f>IF(預測IC!CM20&gt;預測IC!CM$27,1,0)</f>
        <v>1</v>
      </c>
      <c r="CN20" s="11">
        <f>IF(預測IC!CN20&gt;預測IC!CN$27,1,0)</f>
        <v>1</v>
      </c>
      <c r="CO20" s="11">
        <f>IF(預測IC!CO20&gt;預測IC!CO$27,1,0)</f>
        <v>1</v>
      </c>
      <c r="CP20" s="11">
        <f>IF(預測IC!CP20&gt;預測IC!CP$27,1,0)</f>
        <v>1</v>
      </c>
      <c r="CQ20" s="11">
        <f>IF(預測IC!CQ20&gt;預測IC!CQ$27,1,0)</f>
        <v>0</v>
      </c>
      <c r="CR20" s="11">
        <f>IF(預測IC!CR20&gt;預測IC!CR$27,1,0)</f>
        <v>0</v>
      </c>
      <c r="CS20" s="11">
        <f>IF(預測IC!CS20&gt;預測IC!CS$27,1,0)</f>
        <v>0</v>
      </c>
      <c r="CT20" s="11">
        <f>IF(預測IC!CT20&gt;預測IC!CT$27,1,0)</f>
        <v>0</v>
      </c>
      <c r="CU20" s="11">
        <f>IF(預測IC!CU20&gt;預測IC!CU$27,1,0)</f>
        <v>0</v>
      </c>
      <c r="CV20" s="11">
        <f>IF(預測IC!CV20&gt;預測IC!CV$27,1,0)</f>
        <v>0</v>
      </c>
      <c r="CW20" s="11">
        <f>IF(預測IC!CW20&gt;預測IC!CW$27,1,0)</f>
        <v>1</v>
      </c>
      <c r="CX20" s="11">
        <f>IF(預測IC!CX20&gt;預測IC!CX$27,1,0)</f>
        <v>1</v>
      </c>
      <c r="CY20" s="11">
        <f>IF(預測IC!CY20&gt;預測IC!CY$27,1,0)</f>
        <v>0</v>
      </c>
      <c r="CZ20" s="11">
        <f>IF(預測IC!CZ20&gt;預測IC!CZ$27,1,0)</f>
        <v>1</v>
      </c>
      <c r="DA20" s="11">
        <f>IF(預測IC!DA20&gt;預測IC!DA$27,1,0)</f>
        <v>0</v>
      </c>
      <c r="DB20" s="11">
        <f>IF(預測IC!DB20&gt;預測IC!DB$27,1,0)</f>
        <v>1</v>
      </c>
      <c r="DC20" s="11">
        <f>IF(預測IC!DC20&gt;預測IC!DC$27,1,0)</f>
        <v>0</v>
      </c>
      <c r="DD20" s="11">
        <f>IF(預測IC!DD20&gt;預測IC!DD$27,1,0)</f>
        <v>1</v>
      </c>
      <c r="DE20" s="11">
        <f>IF(預測IC!DE20&gt;預測IC!DE$27,1,0)</f>
        <v>0</v>
      </c>
      <c r="DF20" s="11">
        <f>IF(預測IC!DF20&gt;預測IC!DF$27,1,0)</f>
        <v>1</v>
      </c>
      <c r="DG20" s="11">
        <f>IF(預測IC!DG20&gt;預測IC!DG$27,1,0)</f>
        <v>0</v>
      </c>
      <c r="DH20" s="11">
        <f>IF(預測IC!DH20&gt;預測IC!DH$27,1,0)</f>
        <v>0</v>
      </c>
      <c r="DI20" s="11">
        <f>IF(預測IC!DI20&gt;預測IC!DI$27,1,0)</f>
        <v>1</v>
      </c>
      <c r="DJ20" s="11">
        <f>IF(預測IC!DJ20&gt;預測IC!DJ$27,1,0)</f>
        <v>1</v>
      </c>
      <c r="DK20" s="11">
        <f>IF(預測IC!DK20&gt;預測IC!DK$27,1,0)</f>
        <v>0</v>
      </c>
      <c r="DL20" s="11">
        <f>IF(預測IC!DL20&gt;預測IC!DL$27,1,0)</f>
        <v>0</v>
      </c>
      <c r="DM20" s="11">
        <f>IF(預測IC!DM20&gt;預測IC!DM$27,1,0)</f>
        <v>0</v>
      </c>
      <c r="DN20" s="11">
        <f>IF(預測IC!DN20&gt;預測IC!DN$27,1,0)</f>
        <v>1</v>
      </c>
      <c r="DO20" s="11">
        <f>IF(預測IC!DO20&gt;預測IC!DO$27,1,0)</f>
        <v>0</v>
      </c>
      <c r="DP20" s="11">
        <f>IF(預測IC!DP20&gt;預測IC!DP$27,1,0)</f>
        <v>0</v>
      </c>
      <c r="DQ20" s="11">
        <f>IF(預測IC!DQ20&gt;預測IC!DQ$27,1,0)</f>
        <v>0</v>
      </c>
      <c r="DR20" s="11">
        <f>IF(預測IC!DR20&gt;預測IC!DR$27,1,0)</f>
        <v>0</v>
      </c>
      <c r="DS20" s="11">
        <f>IF(預測IC!DS20&gt;預測IC!DS$27,1,0)</f>
        <v>1</v>
      </c>
      <c r="DT20" s="11">
        <v>1</v>
      </c>
      <c r="DU20" s="11">
        <f>IF(預測IC!DU20&gt;預測IC!DU$27,1,0)</f>
        <v>0</v>
      </c>
      <c r="DV20" s="11">
        <f>IF(預測IC!DV20&gt;預測IC!DV$27,1,0)</f>
        <v>0</v>
      </c>
      <c r="DW20" s="11">
        <f>IF(預測IC!DW20&gt;預測IC!DW$27,1,0)</f>
        <v>1</v>
      </c>
      <c r="DX20" s="11">
        <f>IF(預測IC!DX20&gt;預測IC!DX$27,1,0)</f>
        <v>0</v>
      </c>
      <c r="DY20" s="11">
        <f>IF(預測IC!DY20&gt;預測IC!DY$27,1,0)</f>
        <v>1</v>
      </c>
      <c r="DZ20" s="11">
        <f>IF(預測IC!DZ20&gt;預測IC!DZ$27,1,0)</f>
        <v>1</v>
      </c>
      <c r="EA20" s="11">
        <f>IF(預測IC!EA20&gt;預測IC!EA$27,1,0)</f>
        <v>1</v>
      </c>
      <c r="EB20" s="11">
        <f>IF(預測IC!EB20&gt;預測IC!EB$27,1,0)</f>
        <v>0</v>
      </c>
      <c r="EC20" s="11">
        <f>IF(預測IC!EC20&gt;預測IC!EC$27,1,0)</f>
        <v>1</v>
      </c>
      <c r="ED20" s="11">
        <f>IF(預測IC!ED20&gt;預測IC!ED$27,1,0)</f>
        <v>1</v>
      </c>
      <c r="EE20" s="11">
        <f>IF(預測IC!EE20&gt;預測IC!EE$27,1,0)</f>
        <v>0</v>
      </c>
      <c r="EF20" s="11">
        <f>IF(預測IC!EF20&gt;預測IC!EF$27,1,0)</f>
        <v>1</v>
      </c>
      <c r="EG20" s="1">
        <f t="shared" si="6"/>
        <v>68</v>
      </c>
      <c r="EH20" s="48">
        <f t="shared" si="7"/>
        <v>0.5074626865671642</v>
      </c>
    </row>
    <row r="21" spans="1:138" ht="16" customHeight="1">
      <c r="A21" s="6">
        <v>160</v>
      </c>
      <c r="B21" s="6">
        <v>6</v>
      </c>
      <c r="C21" s="11">
        <f>IF(預測IC!C21&gt;預測IC!C$27,1,0)</f>
        <v>1</v>
      </c>
      <c r="D21" s="11">
        <f>IF(預測IC!D21&gt;預測IC!D$27,1,0)</f>
        <v>1</v>
      </c>
      <c r="E21" s="11">
        <f>IF(預測IC!E21&gt;預測IC!E$27,1,0)</f>
        <v>1</v>
      </c>
      <c r="F21" s="11">
        <f>IF(預測IC!F21&gt;預測IC!F$27,1,0)</f>
        <v>1</v>
      </c>
      <c r="G21" s="11">
        <f>IF(預測IC!G21&gt;預測IC!G$27,1,0)</f>
        <v>1</v>
      </c>
      <c r="H21" s="11">
        <f>IF(預測IC!H21&gt;預測IC!H$27,1,0)</f>
        <v>1</v>
      </c>
      <c r="I21" s="11">
        <f>IF(預測IC!I21&gt;預測IC!I$27,1,0)</f>
        <v>1</v>
      </c>
      <c r="J21" s="11">
        <f>IF(預測IC!J21&gt;預測IC!J$27,1,0)</f>
        <v>1</v>
      </c>
      <c r="K21" s="11">
        <f>IF(預測IC!K21&gt;預測IC!K$27,1,0)</f>
        <v>1</v>
      </c>
      <c r="L21" s="11">
        <f>IF(預測IC!L21&gt;預測IC!L$27,1,0)</f>
        <v>1</v>
      </c>
      <c r="M21" s="11">
        <f>IF(預測IC!M21&gt;預測IC!M$27,1,0)</f>
        <v>1</v>
      </c>
      <c r="N21" s="11">
        <f>IF(預測IC!N21&gt;預測IC!N$27,1,0)</f>
        <v>1</v>
      </c>
      <c r="O21" s="11">
        <f>IF(預測IC!O21&gt;預測IC!O$27,1,0)</f>
        <v>1</v>
      </c>
      <c r="P21" s="11">
        <f>IF(預測IC!P21&gt;預測IC!P$27,1,0)</f>
        <v>0</v>
      </c>
      <c r="Q21" s="11">
        <f>IF(預測IC!Q21&gt;預測IC!Q$27,1,0)</f>
        <v>0</v>
      </c>
      <c r="R21" s="11">
        <f>IF(預測IC!R21&gt;預測IC!R$27,1,0)</f>
        <v>0</v>
      </c>
      <c r="S21" s="11">
        <f>IF(預測IC!S21&gt;預測IC!S$27,1,0)</f>
        <v>0</v>
      </c>
      <c r="T21" s="11">
        <f>IF(預測IC!T21&gt;預測IC!T$27,1,0)</f>
        <v>1</v>
      </c>
      <c r="U21" s="11">
        <f>IF(預測IC!U21&gt;預測IC!U$27,1,0)</f>
        <v>1</v>
      </c>
      <c r="V21" s="11">
        <f>IF(預測IC!V21&gt;預測IC!V$27,1,0)</f>
        <v>1</v>
      </c>
      <c r="W21" s="11">
        <f>IF(預測IC!W21&gt;預測IC!W$27,1,0)</f>
        <v>1</v>
      </c>
      <c r="X21" s="11">
        <f>IF(預測IC!X21&gt;預測IC!X$27,1,0)</f>
        <v>1</v>
      </c>
      <c r="Y21" s="11">
        <f>IF(預測IC!Y21&gt;預測IC!Y$27,1,0)</f>
        <v>1</v>
      </c>
      <c r="Z21" s="11">
        <f>IF(預測IC!Z21&gt;預測IC!Z$27,1,0)</f>
        <v>1</v>
      </c>
      <c r="AA21" s="11">
        <f>IF(預測IC!AA21&gt;預測IC!AA$27,1,0)</f>
        <v>0</v>
      </c>
      <c r="AB21" s="11">
        <f>IF(預測IC!AB21&gt;預測IC!AB$27,1,0)</f>
        <v>0</v>
      </c>
      <c r="AC21" s="11">
        <f>IF(預測IC!AC21&gt;預測IC!AC$27,1,0)</f>
        <v>0</v>
      </c>
      <c r="AD21" s="11">
        <f>IF(預測IC!AD21&gt;預測IC!AD$27,1,0)</f>
        <v>1</v>
      </c>
      <c r="AE21" s="11">
        <f>IF(預測IC!AE21&gt;預測IC!AE$27,1,0)</f>
        <v>0</v>
      </c>
      <c r="AF21" s="11">
        <f>IF(預測IC!AF21&gt;預測IC!AF$27,1,0)</f>
        <v>1</v>
      </c>
      <c r="AG21" s="11">
        <f>IF(預測IC!AG21&gt;預測IC!AG$27,1,0)</f>
        <v>0</v>
      </c>
      <c r="AH21" s="11">
        <f>IF(預測IC!AH21&gt;預測IC!AH$27,1,0)</f>
        <v>0</v>
      </c>
      <c r="AI21" s="11">
        <f>IF(預測IC!AI21&gt;預測IC!AI$27,1,0)</f>
        <v>0</v>
      </c>
      <c r="AJ21" s="11">
        <f>IF(預測IC!AJ21&gt;預測IC!AJ$27,1,0)</f>
        <v>0</v>
      </c>
      <c r="AK21" s="11">
        <f>IF(預測IC!AK21&gt;預測IC!AK$27,1,0)</f>
        <v>0</v>
      </c>
      <c r="AL21" s="11">
        <f>IF(預測IC!AL21&gt;預測IC!AL$27,1,0)</f>
        <v>0</v>
      </c>
      <c r="AM21" s="11">
        <f>IF(預測IC!AM21&gt;預測IC!AM$27,1,0)</f>
        <v>1</v>
      </c>
      <c r="AN21" s="11">
        <f>IF(預測IC!AN21&gt;預測IC!AN$27,1,0)</f>
        <v>0</v>
      </c>
      <c r="AO21" s="11">
        <f>IF(預測IC!AO21&gt;預測IC!AO$27,1,0)</f>
        <v>0</v>
      </c>
      <c r="AP21" s="11">
        <f>IF(預測IC!AP21&gt;預測IC!AP$27,1,0)</f>
        <v>0</v>
      </c>
      <c r="AQ21" s="11">
        <f>IF(預測IC!AQ21&gt;預測IC!AQ$27,1,0)</f>
        <v>1</v>
      </c>
      <c r="AR21" s="11">
        <f>IF(預測IC!AR21&gt;預測IC!AR$27,1,0)</f>
        <v>0</v>
      </c>
      <c r="AS21" s="11">
        <f>IF(預測IC!AS21&gt;預測IC!AS$27,1,0)</f>
        <v>0</v>
      </c>
      <c r="AT21" s="11">
        <f>IF(預測IC!AT21&gt;預測IC!AT$27,1,0)</f>
        <v>0</v>
      </c>
      <c r="AU21" s="11">
        <f>IF(預測IC!AU21&gt;預測IC!AU$27,1,0)</f>
        <v>1</v>
      </c>
      <c r="AV21" s="11">
        <f>IF(預測IC!AV21&gt;預測IC!AV$27,1,0)</f>
        <v>0</v>
      </c>
      <c r="AW21" s="11">
        <f>IF(預測IC!AW21&gt;預測IC!AW$27,1,0)</f>
        <v>0</v>
      </c>
      <c r="AX21" s="11">
        <f>IF(預測IC!AX21&gt;預測IC!AX$27,1,0)</f>
        <v>0</v>
      </c>
      <c r="AY21" s="11">
        <f>IF(預測IC!AY21&gt;預測IC!AY$27,1,0)</f>
        <v>1</v>
      </c>
      <c r="AZ21" s="11">
        <f>IF(預測IC!AZ21&gt;預測IC!AZ$27,1,0)</f>
        <v>1</v>
      </c>
      <c r="BA21" s="11">
        <f>IF(預測IC!BA21&gt;預測IC!BA$27,1,0)</f>
        <v>0</v>
      </c>
      <c r="BB21" s="11">
        <f>IF(預測IC!BB21&gt;預測IC!BB$27,1,0)</f>
        <v>0</v>
      </c>
      <c r="BC21" s="11">
        <f>IF(預測IC!BC21&gt;預測IC!BC$27,1,0)</f>
        <v>0</v>
      </c>
      <c r="BD21" s="11">
        <f>IF(預測IC!BD21&gt;預測IC!BD$27,1,0)</f>
        <v>1</v>
      </c>
      <c r="BE21" s="11">
        <f>IF(預測IC!BE21&gt;預測IC!BE$27,1,0)</f>
        <v>0</v>
      </c>
      <c r="BF21" s="11">
        <f>IF(預測IC!BF21&gt;預測IC!BF$27,1,0)</f>
        <v>1</v>
      </c>
      <c r="BG21" s="11">
        <f>IF(預測IC!BG21&gt;預測IC!BG$27,1,0)</f>
        <v>1</v>
      </c>
      <c r="BH21" s="11">
        <f>IF(預測IC!BH21&gt;預測IC!BH$27,1,0)</f>
        <v>1</v>
      </c>
      <c r="BI21" s="11">
        <f>IF(預測IC!BI21&gt;預測IC!BI$27,1,0)</f>
        <v>0</v>
      </c>
      <c r="BJ21" s="11">
        <f>IF(預測IC!BJ21&gt;預測IC!BJ$27,1,0)</f>
        <v>1</v>
      </c>
      <c r="BK21" s="11">
        <f>IF(預測IC!BK21&gt;預測IC!BK$27,1,0)</f>
        <v>1</v>
      </c>
      <c r="BL21" s="11">
        <f>IF(預測IC!BL21&gt;預測IC!BL$27,1,0)</f>
        <v>1</v>
      </c>
      <c r="BM21" s="11">
        <f>IF(預測IC!BM21&gt;預測IC!BM$27,1,0)</f>
        <v>1</v>
      </c>
      <c r="BN21" s="11">
        <f>IF(預測IC!BN21&gt;預測IC!BN$27,1,0)</f>
        <v>1</v>
      </c>
      <c r="BO21" s="11">
        <f>IF(預測IC!BO21&gt;預測IC!BO$27,1,0)</f>
        <v>0</v>
      </c>
      <c r="BP21" s="11">
        <f>IF(預測IC!BP21&gt;預測IC!BP$27,1,0)</f>
        <v>1</v>
      </c>
      <c r="BQ21" s="11">
        <f>IF(預測IC!BQ21&gt;預測IC!BQ$27,1,0)</f>
        <v>1</v>
      </c>
      <c r="BR21" s="11">
        <f>IF(預測IC!BR21&gt;預測IC!BR$27,1,0)</f>
        <v>0</v>
      </c>
      <c r="BS21" s="11">
        <f>IF(預測IC!BS21&gt;預測IC!BS$27,1,0)</f>
        <v>0</v>
      </c>
      <c r="BT21" s="11">
        <f>IF(預測IC!BT21&gt;預測IC!BT$27,1,0)</f>
        <v>1</v>
      </c>
      <c r="BU21" s="11">
        <f>IF(預測IC!BU21&gt;預測IC!BU$27,1,0)</f>
        <v>1</v>
      </c>
      <c r="BV21" s="11">
        <f>IF(預測IC!BV21&gt;預測IC!BV$27,1,0)</f>
        <v>1</v>
      </c>
      <c r="BW21" s="11">
        <f>IF(預測IC!BW21&gt;預測IC!BW$27,1,0)</f>
        <v>0</v>
      </c>
      <c r="BX21" s="11">
        <f>IF(預測IC!BX21&gt;預測IC!BX$27,1,0)</f>
        <v>1</v>
      </c>
      <c r="BY21" s="11">
        <f>IF(預測IC!BY21&gt;預測IC!BY$27,1,0)</f>
        <v>1</v>
      </c>
      <c r="BZ21" s="11">
        <f>IF(預測IC!BZ21&gt;預測IC!BZ$27,1,0)</f>
        <v>0</v>
      </c>
      <c r="CA21" s="11">
        <f>IF(預測IC!CA21&gt;預測IC!CA$27,1,0)</f>
        <v>0</v>
      </c>
      <c r="CB21" s="11">
        <f>IF(預測IC!CB21&gt;預測IC!CB$27,1,0)</f>
        <v>0</v>
      </c>
      <c r="CC21" s="11">
        <f>IF(預測IC!CC21&gt;預測IC!CC$27,1,0)</f>
        <v>1</v>
      </c>
      <c r="CD21" s="11">
        <f>IF(預測IC!CD21&gt;預測IC!CD$27,1,0)</f>
        <v>0</v>
      </c>
      <c r="CE21" s="11">
        <f>IF(預測IC!CE21&gt;預測IC!CE$27,1,0)</f>
        <v>0</v>
      </c>
      <c r="CF21" s="11">
        <f>IF(預測IC!CF21&gt;預測IC!CF$27,1,0)</f>
        <v>1</v>
      </c>
      <c r="CG21" s="11">
        <f>IF(預測IC!CG21&gt;預測IC!CG$27,1,0)</f>
        <v>0</v>
      </c>
      <c r="CH21" s="11">
        <f>IF(預測IC!CH21&gt;預測IC!CH$27,1,0)</f>
        <v>0</v>
      </c>
      <c r="CI21" s="11">
        <f>IF(預測IC!CI21&gt;預測IC!CI$27,1,0)</f>
        <v>1</v>
      </c>
      <c r="CJ21" s="11">
        <f>IF(預測IC!CJ21&gt;預測IC!CJ$27,1,0)</f>
        <v>0</v>
      </c>
      <c r="CK21" s="11">
        <f>IF(預測IC!CK21&gt;預測IC!CK$27,1,0)</f>
        <v>0</v>
      </c>
      <c r="CL21" s="11">
        <f>IF(預測IC!CL21&gt;預測IC!CL$27,1,0)</f>
        <v>0</v>
      </c>
      <c r="CM21" s="11">
        <f>IF(預測IC!CM21&gt;預測IC!CM$27,1,0)</f>
        <v>1</v>
      </c>
      <c r="CN21" s="11">
        <f>IF(預測IC!CN21&gt;預測IC!CN$27,1,0)</f>
        <v>1</v>
      </c>
      <c r="CO21" s="11">
        <f>IF(預測IC!CO21&gt;預測IC!CO$27,1,0)</f>
        <v>1</v>
      </c>
      <c r="CP21" s="11">
        <f>IF(預測IC!CP21&gt;預測IC!CP$27,1,0)</f>
        <v>1</v>
      </c>
      <c r="CQ21" s="11">
        <f>IF(預測IC!CQ21&gt;預測IC!CQ$27,1,0)</f>
        <v>0</v>
      </c>
      <c r="CR21" s="11">
        <f>IF(預測IC!CR21&gt;預測IC!CR$27,1,0)</f>
        <v>0</v>
      </c>
      <c r="CS21" s="11">
        <f>IF(預測IC!CS21&gt;預測IC!CS$27,1,0)</f>
        <v>1</v>
      </c>
      <c r="CT21" s="11">
        <f>IF(預測IC!CT21&gt;預測IC!CT$27,1,0)</f>
        <v>0</v>
      </c>
      <c r="CU21" s="11">
        <f>IF(預測IC!CU21&gt;預測IC!CU$27,1,0)</f>
        <v>0</v>
      </c>
      <c r="CV21" s="11">
        <f>IF(預測IC!CV21&gt;預測IC!CV$27,1,0)</f>
        <v>0</v>
      </c>
      <c r="CW21" s="11">
        <f>IF(預測IC!CW21&gt;預測IC!CW$27,1,0)</f>
        <v>1</v>
      </c>
      <c r="CX21" s="11">
        <f>IF(預測IC!CX21&gt;預測IC!CX$27,1,0)</f>
        <v>1</v>
      </c>
      <c r="CY21" s="11">
        <f>IF(預測IC!CY21&gt;預測IC!CY$27,1,0)</f>
        <v>0</v>
      </c>
      <c r="CZ21" s="11">
        <f>IF(預測IC!CZ21&gt;預測IC!CZ$27,1,0)</f>
        <v>1</v>
      </c>
      <c r="DA21" s="11">
        <f>IF(預測IC!DA21&gt;預測IC!DA$27,1,0)</f>
        <v>0</v>
      </c>
      <c r="DB21" s="11">
        <f>IF(預測IC!DB21&gt;預測IC!DB$27,1,0)</f>
        <v>1</v>
      </c>
      <c r="DC21" s="11">
        <f>IF(預測IC!DC21&gt;預測IC!DC$27,1,0)</f>
        <v>0</v>
      </c>
      <c r="DD21" s="11">
        <f>IF(預測IC!DD21&gt;預測IC!DD$27,1,0)</f>
        <v>1</v>
      </c>
      <c r="DE21" s="11">
        <f>IF(預測IC!DE21&gt;預測IC!DE$27,1,0)</f>
        <v>0</v>
      </c>
      <c r="DF21" s="11">
        <f>IF(預測IC!DF21&gt;預測IC!DF$27,1,0)</f>
        <v>0</v>
      </c>
      <c r="DG21" s="11">
        <f>IF(預測IC!DG21&gt;預測IC!DG$27,1,0)</f>
        <v>0</v>
      </c>
      <c r="DH21" s="11">
        <f>IF(預測IC!DH21&gt;預測IC!DH$27,1,0)</f>
        <v>0</v>
      </c>
      <c r="DI21" s="11">
        <f>IF(預測IC!DI21&gt;預測IC!DI$27,1,0)</f>
        <v>1</v>
      </c>
      <c r="DJ21" s="11">
        <f>IF(預測IC!DJ21&gt;預測IC!DJ$27,1,0)</f>
        <v>1</v>
      </c>
      <c r="DK21" s="11">
        <f>IF(預測IC!DK21&gt;預測IC!DK$27,1,0)</f>
        <v>0</v>
      </c>
      <c r="DL21" s="11">
        <f>IF(預測IC!DL21&gt;預測IC!DL$27,1,0)</f>
        <v>0</v>
      </c>
      <c r="DM21" s="11">
        <f>IF(預測IC!DM21&gt;預測IC!DM$27,1,0)</f>
        <v>0</v>
      </c>
      <c r="DN21" s="11">
        <f>IF(預測IC!DN21&gt;預測IC!DN$27,1,0)</f>
        <v>0</v>
      </c>
      <c r="DO21" s="11">
        <f>IF(預測IC!DO21&gt;預測IC!DO$27,1,0)</f>
        <v>0</v>
      </c>
      <c r="DP21" s="11">
        <v>1</v>
      </c>
      <c r="DQ21" s="11">
        <f>IF(預測IC!DQ21&gt;預測IC!DQ$27,1,0)</f>
        <v>0</v>
      </c>
      <c r="DR21" s="11">
        <f>IF(預測IC!DR21&gt;預測IC!DR$27,1,0)</f>
        <v>0</v>
      </c>
      <c r="DS21" s="11">
        <f>IF(預測IC!DS21&gt;預測IC!DS$27,1,0)</f>
        <v>1</v>
      </c>
      <c r="DT21" s="11">
        <f>IF(預測IC!DT21&gt;預測IC!DT$27,1,0)</f>
        <v>0</v>
      </c>
      <c r="DU21" s="11">
        <f>IF(預測IC!DU21&gt;預測IC!DU$27,1,0)</f>
        <v>0</v>
      </c>
      <c r="DV21" s="11">
        <v>1</v>
      </c>
      <c r="DW21" s="11">
        <f>IF(預測IC!DW21&gt;預測IC!DW$27,1,0)</f>
        <v>1</v>
      </c>
      <c r="DX21" s="11">
        <f>IF(預測IC!DX21&gt;預測IC!DX$27,1,0)</f>
        <v>0</v>
      </c>
      <c r="DY21" s="11">
        <f>IF(預測IC!DY21&gt;預測IC!DY$27,1,0)</f>
        <v>1</v>
      </c>
      <c r="DZ21" s="11">
        <f>IF(預測IC!DZ21&gt;預測IC!DZ$27,1,0)</f>
        <v>1</v>
      </c>
      <c r="EA21" s="11">
        <f>IF(預測IC!EA21&gt;預測IC!EA$27,1,0)</f>
        <v>1</v>
      </c>
      <c r="EB21" s="11">
        <f>IF(預測IC!EB21&gt;預測IC!EB$27,1,0)</f>
        <v>0</v>
      </c>
      <c r="EC21" s="11">
        <f>IF(預測IC!EC21&gt;預測IC!EC$27,1,0)</f>
        <v>1</v>
      </c>
      <c r="ED21" s="11">
        <f>IF(預測IC!ED21&gt;預測IC!ED$27,1,0)</f>
        <v>1</v>
      </c>
      <c r="EE21" s="11">
        <f>IF(預測IC!EE21&gt;預測IC!EE$27,1,0)</f>
        <v>1</v>
      </c>
      <c r="EF21" s="11">
        <f>IF(預測IC!EF21&gt;預測IC!EF$27,1,0)</f>
        <v>1</v>
      </c>
      <c r="EG21" s="1">
        <f t="shared" si="6"/>
        <v>69</v>
      </c>
      <c r="EH21" s="48">
        <f t="shared" si="7"/>
        <v>0.5149253731343284</v>
      </c>
    </row>
    <row r="22" spans="1:138" ht="16" customHeight="1">
      <c r="A22" s="6">
        <v>192</v>
      </c>
      <c r="B22" s="6">
        <v>5</v>
      </c>
      <c r="C22" s="11">
        <f>IF(預測IC!C22&gt;預測IC!C$27,1,0)</f>
        <v>1</v>
      </c>
      <c r="D22" s="11">
        <f>IF(預測IC!D22&gt;預測IC!D$27,1,0)</f>
        <v>1</v>
      </c>
      <c r="E22" s="11">
        <f>IF(預測IC!E22&gt;預測IC!E$27,1,0)</f>
        <v>1</v>
      </c>
      <c r="F22" s="11">
        <f>IF(預測IC!F22&gt;預測IC!F$27,1,0)</f>
        <v>1</v>
      </c>
      <c r="G22" s="11">
        <f>IF(預測IC!G22&gt;預測IC!G$27,1,0)</f>
        <v>1</v>
      </c>
      <c r="H22" s="11">
        <f>IF(預測IC!H22&gt;預測IC!H$27,1,0)</f>
        <v>1</v>
      </c>
      <c r="I22" s="11">
        <f>IF(預測IC!I22&gt;預測IC!I$27,1,0)</f>
        <v>1</v>
      </c>
      <c r="J22" s="11">
        <f>IF(預測IC!J22&gt;預測IC!J$27,1,0)</f>
        <v>1</v>
      </c>
      <c r="K22" s="11">
        <f>IF(預測IC!K22&gt;預測IC!K$27,1,0)</f>
        <v>1</v>
      </c>
      <c r="L22" s="11">
        <f>IF(預測IC!L22&gt;預測IC!L$27,1,0)</f>
        <v>1</v>
      </c>
      <c r="M22" s="11">
        <f>IF(預測IC!M22&gt;預測IC!M$27,1,0)</f>
        <v>1</v>
      </c>
      <c r="N22" s="11">
        <f>IF(預測IC!N22&gt;預測IC!N$27,1,0)</f>
        <v>1</v>
      </c>
      <c r="O22" s="11">
        <f>IF(預測IC!O22&gt;預測IC!O$27,1,0)</f>
        <v>1</v>
      </c>
      <c r="P22" s="11">
        <f>IF(預測IC!P22&gt;預測IC!P$27,1,0)</f>
        <v>0</v>
      </c>
      <c r="Q22" s="11">
        <f>IF(預測IC!Q22&gt;預測IC!Q$27,1,0)</f>
        <v>0</v>
      </c>
      <c r="R22" s="11">
        <f>IF(預測IC!R22&gt;預測IC!R$27,1,0)</f>
        <v>0</v>
      </c>
      <c r="S22" s="11">
        <f>IF(預測IC!S22&gt;預測IC!S$27,1,0)</f>
        <v>0</v>
      </c>
      <c r="T22" s="11">
        <f>IF(預測IC!T22&gt;預測IC!T$27,1,0)</f>
        <v>1</v>
      </c>
      <c r="U22" s="11">
        <f>IF(預測IC!U22&gt;預測IC!U$27,1,0)</f>
        <v>1</v>
      </c>
      <c r="V22" s="11">
        <f>IF(預測IC!V22&gt;預測IC!V$27,1,0)</f>
        <v>1</v>
      </c>
      <c r="W22" s="11">
        <f>IF(預測IC!W22&gt;預測IC!W$27,1,0)</f>
        <v>1</v>
      </c>
      <c r="X22" s="11">
        <f>IF(預測IC!X22&gt;預測IC!X$27,1,0)</f>
        <v>1</v>
      </c>
      <c r="Y22" s="11">
        <f>IF(預測IC!Y22&gt;預測IC!Y$27,1,0)</f>
        <v>1</v>
      </c>
      <c r="Z22" s="11">
        <f>IF(預測IC!Z22&gt;預測IC!Z$27,1,0)</f>
        <v>1</v>
      </c>
      <c r="AA22" s="11">
        <f>IF(預測IC!AA22&gt;預測IC!AA$27,1,0)</f>
        <v>0</v>
      </c>
      <c r="AB22" s="11">
        <f>IF(預測IC!AB22&gt;預測IC!AB$27,1,0)</f>
        <v>0</v>
      </c>
      <c r="AC22" s="11">
        <f>IF(預測IC!AC22&gt;預測IC!AC$27,1,0)</f>
        <v>0</v>
      </c>
      <c r="AD22" s="11">
        <f>IF(預測IC!AD22&gt;預測IC!AD$27,1,0)</f>
        <v>1</v>
      </c>
      <c r="AE22" s="11">
        <f>IF(預測IC!AE22&gt;預測IC!AE$27,1,0)</f>
        <v>0</v>
      </c>
      <c r="AF22" s="11">
        <f>IF(預測IC!AF22&gt;預測IC!AF$27,1,0)</f>
        <v>1</v>
      </c>
      <c r="AG22" s="11">
        <f>IF(預測IC!AG22&gt;預測IC!AG$27,1,0)</f>
        <v>0</v>
      </c>
      <c r="AH22" s="11">
        <f>IF(預測IC!AH22&gt;預測IC!AH$27,1,0)</f>
        <v>0</v>
      </c>
      <c r="AI22" s="11">
        <f>IF(預測IC!AI22&gt;預測IC!AI$27,1,0)</f>
        <v>0</v>
      </c>
      <c r="AJ22" s="11">
        <f>IF(預測IC!AJ22&gt;預測IC!AJ$27,1,0)</f>
        <v>0</v>
      </c>
      <c r="AK22" s="11">
        <f>IF(預測IC!AK22&gt;預測IC!AK$27,1,0)</f>
        <v>0</v>
      </c>
      <c r="AL22" s="11">
        <f>IF(預測IC!AL22&gt;預測IC!AL$27,1,0)</f>
        <v>0</v>
      </c>
      <c r="AM22" s="11">
        <f>IF(預測IC!AM22&gt;預測IC!AM$27,1,0)</f>
        <v>1</v>
      </c>
      <c r="AN22" s="11">
        <f>IF(預測IC!AN22&gt;預測IC!AN$27,1,0)</f>
        <v>0</v>
      </c>
      <c r="AO22" s="11">
        <f>IF(預測IC!AO22&gt;預測IC!AO$27,1,0)</f>
        <v>0</v>
      </c>
      <c r="AP22" s="11">
        <f>IF(預測IC!AP22&gt;預測IC!AP$27,1,0)</f>
        <v>0</v>
      </c>
      <c r="AQ22" s="11">
        <f>IF(預測IC!AQ22&gt;預測IC!AQ$27,1,0)</f>
        <v>1</v>
      </c>
      <c r="AR22" s="11">
        <f>IF(預測IC!AR22&gt;預測IC!AR$27,1,0)</f>
        <v>0</v>
      </c>
      <c r="AS22" s="11">
        <f>IF(預測IC!AS22&gt;預測IC!AS$27,1,0)</f>
        <v>0</v>
      </c>
      <c r="AT22" s="11">
        <f>IF(預測IC!AT22&gt;預測IC!AT$27,1,0)</f>
        <v>0</v>
      </c>
      <c r="AU22" s="11">
        <f>IF(預測IC!AU22&gt;預測IC!AU$27,1,0)</f>
        <v>1</v>
      </c>
      <c r="AV22" s="11">
        <f>IF(預測IC!AV22&gt;預測IC!AV$27,1,0)</f>
        <v>0</v>
      </c>
      <c r="AW22" s="11">
        <f>IF(預測IC!AW22&gt;預測IC!AW$27,1,0)</f>
        <v>0</v>
      </c>
      <c r="AX22" s="11">
        <f>IF(預測IC!AX22&gt;預測IC!AX$27,1,0)</f>
        <v>0</v>
      </c>
      <c r="AY22" s="11">
        <f>IF(預測IC!AY22&gt;預測IC!AY$27,1,0)</f>
        <v>0</v>
      </c>
      <c r="AZ22" s="11">
        <f>IF(預測IC!AZ22&gt;預測IC!AZ$27,1,0)</f>
        <v>1</v>
      </c>
      <c r="BA22" s="11">
        <f>IF(預測IC!BA22&gt;預測IC!BA$27,1,0)</f>
        <v>0</v>
      </c>
      <c r="BB22" s="11">
        <f>IF(預測IC!BB22&gt;預測IC!BB$27,1,0)</f>
        <v>0</v>
      </c>
      <c r="BC22" s="11">
        <f>IF(預測IC!BC22&gt;預測IC!BC$27,1,0)</f>
        <v>0</v>
      </c>
      <c r="BD22" s="11">
        <f>IF(預測IC!BD22&gt;預測IC!BD$27,1,0)</f>
        <v>1</v>
      </c>
      <c r="BE22" s="11">
        <f>IF(預測IC!BE22&gt;預測IC!BE$27,1,0)</f>
        <v>0</v>
      </c>
      <c r="BF22" s="11">
        <f>IF(預測IC!BF22&gt;預測IC!BF$27,1,0)</f>
        <v>1</v>
      </c>
      <c r="BG22" s="11">
        <f>IF(預測IC!BG22&gt;預測IC!BG$27,1,0)</f>
        <v>1</v>
      </c>
      <c r="BH22" s="11">
        <f>IF(預測IC!BH22&gt;預測IC!BH$27,1,0)</f>
        <v>1</v>
      </c>
      <c r="BI22" s="11">
        <f>IF(預測IC!BI22&gt;預測IC!BI$27,1,0)</f>
        <v>0</v>
      </c>
      <c r="BJ22" s="11">
        <f>IF(預測IC!BJ22&gt;預測IC!BJ$27,1,0)</f>
        <v>1</v>
      </c>
      <c r="BK22" s="11">
        <f>IF(預測IC!BK22&gt;預測IC!BK$27,1,0)</f>
        <v>1</v>
      </c>
      <c r="BL22" s="11">
        <f>IF(預測IC!BL22&gt;預測IC!BL$27,1,0)</f>
        <v>1</v>
      </c>
      <c r="BM22" s="11">
        <f>IF(預測IC!BM22&gt;預測IC!BM$27,1,0)</f>
        <v>1</v>
      </c>
      <c r="BN22" s="11">
        <f>IF(預測IC!BN22&gt;預測IC!BN$27,1,0)</f>
        <v>1</v>
      </c>
      <c r="BO22" s="11">
        <f>IF(預測IC!BO22&gt;預測IC!BO$27,1,0)</f>
        <v>1</v>
      </c>
      <c r="BP22" s="11">
        <f>IF(預測IC!BP22&gt;預測IC!BP$27,1,0)</f>
        <v>1</v>
      </c>
      <c r="BQ22" s="11">
        <f>IF(預測IC!BQ22&gt;預測IC!BQ$27,1,0)</f>
        <v>0</v>
      </c>
      <c r="BR22" s="11">
        <f>IF(預測IC!BR22&gt;預測IC!BR$27,1,0)</f>
        <v>0</v>
      </c>
      <c r="BS22" s="11">
        <f>IF(預測IC!BS22&gt;預測IC!BS$27,1,0)</f>
        <v>0</v>
      </c>
      <c r="BT22" s="11">
        <f>IF(預測IC!BT22&gt;預測IC!BT$27,1,0)</f>
        <v>1</v>
      </c>
      <c r="BU22" s="11">
        <f>IF(預測IC!BU22&gt;預測IC!BU$27,1,0)</f>
        <v>0</v>
      </c>
      <c r="BV22" s="11">
        <f>IF(預測IC!BV22&gt;預測IC!BV$27,1,0)</f>
        <v>1</v>
      </c>
      <c r="BW22" s="11">
        <f>IF(預測IC!BW22&gt;預測IC!BW$27,1,0)</f>
        <v>0</v>
      </c>
      <c r="BX22" s="11">
        <f>IF(預測IC!BX22&gt;預測IC!BX$27,1,0)</f>
        <v>1</v>
      </c>
      <c r="BY22" s="11">
        <f>IF(預測IC!BY22&gt;預測IC!BY$27,1,0)</f>
        <v>1</v>
      </c>
      <c r="BZ22" s="11">
        <f>IF(預測IC!BZ22&gt;預測IC!BZ$27,1,0)</f>
        <v>0</v>
      </c>
      <c r="CA22" s="11">
        <f>IF(預測IC!CA22&gt;預測IC!CA$27,1,0)</f>
        <v>0</v>
      </c>
      <c r="CB22" s="11">
        <f>IF(預測IC!CB22&gt;預測IC!CB$27,1,0)</f>
        <v>0</v>
      </c>
      <c r="CC22" s="11">
        <f>IF(預測IC!CC22&gt;預測IC!CC$27,1,0)</f>
        <v>1</v>
      </c>
      <c r="CD22" s="11">
        <f>IF(預測IC!CD22&gt;預測IC!CD$27,1,0)</f>
        <v>0</v>
      </c>
      <c r="CE22" s="11">
        <f>IF(預測IC!CE22&gt;預測IC!CE$27,1,0)</f>
        <v>1</v>
      </c>
      <c r="CF22" s="11">
        <f>IF(預測IC!CF22&gt;預測IC!CF$27,1,0)</f>
        <v>1</v>
      </c>
      <c r="CG22" s="11">
        <f>IF(預測IC!CG22&gt;預測IC!CG$27,1,0)</f>
        <v>0</v>
      </c>
      <c r="CH22" s="11">
        <f>IF(預測IC!CH22&gt;預測IC!CH$27,1,0)</f>
        <v>0</v>
      </c>
      <c r="CI22" s="11">
        <f>IF(預測IC!CI22&gt;預測IC!CI$27,1,0)</f>
        <v>1</v>
      </c>
      <c r="CJ22" s="11">
        <f>IF(預測IC!CJ22&gt;預測IC!CJ$27,1,0)</f>
        <v>0</v>
      </c>
      <c r="CK22" s="11">
        <f>IF(預測IC!CK22&gt;預測IC!CK$27,1,0)</f>
        <v>0</v>
      </c>
      <c r="CL22" s="11">
        <f>IF(預測IC!CL22&gt;預測IC!CL$27,1,0)</f>
        <v>0</v>
      </c>
      <c r="CM22" s="11">
        <f>IF(預測IC!CM22&gt;預測IC!CM$27,1,0)</f>
        <v>1</v>
      </c>
      <c r="CN22" s="11">
        <f>IF(預測IC!CN22&gt;預測IC!CN$27,1,0)</f>
        <v>1</v>
      </c>
      <c r="CO22" s="11">
        <f>IF(預測IC!CO22&gt;預測IC!CO$27,1,0)</f>
        <v>1</v>
      </c>
      <c r="CP22" s="11">
        <f>IF(預測IC!CP22&gt;預測IC!CP$27,1,0)</f>
        <v>1</v>
      </c>
      <c r="CQ22" s="11">
        <f>IF(預測IC!CQ22&gt;預測IC!CQ$27,1,0)</f>
        <v>0</v>
      </c>
      <c r="CR22" s="11">
        <f>IF(預測IC!CR22&gt;預測IC!CR$27,1,0)</f>
        <v>0</v>
      </c>
      <c r="CS22" s="11">
        <f>IF(預測IC!CS22&gt;預測IC!CS$27,1,0)</f>
        <v>1</v>
      </c>
      <c r="CT22" s="11">
        <f>IF(預測IC!CT22&gt;預測IC!CT$27,1,0)</f>
        <v>0</v>
      </c>
      <c r="CU22" s="11">
        <f>IF(預測IC!CU22&gt;預測IC!CU$27,1,0)</f>
        <v>0</v>
      </c>
      <c r="CV22" s="11">
        <f>IF(預測IC!CV22&gt;預測IC!CV$27,1,0)</f>
        <v>0</v>
      </c>
      <c r="CW22" s="11">
        <f>IF(預測IC!CW22&gt;預測IC!CW$27,1,0)</f>
        <v>0</v>
      </c>
      <c r="CX22" s="11">
        <f>IF(預測IC!CX22&gt;預測IC!CX$27,1,0)</f>
        <v>1</v>
      </c>
      <c r="CY22" s="11">
        <f>IF(預測IC!CY22&gt;預測IC!CY$27,1,0)</f>
        <v>0</v>
      </c>
      <c r="CZ22" s="11">
        <f>IF(預測IC!CZ22&gt;預測IC!CZ$27,1,0)</f>
        <v>1</v>
      </c>
      <c r="DA22" s="11">
        <f>IF(預測IC!DA22&gt;預測IC!DA$27,1,0)</f>
        <v>0</v>
      </c>
      <c r="DB22" s="11">
        <f>IF(預測IC!DB22&gt;預測IC!DB$27,1,0)</f>
        <v>1</v>
      </c>
      <c r="DC22" s="11">
        <f>IF(預測IC!DC22&gt;預測IC!DC$27,1,0)</f>
        <v>1</v>
      </c>
      <c r="DD22" s="11">
        <f>IF(預測IC!DD22&gt;預測IC!DD$27,1,0)</f>
        <v>1</v>
      </c>
      <c r="DE22" s="11">
        <f>IF(預測IC!DE22&gt;預測IC!DE$27,1,0)</f>
        <v>0</v>
      </c>
      <c r="DF22" s="11">
        <f>IF(預測IC!DF22&gt;預測IC!DF$27,1,0)</f>
        <v>1</v>
      </c>
      <c r="DG22" s="11">
        <f>IF(預測IC!DG22&gt;預測IC!DG$27,1,0)</f>
        <v>0</v>
      </c>
      <c r="DH22" s="11">
        <f>IF(預測IC!DH22&gt;預測IC!DH$27,1,0)</f>
        <v>0</v>
      </c>
      <c r="DI22" s="11">
        <f>IF(預測IC!DI22&gt;預測IC!DI$27,1,0)</f>
        <v>1</v>
      </c>
      <c r="DJ22" s="11">
        <f>IF(預測IC!DJ22&gt;預測IC!DJ$27,1,0)</f>
        <v>1</v>
      </c>
      <c r="DK22" s="11">
        <f>IF(預測IC!DK22&gt;預測IC!DK$27,1,0)</f>
        <v>0</v>
      </c>
      <c r="DL22" s="11">
        <f>IF(預測IC!DL22&gt;預測IC!DL$27,1,0)</f>
        <v>0</v>
      </c>
      <c r="DM22" s="11">
        <f>IF(預測IC!DM22&gt;預測IC!DM$27,1,0)</f>
        <v>0</v>
      </c>
      <c r="DN22" s="11">
        <f>IF(預測IC!DN22&gt;預測IC!DN$27,1,0)</f>
        <v>0</v>
      </c>
      <c r="DO22" s="11">
        <v>1</v>
      </c>
      <c r="DP22" s="11">
        <f>IF(預測IC!DP22&gt;預測IC!DP$27,1,0)</f>
        <v>0</v>
      </c>
      <c r="DQ22" s="11">
        <f>IF(預測IC!DQ22&gt;預測IC!DQ$27,1,0)</f>
        <v>0</v>
      </c>
      <c r="DR22" s="11">
        <f>IF(預測IC!DR22&gt;預測IC!DR$27,1,0)</f>
        <v>1</v>
      </c>
      <c r="DS22" s="11">
        <f>IF(預測IC!DS22&gt;預測IC!DS$27,1,0)</f>
        <v>1</v>
      </c>
      <c r="DT22" s="11">
        <f>IF(預測IC!DT22&gt;預測IC!DT$27,1,0)</f>
        <v>0</v>
      </c>
      <c r="DU22" s="11">
        <v>1</v>
      </c>
      <c r="DV22" s="11">
        <v>1</v>
      </c>
      <c r="DW22" s="11">
        <f>IF(預測IC!DW22&gt;預測IC!DW$27,1,0)</f>
        <v>1</v>
      </c>
      <c r="DX22" s="11">
        <f>IF(預測IC!DX22&gt;預測IC!DX$27,1,0)</f>
        <v>0</v>
      </c>
      <c r="DY22" s="11">
        <f>IF(預測IC!DY22&gt;預測IC!DY$27,1,0)</f>
        <v>1</v>
      </c>
      <c r="DZ22" s="11">
        <f>IF(預測IC!DZ22&gt;預測IC!DZ$27,1,0)</f>
        <v>1</v>
      </c>
      <c r="EA22" s="11">
        <f>IF(預測IC!EA22&gt;預測IC!EA$27,1,0)</f>
        <v>1</v>
      </c>
      <c r="EB22" s="11">
        <v>1</v>
      </c>
      <c r="EC22" s="11">
        <f>IF(預測IC!EC22&gt;預測IC!EC$27,1,0)</f>
        <v>1</v>
      </c>
      <c r="ED22" s="11">
        <f>IF(預測IC!ED22&gt;預測IC!ED$27,1,0)</f>
        <v>1</v>
      </c>
      <c r="EE22" s="11">
        <f>IF(預測IC!EE22&gt;預測IC!EE$27,1,0)</f>
        <v>1</v>
      </c>
      <c r="EF22" s="11">
        <f>IF(預測IC!EF22&gt;預測IC!EF$27,1,0)</f>
        <v>1</v>
      </c>
      <c r="EG22" s="1">
        <f t="shared" si="6"/>
        <v>72</v>
      </c>
      <c r="EH22" s="48">
        <f t="shared" si="7"/>
        <v>0.53731343283582089</v>
      </c>
    </row>
    <row r="23" spans="1:138" ht="16" customHeight="1">
      <c r="A23" s="6">
        <v>241</v>
      </c>
      <c r="B23" s="6">
        <v>4</v>
      </c>
      <c r="C23" s="11">
        <f>IF(預測IC!C23&gt;預測IC!C$27,1,0)</f>
        <v>1</v>
      </c>
      <c r="D23" s="11">
        <f>IF(預測IC!D23&gt;預測IC!D$27,1,0)</f>
        <v>1</v>
      </c>
      <c r="E23" s="11">
        <f>IF(預測IC!E23&gt;預測IC!E$27,1,0)</f>
        <v>1</v>
      </c>
      <c r="F23" s="11">
        <f>IF(預測IC!F23&gt;預測IC!F$27,1,0)</f>
        <v>1</v>
      </c>
      <c r="G23" s="11">
        <f>IF(預測IC!G23&gt;預測IC!G$27,1,0)</f>
        <v>1</v>
      </c>
      <c r="H23" s="11">
        <f>IF(預測IC!H23&gt;預測IC!H$27,1,0)</f>
        <v>1</v>
      </c>
      <c r="I23" s="11">
        <f>IF(預測IC!I23&gt;預測IC!I$27,1,0)</f>
        <v>1</v>
      </c>
      <c r="J23" s="11">
        <f>IF(預測IC!J23&gt;預測IC!J$27,1,0)</f>
        <v>1</v>
      </c>
      <c r="K23" s="11">
        <f>IF(預測IC!K23&gt;預測IC!K$27,1,0)</f>
        <v>1</v>
      </c>
      <c r="L23" s="11">
        <f>IF(預測IC!L23&gt;預測IC!L$27,1,0)</f>
        <v>1</v>
      </c>
      <c r="M23" s="11">
        <f>IF(預測IC!M23&gt;預測IC!M$27,1,0)</f>
        <v>1</v>
      </c>
      <c r="N23" s="11">
        <f>IF(預測IC!N23&gt;預測IC!N$27,1,0)</f>
        <v>1</v>
      </c>
      <c r="O23" s="11">
        <f>IF(預測IC!O23&gt;預測IC!O$27,1,0)</f>
        <v>1</v>
      </c>
      <c r="P23" s="11">
        <f>IF(預測IC!P23&gt;預測IC!P$27,1,0)</f>
        <v>1</v>
      </c>
      <c r="Q23" s="11">
        <f>IF(預測IC!Q23&gt;預測IC!Q$27,1,0)</f>
        <v>0</v>
      </c>
      <c r="R23" s="11">
        <f>IF(預測IC!R23&gt;預測IC!R$27,1,0)</f>
        <v>0</v>
      </c>
      <c r="S23" s="11">
        <f>IF(預測IC!S23&gt;預測IC!S$27,1,0)</f>
        <v>1</v>
      </c>
      <c r="T23" s="11">
        <f>IF(預測IC!T23&gt;預測IC!T$27,1,0)</f>
        <v>1</v>
      </c>
      <c r="U23" s="11">
        <f>IF(預測IC!U23&gt;預測IC!U$27,1,0)</f>
        <v>1</v>
      </c>
      <c r="V23" s="11">
        <f>IF(預測IC!V23&gt;預測IC!V$27,1,0)</f>
        <v>1</v>
      </c>
      <c r="W23" s="11">
        <f>IF(預測IC!W23&gt;預測IC!W$27,1,0)</f>
        <v>1</v>
      </c>
      <c r="X23" s="11">
        <f>IF(預測IC!X23&gt;預測IC!X$27,1,0)</f>
        <v>1</v>
      </c>
      <c r="Y23" s="11">
        <f>IF(預測IC!Y23&gt;預測IC!Y$27,1,0)</f>
        <v>1</v>
      </c>
      <c r="Z23" s="11">
        <f>IF(預測IC!Z23&gt;預測IC!Z$27,1,0)</f>
        <v>1</v>
      </c>
      <c r="AA23" s="11">
        <f>IF(預測IC!AA23&gt;預測IC!AA$27,1,0)</f>
        <v>0</v>
      </c>
      <c r="AB23" s="11">
        <f>IF(預測IC!AB23&gt;預測IC!AB$27,1,0)</f>
        <v>0</v>
      </c>
      <c r="AC23" s="11">
        <f>IF(預測IC!AC23&gt;預測IC!AC$27,1,0)</f>
        <v>0</v>
      </c>
      <c r="AD23" s="11">
        <f>IF(預測IC!AD23&gt;預測IC!AD$27,1,0)</f>
        <v>1</v>
      </c>
      <c r="AE23" s="11">
        <f>IF(預測IC!AE23&gt;預測IC!AE$27,1,0)</f>
        <v>0</v>
      </c>
      <c r="AF23" s="11">
        <f>IF(預測IC!AF23&gt;預測IC!AF$27,1,0)</f>
        <v>1</v>
      </c>
      <c r="AG23" s="11">
        <f>IF(預測IC!AG23&gt;預測IC!AG$27,1,0)</f>
        <v>0</v>
      </c>
      <c r="AH23" s="11">
        <f>IF(預測IC!AH23&gt;預測IC!AH$27,1,0)</f>
        <v>0</v>
      </c>
      <c r="AI23" s="11">
        <f>IF(預測IC!AI23&gt;預測IC!AI$27,1,0)</f>
        <v>0</v>
      </c>
      <c r="AJ23" s="11">
        <f>IF(預測IC!AJ23&gt;預測IC!AJ$27,1,0)</f>
        <v>0</v>
      </c>
      <c r="AK23" s="11">
        <f>IF(預測IC!AK23&gt;預測IC!AK$27,1,0)</f>
        <v>0</v>
      </c>
      <c r="AL23" s="11">
        <f>IF(預測IC!AL23&gt;預測IC!AL$27,1,0)</f>
        <v>0</v>
      </c>
      <c r="AM23" s="11">
        <f>IF(預測IC!AM23&gt;預測IC!AM$27,1,0)</f>
        <v>1</v>
      </c>
      <c r="AN23" s="11">
        <f>IF(預測IC!AN23&gt;預測IC!AN$27,1,0)</f>
        <v>0</v>
      </c>
      <c r="AO23" s="11">
        <f>IF(預測IC!AO23&gt;預測IC!AO$27,1,0)</f>
        <v>0</v>
      </c>
      <c r="AP23" s="11">
        <f>IF(預測IC!AP23&gt;預測IC!AP$27,1,0)</f>
        <v>0</v>
      </c>
      <c r="AQ23" s="11">
        <f>IF(預測IC!AQ23&gt;預測IC!AQ$27,1,0)</f>
        <v>1</v>
      </c>
      <c r="AR23" s="11">
        <f>IF(預測IC!AR23&gt;預測IC!AR$27,1,0)</f>
        <v>0</v>
      </c>
      <c r="AS23" s="11">
        <f>IF(預測IC!AS23&gt;預測IC!AS$27,1,0)</f>
        <v>0</v>
      </c>
      <c r="AT23" s="11">
        <f>IF(預測IC!AT23&gt;預測IC!AT$27,1,0)</f>
        <v>1</v>
      </c>
      <c r="AU23" s="11">
        <f>IF(預測IC!AU23&gt;預測IC!AU$27,1,0)</f>
        <v>1</v>
      </c>
      <c r="AV23" s="11">
        <f>IF(預測IC!AV23&gt;預測IC!AV$27,1,0)</f>
        <v>0</v>
      </c>
      <c r="AW23" s="11">
        <f>IF(預測IC!AW23&gt;預測IC!AW$27,1,0)</f>
        <v>0</v>
      </c>
      <c r="AX23" s="11">
        <f>IF(預測IC!AX23&gt;預測IC!AX$27,1,0)</f>
        <v>0</v>
      </c>
      <c r="AY23" s="11">
        <f>IF(預測IC!AY23&gt;預測IC!AY$27,1,0)</f>
        <v>0</v>
      </c>
      <c r="AZ23" s="11">
        <f>IF(預測IC!AZ23&gt;預測IC!AZ$27,1,0)</f>
        <v>1</v>
      </c>
      <c r="BA23" s="11">
        <f>IF(預測IC!BA23&gt;預測IC!BA$27,1,0)</f>
        <v>0</v>
      </c>
      <c r="BB23" s="11">
        <f>IF(預測IC!BB23&gt;預測IC!BB$27,1,0)</f>
        <v>0</v>
      </c>
      <c r="BC23" s="11">
        <f>IF(預測IC!BC23&gt;預測IC!BC$27,1,0)</f>
        <v>1</v>
      </c>
      <c r="BD23" s="11">
        <f>IF(預測IC!BD23&gt;預測IC!BD$27,1,0)</f>
        <v>0</v>
      </c>
      <c r="BE23" s="11">
        <f>IF(預測IC!BE23&gt;預測IC!BE$27,1,0)</f>
        <v>0</v>
      </c>
      <c r="BF23" s="11">
        <f>IF(預測IC!BF23&gt;預測IC!BF$27,1,0)</f>
        <v>1</v>
      </c>
      <c r="BG23" s="11">
        <f>IF(預測IC!BG23&gt;預測IC!BG$27,1,0)</f>
        <v>1</v>
      </c>
      <c r="BH23" s="11">
        <f>IF(預測IC!BH23&gt;預測IC!BH$27,1,0)</f>
        <v>1</v>
      </c>
      <c r="BI23" s="11">
        <f>IF(預測IC!BI23&gt;預測IC!BI$27,1,0)</f>
        <v>0</v>
      </c>
      <c r="BJ23" s="11">
        <f>IF(預測IC!BJ23&gt;預測IC!BJ$27,1,0)</f>
        <v>1</v>
      </c>
      <c r="BK23" s="11">
        <f>IF(預測IC!BK23&gt;預測IC!BK$27,1,0)</f>
        <v>1</v>
      </c>
      <c r="BL23" s="11">
        <f>IF(預測IC!BL23&gt;預測IC!BL$27,1,0)</f>
        <v>1</v>
      </c>
      <c r="BM23" s="11">
        <f>IF(預測IC!BM23&gt;預測IC!BM$27,1,0)</f>
        <v>1</v>
      </c>
      <c r="BN23" s="11">
        <f>IF(預測IC!BN23&gt;預測IC!BN$27,1,0)</f>
        <v>1</v>
      </c>
      <c r="BO23" s="11">
        <f>IF(預測IC!BO23&gt;預測IC!BO$27,1,0)</f>
        <v>1</v>
      </c>
      <c r="BP23" s="11">
        <f>IF(預測IC!BP23&gt;預測IC!BP$27,1,0)</f>
        <v>1</v>
      </c>
      <c r="BQ23" s="11">
        <f>IF(預測IC!BQ23&gt;預測IC!BQ$27,1,0)</f>
        <v>1</v>
      </c>
      <c r="BR23" s="11">
        <f>IF(預測IC!BR23&gt;預測IC!BR$27,1,0)</f>
        <v>0</v>
      </c>
      <c r="BS23" s="11">
        <f>IF(預測IC!BS23&gt;預測IC!BS$27,1,0)</f>
        <v>0</v>
      </c>
      <c r="BT23" s="11">
        <f>IF(預測IC!BT23&gt;預測IC!BT$27,1,0)</f>
        <v>1</v>
      </c>
      <c r="BU23" s="11">
        <f>IF(預測IC!BU23&gt;預測IC!BU$27,1,0)</f>
        <v>0</v>
      </c>
      <c r="BV23" s="11">
        <f>IF(預測IC!BV23&gt;預測IC!BV$27,1,0)</f>
        <v>1</v>
      </c>
      <c r="BW23" s="11">
        <f>IF(預測IC!BW23&gt;預測IC!BW$27,1,0)</f>
        <v>0</v>
      </c>
      <c r="BX23" s="11">
        <f>IF(預測IC!BX23&gt;預測IC!BX$27,1,0)</f>
        <v>1</v>
      </c>
      <c r="BY23" s="11">
        <f>IF(預測IC!BY23&gt;預測IC!BY$27,1,0)</f>
        <v>1</v>
      </c>
      <c r="BZ23" s="11">
        <f>IF(預測IC!BZ23&gt;預測IC!BZ$27,1,0)</f>
        <v>0</v>
      </c>
      <c r="CA23" s="11">
        <f>IF(預測IC!CA23&gt;預測IC!CA$27,1,0)</f>
        <v>0</v>
      </c>
      <c r="CB23" s="11">
        <f>IF(預測IC!CB23&gt;預測IC!CB$27,1,0)</f>
        <v>0</v>
      </c>
      <c r="CC23" s="11">
        <f>IF(預測IC!CC23&gt;預測IC!CC$27,1,0)</f>
        <v>0</v>
      </c>
      <c r="CD23" s="11">
        <f>IF(預測IC!CD23&gt;預測IC!CD$27,1,0)</f>
        <v>0</v>
      </c>
      <c r="CE23" s="11">
        <f>IF(預測IC!CE23&gt;預測IC!CE$27,1,0)</f>
        <v>1</v>
      </c>
      <c r="CF23" s="11">
        <f>IF(預測IC!CF23&gt;預測IC!CF$27,1,0)</f>
        <v>1</v>
      </c>
      <c r="CG23" s="11">
        <f>IF(預測IC!CG23&gt;預測IC!CG$27,1,0)</f>
        <v>0</v>
      </c>
      <c r="CH23" s="11">
        <f>IF(預測IC!CH23&gt;預測IC!CH$27,1,0)</f>
        <v>0</v>
      </c>
      <c r="CI23" s="11">
        <f>IF(預測IC!CI23&gt;預測IC!CI$27,1,0)</f>
        <v>1</v>
      </c>
      <c r="CJ23" s="11">
        <f>IF(預測IC!CJ23&gt;預測IC!CJ$27,1,0)</f>
        <v>0</v>
      </c>
      <c r="CK23" s="11">
        <f>IF(預測IC!CK23&gt;預測IC!CK$27,1,0)</f>
        <v>0</v>
      </c>
      <c r="CL23" s="11">
        <f>IF(預測IC!CL23&gt;預測IC!CL$27,1,0)</f>
        <v>0</v>
      </c>
      <c r="CM23" s="11">
        <f>IF(預測IC!CM23&gt;預測IC!CM$27,1,0)</f>
        <v>1</v>
      </c>
      <c r="CN23" s="11">
        <f>IF(預測IC!CN23&gt;預測IC!CN$27,1,0)</f>
        <v>1</v>
      </c>
      <c r="CO23" s="11">
        <f>IF(預測IC!CO23&gt;預測IC!CO$27,1,0)</f>
        <v>1</v>
      </c>
      <c r="CP23" s="11">
        <f>IF(預測IC!CP23&gt;預測IC!CP$27,1,0)</f>
        <v>1</v>
      </c>
      <c r="CQ23" s="11">
        <f>IF(預測IC!CQ23&gt;預測IC!CQ$27,1,0)</f>
        <v>0</v>
      </c>
      <c r="CR23" s="11">
        <f>IF(預測IC!CR23&gt;預測IC!CR$27,1,0)</f>
        <v>0</v>
      </c>
      <c r="CS23" s="11">
        <f>IF(預測IC!CS23&gt;預測IC!CS$27,1,0)</f>
        <v>1</v>
      </c>
      <c r="CT23" s="11">
        <f>IF(預測IC!CT23&gt;預測IC!CT$27,1,0)</f>
        <v>0</v>
      </c>
      <c r="CU23" s="11">
        <f>IF(預測IC!CU23&gt;預測IC!CU$27,1,0)</f>
        <v>0</v>
      </c>
      <c r="CV23" s="11">
        <f>IF(預測IC!CV23&gt;預測IC!CV$27,1,0)</f>
        <v>0</v>
      </c>
      <c r="CW23" s="11">
        <f>IF(預測IC!CW23&gt;預測IC!CW$27,1,0)</f>
        <v>0</v>
      </c>
      <c r="CX23" s="11">
        <f>IF(預測IC!CX23&gt;預測IC!CX$27,1,0)</f>
        <v>1</v>
      </c>
      <c r="CY23" s="11">
        <f>IF(預測IC!CY23&gt;預測IC!CY$27,1,0)</f>
        <v>0</v>
      </c>
      <c r="CZ23" s="11">
        <f>IF(預測IC!CZ23&gt;預測IC!CZ$27,1,0)</f>
        <v>1</v>
      </c>
      <c r="DA23" s="11">
        <f>IF(預測IC!DA23&gt;預測IC!DA$27,1,0)</f>
        <v>0</v>
      </c>
      <c r="DB23" s="11">
        <f>IF(預測IC!DB23&gt;預測IC!DB$27,1,0)</f>
        <v>1</v>
      </c>
      <c r="DC23" s="11">
        <f>IF(預測IC!DC23&gt;預測IC!DC$27,1,0)</f>
        <v>1</v>
      </c>
      <c r="DD23" s="11">
        <f>IF(預測IC!DD23&gt;預測IC!DD$27,1,0)</f>
        <v>1</v>
      </c>
      <c r="DE23" s="11">
        <f>IF(預測IC!DE23&gt;預測IC!DE$27,1,0)</f>
        <v>0</v>
      </c>
      <c r="DF23" s="11">
        <f>IF(預測IC!DF23&gt;預測IC!DF$27,1,0)</f>
        <v>1</v>
      </c>
      <c r="DG23" s="11">
        <f>IF(預測IC!DG23&gt;預測IC!DG$27,1,0)</f>
        <v>0</v>
      </c>
      <c r="DH23" s="11">
        <f>IF(預測IC!DH23&gt;預測IC!DH$27,1,0)</f>
        <v>0</v>
      </c>
      <c r="DI23" s="11">
        <f>IF(預測IC!DI23&gt;預測IC!DI$27,1,0)</f>
        <v>1</v>
      </c>
      <c r="DJ23" s="11">
        <f>IF(預測IC!DJ23&gt;預測IC!DJ$27,1,0)</f>
        <v>1</v>
      </c>
      <c r="DK23" s="11">
        <f>IF(預測IC!DK23&gt;預測IC!DK$27,1,0)</f>
        <v>0</v>
      </c>
      <c r="DL23" s="11">
        <f>IF(預測IC!DL23&gt;預測IC!DL$27,1,0)</f>
        <v>0</v>
      </c>
      <c r="DM23" s="11">
        <f>IF(預測IC!DM23&gt;預測IC!DM$27,1,0)</f>
        <v>0</v>
      </c>
      <c r="DN23" s="11">
        <f>IF(預測IC!DN23&gt;預測IC!DN$27,1,0)</f>
        <v>0</v>
      </c>
      <c r="DO23" s="11">
        <f>IF(預測IC!DO23&gt;預測IC!DO$27,1,0)</f>
        <v>0</v>
      </c>
      <c r="DP23" s="11">
        <f>IF(預測IC!DP23&gt;預測IC!DP$27,1,0)</f>
        <v>0</v>
      </c>
      <c r="DQ23" s="11">
        <f>IF(預測IC!DQ23&gt;預測IC!DQ$27,1,0)</f>
        <v>0</v>
      </c>
      <c r="DR23" s="11">
        <f>IF(預測IC!DR23&gt;預測IC!DR$27,1,0)</f>
        <v>0</v>
      </c>
      <c r="DS23" s="11">
        <f>IF(預測IC!DS23&gt;預測IC!DS$27,1,0)</f>
        <v>1</v>
      </c>
      <c r="DT23" s="11">
        <f>IF(預測IC!DT23&gt;預測IC!DT$27,1,0)</f>
        <v>0</v>
      </c>
      <c r="DU23" s="11">
        <f>IF(預測IC!DU23&gt;預測IC!DU$27,1,0)</f>
        <v>0</v>
      </c>
      <c r="DV23" s="11">
        <f>IF(預測IC!DV23&gt;預測IC!DV$27,1,0)</f>
        <v>0</v>
      </c>
      <c r="DW23" s="11">
        <f>IF(預測IC!DW23&gt;預測IC!DW$27,1,0)</f>
        <v>1</v>
      </c>
      <c r="DX23" s="11">
        <f>IF(預測IC!DX23&gt;預測IC!DX$27,1,0)</f>
        <v>0</v>
      </c>
      <c r="DY23" s="11">
        <f>IF(預測IC!DY23&gt;預測IC!DY$27,1,0)</f>
        <v>0</v>
      </c>
      <c r="DZ23" s="11">
        <f>IF(預測IC!DZ23&gt;預測IC!DZ$27,1,0)</f>
        <v>1</v>
      </c>
      <c r="EA23" s="11">
        <f>IF(預測IC!EA23&gt;預測IC!EA$27,1,0)</f>
        <v>1</v>
      </c>
      <c r="EB23" s="11">
        <v>1</v>
      </c>
      <c r="EC23" s="11">
        <f>IF(預測IC!EC23&gt;預測IC!EC$27,1,0)</f>
        <v>1</v>
      </c>
      <c r="ED23" s="11">
        <f>IF(預測IC!ED23&gt;預測IC!ED$27,1,0)</f>
        <v>1</v>
      </c>
      <c r="EE23" s="11">
        <f>IF(預測IC!EE23&gt;預測IC!EE$27,1,0)</f>
        <v>1</v>
      </c>
      <c r="EF23" s="11">
        <f>IF(預測IC!EF23&gt;預測IC!EF$27,1,0)</f>
        <v>1</v>
      </c>
      <c r="EG23" s="1">
        <f t="shared" si="6"/>
        <v>70</v>
      </c>
      <c r="EH23" s="48">
        <f t="shared" si="7"/>
        <v>0.52238805970149249</v>
      </c>
    </row>
    <row r="24" spans="1:138" ht="16" customHeight="1">
      <c r="A24" s="6">
        <v>321</v>
      </c>
      <c r="B24" s="6">
        <v>3</v>
      </c>
      <c r="C24" s="11">
        <f>IF(預測IC!C24&gt;預測IC!C$27,1,0)</f>
        <v>1</v>
      </c>
      <c r="D24" s="11">
        <f>IF(預測IC!D24&gt;預測IC!D$27,1,0)</f>
        <v>1</v>
      </c>
      <c r="E24" s="11">
        <f>IF(預測IC!E24&gt;預測IC!E$27,1,0)</f>
        <v>1</v>
      </c>
      <c r="F24" s="11">
        <f>IF(預測IC!F24&gt;預測IC!F$27,1,0)</f>
        <v>1</v>
      </c>
      <c r="G24" s="11">
        <f>IF(預測IC!G24&gt;預測IC!G$27,1,0)</f>
        <v>1</v>
      </c>
      <c r="H24" s="11">
        <f>IF(預測IC!H24&gt;預測IC!H$27,1,0)</f>
        <v>1</v>
      </c>
      <c r="I24" s="11">
        <f>IF(預測IC!I24&gt;預測IC!I$27,1,0)</f>
        <v>1</v>
      </c>
      <c r="J24" s="11">
        <f>IF(預測IC!J24&gt;預測IC!J$27,1,0)</f>
        <v>1</v>
      </c>
      <c r="K24" s="11">
        <f>IF(預測IC!K24&gt;預測IC!K$27,1,0)</f>
        <v>1</v>
      </c>
      <c r="L24" s="11">
        <f>IF(預測IC!L24&gt;預測IC!L$27,1,0)</f>
        <v>1</v>
      </c>
      <c r="M24" s="11">
        <f>IF(預測IC!M24&gt;預測IC!M$27,1,0)</f>
        <v>1</v>
      </c>
      <c r="N24" s="11">
        <f>IF(預測IC!N24&gt;預測IC!N$27,1,0)</f>
        <v>1</v>
      </c>
      <c r="O24" s="11">
        <f>IF(預測IC!O24&gt;預測IC!O$27,1,0)</f>
        <v>1</v>
      </c>
      <c r="P24" s="11">
        <f>IF(預測IC!P24&gt;預測IC!P$27,1,0)</f>
        <v>0</v>
      </c>
      <c r="Q24" s="11">
        <f>IF(預測IC!Q24&gt;預測IC!Q$27,1,0)</f>
        <v>0</v>
      </c>
      <c r="R24" s="11">
        <f>IF(預測IC!R24&gt;預測IC!R$27,1,0)</f>
        <v>0</v>
      </c>
      <c r="S24" s="11">
        <f>IF(預測IC!S24&gt;預測IC!S$27,1,0)</f>
        <v>0</v>
      </c>
      <c r="T24" s="11">
        <f>IF(預測IC!T24&gt;預測IC!T$27,1,0)</f>
        <v>1</v>
      </c>
      <c r="U24" s="11">
        <f>IF(預測IC!U24&gt;預測IC!U$27,1,0)</f>
        <v>1</v>
      </c>
      <c r="V24" s="11">
        <f>IF(預測IC!V24&gt;預測IC!V$27,1,0)</f>
        <v>1</v>
      </c>
      <c r="W24" s="11">
        <f>IF(預測IC!W24&gt;預測IC!W$27,1,0)</f>
        <v>1</v>
      </c>
      <c r="X24" s="11">
        <f>IF(預測IC!X24&gt;預測IC!X$27,1,0)</f>
        <v>1</v>
      </c>
      <c r="Y24" s="11">
        <f>IF(預測IC!Y24&gt;預測IC!Y$27,1,0)</f>
        <v>1</v>
      </c>
      <c r="Z24" s="11">
        <f>IF(預測IC!Z24&gt;預測IC!Z$27,1,0)</f>
        <v>1</v>
      </c>
      <c r="AA24" s="11">
        <f>IF(預測IC!AA24&gt;預測IC!AA$27,1,0)</f>
        <v>0</v>
      </c>
      <c r="AB24" s="11">
        <f>IF(預測IC!AB24&gt;預測IC!AB$27,1,0)</f>
        <v>0</v>
      </c>
      <c r="AC24" s="11">
        <f>IF(預測IC!AC24&gt;預測IC!AC$27,1,0)</f>
        <v>0</v>
      </c>
      <c r="AD24" s="11">
        <f>IF(預測IC!AD24&gt;預測IC!AD$27,1,0)</f>
        <v>1</v>
      </c>
      <c r="AE24" s="11">
        <f>IF(預測IC!AE24&gt;預測IC!AE$27,1,0)</f>
        <v>0</v>
      </c>
      <c r="AF24" s="11">
        <f>IF(預測IC!AF24&gt;預測IC!AF$27,1,0)</f>
        <v>1</v>
      </c>
      <c r="AG24" s="11">
        <f>IF(預測IC!AG24&gt;預測IC!AG$27,1,0)</f>
        <v>0</v>
      </c>
      <c r="AH24" s="11">
        <f>IF(預測IC!AH24&gt;預測IC!AH$27,1,0)</f>
        <v>1</v>
      </c>
      <c r="AI24" s="11">
        <f>IF(預測IC!AI24&gt;預測IC!AI$27,1,0)</f>
        <v>0</v>
      </c>
      <c r="AJ24" s="11">
        <f>IF(預測IC!AJ24&gt;預測IC!AJ$27,1,0)</f>
        <v>0</v>
      </c>
      <c r="AK24" s="11">
        <f>IF(預測IC!AK24&gt;預測IC!AK$27,1,0)</f>
        <v>0</v>
      </c>
      <c r="AL24" s="11">
        <f>IF(預測IC!AL24&gt;預測IC!AL$27,1,0)</f>
        <v>0</v>
      </c>
      <c r="AM24" s="11">
        <f>IF(預測IC!AM24&gt;預測IC!AM$27,1,0)</f>
        <v>1</v>
      </c>
      <c r="AN24" s="11">
        <f>IF(預測IC!AN24&gt;預測IC!AN$27,1,0)</f>
        <v>1</v>
      </c>
      <c r="AO24" s="11">
        <f>IF(預測IC!AO24&gt;預測IC!AO$27,1,0)</f>
        <v>0</v>
      </c>
      <c r="AP24" s="11">
        <f>IF(預測IC!AP24&gt;預測IC!AP$27,1,0)</f>
        <v>0</v>
      </c>
      <c r="AQ24" s="11">
        <f>IF(預測IC!AQ24&gt;預測IC!AQ$27,1,0)</f>
        <v>1</v>
      </c>
      <c r="AR24" s="11">
        <f>IF(預測IC!AR24&gt;預測IC!AR$27,1,0)</f>
        <v>1</v>
      </c>
      <c r="AS24" s="11">
        <f>IF(預測IC!AS24&gt;預測IC!AS$27,1,0)</f>
        <v>0</v>
      </c>
      <c r="AT24" s="11">
        <f>IF(預測IC!AT24&gt;預測IC!AT$27,1,0)</f>
        <v>1</v>
      </c>
      <c r="AU24" s="11">
        <f>IF(預測IC!AU24&gt;預測IC!AU$27,1,0)</f>
        <v>0</v>
      </c>
      <c r="AV24" s="11">
        <f>IF(預測IC!AV24&gt;預測IC!AV$27,1,0)</f>
        <v>0</v>
      </c>
      <c r="AW24" s="11">
        <f>IF(預測IC!AW24&gt;預測IC!AW$27,1,0)</f>
        <v>0</v>
      </c>
      <c r="AX24" s="11">
        <f>IF(預測IC!AX24&gt;預測IC!AX$27,1,0)</f>
        <v>0</v>
      </c>
      <c r="AY24" s="11">
        <f>IF(預測IC!AY24&gt;預測IC!AY$27,1,0)</f>
        <v>0</v>
      </c>
      <c r="AZ24" s="11">
        <f>IF(預測IC!AZ24&gt;預測IC!AZ$27,1,0)</f>
        <v>0</v>
      </c>
      <c r="BA24" s="11">
        <f>IF(預測IC!BA24&gt;預測IC!BA$27,1,0)</f>
        <v>0</v>
      </c>
      <c r="BB24" s="11">
        <f>IF(預測IC!BB24&gt;預測IC!BB$27,1,0)</f>
        <v>0</v>
      </c>
      <c r="BC24" s="11">
        <f>IF(預測IC!BC24&gt;預測IC!BC$27,1,0)</f>
        <v>1</v>
      </c>
      <c r="BD24" s="11">
        <f>IF(預測IC!BD24&gt;預測IC!BD$27,1,0)</f>
        <v>0</v>
      </c>
      <c r="BE24" s="11">
        <f>IF(預測IC!BE24&gt;預測IC!BE$27,1,0)</f>
        <v>0</v>
      </c>
      <c r="BF24" s="11">
        <f>IF(預測IC!BF24&gt;預測IC!BF$27,1,0)</f>
        <v>1</v>
      </c>
      <c r="BG24" s="11">
        <f>IF(預測IC!BG24&gt;預測IC!BG$27,1,0)</f>
        <v>1</v>
      </c>
      <c r="BH24" s="11">
        <f>IF(預測IC!BH24&gt;預測IC!BH$27,1,0)</f>
        <v>1</v>
      </c>
      <c r="BI24" s="11">
        <f>IF(預測IC!BI24&gt;預測IC!BI$27,1,0)</f>
        <v>0</v>
      </c>
      <c r="BJ24" s="11">
        <f>IF(預測IC!BJ24&gt;預測IC!BJ$27,1,0)</f>
        <v>1</v>
      </c>
      <c r="BK24" s="11">
        <f>IF(預測IC!BK24&gt;預測IC!BK$27,1,0)</f>
        <v>1</v>
      </c>
      <c r="BL24" s="11">
        <f>IF(預測IC!BL24&gt;預測IC!BL$27,1,0)</f>
        <v>1</v>
      </c>
      <c r="BM24" s="11">
        <f>IF(預測IC!BM24&gt;預測IC!BM$27,1,0)</f>
        <v>1</v>
      </c>
      <c r="BN24" s="11">
        <f>IF(預測IC!BN24&gt;預測IC!BN$27,1,0)</f>
        <v>1</v>
      </c>
      <c r="BO24" s="11">
        <f>IF(預測IC!BO24&gt;預測IC!BO$27,1,0)</f>
        <v>1</v>
      </c>
      <c r="BP24" s="11">
        <f>IF(預測IC!BP24&gt;預測IC!BP$27,1,0)</f>
        <v>1</v>
      </c>
      <c r="BQ24" s="11">
        <f>IF(預測IC!BQ24&gt;預測IC!BQ$27,1,0)</f>
        <v>1</v>
      </c>
      <c r="BR24" s="11">
        <f>IF(預測IC!BR24&gt;預測IC!BR$27,1,0)</f>
        <v>0</v>
      </c>
      <c r="BS24" s="11">
        <f>IF(預測IC!BS24&gt;預測IC!BS$27,1,0)</f>
        <v>0</v>
      </c>
      <c r="BT24" s="11">
        <f>IF(預測IC!BT24&gt;預測IC!BT$27,1,0)</f>
        <v>1</v>
      </c>
      <c r="BU24" s="11">
        <f>IF(預測IC!BU24&gt;預測IC!BU$27,1,0)</f>
        <v>0</v>
      </c>
      <c r="BV24" s="11">
        <f>IF(預測IC!BV24&gt;預測IC!BV$27,1,0)</f>
        <v>1</v>
      </c>
      <c r="BW24" s="11">
        <f>IF(預測IC!BW24&gt;預測IC!BW$27,1,0)</f>
        <v>0</v>
      </c>
      <c r="BX24" s="11">
        <f>IF(預測IC!BX24&gt;預測IC!BX$27,1,0)</f>
        <v>0</v>
      </c>
      <c r="BY24" s="11">
        <f>IF(預測IC!BY24&gt;預測IC!BY$27,1,0)</f>
        <v>1</v>
      </c>
      <c r="BZ24" s="11">
        <f>IF(預測IC!BZ24&gt;預測IC!BZ$27,1,0)</f>
        <v>0</v>
      </c>
      <c r="CA24" s="11">
        <f>IF(預測IC!CA24&gt;預測IC!CA$27,1,0)</f>
        <v>0</v>
      </c>
      <c r="CB24" s="11">
        <f>IF(預測IC!CB24&gt;預測IC!CB$27,1,0)</f>
        <v>0</v>
      </c>
      <c r="CC24" s="11">
        <f>IF(預測IC!CC24&gt;預測IC!CC$27,1,0)</f>
        <v>0</v>
      </c>
      <c r="CD24" s="11">
        <f>IF(預測IC!CD24&gt;預測IC!CD$27,1,0)</f>
        <v>0</v>
      </c>
      <c r="CE24" s="11">
        <f>IF(預測IC!CE24&gt;預測IC!CE$27,1,0)</f>
        <v>1</v>
      </c>
      <c r="CF24" s="11">
        <f>IF(預測IC!CF24&gt;預測IC!CF$27,1,0)</f>
        <v>1</v>
      </c>
      <c r="CG24" s="11">
        <f>IF(預測IC!CG24&gt;預測IC!CG$27,1,0)</f>
        <v>0</v>
      </c>
      <c r="CH24" s="11">
        <f>IF(預測IC!CH24&gt;預測IC!CH$27,1,0)</f>
        <v>0</v>
      </c>
      <c r="CI24" s="11">
        <f>IF(預測IC!CI24&gt;預測IC!CI$27,1,0)</f>
        <v>0</v>
      </c>
      <c r="CJ24" s="11">
        <f>IF(預測IC!CJ24&gt;預測IC!CJ$27,1,0)</f>
        <v>0</v>
      </c>
      <c r="CK24" s="11">
        <f>IF(預測IC!CK24&gt;預測IC!CK$27,1,0)</f>
        <v>0</v>
      </c>
      <c r="CL24" s="11">
        <f>IF(預測IC!CL24&gt;預測IC!CL$27,1,0)</f>
        <v>0</v>
      </c>
      <c r="CM24" s="11">
        <f>IF(預測IC!CM24&gt;預測IC!CM$27,1,0)</f>
        <v>1</v>
      </c>
      <c r="CN24" s="11">
        <f>IF(預測IC!CN24&gt;預測IC!CN$27,1,0)</f>
        <v>1</v>
      </c>
      <c r="CO24" s="11">
        <f>IF(預測IC!CO24&gt;預測IC!CO$27,1,0)</f>
        <v>1</v>
      </c>
      <c r="CP24" s="11">
        <f>IF(預測IC!CP24&gt;預測IC!CP$27,1,0)</f>
        <v>1</v>
      </c>
      <c r="CQ24" s="11">
        <f>IF(預測IC!CQ24&gt;預測IC!CQ$27,1,0)</f>
        <v>0</v>
      </c>
      <c r="CR24" s="11">
        <f>IF(預測IC!CR24&gt;預測IC!CR$27,1,0)</f>
        <v>0</v>
      </c>
      <c r="CS24" s="11">
        <f>IF(預測IC!CS24&gt;預測IC!CS$27,1,0)</f>
        <v>1</v>
      </c>
      <c r="CT24" s="11">
        <f>IF(預測IC!CT24&gt;預測IC!CT$27,1,0)</f>
        <v>0</v>
      </c>
      <c r="CU24" s="11">
        <f>IF(預測IC!CU24&gt;預測IC!CU$27,1,0)</f>
        <v>0</v>
      </c>
      <c r="CV24" s="11">
        <f>IF(預測IC!CV24&gt;預測IC!CV$27,1,0)</f>
        <v>0</v>
      </c>
      <c r="CW24" s="11">
        <f>IF(預測IC!CW24&gt;預測IC!CW$27,1,0)</f>
        <v>0</v>
      </c>
      <c r="CX24" s="11">
        <f>IF(預測IC!CX24&gt;預測IC!CX$27,1,0)</f>
        <v>1</v>
      </c>
      <c r="CY24" s="11">
        <f>IF(預測IC!CY24&gt;預測IC!CY$27,1,0)</f>
        <v>0</v>
      </c>
      <c r="CZ24" s="11">
        <f>IF(預測IC!CZ24&gt;預測IC!CZ$27,1,0)</f>
        <v>1</v>
      </c>
      <c r="DA24" s="11">
        <f>IF(預測IC!DA24&gt;預測IC!DA$27,1,0)</f>
        <v>0</v>
      </c>
      <c r="DB24" s="11">
        <f>IF(預測IC!DB24&gt;預測IC!DB$27,1,0)</f>
        <v>0</v>
      </c>
      <c r="DC24" s="11">
        <f>IF(預測IC!DC24&gt;預測IC!DC$27,1,0)</f>
        <v>0</v>
      </c>
      <c r="DD24" s="11">
        <f>IF(預測IC!DD24&gt;預測IC!DD$27,1,0)</f>
        <v>1</v>
      </c>
      <c r="DE24" s="11">
        <f>IF(預測IC!DE24&gt;預測IC!DE$27,1,0)</f>
        <v>0</v>
      </c>
      <c r="DF24" s="11">
        <f>IF(預測IC!DF24&gt;預測IC!DF$27,1,0)</f>
        <v>1</v>
      </c>
      <c r="DG24" s="11">
        <f>IF(預測IC!DG24&gt;預測IC!DG$27,1,0)</f>
        <v>0</v>
      </c>
      <c r="DH24" s="11">
        <f>IF(預測IC!DH24&gt;預測IC!DH$27,1,0)</f>
        <v>0</v>
      </c>
      <c r="DI24" s="11">
        <f>IF(預測IC!DI24&gt;預測IC!DI$27,1,0)</f>
        <v>1</v>
      </c>
      <c r="DJ24" s="11">
        <f>IF(預測IC!DJ24&gt;預測IC!DJ$27,1,0)</f>
        <v>1</v>
      </c>
      <c r="DK24" s="11">
        <f>IF(預測IC!DK24&gt;預測IC!DK$27,1,0)</f>
        <v>1</v>
      </c>
      <c r="DL24" s="11">
        <f>IF(預測IC!DL24&gt;預測IC!DL$27,1,0)</f>
        <v>0</v>
      </c>
      <c r="DM24" s="11">
        <f>IF(預測IC!DM24&gt;預測IC!DM$27,1,0)</f>
        <v>0</v>
      </c>
      <c r="DN24" s="11">
        <f>IF(預測IC!DN24&gt;預測IC!DN$27,1,0)</f>
        <v>0</v>
      </c>
      <c r="DO24" s="11">
        <f>IF(預測IC!DO24&gt;預測IC!DO$27,1,0)</f>
        <v>0</v>
      </c>
      <c r="DP24" s="11">
        <f>IF(預測IC!DP24&gt;預測IC!DP$27,1,0)</f>
        <v>0</v>
      </c>
      <c r="DQ24" s="11">
        <f>IF(預測IC!DQ24&gt;預測IC!DQ$27,1,0)</f>
        <v>0</v>
      </c>
      <c r="DR24" s="11">
        <f>IF(預測IC!DR24&gt;預測IC!DR$27,1,0)</f>
        <v>1</v>
      </c>
      <c r="DS24" s="11">
        <f>IF(預測IC!DS24&gt;預測IC!DS$27,1,0)</f>
        <v>1</v>
      </c>
      <c r="DT24" s="11">
        <f>IF(預測IC!DT24&gt;預測IC!DT$27,1,0)</f>
        <v>0</v>
      </c>
      <c r="DU24" s="11">
        <f>IF(預測IC!DU24&gt;預測IC!DU$27,1,0)</f>
        <v>0</v>
      </c>
      <c r="DV24" s="11">
        <f>IF(預測IC!DV24&gt;預測IC!DV$27,1,0)</f>
        <v>0</v>
      </c>
      <c r="DW24" s="11">
        <f>IF(預測IC!DW24&gt;預測IC!DW$27,1,0)</f>
        <v>1</v>
      </c>
      <c r="DX24" s="11">
        <f>IF(預測IC!DX24&gt;預測IC!DX$27,1,0)</f>
        <v>0</v>
      </c>
      <c r="DY24" s="11">
        <f>IF(預測IC!DY24&gt;預測IC!DY$27,1,0)</f>
        <v>0</v>
      </c>
      <c r="DZ24" s="11">
        <f>IF(預測IC!DZ24&gt;預測IC!DZ$27,1,0)</f>
        <v>1</v>
      </c>
      <c r="EA24" s="11">
        <f>IF(預測IC!EA24&gt;預測IC!EA$27,1,0)</f>
        <v>1</v>
      </c>
      <c r="EB24" s="11">
        <f>IF(預測IC!EB24&gt;預測IC!EB$27,1,0)</f>
        <v>0</v>
      </c>
      <c r="EC24" s="11">
        <f>IF(預測IC!EC24&gt;預測IC!EC$27,1,0)</f>
        <v>1</v>
      </c>
      <c r="ED24" s="11">
        <f>IF(預測IC!ED24&gt;預測IC!ED$27,1,0)</f>
        <v>1</v>
      </c>
      <c r="EE24" s="11">
        <f>IF(預測IC!EE24&gt;預測IC!EE$27,1,0)</f>
        <v>0</v>
      </c>
      <c r="EF24" s="11">
        <f>IF(預測IC!EF24&gt;預測IC!EF$27,1,0)</f>
        <v>1</v>
      </c>
      <c r="EG24" s="1">
        <f t="shared" si="6"/>
        <v>65</v>
      </c>
      <c r="EH24" s="2">
        <f t="shared" si="7"/>
        <v>0.48507462686567165</v>
      </c>
    </row>
    <row r="25" spans="1:138" ht="16" customHeight="1">
      <c r="A25" s="6">
        <v>482</v>
      </c>
      <c r="B25" s="6">
        <v>2</v>
      </c>
      <c r="C25" s="11">
        <f>IF(預測IC!C25&gt;預測IC!C$27,1,0)</f>
        <v>1</v>
      </c>
      <c r="D25" s="11">
        <f>IF(預測IC!D25&gt;預測IC!D$27,1,0)</f>
        <v>1</v>
      </c>
      <c r="E25" s="11">
        <f>IF(預測IC!E25&gt;預測IC!E$27,1,0)</f>
        <v>1</v>
      </c>
      <c r="F25" s="11">
        <f>IF(預測IC!F25&gt;預測IC!F$27,1,0)</f>
        <v>1</v>
      </c>
      <c r="G25" s="11">
        <f>IF(預測IC!G25&gt;預測IC!G$27,1,0)</f>
        <v>1</v>
      </c>
      <c r="H25" s="11">
        <f>IF(預測IC!H25&gt;預測IC!H$27,1,0)</f>
        <v>1</v>
      </c>
      <c r="I25" s="11">
        <f>IF(預測IC!I25&gt;預測IC!I$27,1,0)</f>
        <v>1</v>
      </c>
      <c r="J25" s="11">
        <f>IF(預測IC!J25&gt;預測IC!J$27,1,0)</f>
        <v>1</v>
      </c>
      <c r="K25" s="11">
        <f>IF(預測IC!K25&gt;預測IC!K$27,1,0)</f>
        <v>1</v>
      </c>
      <c r="L25" s="11">
        <f>IF(預測IC!L25&gt;預測IC!L$27,1,0)</f>
        <v>1</v>
      </c>
      <c r="M25" s="11">
        <f>IF(預測IC!M25&gt;預測IC!M$27,1,0)</f>
        <v>1</v>
      </c>
      <c r="N25" s="11">
        <f>IF(預測IC!N25&gt;預測IC!N$27,1,0)</f>
        <v>1</v>
      </c>
      <c r="O25" s="11">
        <f>IF(預測IC!O25&gt;預測IC!O$27,1,0)</f>
        <v>1</v>
      </c>
      <c r="P25" s="11">
        <f>IF(預測IC!P25&gt;預測IC!P$27,1,0)</f>
        <v>0</v>
      </c>
      <c r="Q25" s="11">
        <f>IF(預測IC!Q25&gt;預測IC!Q$27,1,0)</f>
        <v>0</v>
      </c>
      <c r="R25" s="11">
        <f>IF(預測IC!R25&gt;預測IC!R$27,1,0)</f>
        <v>0</v>
      </c>
      <c r="S25" s="11">
        <f>IF(預測IC!S25&gt;預測IC!S$27,1,0)</f>
        <v>1</v>
      </c>
      <c r="T25" s="11">
        <f>IF(預測IC!T25&gt;預測IC!T$27,1,0)</f>
        <v>1</v>
      </c>
      <c r="U25" s="11">
        <f>IF(預測IC!U25&gt;預測IC!U$27,1,0)</f>
        <v>1</v>
      </c>
      <c r="V25" s="11">
        <f>IF(預測IC!V25&gt;預測IC!V$27,1,0)</f>
        <v>1</v>
      </c>
      <c r="W25" s="11">
        <f>IF(預測IC!W25&gt;預測IC!W$27,1,0)</f>
        <v>1</v>
      </c>
      <c r="X25" s="11">
        <f>IF(預測IC!X25&gt;預測IC!X$27,1,0)</f>
        <v>1</v>
      </c>
      <c r="Y25" s="11">
        <f>IF(預測IC!Y25&gt;預測IC!Y$27,1,0)</f>
        <v>1</v>
      </c>
      <c r="Z25" s="11">
        <f>IF(預測IC!Z25&gt;預測IC!Z$27,1,0)</f>
        <v>1</v>
      </c>
      <c r="AA25" s="11">
        <f>IF(預測IC!AA25&gt;預測IC!AA$27,1,0)</f>
        <v>0</v>
      </c>
      <c r="AB25" s="11">
        <f>IF(預測IC!AB25&gt;預測IC!AB$27,1,0)</f>
        <v>1</v>
      </c>
      <c r="AC25" s="11">
        <f>IF(預測IC!AC25&gt;預測IC!AC$27,1,0)</f>
        <v>1</v>
      </c>
      <c r="AD25" s="11">
        <f>IF(預測IC!AD25&gt;預測IC!AD$27,1,0)</f>
        <v>1</v>
      </c>
      <c r="AE25" s="11">
        <f>IF(預測IC!AE25&gt;預測IC!AE$27,1,0)</f>
        <v>0</v>
      </c>
      <c r="AF25" s="11">
        <f>IF(預測IC!AF25&gt;預測IC!AF$27,1,0)</f>
        <v>1</v>
      </c>
      <c r="AG25" s="11">
        <f>IF(預測IC!AG25&gt;預測IC!AG$27,1,0)</f>
        <v>0</v>
      </c>
      <c r="AH25" s="11">
        <f>IF(預測IC!AH25&gt;預測IC!AH$27,1,0)</f>
        <v>1</v>
      </c>
      <c r="AI25" s="11">
        <f>IF(預測IC!AI25&gt;預測IC!AI$27,1,0)</f>
        <v>0</v>
      </c>
      <c r="AJ25" s="11">
        <f>IF(預測IC!AJ25&gt;預測IC!AJ$27,1,0)</f>
        <v>0</v>
      </c>
      <c r="AK25" s="11">
        <f>IF(預測IC!AK25&gt;預測IC!AK$27,1,0)</f>
        <v>0</v>
      </c>
      <c r="AL25" s="11">
        <f>IF(預測IC!AL25&gt;預測IC!AL$27,1,0)</f>
        <v>0</v>
      </c>
      <c r="AM25" s="11">
        <f>IF(預測IC!AM25&gt;預測IC!AM$27,1,0)</f>
        <v>0</v>
      </c>
      <c r="AN25" s="11">
        <f>IF(預測IC!AN25&gt;預測IC!AN$27,1,0)</f>
        <v>1</v>
      </c>
      <c r="AO25" s="11">
        <f>IF(預測IC!AO25&gt;預測IC!AO$27,1,0)</f>
        <v>0</v>
      </c>
      <c r="AP25" s="11">
        <f>IF(預測IC!AP25&gt;預測IC!AP$27,1,0)</f>
        <v>0</v>
      </c>
      <c r="AQ25" s="11">
        <f>IF(預測IC!AQ25&gt;預測IC!AQ$27,1,0)</f>
        <v>1</v>
      </c>
      <c r="AR25" s="11">
        <f>IF(預測IC!AR25&gt;預測IC!AR$27,1,0)</f>
        <v>0</v>
      </c>
      <c r="AS25" s="11">
        <f>IF(預測IC!AS25&gt;預測IC!AS$27,1,0)</f>
        <v>0</v>
      </c>
      <c r="AT25" s="11">
        <f>IF(預測IC!AT25&gt;預測IC!AT$27,1,0)</f>
        <v>1</v>
      </c>
      <c r="AU25" s="11">
        <f>IF(預測IC!AU25&gt;預測IC!AU$27,1,0)</f>
        <v>0</v>
      </c>
      <c r="AV25" s="11">
        <f>IF(預測IC!AV25&gt;預測IC!AV$27,1,0)</f>
        <v>1</v>
      </c>
      <c r="AW25" s="11">
        <f>IF(預測IC!AW25&gt;預測IC!AW$27,1,0)</f>
        <v>0</v>
      </c>
      <c r="AX25" s="11">
        <f>IF(預測IC!AX25&gt;預測IC!AX$27,1,0)</f>
        <v>0</v>
      </c>
      <c r="AY25" s="11">
        <f>IF(預測IC!AY25&gt;預測IC!AY$27,1,0)</f>
        <v>0</v>
      </c>
      <c r="AZ25" s="11">
        <f>IF(預測IC!AZ25&gt;預測IC!AZ$27,1,0)</f>
        <v>0</v>
      </c>
      <c r="BA25" s="11">
        <f>IF(預測IC!BA25&gt;預測IC!BA$27,1,0)</f>
        <v>0</v>
      </c>
      <c r="BB25" s="11">
        <f>IF(預測IC!BB25&gt;預測IC!BB$27,1,0)</f>
        <v>0</v>
      </c>
      <c r="BC25" s="11">
        <f>IF(預測IC!BC25&gt;預測IC!BC$27,1,0)</f>
        <v>1</v>
      </c>
      <c r="BD25" s="11">
        <f>IF(預測IC!BD25&gt;預測IC!BD$27,1,0)</f>
        <v>0</v>
      </c>
      <c r="BE25" s="11">
        <f>IF(預測IC!BE25&gt;預測IC!BE$27,1,0)</f>
        <v>0</v>
      </c>
      <c r="BF25" s="11">
        <f>IF(預測IC!BF25&gt;預測IC!BF$27,1,0)</f>
        <v>1</v>
      </c>
      <c r="BG25" s="11">
        <f>IF(預測IC!BG25&gt;預測IC!BG$27,1,0)</f>
        <v>1</v>
      </c>
      <c r="BH25" s="11">
        <f>IF(預測IC!BH25&gt;預測IC!BH$27,1,0)</f>
        <v>1</v>
      </c>
      <c r="BI25" s="11">
        <f>IF(預測IC!BI25&gt;預測IC!BI$27,1,0)</f>
        <v>0</v>
      </c>
      <c r="BJ25" s="11">
        <f>IF(預測IC!BJ25&gt;預測IC!BJ$27,1,0)</f>
        <v>1</v>
      </c>
      <c r="BK25" s="11">
        <f>IF(預測IC!BK25&gt;預測IC!BK$27,1,0)</f>
        <v>1</v>
      </c>
      <c r="BL25" s="11">
        <f>IF(預測IC!BL25&gt;預測IC!BL$27,1,0)</f>
        <v>1</v>
      </c>
      <c r="BM25" s="11">
        <f>IF(預測IC!BM25&gt;預測IC!BM$27,1,0)</f>
        <v>1</v>
      </c>
      <c r="BN25" s="11">
        <f>IF(預測IC!BN25&gt;預測IC!BN$27,1,0)</f>
        <v>1</v>
      </c>
      <c r="BO25" s="11">
        <f>IF(預測IC!BO25&gt;預測IC!BO$27,1,0)</f>
        <v>0</v>
      </c>
      <c r="BP25" s="11">
        <f>IF(預測IC!BP25&gt;預測IC!BP$27,1,0)</f>
        <v>1</v>
      </c>
      <c r="BQ25" s="11">
        <f>IF(預測IC!BQ25&gt;預測IC!BQ$27,1,0)</f>
        <v>1</v>
      </c>
      <c r="BR25" s="11">
        <f>IF(預測IC!BR25&gt;預測IC!BR$27,1,0)</f>
        <v>0</v>
      </c>
      <c r="BS25" s="11">
        <f>IF(預測IC!BS25&gt;預測IC!BS$27,1,0)</f>
        <v>1</v>
      </c>
      <c r="BT25" s="11">
        <f>IF(預測IC!BT25&gt;預測IC!BT$27,1,0)</f>
        <v>0</v>
      </c>
      <c r="BU25" s="11">
        <f>IF(預測IC!BU25&gt;預測IC!BU$27,1,0)</f>
        <v>1</v>
      </c>
      <c r="BV25" s="11">
        <f>IF(預測IC!BV25&gt;預測IC!BV$27,1,0)</f>
        <v>1</v>
      </c>
      <c r="BW25" s="11">
        <f>IF(預測IC!BW25&gt;預測IC!BW$27,1,0)</f>
        <v>0</v>
      </c>
      <c r="BX25" s="11">
        <f>IF(預測IC!BX25&gt;預測IC!BX$27,1,0)</f>
        <v>1</v>
      </c>
      <c r="BY25" s="11">
        <f>IF(預測IC!BY25&gt;預測IC!BY$27,1,0)</f>
        <v>1</v>
      </c>
      <c r="BZ25" s="11">
        <f>IF(預測IC!BZ25&gt;預測IC!BZ$27,1,0)</f>
        <v>0</v>
      </c>
      <c r="CA25" s="11">
        <f>IF(預測IC!CA25&gt;預測IC!CA$27,1,0)</f>
        <v>0</v>
      </c>
      <c r="CB25" s="11">
        <f>IF(預測IC!CB25&gt;預測IC!CB$27,1,0)</f>
        <v>0</v>
      </c>
      <c r="CC25" s="11">
        <f>IF(預測IC!CC25&gt;預測IC!CC$27,1,0)</f>
        <v>1</v>
      </c>
      <c r="CD25" s="11">
        <f>IF(預測IC!CD25&gt;預測IC!CD$27,1,0)</f>
        <v>0</v>
      </c>
      <c r="CE25" s="11">
        <f>IF(預測IC!CE25&gt;預測IC!CE$27,1,0)</f>
        <v>1</v>
      </c>
      <c r="CF25" s="11">
        <f>IF(預測IC!CF25&gt;預測IC!CF$27,1,0)</f>
        <v>0</v>
      </c>
      <c r="CG25" s="11">
        <f>IF(預測IC!CG25&gt;預測IC!CG$27,1,0)</f>
        <v>0</v>
      </c>
      <c r="CH25" s="11">
        <f>IF(預測IC!CH25&gt;預測IC!CH$27,1,0)</f>
        <v>0</v>
      </c>
      <c r="CI25" s="11">
        <f>IF(預測IC!CI25&gt;預測IC!CI$27,1,0)</f>
        <v>0</v>
      </c>
      <c r="CJ25" s="11">
        <f>IF(預測IC!CJ25&gt;預測IC!CJ$27,1,0)</f>
        <v>0</v>
      </c>
      <c r="CK25" s="11">
        <f>IF(預測IC!CK25&gt;預測IC!CK$27,1,0)</f>
        <v>0</v>
      </c>
      <c r="CL25" s="11">
        <f>IF(預測IC!CL25&gt;預測IC!CL$27,1,0)</f>
        <v>0</v>
      </c>
      <c r="CM25" s="11">
        <f>IF(預測IC!CM25&gt;預測IC!CM$27,1,0)</f>
        <v>1</v>
      </c>
      <c r="CN25" s="11">
        <f>IF(預測IC!CN25&gt;預測IC!CN$27,1,0)</f>
        <v>0</v>
      </c>
      <c r="CO25" s="11">
        <f>IF(預測IC!CO25&gt;預測IC!CO$27,1,0)</f>
        <v>1</v>
      </c>
      <c r="CP25" s="11">
        <f>IF(預測IC!CP25&gt;預測IC!CP$27,1,0)</f>
        <v>1</v>
      </c>
      <c r="CQ25" s="11">
        <f>IF(預測IC!CQ25&gt;預測IC!CQ$27,1,0)</f>
        <v>0</v>
      </c>
      <c r="CR25" s="11">
        <f>IF(預測IC!CR25&gt;預測IC!CR$27,1,0)</f>
        <v>0</v>
      </c>
      <c r="CS25" s="11">
        <f>IF(預測IC!CS25&gt;預測IC!CS$27,1,0)</f>
        <v>1</v>
      </c>
      <c r="CT25" s="11">
        <f>IF(預測IC!CT25&gt;預測IC!CT$27,1,0)</f>
        <v>0</v>
      </c>
      <c r="CU25" s="11">
        <f>IF(預測IC!CU25&gt;預測IC!CU$27,1,0)</f>
        <v>0</v>
      </c>
      <c r="CV25" s="11">
        <f>IF(預測IC!CV25&gt;預測IC!CV$27,1,0)</f>
        <v>0</v>
      </c>
      <c r="CW25" s="11">
        <f>IF(預測IC!CW25&gt;預測IC!CW$27,1,0)</f>
        <v>0</v>
      </c>
      <c r="CX25" s="11">
        <f>IF(預測IC!CX25&gt;預測IC!CX$27,1,0)</f>
        <v>1</v>
      </c>
      <c r="CY25" s="11">
        <f>IF(預測IC!CY25&gt;預測IC!CY$27,1,0)</f>
        <v>0</v>
      </c>
      <c r="CZ25" s="11">
        <f>IF(預測IC!CZ25&gt;預測IC!CZ$27,1,0)</f>
        <v>1</v>
      </c>
      <c r="DA25" s="11">
        <f>IF(預測IC!DA25&gt;預測IC!DA$27,1,0)</f>
        <v>0</v>
      </c>
      <c r="DB25" s="11">
        <f>IF(預測IC!DB25&gt;預測IC!DB$27,1,0)</f>
        <v>0</v>
      </c>
      <c r="DC25" s="11">
        <f>IF(預測IC!DC25&gt;預測IC!DC$27,1,0)</f>
        <v>0</v>
      </c>
      <c r="DD25" s="11">
        <f>IF(預測IC!DD25&gt;預測IC!DD$27,1,0)</f>
        <v>1</v>
      </c>
      <c r="DE25" s="11">
        <f>IF(預測IC!DE25&gt;預測IC!DE$27,1,0)</f>
        <v>0</v>
      </c>
      <c r="DF25" s="11">
        <f>IF(預測IC!DF25&gt;預測IC!DF$27,1,0)</f>
        <v>1</v>
      </c>
      <c r="DG25" s="11">
        <f>IF(預測IC!DG25&gt;預測IC!DG$27,1,0)</f>
        <v>0</v>
      </c>
      <c r="DH25" s="11">
        <f>IF(預測IC!DH25&gt;預測IC!DH$27,1,0)</f>
        <v>0</v>
      </c>
      <c r="DI25" s="11">
        <f>IF(預測IC!DI25&gt;預測IC!DI$27,1,0)</f>
        <v>1</v>
      </c>
      <c r="DJ25" s="11">
        <f>IF(預測IC!DJ25&gt;預測IC!DJ$27,1,0)</f>
        <v>1</v>
      </c>
      <c r="DK25" s="11">
        <f>IF(預測IC!DK25&gt;預測IC!DK$27,1,0)</f>
        <v>1</v>
      </c>
      <c r="DL25" s="11">
        <f>IF(預測IC!DL25&gt;預測IC!DL$27,1,0)</f>
        <v>0</v>
      </c>
      <c r="DM25" s="11">
        <f>IF(預測IC!DM25&gt;預測IC!DM$27,1,0)</f>
        <v>0</v>
      </c>
      <c r="DN25" s="11">
        <f>IF(預測IC!DN25&gt;預測IC!DN$27,1,0)</f>
        <v>0</v>
      </c>
      <c r="DO25" s="11">
        <f>IF(預測IC!DO25&gt;預測IC!DO$27,1,0)</f>
        <v>0</v>
      </c>
      <c r="DP25" s="11">
        <f>IF(預測IC!DP25&gt;預測IC!DP$27,1,0)</f>
        <v>0</v>
      </c>
      <c r="DQ25" s="11">
        <f>IF(預測IC!DQ25&gt;預測IC!DQ$27,1,0)</f>
        <v>0</v>
      </c>
      <c r="DR25" s="11">
        <f>IF(預測IC!DR25&gt;預測IC!DR$27,1,0)</f>
        <v>1</v>
      </c>
      <c r="DS25" s="11">
        <f>IF(預測IC!DS25&gt;預測IC!DS$27,1,0)</f>
        <v>1</v>
      </c>
      <c r="DT25" s="11">
        <f>IF(預測IC!DT25&gt;預測IC!DT$27,1,0)</f>
        <v>0</v>
      </c>
      <c r="DU25" s="11">
        <f>IF(預測IC!DU25&gt;預測IC!DU$27,1,0)</f>
        <v>1</v>
      </c>
      <c r="DV25" s="11">
        <f>IF(預測IC!DV25&gt;預測IC!DV$27,1,0)</f>
        <v>0</v>
      </c>
      <c r="DW25" s="11">
        <f>IF(預測IC!DW25&gt;預測IC!DW$27,1,0)</f>
        <v>0</v>
      </c>
      <c r="DX25" s="11">
        <v>1</v>
      </c>
      <c r="DY25" s="11">
        <f>IF(預測IC!DY25&gt;預測IC!DY$27,1,0)</f>
        <v>0</v>
      </c>
      <c r="DZ25" s="11">
        <f>IF(預測IC!DZ25&gt;預測IC!DZ$27,1,0)</f>
        <v>0</v>
      </c>
      <c r="EA25" s="11">
        <f>IF(預測IC!EA25&gt;預測IC!EA$27,1,0)</f>
        <v>1</v>
      </c>
      <c r="EB25" s="11">
        <f>IF(預測IC!EB25&gt;預測IC!EB$27,1,0)</f>
        <v>0</v>
      </c>
      <c r="EC25" s="11">
        <f>IF(預測IC!EC25&gt;預測IC!EC$27,1,0)</f>
        <v>1</v>
      </c>
      <c r="ED25" s="11">
        <f>IF(預測IC!ED25&gt;預測IC!ED$27,1,0)</f>
        <v>1</v>
      </c>
      <c r="EE25" s="11">
        <f>IF(預測IC!EE25&gt;預測IC!EE$27,1,0)</f>
        <v>1</v>
      </c>
      <c r="EF25" s="11">
        <f>IF(預測IC!EF25&gt;預測IC!EF$27,1,0)</f>
        <v>1</v>
      </c>
      <c r="EG25" s="1">
        <f t="shared" si="6"/>
        <v>68</v>
      </c>
      <c r="EH25" s="48">
        <f t="shared" si="7"/>
        <v>0.5074626865671642</v>
      </c>
    </row>
    <row r="26" spans="1:138" ht="16" customHeight="1">
      <c r="A26" s="6">
        <v>964</v>
      </c>
      <c r="B26" s="6">
        <v>1</v>
      </c>
      <c r="C26" s="11">
        <f>IF(預測IC!C26&gt;預測IC!C$27,1,0)</f>
        <v>1</v>
      </c>
      <c r="D26" s="11">
        <f>IF(預測IC!D26&gt;預測IC!D$27,1,0)</f>
        <v>1</v>
      </c>
      <c r="E26" s="11">
        <f>IF(預測IC!E26&gt;預測IC!E$27,1,0)</f>
        <v>1</v>
      </c>
      <c r="F26" s="11">
        <f>IF(預測IC!F26&gt;預測IC!F$27,1,0)</f>
        <v>1</v>
      </c>
      <c r="G26" s="11">
        <f>IF(預測IC!G26&gt;預測IC!G$27,1,0)</f>
        <v>1</v>
      </c>
      <c r="H26" s="11">
        <f>IF(預測IC!H26&gt;預測IC!H$27,1,0)</f>
        <v>1</v>
      </c>
      <c r="I26" s="11">
        <f>IF(預測IC!I26&gt;預測IC!I$27,1,0)</f>
        <v>1</v>
      </c>
      <c r="J26" s="11">
        <f>IF(預測IC!J26&gt;預測IC!J$27,1,0)</f>
        <v>1</v>
      </c>
      <c r="K26" s="11">
        <f>IF(預測IC!K26&gt;預測IC!K$27,1,0)</f>
        <v>1</v>
      </c>
      <c r="L26" s="11">
        <f>IF(預測IC!L26&gt;預測IC!L$27,1,0)</f>
        <v>1</v>
      </c>
      <c r="M26" s="11">
        <f>IF(預測IC!M26&gt;預測IC!M$27,1,0)</f>
        <v>1</v>
      </c>
      <c r="N26" s="11">
        <f>IF(預測IC!N26&gt;預測IC!N$27,1,0)</f>
        <v>1</v>
      </c>
      <c r="O26" s="11">
        <f>IF(預測IC!O26&gt;預測IC!O$27,1,0)</f>
        <v>1</v>
      </c>
      <c r="P26" s="11">
        <f>IF(預測IC!P26&gt;預測IC!P$27,1,0)</f>
        <v>0</v>
      </c>
      <c r="Q26" s="11">
        <f>IF(預測IC!Q26&gt;預測IC!Q$27,1,0)</f>
        <v>1</v>
      </c>
      <c r="R26" s="11">
        <f>IF(預測IC!R26&gt;預測IC!R$27,1,0)</f>
        <v>0</v>
      </c>
      <c r="S26" s="11">
        <f>IF(預測IC!S26&gt;預測IC!S$27,1,0)</f>
        <v>1</v>
      </c>
      <c r="T26" s="11">
        <f>IF(預測IC!T26&gt;預測IC!T$27,1,0)</f>
        <v>1</v>
      </c>
      <c r="U26" s="11">
        <f>IF(預測IC!U26&gt;預測IC!U$27,1,0)</f>
        <v>1</v>
      </c>
      <c r="V26" s="11">
        <f>IF(預測IC!V26&gt;預測IC!V$27,1,0)</f>
        <v>1</v>
      </c>
      <c r="W26" s="11">
        <f>IF(預測IC!W26&gt;預測IC!W$27,1,0)</f>
        <v>1</v>
      </c>
      <c r="X26" s="11">
        <f>IF(預測IC!X26&gt;預測IC!X$27,1,0)</f>
        <v>1</v>
      </c>
      <c r="Y26" s="11">
        <f>IF(預測IC!Y26&gt;預測IC!Y$27,1,0)</f>
        <v>0</v>
      </c>
      <c r="Z26" s="11">
        <f>IF(預測IC!Z26&gt;預測IC!Z$27,1,0)</f>
        <v>0</v>
      </c>
      <c r="AA26" s="11">
        <f>IF(預測IC!AA26&gt;預測IC!AA$27,1,0)</f>
        <v>0</v>
      </c>
      <c r="AB26" s="11">
        <f>IF(預測IC!AB26&gt;預測IC!AB$27,1,0)</f>
        <v>1</v>
      </c>
      <c r="AC26" s="11">
        <f>IF(預測IC!AC26&gt;預測IC!AC$27,1,0)</f>
        <v>1</v>
      </c>
      <c r="AD26" s="11">
        <f>IF(預測IC!AD26&gt;預測IC!AD$27,1,0)</f>
        <v>0</v>
      </c>
      <c r="AE26" s="11">
        <f>IF(預測IC!AE26&gt;預測IC!AE$27,1,0)</f>
        <v>0</v>
      </c>
      <c r="AF26" s="11">
        <f>IF(預測IC!AF26&gt;預測IC!AF$27,1,0)</f>
        <v>1</v>
      </c>
      <c r="AG26" s="11">
        <f>IF(預測IC!AG26&gt;預測IC!AG$27,1,0)</f>
        <v>1</v>
      </c>
      <c r="AH26" s="11">
        <f>IF(預測IC!AH26&gt;預測IC!AH$27,1,0)</f>
        <v>1</v>
      </c>
      <c r="AI26" s="11">
        <f>IF(預測IC!AI26&gt;預測IC!AI$27,1,0)</f>
        <v>0</v>
      </c>
      <c r="AJ26" s="11">
        <f>IF(預測IC!AJ26&gt;預測IC!AJ$27,1,0)</f>
        <v>0</v>
      </c>
      <c r="AK26" s="11">
        <f>IF(預測IC!AK26&gt;預測IC!AK$27,1,0)</f>
        <v>1</v>
      </c>
      <c r="AL26" s="11">
        <f>IF(預測IC!AL26&gt;預測IC!AL$27,1,0)</f>
        <v>0</v>
      </c>
      <c r="AM26" s="11">
        <f>IF(預測IC!AM26&gt;預測IC!AM$27,1,0)</f>
        <v>1</v>
      </c>
      <c r="AN26" s="11">
        <f>IF(預測IC!AN26&gt;預測IC!AN$27,1,0)</f>
        <v>1</v>
      </c>
      <c r="AO26" s="11">
        <f>IF(預測IC!AO26&gt;預測IC!AO$27,1,0)</f>
        <v>1</v>
      </c>
      <c r="AP26" s="11">
        <f>IF(預測IC!AP26&gt;預測IC!AP$27,1,0)</f>
        <v>1</v>
      </c>
      <c r="AQ26" s="11">
        <f>IF(預測IC!AQ26&gt;預測IC!AQ$27,1,0)</f>
        <v>1</v>
      </c>
      <c r="AR26" s="11">
        <f>IF(預測IC!AR26&gt;預測IC!AR$27,1,0)</f>
        <v>1</v>
      </c>
      <c r="AS26" s="11">
        <f>IF(預測IC!AS26&gt;預測IC!AS$27,1,0)</f>
        <v>0</v>
      </c>
      <c r="AT26" s="11">
        <f>IF(預測IC!AT26&gt;預測IC!AT$27,1,0)</f>
        <v>0</v>
      </c>
      <c r="AU26" s="11">
        <f>IF(預測IC!AU26&gt;預測IC!AU$27,1,0)</f>
        <v>0</v>
      </c>
      <c r="AV26" s="11">
        <f>IF(預測IC!AV26&gt;預測IC!AV$27,1,0)</f>
        <v>1</v>
      </c>
      <c r="AW26" s="11">
        <f>IF(預測IC!AW26&gt;預測IC!AW$27,1,0)</f>
        <v>0</v>
      </c>
      <c r="AX26" s="11">
        <f>IF(預測IC!AX26&gt;預測IC!AX$27,1,0)</f>
        <v>1</v>
      </c>
      <c r="AY26" s="11">
        <f>IF(預測IC!AY26&gt;預測IC!AY$27,1,0)</f>
        <v>1</v>
      </c>
      <c r="AZ26" s="11">
        <f>IF(預測IC!AZ26&gt;預測IC!AZ$27,1,0)</f>
        <v>0</v>
      </c>
      <c r="BA26" s="11">
        <f>IF(預測IC!BA26&gt;預測IC!BA$27,1,0)</f>
        <v>0</v>
      </c>
      <c r="BB26" s="11">
        <f>IF(預測IC!BB26&gt;預測IC!BB$27,1,0)</f>
        <v>0</v>
      </c>
      <c r="BC26" s="11">
        <f>IF(預測IC!BC26&gt;預測IC!BC$27,1,0)</f>
        <v>1</v>
      </c>
      <c r="BD26" s="11">
        <f>IF(預測IC!BD26&gt;預測IC!BD$27,1,0)</f>
        <v>0</v>
      </c>
      <c r="BE26" s="11">
        <f>IF(預測IC!BE26&gt;預測IC!BE$27,1,0)</f>
        <v>0</v>
      </c>
      <c r="BF26" s="11">
        <f>IF(預測IC!BF26&gt;預測IC!BF$27,1,0)</f>
        <v>1</v>
      </c>
      <c r="BG26" s="11">
        <f>IF(預測IC!BG26&gt;預測IC!BG$27,1,0)</f>
        <v>0</v>
      </c>
      <c r="BH26" s="11">
        <f>IF(預測IC!BH26&gt;預測IC!BH$27,1,0)</f>
        <v>1</v>
      </c>
      <c r="BI26" s="11">
        <f>IF(預測IC!BI26&gt;預測IC!BI$27,1,0)</f>
        <v>0</v>
      </c>
      <c r="BJ26" s="11">
        <f>IF(預測IC!BJ26&gt;預測IC!BJ$27,1,0)</f>
        <v>1</v>
      </c>
      <c r="BK26" s="11">
        <f>IF(預測IC!BK26&gt;預測IC!BK$27,1,0)</f>
        <v>1</v>
      </c>
      <c r="BL26" s="11">
        <f>IF(預測IC!BL26&gt;預測IC!BL$27,1,0)</f>
        <v>1</v>
      </c>
      <c r="BM26" s="11">
        <f>IF(預測IC!BM26&gt;預測IC!BM$27,1,0)</f>
        <v>1</v>
      </c>
      <c r="BN26" s="11">
        <f>IF(預測IC!BN26&gt;預測IC!BN$27,1,0)</f>
        <v>1</v>
      </c>
      <c r="BO26" s="11">
        <f>IF(預測IC!BO26&gt;預測IC!BO$27,1,0)</f>
        <v>0</v>
      </c>
      <c r="BP26" s="11">
        <f>IF(預測IC!BP26&gt;預測IC!BP$27,1,0)</f>
        <v>1</v>
      </c>
      <c r="BQ26" s="11">
        <f>IF(預測IC!BQ26&gt;預測IC!BQ$27,1,0)</f>
        <v>1</v>
      </c>
      <c r="BR26" s="11">
        <f>IF(預測IC!BR26&gt;預測IC!BR$27,1,0)</f>
        <v>0</v>
      </c>
      <c r="BS26" s="11">
        <f>IF(預測IC!BS26&gt;預測IC!BS$27,1,0)</f>
        <v>1</v>
      </c>
      <c r="BT26" s="11">
        <f>IF(預測IC!BT26&gt;預測IC!BT$27,1,0)</f>
        <v>0</v>
      </c>
      <c r="BU26" s="11">
        <f>IF(預測IC!BU26&gt;預測IC!BU$27,1,0)</f>
        <v>1</v>
      </c>
      <c r="BV26" s="11">
        <f>IF(預測IC!BV26&gt;預測IC!BV$27,1,0)</f>
        <v>0</v>
      </c>
      <c r="BW26" s="11">
        <f>IF(預測IC!BW26&gt;預測IC!BW$27,1,0)</f>
        <v>0</v>
      </c>
      <c r="BX26" s="11">
        <f>IF(預測IC!BX26&gt;預測IC!BX$27,1,0)</f>
        <v>0</v>
      </c>
      <c r="BY26" s="11">
        <f>IF(預測IC!BY26&gt;預測IC!BY$27,1,0)</f>
        <v>1</v>
      </c>
      <c r="BZ26" s="11">
        <f>IF(預測IC!BZ26&gt;預測IC!BZ$27,1,0)</f>
        <v>0</v>
      </c>
      <c r="CA26" s="11">
        <f>IF(預測IC!CA26&gt;預測IC!CA$27,1,0)</f>
        <v>0</v>
      </c>
      <c r="CB26" s="11">
        <f>IF(預測IC!CB26&gt;預測IC!CB$27,1,0)</f>
        <v>0</v>
      </c>
      <c r="CC26" s="11">
        <f>IF(預測IC!CC26&gt;預測IC!CC$27,1,0)</f>
        <v>1</v>
      </c>
      <c r="CD26" s="11">
        <f>IF(預測IC!CD26&gt;預測IC!CD$27,1,0)</f>
        <v>1</v>
      </c>
      <c r="CE26" s="11">
        <f>IF(預測IC!CE26&gt;預測IC!CE$27,1,0)</f>
        <v>1</v>
      </c>
      <c r="CF26" s="11">
        <f>IF(預測IC!CF26&gt;預測IC!CF$27,1,0)</f>
        <v>0</v>
      </c>
      <c r="CG26" s="11">
        <f>IF(預測IC!CG26&gt;預測IC!CG$27,1,0)</f>
        <v>1</v>
      </c>
      <c r="CH26" s="11">
        <f>IF(預測IC!CH26&gt;預測IC!CH$27,1,0)</f>
        <v>1</v>
      </c>
      <c r="CI26" s="11">
        <f>IF(預測IC!CI26&gt;預測IC!CI$27,1,0)</f>
        <v>1</v>
      </c>
      <c r="CJ26" s="11">
        <f>IF(預測IC!CJ26&gt;預測IC!CJ$27,1,0)</f>
        <v>0</v>
      </c>
      <c r="CK26" s="11">
        <f>IF(預測IC!CK26&gt;預測IC!CK$27,1,0)</f>
        <v>1</v>
      </c>
      <c r="CL26" s="11">
        <f>IF(預測IC!CL26&gt;預測IC!CL$27,1,0)</f>
        <v>0</v>
      </c>
      <c r="CM26" s="11">
        <f>IF(預測IC!CM26&gt;預測IC!CM$27,1,0)</f>
        <v>0</v>
      </c>
      <c r="CN26" s="11">
        <f>IF(預測IC!CN26&gt;預測IC!CN$27,1,0)</f>
        <v>0</v>
      </c>
      <c r="CO26" s="11">
        <f>IF(預測IC!CO26&gt;預測IC!CO$27,1,0)</f>
        <v>1</v>
      </c>
      <c r="CP26" s="11">
        <f>IF(預測IC!CP26&gt;預測IC!CP$27,1,0)</f>
        <v>1</v>
      </c>
      <c r="CQ26" s="11">
        <f>IF(預測IC!CQ26&gt;預測IC!CQ$27,1,0)</f>
        <v>0</v>
      </c>
      <c r="CR26" s="11">
        <f>IF(預測IC!CR26&gt;預測IC!CR$27,1,0)</f>
        <v>1</v>
      </c>
      <c r="CS26" s="11">
        <f>IF(預測IC!CS26&gt;預測IC!CS$27,1,0)</f>
        <v>1</v>
      </c>
      <c r="CT26" s="11">
        <f>IF(預測IC!CT26&gt;預測IC!CT$27,1,0)</f>
        <v>0</v>
      </c>
      <c r="CU26" s="11">
        <f>IF(預測IC!CU26&gt;預測IC!CU$27,1,0)</f>
        <v>0</v>
      </c>
      <c r="CV26" s="11">
        <f>IF(預測IC!CV26&gt;預測IC!CV$27,1,0)</f>
        <v>0</v>
      </c>
      <c r="CW26" s="11">
        <f>IF(預測IC!CW26&gt;預測IC!CW$27,1,0)</f>
        <v>0</v>
      </c>
      <c r="CX26" s="11">
        <f>IF(預測IC!CX26&gt;預測IC!CX$27,1,0)</f>
        <v>1</v>
      </c>
      <c r="CY26" s="11">
        <f>IF(預測IC!CY26&gt;預測IC!CY$27,1,0)</f>
        <v>0</v>
      </c>
      <c r="CZ26" s="11">
        <f>IF(預測IC!CZ26&gt;預測IC!CZ$27,1,0)</f>
        <v>1</v>
      </c>
      <c r="DA26" s="11">
        <f>IF(預測IC!DA26&gt;預測IC!DA$27,1,0)</f>
        <v>0</v>
      </c>
      <c r="DB26" s="11">
        <f>IF(預測IC!DB26&gt;預測IC!DB$27,1,0)</f>
        <v>0</v>
      </c>
      <c r="DC26" s="11">
        <f>IF(預測IC!DC26&gt;預測IC!DC$27,1,0)</f>
        <v>0</v>
      </c>
      <c r="DD26" s="11">
        <f>IF(預測IC!DD26&gt;預測IC!DD$27,1,0)</f>
        <v>1</v>
      </c>
      <c r="DE26" s="11">
        <f>IF(預測IC!DE26&gt;預測IC!DE$27,1,0)</f>
        <v>0</v>
      </c>
      <c r="DF26" s="11">
        <f>IF(預測IC!DF26&gt;預測IC!DF$27,1,0)</f>
        <v>1</v>
      </c>
      <c r="DG26" s="11">
        <f>IF(預測IC!DG26&gt;預測IC!DG$27,1,0)</f>
        <v>0</v>
      </c>
      <c r="DH26" s="11">
        <f>IF(預測IC!DH26&gt;預測IC!DH$27,1,0)</f>
        <v>0</v>
      </c>
      <c r="DI26" s="11">
        <f>IF(預測IC!DI26&gt;預測IC!DI$27,1,0)</f>
        <v>1</v>
      </c>
      <c r="DJ26" s="11">
        <f>IF(預測IC!DJ26&gt;預測IC!DJ$27,1,0)</f>
        <v>1</v>
      </c>
      <c r="DK26" s="11">
        <f>IF(預測IC!DK26&gt;預測IC!DK$27,1,0)</f>
        <v>0</v>
      </c>
      <c r="DL26" s="11">
        <f>IF(預測IC!DL26&gt;預測IC!DL$27,1,0)</f>
        <v>1</v>
      </c>
      <c r="DM26" s="11">
        <f>IF(預測IC!DM26&gt;預測IC!DM$27,1,0)</f>
        <v>0</v>
      </c>
      <c r="DN26" s="11">
        <f>IF(預測IC!DN26&gt;預測IC!DN$27,1,0)</f>
        <v>0</v>
      </c>
      <c r="DO26" s="11">
        <f>IF(預測IC!DO26&gt;預測IC!DO$27,1,0)</f>
        <v>1</v>
      </c>
      <c r="DP26" s="11">
        <f>IF(預測IC!DP26&gt;預測IC!DP$27,1,0)</f>
        <v>0</v>
      </c>
      <c r="DQ26" s="11">
        <f>IF(預測IC!DQ26&gt;預測IC!DQ$27,1,0)</f>
        <v>0</v>
      </c>
      <c r="DR26" s="11">
        <f>IF(預測IC!DR26&gt;預測IC!DR$27,1,0)</f>
        <v>1</v>
      </c>
      <c r="DS26" s="11">
        <f>IF(預測IC!DS26&gt;預測IC!DS$27,1,0)</f>
        <v>1</v>
      </c>
      <c r="DT26" s="11">
        <f>IF(預測IC!DT26&gt;預測IC!DT$27,1,0)</f>
        <v>0</v>
      </c>
      <c r="DU26" s="11">
        <f>IF(預測IC!DU26&gt;預測IC!DU$27,1,0)</f>
        <v>0</v>
      </c>
      <c r="DV26" s="11">
        <f>IF(預測IC!DV26&gt;預測IC!DV$27,1,0)</f>
        <v>0</v>
      </c>
      <c r="DW26" s="11">
        <f>IF(預測IC!DW26&gt;預測IC!DW$27,1,0)</f>
        <v>0</v>
      </c>
      <c r="DX26" s="11">
        <f>IF(預測IC!DX26&gt;預測IC!DX$27,1,0)</f>
        <v>0</v>
      </c>
      <c r="DY26" s="11">
        <f>IF(預測IC!DY26&gt;預測IC!DY$27,1,0)</f>
        <v>0</v>
      </c>
      <c r="DZ26" s="11">
        <f>IF(預測IC!DZ26&gt;預測IC!DZ$27,1,0)</f>
        <v>0</v>
      </c>
      <c r="EA26" s="11">
        <f>IF(預測IC!EA26&gt;預測IC!EA$27,1,0)</f>
        <v>1</v>
      </c>
      <c r="EB26" s="11">
        <f>IF(預測IC!EB26&gt;預測IC!EB$27,1,0)</f>
        <v>0</v>
      </c>
      <c r="EC26" s="11">
        <f>IF(預測IC!EC26&gt;預測IC!EC$27,1,0)</f>
        <v>1</v>
      </c>
      <c r="ED26" s="11">
        <f>IF(預測IC!ED26&gt;預測IC!ED$27,1,0)</f>
        <v>1</v>
      </c>
      <c r="EE26" s="11">
        <f>IF(預測IC!EE26&gt;預測IC!EE$27,1,0)</f>
        <v>0</v>
      </c>
      <c r="EF26" s="11">
        <f>IF(預測IC!EF26&gt;預測IC!EF$27,1,0)</f>
        <v>1</v>
      </c>
      <c r="EG26" s="1">
        <f t="shared" si="6"/>
        <v>73</v>
      </c>
      <c r="EH26" s="47">
        <f t="shared" si="7"/>
        <v>0.54477611940298509</v>
      </c>
    </row>
    <row r="27" spans="1:138" ht="16" customHeight="1">
      <c r="A27" s="6" t="s">
        <v>147</v>
      </c>
      <c r="B27" s="6" t="s">
        <v>148</v>
      </c>
      <c r="C27" s="20">
        <v>-1.7446770539390338E-2</v>
      </c>
      <c r="D27" s="20">
        <v>2.070106053181563E-2</v>
      </c>
      <c r="E27" s="20">
        <v>2.3982129254766709E-2</v>
      </c>
      <c r="F27" s="20">
        <v>-6.557578972823077E-3</v>
      </c>
      <c r="G27" s="20">
        <v>3.1845129800519692E-2</v>
      </c>
      <c r="H27" s="20">
        <v>3.4348532736990518E-2</v>
      </c>
      <c r="I27" s="20">
        <v>-8.2549327813252367E-3</v>
      </c>
      <c r="J27" s="20">
        <v>1.2843524394052759E-2</v>
      </c>
      <c r="K27" s="20">
        <v>-5.1018524626790823E-2</v>
      </c>
      <c r="L27" s="20">
        <v>8.7394274103658827E-4</v>
      </c>
      <c r="M27" s="20">
        <v>2.3389575505495919E-2</v>
      </c>
      <c r="N27" s="20">
        <v>1.2988972200332851E-2</v>
      </c>
      <c r="O27" s="20">
        <v>5.8545887256348812E-3</v>
      </c>
      <c r="P27" s="20">
        <v>2.7413206571790558E-2</v>
      </c>
      <c r="Q27" s="20">
        <v>-3.7129361176928542E-3</v>
      </c>
      <c r="R27" s="20">
        <v>2.4076614047823328E-2</v>
      </c>
      <c r="S27" s="20">
        <v>-1.219002529903996E-2</v>
      </c>
      <c r="T27" s="20">
        <v>-3.9749578159589592E-2</v>
      </c>
      <c r="U27" s="20">
        <v>-7.3155449831649552E-2</v>
      </c>
      <c r="V27" s="20">
        <v>-5.8260229910114661E-2</v>
      </c>
      <c r="W27" s="20">
        <v>7.7279756550837221E-4</v>
      </c>
      <c r="X27" s="20">
        <v>4.459152113521897E-2</v>
      </c>
      <c r="Y27" s="20">
        <v>-2.7699680050213091E-2</v>
      </c>
      <c r="Z27" s="20">
        <v>2.0950059497436462E-3</v>
      </c>
      <c r="AA27" s="20">
        <v>-2.340055099256411E-2</v>
      </c>
      <c r="AB27" s="20">
        <v>3.2129371097322189E-2</v>
      </c>
      <c r="AC27" s="20">
        <v>3.890327309406643E-2</v>
      </c>
      <c r="AD27" s="20">
        <v>-4.286538217110427E-2</v>
      </c>
      <c r="AE27" s="20">
        <v>1.8647194550152159E-2</v>
      </c>
      <c r="AF27" s="20">
        <v>1.5229768322528949E-2</v>
      </c>
      <c r="AG27" s="20">
        <v>3.6016603778892417E-2</v>
      </c>
      <c r="AH27" s="20">
        <v>9.3546113853161701E-3</v>
      </c>
      <c r="AI27" s="20">
        <v>1.0748251336838139E-2</v>
      </c>
      <c r="AJ27" s="20">
        <v>1.335775405308097E-2</v>
      </c>
      <c r="AK27" s="20">
        <v>-5.3327473290953921E-3</v>
      </c>
      <c r="AL27" s="20">
        <v>1.383135807261675E-3</v>
      </c>
      <c r="AM27" s="20">
        <v>2.079592842007446E-2</v>
      </c>
      <c r="AN27" s="20">
        <v>3.1517702220390638E-2</v>
      </c>
      <c r="AO27" s="20">
        <v>6.2417165333294418E-3</v>
      </c>
      <c r="AP27" s="20">
        <v>6.1452616535713897E-3</v>
      </c>
      <c r="AQ27" s="20">
        <v>1.694635767669651E-2</v>
      </c>
      <c r="AR27" s="20">
        <v>3.4682830454308228E-2</v>
      </c>
      <c r="AS27" s="20">
        <v>3.0985886171969678E-3</v>
      </c>
      <c r="AT27" s="20">
        <v>1.508134714348611E-2</v>
      </c>
      <c r="AU27" s="20">
        <v>-1.9251209229863991E-2</v>
      </c>
      <c r="AV27" s="20">
        <v>3.8711513387631437E-2</v>
      </c>
      <c r="AW27" s="20">
        <v>-2.1856951135736599E-2</v>
      </c>
      <c r="AX27" s="20">
        <v>7.7743007097896798E-3</v>
      </c>
      <c r="AY27" s="20">
        <v>4.2397246695325942E-2</v>
      </c>
      <c r="AZ27" s="20">
        <v>-2.630897486115975E-2</v>
      </c>
      <c r="BA27" s="20">
        <v>9.5717493087162323E-3</v>
      </c>
      <c r="BB27" s="20">
        <v>-2.424974126627483E-2</v>
      </c>
      <c r="BC27" s="20">
        <v>2.0163374143915822E-2</v>
      </c>
      <c r="BD27" s="20">
        <v>-3.5049987821160239E-3</v>
      </c>
      <c r="BE27" s="20">
        <v>2.0151935098542271E-2</v>
      </c>
      <c r="BF27" s="20">
        <v>5.8133623077027128E-4</v>
      </c>
      <c r="BG27" s="20">
        <v>-5.2197009532526043E-3</v>
      </c>
      <c r="BH27" s="20">
        <v>-0.11587176140213</v>
      </c>
      <c r="BI27" s="20">
        <v>8.7252256924373536E-3</v>
      </c>
      <c r="BJ27" s="20">
        <v>-1.6377260977822151E-2</v>
      </c>
      <c r="BK27" s="20">
        <v>2.0840371600260421E-2</v>
      </c>
      <c r="BL27" s="20">
        <v>4.4975872102114713E-2</v>
      </c>
      <c r="BM27" s="20">
        <v>2.3954306081863871E-2</v>
      </c>
      <c r="BN27" s="20">
        <v>3.0239101391442601E-2</v>
      </c>
      <c r="BO27" s="20">
        <v>-4.372588759108751E-2</v>
      </c>
      <c r="BP27" s="20">
        <v>2.1889469568198618E-2</v>
      </c>
      <c r="BQ27" s="20">
        <v>8.6274302635084028E-3</v>
      </c>
      <c r="BR27" s="20">
        <v>-1.9192953994658781E-2</v>
      </c>
      <c r="BS27" s="20">
        <v>1.973512988813305E-2</v>
      </c>
      <c r="BT27" s="20">
        <v>4.7694337483699438E-2</v>
      </c>
      <c r="BU27" s="20">
        <v>1.145481680658339E-2</v>
      </c>
      <c r="BV27" s="20">
        <v>4.3228620735213191E-2</v>
      </c>
      <c r="BW27" s="20">
        <v>-4.2747430436922793E-2</v>
      </c>
      <c r="BX27" s="20">
        <v>-1.781129242779457E-2</v>
      </c>
      <c r="BY27" s="20">
        <v>-0.1511530968690756</v>
      </c>
      <c r="BZ27" s="20">
        <v>0.12422400361957529</v>
      </c>
      <c r="CA27" s="20">
        <v>-4.5572538445296431E-3</v>
      </c>
      <c r="CB27" s="20">
        <v>6.0211240204911178E-2</v>
      </c>
      <c r="CC27" s="20">
        <v>8.5992033482502284E-2</v>
      </c>
      <c r="CD27" s="20">
        <v>-5.8084795823660634E-3</v>
      </c>
      <c r="CE27" s="20">
        <v>-6.0413469889680736E-3</v>
      </c>
      <c r="CF27" s="20">
        <v>2.4523243722520739E-3</v>
      </c>
      <c r="CG27" s="20">
        <v>8.963625193702289E-2</v>
      </c>
      <c r="CH27" s="20">
        <v>7.099273252675789E-2</v>
      </c>
      <c r="CI27" s="20">
        <v>2.7170642901783448E-2</v>
      </c>
      <c r="CJ27" s="20">
        <v>5.2468428425330033E-2</v>
      </c>
      <c r="CK27" s="20">
        <v>2.9480660943049509E-2</v>
      </c>
      <c r="CL27" s="20">
        <v>6.6825081060201283E-2</v>
      </c>
      <c r="CM27" s="20">
        <v>-2.8772229019816971E-2</v>
      </c>
      <c r="CN27" s="20">
        <v>3.9462515901637851E-2</v>
      </c>
      <c r="CO27" s="20">
        <v>-2.9031086977359909E-2</v>
      </c>
      <c r="CP27" s="20">
        <v>1.3983882519467901E-2</v>
      </c>
      <c r="CQ27" s="20">
        <v>-3.2276964959333833E-2</v>
      </c>
      <c r="CR27" s="20">
        <v>3.1035766128940231E-3</v>
      </c>
      <c r="CS27" s="20">
        <v>2.5591855767083171E-2</v>
      </c>
      <c r="CT27" s="20">
        <v>4.4391886287193302E-2</v>
      </c>
      <c r="CU27" s="20">
        <v>-3.0338958549577438E-2</v>
      </c>
      <c r="CV27" s="20">
        <v>-1.2579764545717069E-3</v>
      </c>
      <c r="CW27" s="20">
        <v>2.336356455857952E-3</v>
      </c>
      <c r="CX27" s="20">
        <v>-6.4264144925906069E-2</v>
      </c>
      <c r="CY27" s="20">
        <v>1.2909779458992439E-2</v>
      </c>
      <c r="CZ27" s="20">
        <v>-0.12547709467085871</v>
      </c>
      <c r="DA27" s="20">
        <v>1.1690682939792569E-2</v>
      </c>
      <c r="DB27" s="20">
        <v>6.3378437007417512E-3</v>
      </c>
      <c r="DC27" s="20">
        <v>-0.1173053564693855</v>
      </c>
      <c r="DD27" s="20">
        <v>-3.6010872049446613E-2</v>
      </c>
      <c r="DE27" s="20">
        <v>0.1389113040722679</v>
      </c>
      <c r="DF27" s="20">
        <v>-5.1143506226105737E-2</v>
      </c>
      <c r="DG27" s="20">
        <v>7.6731447181969059E-2</v>
      </c>
      <c r="DH27" s="20">
        <v>1.550878219700816E-2</v>
      </c>
      <c r="DI27" s="20">
        <v>2.3223773674755831E-2</v>
      </c>
      <c r="DJ27" s="20">
        <v>-1.8372876361227891E-2</v>
      </c>
      <c r="DK27" s="20">
        <v>6.2199014085099431E-2</v>
      </c>
      <c r="DL27" s="20">
        <v>2.0098304486957191E-2</v>
      </c>
      <c r="DM27" s="20">
        <v>1.349893974806809E-2</v>
      </c>
      <c r="DN27" s="20">
        <v>-3.025221272842088E-2</v>
      </c>
      <c r="DO27" s="20">
        <v>-1.7022835708053841E-2</v>
      </c>
      <c r="DP27" s="20">
        <v>-2.1788523272461981E-2</v>
      </c>
      <c r="DQ27" s="20">
        <v>8.5745624585137223E-2</v>
      </c>
      <c r="DR27" s="20">
        <v>2.8106743604973752E-2</v>
      </c>
      <c r="DS27" s="20">
        <v>-2.3031598073594501E-3</v>
      </c>
      <c r="DT27" s="20">
        <v>5.8471198131487503E-2</v>
      </c>
      <c r="DU27" s="20">
        <v>6.7658949048647651E-2</v>
      </c>
      <c r="DV27" s="20">
        <v>5.0207706404322644E-3</v>
      </c>
      <c r="DW27" s="20">
        <v>3.7416183675207063E-2</v>
      </c>
      <c r="DX27" s="20">
        <v>8.4111003746042121E-2</v>
      </c>
      <c r="DY27" s="20">
        <v>-3.6832398544012837E-2</v>
      </c>
      <c r="DZ27" s="20">
        <v>3.0917028169369942E-3</v>
      </c>
      <c r="EA27" s="20">
        <v>-1.957628214294549E-3</v>
      </c>
      <c r="EB27" s="20">
        <v>2.6459103603519739E-2</v>
      </c>
      <c r="EC27" s="20">
        <v>-2.4752538760690269E-2</v>
      </c>
      <c r="ED27" s="20">
        <v>3.4115490982559941E-2</v>
      </c>
      <c r="EE27" s="20">
        <v>2.1061973989032982E-2</v>
      </c>
      <c r="EF27" s="20">
        <v>-2.0277392706005919E-2</v>
      </c>
      <c r="EG27" s="3"/>
    </row>
    <row r="28" spans="1:138" ht="16" customHeight="1">
      <c r="A28" s="22"/>
      <c r="B28" s="22"/>
      <c r="C28" s="22"/>
      <c r="D28" s="4"/>
      <c r="E28" s="4"/>
      <c r="F28" s="4"/>
      <c r="G28" s="4"/>
      <c r="H28" s="4"/>
      <c r="I28" s="4"/>
      <c r="J28" s="4"/>
      <c r="K28" s="22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1">
    <mergeCell ref="A8:B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F23"/>
  <sheetViews>
    <sheetView tabSelected="1" topLeftCell="DQ1" zoomScale="82" workbookViewId="0">
      <selection activeCell="EI33" sqref="EI33"/>
    </sheetView>
  </sheetViews>
  <sheetFormatPr baseColWidth="10" defaultColWidth="8.83203125" defaultRowHeight="15"/>
  <cols>
    <col min="1" max="1" width="8.33203125" style="21" customWidth="1"/>
    <col min="2" max="3" width="9.33203125" style="21" customWidth="1"/>
    <col min="11" max="11" width="8.1640625" style="21" customWidth="1"/>
    <col min="64" max="64" width="8.33203125" style="21" customWidth="1"/>
  </cols>
  <sheetData>
    <row r="1" spans="1:136" ht="16" customHeight="1">
      <c r="A1" s="22"/>
      <c r="B1" s="22"/>
      <c r="C1" s="22"/>
      <c r="D1" s="4"/>
      <c r="E1" s="4"/>
      <c r="F1" s="4"/>
      <c r="G1" s="4"/>
      <c r="H1" s="4"/>
      <c r="I1" s="4"/>
      <c r="J1" s="4"/>
      <c r="K1" s="2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8" spans="1:136" ht="16" customHeight="1">
      <c r="A8" s="50" t="s">
        <v>142</v>
      </c>
      <c r="B8" s="51"/>
      <c r="C8" s="10" t="s">
        <v>143</v>
      </c>
      <c r="D8" s="10">
        <v>964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</row>
    <row r="9" spans="1:136" ht="18" customHeight="1">
      <c r="A9" s="23" t="s">
        <v>239</v>
      </c>
      <c r="B9" s="12" t="s">
        <v>3</v>
      </c>
      <c r="C9" s="12" t="s">
        <v>4</v>
      </c>
      <c r="D9" s="12" t="s">
        <v>5</v>
      </c>
      <c r="E9" s="12" t="s">
        <v>6</v>
      </c>
      <c r="F9" s="12" t="s">
        <v>7</v>
      </c>
      <c r="G9" s="12" t="s">
        <v>8</v>
      </c>
      <c r="H9" s="12" t="s">
        <v>9</v>
      </c>
      <c r="I9" s="12" t="s">
        <v>10</v>
      </c>
      <c r="J9" s="12" t="s">
        <v>11</v>
      </c>
      <c r="K9" s="12" t="s">
        <v>12</v>
      </c>
      <c r="L9" s="12" t="s">
        <v>13</v>
      </c>
      <c r="M9" s="12" t="s">
        <v>14</v>
      </c>
      <c r="N9" s="12" t="s">
        <v>15</v>
      </c>
      <c r="O9" s="12" t="s">
        <v>16</v>
      </c>
      <c r="P9" s="12" t="s">
        <v>17</v>
      </c>
      <c r="Q9" s="12" t="s">
        <v>18</v>
      </c>
      <c r="R9" s="12" t="s">
        <v>19</v>
      </c>
      <c r="S9" s="12" t="s">
        <v>20</v>
      </c>
      <c r="T9" s="12" t="s">
        <v>21</v>
      </c>
      <c r="U9" s="12" t="s">
        <v>22</v>
      </c>
      <c r="V9" s="12" t="s">
        <v>23</v>
      </c>
      <c r="W9" s="12" t="s">
        <v>24</v>
      </c>
      <c r="X9" s="12" t="s">
        <v>25</v>
      </c>
      <c r="Y9" s="12" t="s">
        <v>26</v>
      </c>
      <c r="Z9" s="12" t="s">
        <v>27</v>
      </c>
      <c r="AA9" s="12" t="s">
        <v>28</v>
      </c>
      <c r="AB9" s="12" t="s">
        <v>29</v>
      </c>
      <c r="AC9" s="12" t="s">
        <v>30</v>
      </c>
      <c r="AD9" s="12" t="s">
        <v>31</v>
      </c>
      <c r="AE9" s="12" t="s">
        <v>32</v>
      </c>
      <c r="AF9" s="12" t="s">
        <v>33</v>
      </c>
      <c r="AG9" s="12" t="s">
        <v>34</v>
      </c>
      <c r="AH9" s="12" t="s">
        <v>35</v>
      </c>
      <c r="AI9" s="12" t="s">
        <v>36</v>
      </c>
      <c r="AJ9" s="12" t="s">
        <v>37</v>
      </c>
      <c r="AK9" s="12" t="s">
        <v>38</v>
      </c>
      <c r="AL9" s="12" t="s">
        <v>39</v>
      </c>
      <c r="AM9" s="12" t="s">
        <v>40</v>
      </c>
      <c r="AN9" s="12" t="s">
        <v>41</v>
      </c>
      <c r="AO9" s="12" t="s">
        <v>42</v>
      </c>
      <c r="AP9" s="12" t="s">
        <v>43</v>
      </c>
      <c r="AQ9" s="12" t="s">
        <v>44</v>
      </c>
      <c r="AR9" s="12" t="s">
        <v>45</v>
      </c>
      <c r="AS9" s="12" t="s">
        <v>46</v>
      </c>
      <c r="AT9" s="12" t="s">
        <v>47</v>
      </c>
      <c r="AU9" s="12" t="s">
        <v>48</v>
      </c>
      <c r="AV9" s="12" t="s">
        <v>49</v>
      </c>
      <c r="AW9" s="12" t="s">
        <v>50</v>
      </c>
      <c r="AX9" s="12" t="s">
        <v>51</v>
      </c>
      <c r="AY9" s="12" t="s">
        <v>52</v>
      </c>
      <c r="AZ9" s="12" t="s">
        <v>53</v>
      </c>
      <c r="BA9" s="12" t="s">
        <v>54</v>
      </c>
      <c r="BB9" s="12" t="s">
        <v>55</v>
      </c>
      <c r="BC9" s="12" t="s">
        <v>56</v>
      </c>
      <c r="BD9" s="12" t="s">
        <v>57</v>
      </c>
      <c r="BE9" s="12" t="s">
        <v>58</v>
      </c>
      <c r="BF9" s="12" t="s">
        <v>59</v>
      </c>
      <c r="BG9" s="12" t="s">
        <v>60</v>
      </c>
      <c r="BH9" s="12" t="s">
        <v>61</v>
      </c>
      <c r="BI9" s="12" t="s">
        <v>62</v>
      </c>
      <c r="BJ9" s="12" t="s">
        <v>63</v>
      </c>
      <c r="BK9" s="12" t="s">
        <v>64</v>
      </c>
      <c r="BL9" s="12" t="s">
        <v>65</v>
      </c>
      <c r="BM9" s="12" t="s">
        <v>66</v>
      </c>
      <c r="BN9" s="12" t="s">
        <v>67</v>
      </c>
      <c r="BO9" s="12" t="s">
        <v>68</v>
      </c>
      <c r="BP9" s="12" t="s">
        <v>69</v>
      </c>
      <c r="BQ9" s="12" t="s">
        <v>70</v>
      </c>
      <c r="BR9" s="12" t="s">
        <v>71</v>
      </c>
      <c r="BS9" s="12" t="s">
        <v>72</v>
      </c>
      <c r="BT9" s="12" t="s">
        <v>73</v>
      </c>
      <c r="BU9" s="12" t="s">
        <v>74</v>
      </c>
      <c r="BV9" s="12" t="s">
        <v>75</v>
      </c>
      <c r="BW9" s="12" t="s">
        <v>76</v>
      </c>
      <c r="BX9" s="12" t="s">
        <v>77</v>
      </c>
      <c r="BY9" s="12" t="s">
        <v>78</v>
      </c>
      <c r="BZ9" s="12" t="s">
        <v>79</v>
      </c>
      <c r="CA9" s="12" t="s">
        <v>80</v>
      </c>
      <c r="CB9" s="12" t="s">
        <v>81</v>
      </c>
      <c r="CC9" s="12" t="s">
        <v>82</v>
      </c>
      <c r="CD9" s="12" t="s">
        <v>83</v>
      </c>
      <c r="CE9" s="12" t="s">
        <v>84</v>
      </c>
      <c r="CF9" s="12" t="s">
        <v>85</v>
      </c>
      <c r="CG9" s="12" t="s">
        <v>86</v>
      </c>
      <c r="CH9" s="12" t="s">
        <v>87</v>
      </c>
      <c r="CI9" s="12" t="s">
        <v>88</v>
      </c>
      <c r="CJ9" s="12" t="s">
        <v>89</v>
      </c>
      <c r="CK9" s="12" t="s">
        <v>90</v>
      </c>
      <c r="CL9" s="12" t="s">
        <v>91</v>
      </c>
      <c r="CM9" s="12" t="s">
        <v>92</v>
      </c>
      <c r="CN9" s="12" t="s">
        <v>93</v>
      </c>
      <c r="CO9" s="12" t="s">
        <v>94</v>
      </c>
      <c r="CP9" s="12" t="s">
        <v>95</v>
      </c>
      <c r="CQ9" s="12" t="s">
        <v>96</v>
      </c>
      <c r="CR9" s="12" t="s">
        <v>97</v>
      </c>
      <c r="CS9" s="12" t="s">
        <v>98</v>
      </c>
      <c r="CT9" s="12" t="s">
        <v>99</v>
      </c>
      <c r="CU9" s="12" t="s">
        <v>100</v>
      </c>
      <c r="CV9" s="12" t="s">
        <v>101</v>
      </c>
      <c r="CW9" s="12" t="s">
        <v>102</v>
      </c>
      <c r="CX9" s="12" t="s">
        <v>103</v>
      </c>
      <c r="CY9" s="12" t="s">
        <v>104</v>
      </c>
      <c r="CZ9" s="12" t="s">
        <v>105</v>
      </c>
      <c r="DA9" s="12" t="s">
        <v>106</v>
      </c>
      <c r="DB9" s="12" t="s">
        <v>107</v>
      </c>
      <c r="DC9" s="12" t="s">
        <v>108</v>
      </c>
      <c r="DD9" s="12" t="s">
        <v>109</v>
      </c>
      <c r="DE9" s="12" t="s">
        <v>110</v>
      </c>
      <c r="DF9" s="12" t="s">
        <v>111</v>
      </c>
      <c r="DG9" s="12" t="s">
        <v>112</v>
      </c>
      <c r="DH9" s="12" t="s">
        <v>113</v>
      </c>
      <c r="DI9" s="12" t="s">
        <v>114</v>
      </c>
      <c r="DJ9" s="12" t="s">
        <v>115</v>
      </c>
      <c r="DK9" s="12" t="s">
        <v>116</v>
      </c>
      <c r="DL9" s="12" t="s">
        <v>117</v>
      </c>
      <c r="DM9" s="12" t="s">
        <v>118</v>
      </c>
      <c r="DN9" s="12" t="s">
        <v>119</v>
      </c>
      <c r="DO9" s="12" t="s">
        <v>120</v>
      </c>
      <c r="DP9" s="12" t="s">
        <v>121</v>
      </c>
      <c r="DQ9" s="12" t="s">
        <v>122</v>
      </c>
      <c r="DR9" s="12" t="s">
        <v>123</v>
      </c>
      <c r="DS9" s="12" t="s">
        <v>124</v>
      </c>
      <c r="DT9" s="12" t="s">
        <v>125</v>
      </c>
      <c r="DU9" s="12" t="s">
        <v>126</v>
      </c>
      <c r="DV9" s="12" t="s">
        <v>127</v>
      </c>
      <c r="DW9" s="12" t="s">
        <v>128</v>
      </c>
      <c r="DX9" s="12" t="s">
        <v>129</v>
      </c>
      <c r="DY9" s="12" t="s">
        <v>130</v>
      </c>
      <c r="DZ9" s="12" t="s">
        <v>131</v>
      </c>
      <c r="EA9" s="12" t="s">
        <v>132</v>
      </c>
      <c r="EB9" s="12" t="s">
        <v>133</v>
      </c>
      <c r="EC9" s="12" t="s">
        <v>134</v>
      </c>
      <c r="ED9" s="12" t="s">
        <v>135</v>
      </c>
      <c r="EE9" s="12" t="s">
        <v>146</v>
      </c>
    </row>
    <row r="10" spans="1:136" ht="18" customHeight="1">
      <c r="A10" s="6" t="s">
        <v>240</v>
      </c>
      <c r="B10" s="9">
        <v>0.29562126567416419</v>
      </c>
      <c r="C10" s="11">
        <f>B10+預測IC!D14</f>
        <v>0.59142011667955563</v>
      </c>
      <c r="D10" s="11">
        <f>C10+預測IC!E14</f>
        <v>0.90365025821796596</v>
      </c>
      <c r="E10" s="11">
        <f>D10+預測IC!F14</f>
        <v>1.2198413749200827</v>
      </c>
      <c r="F10" s="11">
        <f>E10+預測IC!G14</f>
        <v>1.5093983532458879</v>
      </c>
      <c r="G10" s="11">
        <f>F10+預測IC!H14</f>
        <v>1.8113816679677803</v>
      </c>
      <c r="H10" s="11">
        <f>G10+預測IC!I14</f>
        <v>2.0921447031243376</v>
      </c>
      <c r="I10" s="11">
        <f>H10+預測IC!J14</f>
        <v>2.4002547712689464</v>
      </c>
      <c r="J10" s="11">
        <f>I10+預測IC!K14</f>
        <v>2.655770297437464</v>
      </c>
      <c r="K10" s="11">
        <f>J10+預測IC!L14</f>
        <v>2.9408928178353517</v>
      </c>
      <c r="L10" s="11">
        <f>K10+預測IC!M14</f>
        <v>3.2338299896531737</v>
      </c>
      <c r="M10" s="11">
        <f>L10+預測IC!N14</f>
        <v>3.5036164826850298</v>
      </c>
      <c r="N10" s="11">
        <f>M10+預測IC!O14</f>
        <v>3.5374719014767804</v>
      </c>
      <c r="O10" s="11">
        <f>N10+預測IC!P14</f>
        <v>3.546659714428519</v>
      </c>
      <c r="P10" s="11">
        <f>O10+預測IC!Q14</f>
        <v>3.5503520070586014</v>
      </c>
      <c r="Q10" s="11">
        <f>P10+預測IC!R14</f>
        <v>3.5692093540928895</v>
      </c>
      <c r="R10" s="11">
        <f>Q10+預測IC!S14</f>
        <v>3.5588092274583731</v>
      </c>
      <c r="S10" s="11">
        <f>R10+預測IC!T14</f>
        <v>3.5979633915351306</v>
      </c>
      <c r="T10" s="11">
        <f>S10+預測IC!U14</f>
        <v>3.6320142326826579</v>
      </c>
      <c r="U10" s="11">
        <f>T10+預測IC!V14</f>
        <v>3.6447891191504764</v>
      </c>
      <c r="V10" s="11">
        <f>U10+預測IC!W14</f>
        <v>3.6289556324633003</v>
      </c>
      <c r="W10" s="11">
        <f>V10+預測IC!X14</f>
        <v>3.6474824396211529</v>
      </c>
      <c r="X10" s="11">
        <f>W10+預測IC!Y14</f>
        <v>3.6392883252918669</v>
      </c>
      <c r="Y10" s="11">
        <f>X10+預測IC!Z14</f>
        <v>3.656132524200848</v>
      </c>
      <c r="Z10" s="11">
        <f>Y10+預測IC!AA14</f>
        <v>3.6212069568284266</v>
      </c>
      <c r="AA10" s="11">
        <f>Z10+預測IC!AB14</f>
        <v>3.6329403053646261</v>
      </c>
      <c r="AB10" s="11">
        <f>AA10+預測IC!AC14</f>
        <v>3.635393118691181</v>
      </c>
      <c r="AC10" s="11">
        <f>AB10+預測IC!AD14</f>
        <v>3.6499996037996709</v>
      </c>
      <c r="AD10" s="11">
        <f>AC10+預測IC!AE14</f>
        <v>3.6026890470868866</v>
      </c>
      <c r="AE10" s="11">
        <f>AD10+預測IC!AF14</f>
        <v>3.6399152999651099</v>
      </c>
      <c r="AF10" s="11">
        <f>AE10+預測IC!AG14</f>
        <v>3.6292701482406708</v>
      </c>
      <c r="AG10" s="11">
        <f>AF10+預測IC!AH14</f>
        <v>3.6284387156472926</v>
      </c>
      <c r="AH10" s="11">
        <f>AG10+預測IC!AI14</f>
        <v>3.6196051736916108</v>
      </c>
      <c r="AI10" s="11">
        <f>AH10+預測IC!AJ14</f>
        <v>3.6343979101894366</v>
      </c>
      <c r="AJ10" s="11">
        <f>AI10+預測IC!AK14</f>
        <v>3.6378981567256106</v>
      </c>
      <c r="AK10" s="11">
        <f>AJ10+預測IC!AL14</f>
        <v>3.6097256935661433</v>
      </c>
      <c r="AL10" s="11">
        <f>AK10+預測IC!AM14</f>
        <v>3.6199121132106709</v>
      </c>
      <c r="AM10" s="11">
        <f>AL10+預測IC!AN14</f>
        <v>3.5915132559730925</v>
      </c>
      <c r="AN10" s="11">
        <f>AM10+預測IC!AO14</f>
        <v>3.5564187112112715</v>
      </c>
      <c r="AO10" s="11">
        <f>AN10+預測IC!AP14</f>
        <v>3.5563027746219404</v>
      </c>
      <c r="AP10" s="11">
        <f>AO10+預測IC!AQ14</f>
        <v>3.5631197192779838</v>
      </c>
      <c r="AQ10" s="11">
        <f>AP10+預測IC!AR14</f>
        <v>3.5555149727452058</v>
      </c>
      <c r="AR10" s="11">
        <f>AQ10+預測IC!AS14</f>
        <v>3.5448212049353138</v>
      </c>
      <c r="AS10" s="11">
        <f>AR10+預測IC!AT14</f>
        <v>3.519465125661041</v>
      </c>
      <c r="AT10" s="11">
        <f>AS10+預測IC!AU14</f>
        <v>3.5282109381781055</v>
      </c>
      <c r="AU10" s="11">
        <f>AT10+預測IC!AV14</f>
        <v>3.5263780781234586</v>
      </c>
      <c r="AV10" s="11">
        <f>AU10+預測IC!AW14</f>
        <v>3.5263031810177856</v>
      </c>
      <c r="AW10" s="11">
        <f>AV10+預測IC!AX14</f>
        <v>3.5300459634010175</v>
      </c>
      <c r="AX10" s="11">
        <f>AW10+預測IC!AY14</f>
        <v>3.5370390982415683</v>
      </c>
      <c r="AY10" s="11">
        <f>AX10+預測IC!AZ14</f>
        <v>3.5326821469361609</v>
      </c>
      <c r="AZ10" s="11">
        <f>AY10+預測IC!BA14</f>
        <v>3.5253083241444898</v>
      </c>
      <c r="BA10" s="11">
        <f>AZ10+預測IC!BB14</f>
        <v>3.5219757397125311</v>
      </c>
      <c r="BB10" s="11">
        <f>BA10+預測IC!BC14</f>
        <v>3.5269095315587506</v>
      </c>
      <c r="BC10" s="11">
        <f>BB10+預測IC!BD14</f>
        <v>3.5198623475036159</v>
      </c>
      <c r="BD10" s="11">
        <f>BC10+預測IC!BE14</f>
        <v>3.4998902939663146</v>
      </c>
      <c r="BE10" s="11">
        <f>BD10+預測IC!BF14</f>
        <v>3.5061740560860715</v>
      </c>
      <c r="BF10" s="11">
        <f>BE10+預測IC!BG14</f>
        <v>3.5097451692337485</v>
      </c>
      <c r="BG10" s="11">
        <f>BF10+預測IC!BH14</f>
        <v>3.5934118550570684</v>
      </c>
      <c r="BH10" s="11">
        <f>BG10+預測IC!BI14</f>
        <v>3.5142976124645848</v>
      </c>
      <c r="BI10" s="11">
        <f>BH10+預測IC!BJ14</f>
        <v>3.506077269637629</v>
      </c>
      <c r="BJ10" s="11">
        <f>BI10+預測IC!BK14</f>
        <v>3.522060939565304</v>
      </c>
      <c r="BK10" s="11">
        <f>BJ10+預測IC!BL14</f>
        <v>3.5305433728674802</v>
      </c>
      <c r="BL10" s="11">
        <f>BK10+預測IC!BM14</f>
        <v>3.5399714310153754</v>
      </c>
      <c r="BM10" s="11">
        <f>BL10+預測IC!BN14</f>
        <v>3.5634017279219572</v>
      </c>
      <c r="BN10" s="11">
        <f>BM10+預測IC!BO14</f>
        <v>3.5561561253146197</v>
      </c>
      <c r="BO10" s="11">
        <f>BN10+預測IC!BP14</f>
        <v>3.5833145227079837</v>
      </c>
      <c r="BP10" s="11">
        <f>BO10+預測IC!BQ14</f>
        <v>3.6113790249580457</v>
      </c>
      <c r="BQ10" s="11">
        <f>BP10+預測IC!BR14</f>
        <v>3.5547266538521907</v>
      </c>
      <c r="BR10" s="11">
        <f>BQ10+預測IC!BS14</f>
        <v>3.5688565923091105</v>
      </c>
      <c r="BS10" s="11">
        <f>BR10+預測IC!BT14</f>
        <v>3.5277621190378889</v>
      </c>
      <c r="BT10" s="11">
        <f>BS10+預測IC!BU14</f>
        <v>3.5414319842842796</v>
      </c>
      <c r="BU10" s="11">
        <f>BT10+預測IC!BV14</f>
        <v>3.5356233236236219</v>
      </c>
      <c r="BV10" s="11">
        <f>BU10+預測IC!BW14</f>
        <v>3.5228892958531866</v>
      </c>
      <c r="BW10" s="11">
        <f>BV10+預測IC!BX14</f>
        <v>3.5577248048638008</v>
      </c>
      <c r="BX10" s="11">
        <f>BW10+預測IC!BY14</f>
        <v>3.5634355056901423</v>
      </c>
      <c r="BY10" s="11">
        <f>BX10+預測IC!BZ14</f>
        <v>3.5460071637967285</v>
      </c>
      <c r="BZ10" s="11">
        <f>BY10+預測IC!CA14</f>
        <v>3.5573775235831202</v>
      </c>
      <c r="CA10" s="11">
        <f>BZ10+預測IC!CB14</f>
        <v>3.562531155415575</v>
      </c>
      <c r="CB10" s="11">
        <f>CA10+預測IC!CC14</f>
        <v>3.5428013785779422</v>
      </c>
      <c r="CC10" s="11">
        <f>CB10+預測IC!CD14</f>
        <v>3.5212037117109967</v>
      </c>
      <c r="CD10" s="11">
        <f>CC10+預測IC!CE14</f>
        <v>3.5177130120274565</v>
      </c>
      <c r="CE10" s="11">
        <f>CD10+預測IC!CF14</f>
        <v>3.4803798603637883</v>
      </c>
      <c r="CF10" s="11">
        <f>CE10+預測IC!CG14</f>
        <v>3.5145315738670373</v>
      </c>
      <c r="CG10" s="11">
        <f>CF10+預測IC!CH14</f>
        <v>3.5223776749628044</v>
      </c>
      <c r="CH10" s="11">
        <f>CG10+預測IC!CI14</f>
        <v>3.5334598752353323</v>
      </c>
      <c r="CI10" s="11">
        <f>CH10+預測IC!CJ14</f>
        <v>3.52830705773748</v>
      </c>
      <c r="CJ10" s="11">
        <f>CI10+預測IC!CK14</f>
        <v>3.5126647519367933</v>
      </c>
      <c r="CK10" s="11">
        <f>CJ10+預測IC!CL14</f>
        <v>3.4316087609698496</v>
      </c>
      <c r="CL10" s="11">
        <f>CK10+預測IC!CM14</f>
        <v>3.4233943756834493</v>
      </c>
      <c r="CM10" s="11">
        <f>CL10+預測IC!CN14</f>
        <v>3.4823631206402772</v>
      </c>
      <c r="CN10" s="11">
        <f>CM10+預測IC!CO14</f>
        <v>3.48226740331513</v>
      </c>
      <c r="CO10" s="11">
        <f>CN10+預測IC!CP14</f>
        <v>3.5240898030194385</v>
      </c>
      <c r="CP10" s="11">
        <f>CO10+預測IC!CQ14</f>
        <v>3.484009910017777</v>
      </c>
      <c r="CQ10" s="11">
        <f>CP10+預測IC!CR14</f>
        <v>3.4615713768069254</v>
      </c>
      <c r="CR10" s="11">
        <f>CQ10+預測IC!CS14</f>
        <v>3.4767499695326944</v>
      </c>
      <c r="CS10" s="11">
        <f>CR10+預測IC!CT14</f>
        <v>3.4874696255077322</v>
      </c>
      <c r="CT10" s="11">
        <f>CS10+預測IC!CU14</f>
        <v>3.4774426457645489</v>
      </c>
      <c r="CU10" s="11">
        <f>CT10+預測IC!CV14</f>
        <v>3.4666123179060193</v>
      </c>
      <c r="CV10" s="11">
        <f>CU10+預測IC!CW14</f>
        <v>3.488391304776099</v>
      </c>
      <c r="CW10" s="11">
        <f>CV10+預測IC!CX14</f>
        <v>3.5021631822865666</v>
      </c>
      <c r="CX10" s="11">
        <f>CW10+預測IC!CY14</f>
        <v>3.5040713297501171</v>
      </c>
      <c r="CY10" s="11">
        <f>CX10+預測IC!CZ14</f>
        <v>3.5538901645420569</v>
      </c>
      <c r="CZ10" s="11">
        <f>CY10+預測IC!DA14</f>
        <v>3.5509650611209471</v>
      </c>
      <c r="DA10" s="11">
        <f>CZ10+預測IC!DB14</f>
        <v>3.5615093672268161</v>
      </c>
      <c r="DB10" s="11">
        <f>DA10+預測IC!DC14</f>
        <v>3.5970996801597197</v>
      </c>
      <c r="DC10" s="11">
        <f>DB10+預測IC!DD14</f>
        <v>3.5971142122588242</v>
      </c>
      <c r="DD10" s="11">
        <f>DC10+預測IC!DE14</f>
        <v>3.5540490072099149</v>
      </c>
      <c r="DE10" s="11">
        <f>DD10+預測IC!DF14</f>
        <v>3.5485375436982016</v>
      </c>
      <c r="DF10" s="11">
        <f>DE10+預測IC!DG14</f>
        <v>3.5156355510739403</v>
      </c>
      <c r="DG10" s="11">
        <f>DF10+預測IC!DH14</f>
        <v>3.5108478986436853</v>
      </c>
      <c r="DH10" s="11">
        <f>DG10+預測IC!DI14</f>
        <v>3.4930804586964634</v>
      </c>
      <c r="DI10" s="11">
        <f>DH10+預測IC!DJ14</f>
        <v>3.5128142459864478</v>
      </c>
      <c r="DJ10" s="11">
        <f>DI10+預測IC!DK14</f>
        <v>3.4935415369957989</v>
      </c>
      <c r="DK10" s="11">
        <f>DJ10+預測IC!DL14</f>
        <v>3.4667211617059839</v>
      </c>
      <c r="DL10" s="11">
        <f>DK10+預測IC!DM14</f>
        <v>3.44933961828007</v>
      </c>
      <c r="DM10" s="11">
        <f>DL10+預測IC!DN14</f>
        <v>3.4322371158690452</v>
      </c>
      <c r="DN10" s="11">
        <f>DM10+預測IC!DO14</f>
        <v>3.4117290308112707</v>
      </c>
      <c r="DO10" s="11">
        <f>DN10+預測IC!DP14</f>
        <v>3.4110780993436349</v>
      </c>
      <c r="DP10" s="11">
        <f>DO10+預測IC!DQ14</f>
        <v>3.4053529625258836</v>
      </c>
      <c r="DQ10" s="11">
        <f>DP10+預測IC!DR14</f>
        <v>3.4194684555603909</v>
      </c>
      <c r="DR10" s="11">
        <f>DQ10+預測IC!DS14</f>
        <v>3.4163705098057737</v>
      </c>
      <c r="DS10" s="11">
        <f>DR10+預測IC!DT14</f>
        <v>3.4112824203405721</v>
      </c>
      <c r="DT10" s="11">
        <f>DS10+預測IC!DU14</f>
        <v>3.4173827414639883</v>
      </c>
      <c r="DU10" s="11">
        <f>DT10+預測IC!DV14</f>
        <v>3.4097262708575982</v>
      </c>
      <c r="DV10" s="11">
        <f>DU10+預測IC!DW14</f>
        <v>3.4088962041228621</v>
      </c>
      <c r="DW10" s="11">
        <f>DV10+預測IC!DX14</f>
        <v>3.4147495457754191</v>
      </c>
      <c r="DX10" s="11">
        <f>DW10+預測IC!DY14</f>
        <v>3.3958658844571632</v>
      </c>
      <c r="DY10" s="11">
        <f>DX10+預測IC!DZ14</f>
        <v>3.3656244979946091</v>
      </c>
      <c r="DZ10" s="11">
        <f>DY10+預測IC!EA14</f>
        <v>3.3758814387476002</v>
      </c>
      <c r="EA10" s="11">
        <f>DZ10+預測IC!EB14</f>
        <v>3.3883781691134653</v>
      </c>
      <c r="EB10" s="11">
        <f>EA10+預測IC!EC14</f>
        <v>3.3898647260748107</v>
      </c>
      <c r="EC10" s="11">
        <f>EB10+預測IC!ED14</f>
        <v>3.4078751991977496</v>
      </c>
      <c r="ED10" s="11">
        <f>EC10+預測IC!EE14</f>
        <v>3.4065842594831683</v>
      </c>
      <c r="EE10" s="11">
        <f>ED10+預測IC!EF14</f>
        <v>3.421423347978946</v>
      </c>
    </row>
    <row r="11" spans="1:136" ht="16" customHeight="1">
      <c r="A11" s="6" t="s">
        <v>241</v>
      </c>
      <c r="B11" s="9">
        <v>0.39331188340051321</v>
      </c>
      <c r="C11" s="11">
        <f>B11+預測IC!D15</f>
        <v>0.78966678820238601</v>
      </c>
      <c r="D11" s="11">
        <f>C11+預測IC!E15</f>
        <v>1.1939831711822884</v>
      </c>
      <c r="E11" s="11">
        <f>D11+預測IC!F15</f>
        <v>1.6441020076780426</v>
      </c>
      <c r="F11" s="11">
        <f>E11+預測IC!G15</f>
        <v>2.038071957449914</v>
      </c>
      <c r="G11" s="11">
        <f>F11+預測IC!H15</f>
        <v>2.430410377248033</v>
      </c>
      <c r="H11" s="11">
        <f>G11+預測IC!I15</f>
        <v>2.8071676791869922</v>
      </c>
      <c r="I11" s="11">
        <f>H11+預測IC!J15</f>
        <v>3.2281785704618162</v>
      </c>
      <c r="J11" s="11">
        <f>I11+預測IC!K15</f>
        <v>3.5833641913448626</v>
      </c>
      <c r="K11" s="11">
        <f>J11+預測IC!L15</f>
        <v>3.9634545870995423</v>
      </c>
      <c r="L11" s="11">
        <f>K11+預測IC!M15</f>
        <v>4.3831703793965655</v>
      </c>
      <c r="M11" s="11">
        <f>L11+預測IC!N15</f>
        <v>4.7568456914026971</v>
      </c>
      <c r="N11" s="11">
        <f>M11+預測IC!O15</f>
        <v>4.7923612640906983</v>
      </c>
      <c r="O11" s="11">
        <f>N11+預測IC!P15</f>
        <v>4.8029900872767399</v>
      </c>
      <c r="P11" s="11">
        <f>O11+預測IC!Q15</f>
        <v>4.8197030788573763</v>
      </c>
      <c r="Q11" s="11">
        <f>P11+預測IC!R15</f>
        <v>4.8484886424673332</v>
      </c>
      <c r="R11" s="11">
        <f>Q11+預測IC!S15</f>
        <v>4.8180057881568175</v>
      </c>
      <c r="S11" s="11">
        <f>R11+預測IC!T15</f>
        <v>4.8714585286021306</v>
      </c>
      <c r="T11" s="11">
        <f>S11+預測IC!U15</f>
        <v>4.8936869168543824</v>
      </c>
      <c r="U11" s="11">
        <f>T11+預測IC!V15</f>
        <v>4.9162551059716844</v>
      </c>
      <c r="V11" s="11">
        <f>U11+預測IC!W15</f>
        <v>4.9019691027491472</v>
      </c>
      <c r="W11" s="11">
        <f>V11+預測IC!X15</f>
        <v>4.9177382367838947</v>
      </c>
      <c r="X11" s="11">
        <f>W11+預測IC!Y15</f>
        <v>4.9159265890974879</v>
      </c>
      <c r="Y11" s="11">
        <f>X11+預測IC!Z15</f>
        <v>4.9515872482936141</v>
      </c>
      <c r="Z11" s="11">
        <f>Y11+預測IC!AA15</f>
        <v>4.8994486024957427</v>
      </c>
      <c r="AA11" s="11">
        <f>Z11+預測IC!AB15</f>
        <v>4.8961909876224965</v>
      </c>
      <c r="AB11" s="11">
        <f>AA11+預測IC!AC15</f>
        <v>4.8917891294560842</v>
      </c>
      <c r="AC11" s="11">
        <f>AB11+預測IC!AD15</f>
        <v>4.9156601621492984</v>
      </c>
      <c r="AD11" s="11">
        <f>AC11+預測IC!AE15</f>
        <v>4.8698133130343138</v>
      </c>
      <c r="AE11" s="11">
        <f>AD11+預測IC!AF15</f>
        <v>4.9357305623535996</v>
      </c>
      <c r="AF11" s="11">
        <f>AE11+預測IC!AG15</f>
        <v>4.9269893887055503</v>
      </c>
      <c r="AG11" s="11">
        <f>AF11+預測IC!AH15</f>
        <v>4.9468088476931777</v>
      </c>
      <c r="AH11" s="11">
        <f>AG11+預測IC!AI15</f>
        <v>4.9220039126184751</v>
      </c>
      <c r="AI11" s="11">
        <f>AH11+預測IC!AJ15</f>
        <v>4.9364767078115701</v>
      </c>
      <c r="AJ11" s="11">
        <f>AI11+預測IC!AK15</f>
        <v>4.9221342168483684</v>
      </c>
      <c r="AK11" s="11">
        <f>AJ11+預測IC!AL15</f>
        <v>4.8986629698529462</v>
      </c>
      <c r="AL11" s="11">
        <f>AK11+預測IC!AM15</f>
        <v>4.9329269891542236</v>
      </c>
      <c r="AM11" s="11">
        <f>AL11+預測IC!AN15</f>
        <v>4.9145876976476384</v>
      </c>
      <c r="AN11" s="11">
        <f>AM11+預測IC!AO15</f>
        <v>4.9027499530906615</v>
      </c>
      <c r="AO11" s="11">
        <f>AN11+預測IC!AP15</f>
        <v>4.8984000862490022</v>
      </c>
      <c r="AP11" s="11">
        <f>AO11+預測IC!AQ15</f>
        <v>4.9176365849017403</v>
      </c>
      <c r="AQ11" s="11">
        <f>AP11+預測IC!AR15</f>
        <v>4.9213284865762059</v>
      </c>
      <c r="AR11" s="11">
        <f>AQ11+預測IC!AS15</f>
        <v>4.8891903263618772</v>
      </c>
      <c r="AS11" s="11">
        <f>AR11+預測IC!AT15</f>
        <v>4.8704627478006399</v>
      </c>
      <c r="AT11" s="11">
        <f>AS11+預測IC!AU15</f>
        <v>4.8926834540272814</v>
      </c>
      <c r="AU11" s="11">
        <f>AT11+預測IC!AV15</f>
        <v>4.8993732912407495</v>
      </c>
      <c r="AV11" s="11">
        <f>AU11+預測IC!AW15</f>
        <v>4.8784592988671562</v>
      </c>
      <c r="AW11" s="11">
        <f>AV11+預測IC!AX15</f>
        <v>4.8796497449618244</v>
      </c>
      <c r="AX11" s="11">
        <f>AW11+預測IC!AY15</f>
        <v>4.9136902257158512</v>
      </c>
      <c r="AY11" s="11">
        <f>AX11+預測IC!AZ15</f>
        <v>4.891415822807704</v>
      </c>
      <c r="AZ11" s="11">
        <f>AY11+預測IC!BA15</f>
        <v>4.882735369203095</v>
      </c>
      <c r="BA11" s="11">
        <f>AZ11+預測IC!BB15</f>
        <v>4.8450529139508722</v>
      </c>
      <c r="BB11" s="11">
        <f>BA11+預測IC!BC15</f>
        <v>4.8433668895063091</v>
      </c>
      <c r="BC11" s="11">
        <f>BB11+預測IC!BD15</f>
        <v>4.8497640659019297</v>
      </c>
      <c r="BD11" s="11">
        <f>BC11+預測IC!BE15</f>
        <v>4.8350975108360279</v>
      </c>
      <c r="BE11" s="11">
        <f>BD11+預測IC!BF15</f>
        <v>4.8275063623167034</v>
      </c>
      <c r="BF11" s="11">
        <f>BE11+預測IC!BG15</f>
        <v>4.8358950073355693</v>
      </c>
      <c r="BG11" s="11">
        <f>BF11+預測IC!BH15</f>
        <v>4.9225748263955067</v>
      </c>
      <c r="BH11" s="11">
        <f>BG11+預測IC!BI15</f>
        <v>4.8291227958061702</v>
      </c>
      <c r="BI11" s="11">
        <f>BH11+預測IC!BJ15</f>
        <v>4.7947395529302872</v>
      </c>
      <c r="BJ11" s="11">
        <f>BI11+預測IC!BK15</f>
        <v>4.8156917736574512</v>
      </c>
      <c r="BK11" s="11">
        <f>BJ11+預測IC!BL15</f>
        <v>4.8331901940609923</v>
      </c>
      <c r="BL11" s="11">
        <f>BK11+預測IC!BM15</f>
        <v>4.8532498963147024</v>
      </c>
      <c r="BM11" s="11">
        <f>BL11+預測IC!BN15</f>
        <v>4.8718688909824257</v>
      </c>
      <c r="BN11" s="11">
        <f>BM11+預測IC!BO15</f>
        <v>4.8662084360182831</v>
      </c>
      <c r="BO11" s="11">
        <f>BN11+預測IC!BP15</f>
        <v>4.907237195299115</v>
      </c>
      <c r="BP11" s="11">
        <f>BO11+預測IC!BQ15</f>
        <v>4.9189453663033964</v>
      </c>
      <c r="BQ11" s="11">
        <f>BP11+預測IC!BR15</f>
        <v>4.8448504569884037</v>
      </c>
      <c r="BR11" s="11">
        <f>BQ11+預測IC!BS15</f>
        <v>4.847368377871323</v>
      </c>
      <c r="BS11" s="11">
        <f>BR11+預測IC!BT15</f>
        <v>4.8296531080253446</v>
      </c>
      <c r="BT11" s="11">
        <f>BS11+預測IC!BU15</f>
        <v>4.8455602246809324</v>
      </c>
      <c r="BU11" s="11">
        <f>BT11+預測IC!BV15</f>
        <v>4.8897026293161678</v>
      </c>
      <c r="BV11" s="11">
        <f>BU11+預測IC!BW15</f>
        <v>4.8655770018581324</v>
      </c>
      <c r="BW11" s="11">
        <f>BV11+預測IC!BX15</f>
        <v>4.8892850288804972</v>
      </c>
      <c r="BX11" s="11">
        <f>BW11+預測IC!BY15</f>
        <v>4.9184390251961982</v>
      </c>
      <c r="BY11" s="11">
        <f>BX11+預測IC!BZ15</f>
        <v>4.897547579888843</v>
      </c>
      <c r="BZ11" s="11">
        <f>BY11+預測IC!CA15</f>
        <v>4.9260413264214122</v>
      </c>
      <c r="CA11" s="11">
        <f>BZ11+預測IC!CB15</f>
        <v>4.9510464218611387</v>
      </c>
      <c r="CB11" s="11">
        <f>CA11+預測IC!CC15</f>
        <v>4.9218338094354817</v>
      </c>
      <c r="CC11" s="11">
        <f>CB11+預測IC!CD15</f>
        <v>4.8929321817717479</v>
      </c>
      <c r="CD11" s="11">
        <f>CC11+預測IC!CE15</f>
        <v>4.9113383486211593</v>
      </c>
      <c r="CE11" s="11">
        <f>CD11+預測IC!CF15</f>
        <v>4.9160780500910679</v>
      </c>
      <c r="CF11" s="11">
        <f>CE11+預測IC!CG15</f>
        <v>4.9570983865912375</v>
      </c>
      <c r="CG11" s="11">
        <f>CF11+預測IC!CH15</f>
        <v>4.9742371787392283</v>
      </c>
      <c r="CH11" s="11">
        <f>CG11+預測IC!CI15</f>
        <v>4.9816438127872242</v>
      </c>
      <c r="CI11" s="11">
        <f>CH11+預測IC!CJ15</f>
        <v>4.9948562032150061</v>
      </c>
      <c r="CJ11" s="11">
        <f>CI11+預測IC!CK15</f>
        <v>5.0083009703929902</v>
      </c>
      <c r="CK11" s="11">
        <f>CJ11+預測IC!CL15</f>
        <v>4.9049593068923025</v>
      </c>
      <c r="CL11" s="11">
        <f>CK11+預測IC!CM15</f>
        <v>4.8727510993410244</v>
      </c>
      <c r="CM11" s="11">
        <f>CL11+預測IC!CN15</f>
        <v>4.9756715591462557</v>
      </c>
      <c r="CN11" s="11">
        <f>CM11+預測IC!CO15</f>
        <v>4.9643014729720427</v>
      </c>
      <c r="CO11" s="11">
        <f>CN11+預測IC!CP15</f>
        <v>5.0134296885919287</v>
      </c>
      <c r="CP11" s="11">
        <f>CO11+預測IC!CQ15</f>
        <v>4.9498870288338077</v>
      </c>
      <c r="CQ11" s="11">
        <f>CP11+預測IC!CR15</f>
        <v>4.8966234591301196</v>
      </c>
      <c r="CR11" s="11">
        <f>CQ11+預測IC!CS15</f>
        <v>4.8748029547387883</v>
      </c>
      <c r="CS11" s="11">
        <f>CR11+預測IC!CT15</f>
        <v>4.8866784287569347</v>
      </c>
      <c r="CT11" s="11">
        <f>CS11+預測IC!CU15</f>
        <v>4.8747043431845025</v>
      </c>
      <c r="CU11" s="11">
        <f>CT11+預測IC!CV15</f>
        <v>4.8437295329819525</v>
      </c>
      <c r="CV11" s="11">
        <f>CU11+預測IC!CW15</f>
        <v>4.8645045828945435</v>
      </c>
      <c r="CW11" s="11">
        <f>CV11+預測IC!CX15</f>
        <v>4.8679782386903572</v>
      </c>
      <c r="CX11" s="11">
        <f>CW11+預測IC!CY15</f>
        <v>4.8497731299661648</v>
      </c>
      <c r="CY11" s="11">
        <f>CX11+預測IC!CZ15</f>
        <v>4.8988958906105795</v>
      </c>
      <c r="CZ11" s="11">
        <f>CY11+預測IC!DA15</f>
        <v>4.9135606217344323</v>
      </c>
      <c r="DA11" s="11">
        <f>CZ11+預測IC!DB15</f>
        <v>4.9431300243012251</v>
      </c>
      <c r="DB11" s="11">
        <f>DA11+預測IC!DC15</f>
        <v>4.9466755203759174</v>
      </c>
      <c r="DC11" s="11">
        <f>DB11+預測IC!DD15</f>
        <v>4.9540322654878359</v>
      </c>
      <c r="DD11" s="11">
        <f>DC11+預測IC!DE15</f>
        <v>4.9273441972140777</v>
      </c>
      <c r="DE11" s="11">
        <f>DD11+預測IC!DF15</f>
        <v>4.8981753816363858</v>
      </c>
      <c r="DF11" s="11">
        <f>DE11+預測IC!DG15</f>
        <v>4.8315779522151505</v>
      </c>
      <c r="DG11" s="11">
        <f>DF11+預測IC!DH15</f>
        <v>4.8146371775310861</v>
      </c>
      <c r="DH11" s="11">
        <f>DG11+預測IC!DI15</f>
        <v>4.8542971613395363</v>
      </c>
      <c r="DI11" s="11">
        <f>DH11+預測IC!DJ15</f>
        <v>4.892908495300663</v>
      </c>
      <c r="DJ11" s="11">
        <f>DI11+預測IC!DK15</f>
        <v>4.8626361146864987</v>
      </c>
      <c r="DK11" s="11">
        <f>DJ11+預測IC!DL15</f>
        <v>4.8195820102093547</v>
      </c>
      <c r="DL11" s="11">
        <f>DK11+預測IC!DM15</f>
        <v>4.7898108963367054</v>
      </c>
      <c r="DM11" s="11">
        <f>DL11+預測IC!DN15</f>
        <v>4.7882841355580803</v>
      </c>
      <c r="DN11" s="11">
        <f>DM11+預測IC!DO15</f>
        <v>4.7624886729376801</v>
      </c>
      <c r="DO11" s="11">
        <f>DN11+預測IC!DP15</f>
        <v>4.7548511748064595</v>
      </c>
      <c r="DP11" s="11">
        <f>DO11+預測IC!DQ15</f>
        <v>4.755310554845952</v>
      </c>
      <c r="DQ11" s="11">
        <f>DP11+預測IC!DR15</f>
        <v>4.7528428918909293</v>
      </c>
      <c r="DR11" s="11">
        <f>DQ11+預測IC!DS15</f>
        <v>4.772050325639503</v>
      </c>
      <c r="DS11" s="11">
        <f>DR11+預測IC!DT15</f>
        <v>4.7777407754965244</v>
      </c>
      <c r="DT11" s="11">
        <f>DS11+預測IC!DU15</f>
        <v>4.7698698324406337</v>
      </c>
      <c r="DU11" s="11">
        <f>DT11+預測IC!DV15</f>
        <v>4.7636404849319316</v>
      </c>
      <c r="DV11" s="11">
        <f>DU11+預測IC!DW15</f>
        <v>4.7678876516431012</v>
      </c>
      <c r="DW11" s="11">
        <f>DV11+預測IC!DX15</f>
        <v>4.7642558600561351</v>
      </c>
      <c r="DX11" s="11">
        <f>DW11+預測IC!DY15</f>
        <v>4.7309204265148992</v>
      </c>
      <c r="DY11" s="11">
        <f>DX11+預測IC!DZ15</f>
        <v>4.701453235982366</v>
      </c>
      <c r="DZ11" s="11">
        <f>DY11+預測IC!EA15</f>
        <v>4.7201063795715408</v>
      </c>
      <c r="EA11" s="11">
        <f>DZ11+預測IC!EB15</f>
        <v>4.7254796832179258</v>
      </c>
      <c r="EB11" s="11">
        <f>EA11+預測IC!EC15</f>
        <v>4.7134398702214479</v>
      </c>
      <c r="EC11" s="11">
        <f>EB11+預測IC!ED15</f>
        <v>4.7331054960337671</v>
      </c>
      <c r="ED11" s="11">
        <f>EC11+預測IC!EE15</f>
        <v>4.7377537033819319</v>
      </c>
      <c r="EE11" s="11">
        <f>ED11+預測IC!EF15</f>
        <v>4.7373308734670392</v>
      </c>
    </row>
    <row r="12" spans="1:136" ht="16" customHeight="1">
      <c r="A12" s="6" t="s">
        <v>242</v>
      </c>
      <c r="B12" s="9">
        <v>0.56869310141554197</v>
      </c>
      <c r="C12" s="11">
        <f>B12+預測IC!D16</f>
        <v>1.1517403670151125</v>
      </c>
      <c r="D12" s="11">
        <f>C12+預測IC!E16</f>
        <v>1.6605003298328744</v>
      </c>
      <c r="E12" s="11">
        <f>D12+預測IC!F16</f>
        <v>2.3617070321988836</v>
      </c>
      <c r="F12" s="11">
        <f>E12+預測IC!G16</f>
        <v>2.9293520490383163</v>
      </c>
      <c r="G12" s="11">
        <f>F12+預測IC!H16</f>
        <v>3.4428873434821985</v>
      </c>
      <c r="H12" s="11">
        <f>G12+預測IC!I16</f>
        <v>3.9674851190711773</v>
      </c>
      <c r="I12" s="11">
        <f>H12+預測IC!J16</f>
        <v>4.5420114334905488</v>
      </c>
      <c r="J12" s="11">
        <f>I12+預測IC!K16</f>
        <v>5.0755444958614371</v>
      </c>
      <c r="K12" s="11">
        <f>J12+預測IC!L16</f>
        <v>5.5993843348366479</v>
      </c>
      <c r="L12" s="11">
        <f>K12+預測IC!M16</f>
        <v>6.2616032340003418</v>
      </c>
      <c r="M12" s="11">
        <f>L12+預測IC!N16</f>
        <v>6.7912898626422251</v>
      </c>
      <c r="N12" s="11">
        <f>M12+預測IC!O16</f>
        <v>6.8597680462753718</v>
      </c>
      <c r="O12" s="11">
        <f>N12+預測IC!P16</f>
        <v>6.8795143402918342</v>
      </c>
      <c r="P12" s="11">
        <f>O12+預測IC!Q16</f>
        <v>6.9042763758465</v>
      </c>
      <c r="Q12" s="11">
        <f>P12+預測IC!R16</f>
        <v>6.8751450310311064</v>
      </c>
      <c r="R12" s="11">
        <f>Q12+預測IC!S16</f>
        <v>6.7899771814083998</v>
      </c>
      <c r="S12" s="11">
        <f>R12+預測IC!T16</f>
        <v>6.8033033831777363</v>
      </c>
      <c r="T12" s="11">
        <f>S12+預測IC!U16</f>
        <v>6.830748272542877</v>
      </c>
      <c r="U12" s="11">
        <f>T12+預測IC!V16</f>
        <v>6.80969641456646</v>
      </c>
      <c r="V12" s="11">
        <f>U12+預測IC!W16</f>
        <v>6.7956858960868507</v>
      </c>
      <c r="W12" s="11">
        <f>V12+預測IC!X16</f>
        <v>6.7888597291251402</v>
      </c>
      <c r="X12" s="11">
        <f>W12+預測IC!Y16</f>
        <v>6.7713062694505686</v>
      </c>
      <c r="Y12" s="11">
        <f>X12+預測IC!Z16</f>
        <v>6.8488112363336935</v>
      </c>
      <c r="Z12" s="11">
        <f>Y12+預測IC!AA16</f>
        <v>6.7556052465027259</v>
      </c>
      <c r="AA12" s="11">
        <f>Z12+預測IC!AB16</f>
        <v>6.7240641977491222</v>
      </c>
      <c r="AB12" s="11">
        <f>AA12+預測IC!AC16</f>
        <v>6.7379867908886624</v>
      </c>
      <c r="AC12" s="11">
        <f>AB12+預測IC!AD16</f>
        <v>6.7572048803908542</v>
      </c>
      <c r="AD12" s="11">
        <f>AC12+預測IC!AE16</f>
        <v>6.7114384353927816</v>
      </c>
      <c r="AE12" s="11">
        <f>AD12+預測IC!AF16</f>
        <v>6.8187923698289854</v>
      </c>
      <c r="AF12" s="11">
        <f>AE12+預測IC!AG16</f>
        <v>6.814636497963706</v>
      </c>
      <c r="AG12" s="11">
        <f>AF12+預測IC!AH16</f>
        <v>6.8136913085207862</v>
      </c>
      <c r="AH12" s="11">
        <f>AG12+預測IC!AI16</f>
        <v>6.7478173888061237</v>
      </c>
      <c r="AI12" s="11">
        <f>AH12+預測IC!AJ16</f>
        <v>6.762587010100142</v>
      </c>
      <c r="AJ12" s="11">
        <f>AI12+預測IC!AK16</f>
        <v>6.7141464562774482</v>
      </c>
      <c r="AK12" s="11">
        <f>AJ12+預測IC!AL16</f>
        <v>6.6912337427100628</v>
      </c>
      <c r="AL12" s="11">
        <f>AK12+預測IC!AM16</f>
        <v>6.738584274241286</v>
      </c>
      <c r="AM12" s="11">
        <f>AL12+預測IC!AN16</f>
        <v>6.7359390584105814</v>
      </c>
      <c r="AN12" s="11">
        <f>AM12+預測IC!AO16</f>
        <v>6.7004860961134742</v>
      </c>
      <c r="AO12" s="11">
        <f>AN12+預測IC!AP16</f>
        <v>6.6693428401876673</v>
      </c>
      <c r="AP12" s="11">
        <f>AO12+預測IC!AQ16</f>
        <v>6.7369015977144766</v>
      </c>
      <c r="AQ12" s="11">
        <f>AP12+預測IC!AR16</f>
        <v>6.7758273283845272</v>
      </c>
      <c r="AR12" s="11">
        <f>AQ12+預測IC!AS16</f>
        <v>6.7260919274310531</v>
      </c>
      <c r="AS12" s="11">
        <f>AR12+預測IC!AT16</f>
        <v>6.7226110123482714</v>
      </c>
      <c r="AT12" s="11">
        <f>AS12+預測IC!AU16</f>
        <v>6.7816962213627745</v>
      </c>
      <c r="AU12" s="11">
        <f>AT12+預測IC!AV16</f>
        <v>6.791881589734186</v>
      </c>
      <c r="AV12" s="11">
        <f>AU12+預測IC!AW16</f>
        <v>6.7597034635983366</v>
      </c>
      <c r="AW12" s="11">
        <f>AV12+預測IC!AX16</f>
        <v>6.8085282353062562</v>
      </c>
      <c r="AX12" s="11">
        <f>AW12+預測IC!AY16</f>
        <v>6.8273184233501949</v>
      </c>
      <c r="AY12" s="11">
        <f>AX12+預測IC!AZ16</f>
        <v>6.8013598220675622</v>
      </c>
      <c r="AZ12" s="11">
        <f>AY12+預測IC!BA16</f>
        <v>6.8149353476496781</v>
      </c>
      <c r="BA12" s="11">
        <f>AZ12+預測IC!BB16</f>
        <v>6.7771182699466666</v>
      </c>
      <c r="BB12" s="11">
        <f>BA12+預測IC!BC16</f>
        <v>6.7197430465580466</v>
      </c>
      <c r="BC12" s="11">
        <f>BB12+預測IC!BD16</f>
        <v>6.6974841909696607</v>
      </c>
      <c r="BD12" s="11">
        <f>BC12+預測IC!BE16</f>
        <v>6.6918611240018917</v>
      </c>
      <c r="BE12" s="11">
        <f>BD12+預測IC!BF16</f>
        <v>6.6863456947866462</v>
      </c>
      <c r="BF12" s="11">
        <f>BE12+預測IC!BG16</f>
        <v>6.6750912319287572</v>
      </c>
      <c r="BG12" s="11">
        <f>BF12+預測IC!BH16</f>
        <v>6.7685811308531143</v>
      </c>
      <c r="BH12" s="11">
        <f>BG12+預測IC!BI16</f>
        <v>6.7343682673518961</v>
      </c>
      <c r="BI12" s="11">
        <f>BH12+預測IC!BJ16</f>
        <v>6.7457310170652764</v>
      </c>
      <c r="BJ12" s="11">
        <f>BI12+預測IC!BK16</f>
        <v>6.7804691864784363</v>
      </c>
      <c r="BK12" s="11">
        <f>BJ12+預測IC!BL16</f>
        <v>6.8195339299989914</v>
      </c>
      <c r="BL12" s="11">
        <f>BK12+預測IC!BM16</f>
        <v>6.8697858256641036</v>
      </c>
      <c r="BM12" s="11">
        <f>BL12+預測IC!BN16</f>
        <v>6.8919167423957779</v>
      </c>
      <c r="BN12" s="11">
        <f>BM12+預測IC!BO16</f>
        <v>6.8644915930907828</v>
      </c>
      <c r="BO12" s="11">
        <f>BN12+預測IC!BP16</f>
        <v>6.9629095517159261</v>
      </c>
      <c r="BP12" s="11">
        <f>BO12+預測IC!BQ16</f>
        <v>6.9764879757917617</v>
      </c>
      <c r="BQ12" s="11">
        <f>BP12+預測IC!BR16</f>
        <v>6.8639384308005207</v>
      </c>
      <c r="BR12" s="11">
        <f>BQ12+預測IC!BS16</f>
        <v>6.8650288302230251</v>
      </c>
      <c r="BS12" s="11">
        <f>BR12+預測IC!BT16</f>
        <v>6.9263597811299666</v>
      </c>
      <c r="BT12" s="11">
        <f>BS12+預測IC!BU16</f>
        <v>6.9297271691259512</v>
      </c>
      <c r="BU12" s="11">
        <f>BT12+預測IC!BV16</f>
        <v>7.0020615429448485</v>
      </c>
      <c r="BV12" s="11">
        <f>BU12+預測IC!BW16</f>
        <v>6.9515840531448996</v>
      </c>
      <c r="BW12" s="11">
        <f>BV12+預測IC!BX16</f>
        <v>6.9490420649168376</v>
      </c>
      <c r="BX12" s="11">
        <f>BW12+預測IC!BY16</f>
        <v>6.9413849983548328</v>
      </c>
      <c r="BY12" s="11">
        <f>BX12+預測IC!BZ16</f>
        <v>6.9482009612167861</v>
      </c>
      <c r="BZ12" s="11">
        <f>BY12+預測IC!CA16</f>
        <v>6.9698636329878543</v>
      </c>
      <c r="CA12" s="11">
        <f>BZ12+預測IC!CB16</f>
        <v>7.0093164656021578</v>
      </c>
      <c r="CB12" s="11">
        <f>CA12+預測IC!CC16</f>
        <v>7.0183823472394593</v>
      </c>
      <c r="CC12" s="11">
        <f>CB12+預測IC!CD16</f>
        <v>7.0497641248062051</v>
      </c>
      <c r="CD12" s="11">
        <f>CC12+預測IC!CE16</f>
        <v>7.0906023506783518</v>
      </c>
      <c r="CE12" s="11">
        <f>CD12+預測IC!CF16</f>
        <v>7.1198048084301275</v>
      </c>
      <c r="CF12" s="11">
        <f>CE12+預測IC!CG16</f>
        <v>7.1205407428596494</v>
      </c>
      <c r="CG12" s="11">
        <f>CF12+預測IC!CH16</f>
        <v>7.1177898557493764</v>
      </c>
      <c r="CH12" s="11">
        <f>CG12+預測IC!CI16</f>
        <v>7.1574106268437481</v>
      </c>
      <c r="CI12" s="11">
        <f>CH12+預測IC!CJ16</f>
        <v>7.1828838058075855</v>
      </c>
      <c r="CJ12" s="11">
        <f>CI12+預測IC!CK16</f>
        <v>7.1785785407037661</v>
      </c>
      <c r="CK12" s="11">
        <f>CJ12+預測IC!CL16</f>
        <v>7.0843488847900513</v>
      </c>
      <c r="CL12" s="11">
        <f>CK12+預測IC!CM16</f>
        <v>7.0386290379080494</v>
      </c>
      <c r="CM12" s="11">
        <f>CL12+預測IC!CN16</f>
        <v>7.1226488326102757</v>
      </c>
      <c r="CN12" s="11">
        <f>CM12+預測IC!CO16</f>
        <v>7.1135691327416586</v>
      </c>
      <c r="CO12" s="11">
        <f>CN12+預測IC!CP16</f>
        <v>7.1836251034576559</v>
      </c>
      <c r="CP12" s="11">
        <f>CO12+預測IC!CQ16</f>
        <v>7.1016953443387507</v>
      </c>
      <c r="CQ12" s="11">
        <f>CP12+預測IC!CR16</f>
        <v>6.9686376583132414</v>
      </c>
      <c r="CR12" s="11">
        <f>CQ12+預測IC!CS16</f>
        <v>6.9203958655646938</v>
      </c>
      <c r="CS12" s="11">
        <f>CR12+預測IC!CT16</f>
        <v>6.9502952024385802</v>
      </c>
      <c r="CT12" s="11">
        <f>CS12+預測IC!CU16</f>
        <v>6.8443109645939124</v>
      </c>
      <c r="CU12" s="11">
        <f>CT12+預測IC!CV16</f>
        <v>6.8252792765012265</v>
      </c>
      <c r="CV12" s="11">
        <f>CU12+預測IC!CW16</f>
        <v>6.8645652788383016</v>
      </c>
      <c r="CW12" s="11">
        <f>CV12+預測IC!CX16</f>
        <v>6.9094357955517838</v>
      </c>
      <c r="CX12" s="11">
        <f>CW12+預測IC!CY16</f>
        <v>6.882991255023458</v>
      </c>
      <c r="CY12" s="11">
        <f>CX12+預測IC!CZ16</f>
        <v>6.916434286213561</v>
      </c>
      <c r="CZ12" s="11">
        <f>CY12+預測IC!DA16</f>
        <v>6.9608913417568443</v>
      </c>
      <c r="DA12" s="11">
        <f>CZ12+預測IC!DB16</f>
        <v>7.0943637403853312</v>
      </c>
      <c r="DB12" s="11">
        <f>DA12+預測IC!DC16</f>
        <v>6.9881551571632503</v>
      </c>
      <c r="DC12" s="11">
        <f>DB12+預測IC!DD16</f>
        <v>6.9856988978245651</v>
      </c>
      <c r="DD12" s="11">
        <f>DC12+預測IC!DE16</f>
        <v>7.0015666073744631</v>
      </c>
      <c r="DE12" s="11">
        <f>DD12+預測IC!DF16</f>
        <v>6.9556035425469434</v>
      </c>
      <c r="DF12" s="11">
        <f>DE12+預測IC!DG16</f>
        <v>6.8889548450865661</v>
      </c>
      <c r="DG12" s="11">
        <f>DF12+預測IC!DH16</f>
        <v>6.8899614898595702</v>
      </c>
      <c r="DH12" s="11">
        <f>DG12+預測IC!DI16</f>
        <v>6.9075989975660068</v>
      </c>
      <c r="DI12" s="11">
        <f>DH12+預測IC!DJ16</f>
        <v>7.0190776028027893</v>
      </c>
      <c r="DJ12" s="11">
        <f>DI12+預測IC!DK16</f>
        <v>6.9604342661435492</v>
      </c>
      <c r="DK12" s="11">
        <f>DJ12+預測IC!DL16</f>
        <v>6.9061253938249374</v>
      </c>
      <c r="DL12" s="11">
        <f>DK12+預測IC!DM16</f>
        <v>6.8003555347231313</v>
      </c>
      <c r="DM12" s="11">
        <f>DL12+預測IC!DN16</f>
        <v>6.817300720057462</v>
      </c>
      <c r="DN12" s="11">
        <f>DM12+預測IC!DO16</f>
        <v>6.7645050766519823</v>
      </c>
      <c r="DO12" s="11">
        <f>DN12+預測IC!DP16</f>
        <v>6.7578306042996044</v>
      </c>
      <c r="DP12" s="11">
        <f>DO12+預測IC!DQ16</f>
        <v>6.7357396000773884</v>
      </c>
      <c r="DQ12" s="11">
        <f>DP12+預測IC!DR16</f>
        <v>6.7459632092585649</v>
      </c>
      <c r="DR12" s="11">
        <f>DQ12+預測IC!DS16</f>
        <v>6.7849658998612865</v>
      </c>
      <c r="DS12" s="11">
        <f>DR12+預測IC!DT16</f>
        <v>6.8110136059737556</v>
      </c>
      <c r="DT12" s="11">
        <f>DS12+預測IC!DU16</f>
        <v>6.8195930664651341</v>
      </c>
      <c r="DU12" s="11">
        <f>DT12+預測IC!DV16</f>
        <v>6.7876321638575652</v>
      </c>
      <c r="DV12" s="11">
        <f>DU12+預測IC!DW16</f>
        <v>6.8077927041157578</v>
      </c>
      <c r="DW12" s="11">
        <f>DV12+預測IC!DX16</f>
        <v>6.751852872715741</v>
      </c>
      <c r="DX12" s="11">
        <f>DW12+預測IC!DY16</f>
        <v>6.7070888310031229</v>
      </c>
      <c r="DY12" s="11">
        <f>DX12+預測IC!DZ16</f>
        <v>6.6833583305490736</v>
      </c>
      <c r="DZ12" s="11">
        <f>DY12+預測IC!EA16</f>
        <v>6.71320303931489</v>
      </c>
      <c r="EA12" s="11">
        <f>DZ12+預測IC!EB16</f>
        <v>6.6910823992146682</v>
      </c>
      <c r="EB12" s="11">
        <f>EA12+預測IC!EC16</f>
        <v>6.6821831620287551</v>
      </c>
      <c r="EC12" s="11">
        <f>EB12+預測IC!ED16</f>
        <v>6.6891294058394513</v>
      </c>
      <c r="ED12" s="11">
        <f>EC12+預測IC!EE16</f>
        <v>6.67234468065271</v>
      </c>
      <c r="EE12" s="11">
        <f>ED12+預測IC!EF16</f>
        <v>6.6914498873298838</v>
      </c>
    </row>
    <row r="13" spans="1:136" ht="16" customHeight="1">
      <c r="A13" s="6" t="s">
        <v>243</v>
      </c>
      <c r="B13" s="9">
        <v>0.70578592605259094</v>
      </c>
      <c r="C13" s="11">
        <f>B13+預測IC!D17</f>
        <v>1.4238463564325006</v>
      </c>
      <c r="D13" s="11">
        <f>C13+預測IC!E17</f>
        <v>2.0136412931973315</v>
      </c>
      <c r="E13" s="11">
        <f>D13+預測IC!F17</f>
        <v>2.9312101122136829</v>
      </c>
      <c r="F13" s="11">
        <f>E13+預測IC!G17</f>
        <v>3.6160040553044288</v>
      </c>
      <c r="G13" s="11">
        <f>F13+預測IC!H17</f>
        <v>4.2076286063857298</v>
      </c>
      <c r="H13" s="11">
        <f>G13+預測IC!I17</f>
        <v>4.7709770080124105</v>
      </c>
      <c r="I13" s="11">
        <f>H13+預測IC!J17</f>
        <v>5.4727491703700988</v>
      </c>
      <c r="J13" s="11">
        <f>I13+預測IC!K17</f>
        <v>6.167181044052696</v>
      </c>
      <c r="K13" s="11">
        <f>J13+預測IC!L17</f>
        <v>6.8087006887305543</v>
      </c>
      <c r="L13" s="11">
        <f>K13+預測IC!M17</f>
        <v>7.7144352114970509</v>
      </c>
      <c r="M13" s="11">
        <f>L13+預測IC!N17</f>
        <v>8.4049653423777482</v>
      </c>
      <c r="N13" s="11">
        <f>M13+預測IC!O17</f>
        <v>8.514510090631914</v>
      </c>
      <c r="O13" s="11">
        <f>N13+預測IC!P17</f>
        <v>8.5289782155637734</v>
      </c>
      <c r="P13" s="11">
        <f>O13+預測IC!Q17</f>
        <v>8.4592429421549031</v>
      </c>
      <c r="Q13" s="11">
        <f>P13+預測IC!R17</f>
        <v>8.4182868684141088</v>
      </c>
      <c r="R13" s="11">
        <f>Q13+預測IC!S17</f>
        <v>8.3450008060502636</v>
      </c>
      <c r="S13" s="11">
        <f>R13+預測IC!T17</f>
        <v>8.3044200377575184</v>
      </c>
      <c r="T13" s="11">
        <f>S13+預測IC!U17</f>
        <v>8.3515756143908373</v>
      </c>
      <c r="U13" s="11">
        <f>T13+預測IC!V17</f>
        <v>8.350688143156038</v>
      </c>
      <c r="V13" s="11">
        <f>U13+預測IC!W17</f>
        <v>8.3174899261122555</v>
      </c>
      <c r="W13" s="11">
        <f>V13+預測IC!X17</f>
        <v>8.3385721019392829</v>
      </c>
      <c r="X13" s="11">
        <f>W13+預測IC!Y17</f>
        <v>8.3258902351130679</v>
      </c>
      <c r="Y13" s="11">
        <f>X13+預測IC!Z17</f>
        <v>8.3988322466866627</v>
      </c>
      <c r="Z13" s="11">
        <f>Y13+預測IC!AA17</f>
        <v>8.2354443276647533</v>
      </c>
      <c r="AA13" s="11">
        <f>Z13+預測IC!AB17</f>
        <v>8.2102277559181314</v>
      </c>
      <c r="AB13" s="11">
        <f>AA13+預測IC!AC17</f>
        <v>8.234326485583745</v>
      </c>
      <c r="AC13" s="11">
        <f>AB13+預測IC!AD17</f>
        <v>8.2721318906851842</v>
      </c>
      <c r="AD13" s="11">
        <f>AC13+預測IC!AE17</f>
        <v>8.2410171977461744</v>
      </c>
      <c r="AE13" s="11">
        <f>AD13+預測IC!AF17</f>
        <v>8.4143145854120984</v>
      </c>
      <c r="AF13" s="11">
        <f>AE13+預測IC!AG17</f>
        <v>8.396152138280792</v>
      </c>
      <c r="AG13" s="11">
        <f>AF13+預測IC!AH17</f>
        <v>8.3766237249368842</v>
      </c>
      <c r="AH13" s="11">
        <f>AG13+預測IC!AI17</f>
        <v>8.3286961028775615</v>
      </c>
      <c r="AI13" s="11">
        <f>AH13+預測IC!AJ17</f>
        <v>8.2986954644944344</v>
      </c>
      <c r="AJ13" s="11">
        <f>AI13+預測IC!AK17</f>
        <v>8.2130418205824576</v>
      </c>
      <c r="AK13" s="11">
        <f>AJ13+預測IC!AL17</f>
        <v>8.151818755726552</v>
      </c>
      <c r="AL13" s="11">
        <f>AK13+預測IC!AM17</f>
        <v>8.3104294791025062</v>
      </c>
      <c r="AM13" s="11">
        <f>AL13+預測IC!AN17</f>
        <v>8.3381073665459517</v>
      </c>
      <c r="AN13" s="11">
        <f>AM13+預測IC!AO17</f>
        <v>8.3172682640236246</v>
      </c>
      <c r="AO13" s="11">
        <f>AN13+預測IC!AP17</f>
        <v>8.2400928800592617</v>
      </c>
      <c r="AP13" s="11">
        <f>AO13+預測IC!AQ17</f>
        <v>8.3567761454467284</v>
      </c>
      <c r="AQ13" s="11">
        <f>AP13+預測IC!AR17</f>
        <v>8.3865295189782305</v>
      </c>
      <c r="AR13" s="11">
        <f>AQ13+預測IC!AS17</f>
        <v>8.3390233506519191</v>
      </c>
      <c r="AS13" s="11">
        <f>AR13+預測IC!AT17</f>
        <v>8.3270944802361857</v>
      </c>
      <c r="AT13" s="11">
        <f>AS13+預測IC!AU17</f>
        <v>8.3147864031179708</v>
      </c>
      <c r="AU13" s="11">
        <f>AT13+預測IC!AV17</f>
        <v>8.3457524033684205</v>
      </c>
      <c r="AV13" s="11">
        <f>AU13+預測IC!AW17</f>
        <v>8.2645379142187032</v>
      </c>
      <c r="AW13" s="11">
        <f>AV13+預測IC!AX17</f>
        <v>8.2746121762638758</v>
      </c>
      <c r="AX13" s="11">
        <f>AW13+預測IC!AY17</f>
        <v>8.3206721226295848</v>
      </c>
      <c r="AY13" s="11">
        <f>AX13+預測IC!AZ17</f>
        <v>8.3268997023378031</v>
      </c>
      <c r="AZ13" s="11">
        <f>AY13+預測IC!BA17</f>
        <v>8.385868656727002</v>
      </c>
      <c r="BA13" s="11">
        <f>AZ13+預測IC!BB17</f>
        <v>8.3267375695743286</v>
      </c>
      <c r="BB13" s="11">
        <f>BA13+預測IC!BC17</f>
        <v>8.3091930144522479</v>
      </c>
      <c r="BC13" s="11">
        <f>BB13+預測IC!BD17</f>
        <v>8.2323982885361939</v>
      </c>
      <c r="BD13" s="11">
        <f>BC13+預測IC!BE17</f>
        <v>8.2057450187684786</v>
      </c>
      <c r="BE13" s="11">
        <f>BD13+預測IC!BF17</f>
        <v>8.2433518450436054</v>
      </c>
      <c r="BF13" s="11">
        <f>BE13+預測IC!BG17</f>
        <v>8.2899970442651885</v>
      </c>
      <c r="BG13" s="11">
        <f>BF13+預測IC!BH17</f>
        <v>8.4530781105311714</v>
      </c>
      <c r="BH13" s="11">
        <f>BG13+預測IC!BI17</f>
        <v>8.4120405322657597</v>
      </c>
      <c r="BI13" s="11">
        <f>BH13+預測IC!BJ17</f>
        <v>8.4671798135640817</v>
      </c>
      <c r="BJ13" s="11">
        <f>BI13+預測IC!BK17</f>
        <v>8.5080095187913081</v>
      </c>
      <c r="BK13" s="11">
        <f>BJ13+預測IC!BL17</f>
        <v>8.5922926251717797</v>
      </c>
      <c r="BL13" s="11">
        <f>BK13+預測IC!BM17</f>
        <v>8.6175578359940914</v>
      </c>
      <c r="BM13" s="11">
        <f>BL13+預測IC!BN17</f>
        <v>8.630938400198465</v>
      </c>
      <c r="BN13" s="11">
        <f>BM13+預測IC!BO17</f>
        <v>8.6160804976968688</v>
      </c>
      <c r="BO13" s="11">
        <f>BN13+預測IC!BP17</f>
        <v>8.6953345774850863</v>
      </c>
      <c r="BP13" s="11">
        <f>BO13+預測IC!BQ17</f>
        <v>8.6994067524940153</v>
      </c>
      <c r="BQ13" s="11">
        <f>BP13+預測IC!BR17</f>
        <v>8.5897384528510958</v>
      </c>
      <c r="BR13" s="11">
        <f>BQ13+預測IC!BS17</f>
        <v>8.5834884175253734</v>
      </c>
      <c r="BS13" s="11">
        <f>BR13+預測IC!BT17</f>
        <v>8.6379293604389336</v>
      </c>
      <c r="BT13" s="11">
        <f>BS13+預測IC!BU17</f>
        <v>8.6334542863417489</v>
      </c>
      <c r="BU13" s="11">
        <f>BT13+預測IC!BV17</f>
        <v>8.7262625479167983</v>
      </c>
      <c r="BV13" s="11">
        <f>BU13+預測IC!BW17</f>
        <v>8.5799175703796937</v>
      </c>
      <c r="BW13" s="11">
        <f>BV13+預測IC!BX17</f>
        <v>8.5892455574871196</v>
      </c>
      <c r="BX13" s="11">
        <f>BW13+預測IC!BY17</f>
        <v>8.5511507915583902</v>
      </c>
      <c r="BY13" s="11">
        <f>BX13+預測IC!BZ17</f>
        <v>8.5820359244407811</v>
      </c>
      <c r="BZ13" s="11">
        <f>BY13+預測IC!CA17</f>
        <v>8.5640262598806576</v>
      </c>
      <c r="CA13" s="11">
        <f>BZ13+預測IC!CB17</f>
        <v>8.6434798050978774</v>
      </c>
      <c r="CB13" s="11">
        <f>CA13+預測IC!CC17</f>
        <v>8.6992509011397008</v>
      </c>
      <c r="CC13" s="11">
        <f>CB13+預測IC!CD17</f>
        <v>8.7072002128716388</v>
      </c>
      <c r="CD13" s="11">
        <f>CC13+預測IC!CE17</f>
        <v>8.7602249172578848</v>
      </c>
      <c r="CE13" s="11">
        <f>CD13+預測IC!CF17</f>
        <v>8.7630605587687622</v>
      </c>
      <c r="CF13" s="11">
        <f>CE13+預測IC!CG17</f>
        <v>8.7694264414928025</v>
      </c>
      <c r="CG13" s="11">
        <f>CF13+預測IC!CH17</f>
        <v>8.7795841906627299</v>
      </c>
      <c r="CH13" s="11">
        <f>CG13+預測IC!CI17</f>
        <v>8.8316090703507388</v>
      </c>
      <c r="CI13" s="11">
        <f>CH13+預測IC!CJ17</f>
        <v>8.8527894810892303</v>
      </c>
      <c r="CJ13" s="11">
        <f>CI13+預測IC!CK17</f>
        <v>8.7832202797734666</v>
      </c>
      <c r="CK13" s="11">
        <f>CJ13+預測IC!CL17</f>
        <v>8.7480162031894011</v>
      </c>
      <c r="CL13" s="11">
        <f>CK13+預測IC!CM17</f>
        <v>8.8107175506440036</v>
      </c>
      <c r="CM13" s="11">
        <f>CL13+預測IC!CN17</f>
        <v>8.9179218536965994</v>
      </c>
      <c r="CN13" s="11">
        <f>CM13+預測IC!CO17</f>
        <v>8.9552271116767983</v>
      </c>
      <c r="CO13" s="11">
        <f>CN13+預測IC!CP17</f>
        <v>9.1086997668558709</v>
      </c>
      <c r="CP13" s="11">
        <f>CO13+預測IC!CQ17</f>
        <v>8.9819227311275913</v>
      </c>
      <c r="CQ13" s="11">
        <f>CP13+預測IC!CR17</f>
        <v>8.6858000325965818</v>
      </c>
      <c r="CR13" s="11">
        <f>CQ13+預測IC!CS17</f>
        <v>8.6582531655545338</v>
      </c>
      <c r="CS13" s="11">
        <f>CR13+預測IC!CT17</f>
        <v>8.6567860584888177</v>
      </c>
      <c r="CT13" s="11">
        <f>CS13+預測IC!CU17</f>
        <v>8.5831067057172863</v>
      </c>
      <c r="CU13" s="11">
        <f>CT13+預測IC!CV17</f>
        <v>8.5465296246898603</v>
      </c>
      <c r="CV13" s="11">
        <f>CU13+預測IC!CW17</f>
        <v>8.6104185559756203</v>
      </c>
      <c r="CW13" s="11">
        <f>CV13+預測IC!CX17</f>
        <v>8.640095802255102</v>
      </c>
      <c r="CX13" s="11">
        <f>CW13+預測IC!CY17</f>
        <v>8.6171656952557019</v>
      </c>
      <c r="CY13" s="11">
        <f>CX13+預測IC!CZ17</f>
        <v>8.646077447914136</v>
      </c>
      <c r="CZ13" s="11">
        <f>CY13+預測IC!DA17</f>
        <v>8.6688080164718748</v>
      </c>
      <c r="DA13" s="11">
        <f>CZ13+預測IC!DB17</f>
        <v>8.7851974390636247</v>
      </c>
      <c r="DB13" s="11">
        <f>DA13+預測IC!DC17</f>
        <v>8.6708354949099675</v>
      </c>
      <c r="DC13" s="11">
        <f>DB13+預測IC!DD17</f>
        <v>8.6602185238152565</v>
      </c>
      <c r="DD13" s="11">
        <f>DC13+預測IC!DE17</f>
        <v>8.6796741452161577</v>
      </c>
      <c r="DE13" s="11">
        <f>DD13+預測IC!DF17</f>
        <v>8.648966508370366</v>
      </c>
      <c r="DF13" s="11">
        <f>DE13+預測IC!DG17</f>
        <v>8.6001542925491563</v>
      </c>
      <c r="DG13" s="11">
        <f>DF13+預測IC!DH17</f>
        <v>8.573950859534051</v>
      </c>
      <c r="DH13" s="11">
        <f>DG13+預測IC!DI17</f>
        <v>8.6785650627095645</v>
      </c>
      <c r="DI13" s="11">
        <f>DH13+預測IC!DJ17</f>
        <v>8.790920804117599</v>
      </c>
      <c r="DJ13" s="11">
        <f>DI13+預測IC!DK17</f>
        <v>8.6923838132588482</v>
      </c>
      <c r="DK13" s="11">
        <f>DJ13+預測IC!DL17</f>
        <v>8.6370145726149516</v>
      </c>
      <c r="DL13" s="11">
        <f>DK13+預測IC!DM17</f>
        <v>8.5468807552504664</v>
      </c>
      <c r="DM13" s="11">
        <f>DL13+預測IC!DN17</f>
        <v>8.5430383245306949</v>
      </c>
      <c r="DN13" s="11">
        <f>DM13+預測IC!DO17</f>
        <v>8.4932092564540209</v>
      </c>
      <c r="DO13" s="11">
        <f>DN13+預測IC!DP17</f>
        <v>8.4700336825679159</v>
      </c>
      <c r="DP13" s="11">
        <f>DO13+預測IC!DQ17</f>
        <v>8.4033688503649202</v>
      </c>
      <c r="DQ13" s="11">
        <f>DP13+預測IC!DR17</f>
        <v>8.3962933972092291</v>
      </c>
      <c r="DR13" s="11">
        <f>DQ13+預測IC!DS17</f>
        <v>8.4636544094364368</v>
      </c>
      <c r="DS13" s="11">
        <f>DR13+預測IC!DT17</f>
        <v>8.4838449601197858</v>
      </c>
      <c r="DT13" s="11">
        <f>DS13+預測IC!DU17</f>
        <v>8.4917297046942597</v>
      </c>
      <c r="DU13" s="11">
        <f>DT13+預測IC!DV17</f>
        <v>8.4840717038611171</v>
      </c>
      <c r="DV13" s="11">
        <f>DU13+預測IC!DW17</f>
        <v>8.5611833590339081</v>
      </c>
      <c r="DW13" s="11">
        <f>DV13+預測IC!DX17</f>
        <v>8.5080295735092992</v>
      </c>
      <c r="DX13" s="11">
        <f>DW13+預測IC!DY17</f>
        <v>8.5045187309709309</v>
      </c>
      <c r="DY13" s="11">
        <f>DX13+預測IC!DZ17</f>
        <v>8.513221718892078</v>
      </c>
      <c r="DZ13" s="11">
        <f>DY13+預測IC!EA17</f>
        <v>8.5324132014390202</v>
      </c>
      <c r="EA13" s="11">
        <f>DZ13+預測IC!EB17</f>
        <v>8.5626266754587803</v>
      </c>
      <c r="EB13" s="11">
        <f>EA13+預測IC!EC17</f>
        <v>8.5182079669370747</v>
      </c>
      <c r="EC13" s="11">
        <f>EB13+預測IC!ED17</f>
        <v>8.529542316271117</v>
      </c>
      <c r="ED13" s="11">
        <f>EC13+預測IC!EE17</f>
        <v>8.498740571299507</v>
      </c>
      <c r="EE13" s="11">
        <f>ED13+預測IC!EF17</f>
        <v>8.5189950666741439</v>
      </c>
    </row>
    <row r="14" spans="1:136" ht="16" customHeight="1">
      <c r="A14" s="6" t="s">
        <v>244</v>
      </c>
      <c r="B14" s="9">
        <v>0.73827782114429374</v>
      </c>
      <c r="C14" s="11">
        <f>B14+預測IC!D18</f>
        <v>1.4867643016862218</v>
      </c>
      <c r="D14" s="11">
        <f>C14+預測IC!E18</f>
        <v>2.0896514703774782</v>
      </c>
      <c r="E14" s="11">
        <f>D14+預測IC!F18</f>
        <v>3.0610000376620481</v>
      </c>
      <c r="F14" s="11">
        <f>E14+預測IC!G18</f>
        <v>3.7628670425576241</v>
      </c>
      <c r="G14" s="11">
        <f>F14+預測IC!H18</f>
        <v>4.3692769580677435</v>
      </c>
      <c r="H14" s="11">
        <f>G14+預測IC!I18</f>
        <v>4.9499432311850562</v>
      </c>
      <c r="I14" s="11">
        <f>H14+預測IC!J18</f>
        <v>5.6724017245057246</v>
      </c>
      <c r="J14" s="11">
        <f>I14+預測IC!K18</f>
        <v>6.3921481758477832</v>
      </c>
      <c r="K14" s="11">
        <f>J14+預測IC!L18</f>
        <v>7.0556638497307897</v>
      </c>
      <c r="L14" s="11">
        <f>K14+預測IC!M18</f>
        <v>7.9981646318083914</v>
      </c>
      <c r="M14" s="11">
        <f>L14+預測IC!N18</f>
        <v>8.7163173453192844</v>
      </c>
      <c r="N14" s="11">
        <f>M14+預測IC!O18</f>
        <v>8.8128587037840873</v>
      </c>
      <c r="O14" s="11">
        <f>N14+預測IC!P18</f>
        <v>8.8196397500345718</v>
      </c>
      <c r="P14" s="11">
        <f>O14+預測IC!Q18</f>
        <v>8.7311627853741722</v>
      </c>
      <c r="Q14" s="11">
        <f>P14+預測IC!R18</f>
        <v>8.7071043714133705</v>
      </c>
      <c r="R14" s="11">
        <f>Q14+預測IC!S18</f>
        <v>8.583633331068544</v>
      </c>
      <c r="S14" s="11">
        <f>R14+預測IC!T18</f>
        <v>8.5915664245639398</v>
      </c>
      <c r="T14" s="11">
        <f>S14+預測IC!U18</f>
        <v>8.6241352645117715</v>
      </c>
      <c r="U14" s="11">
        <f>T14+預測IC!V18</f>
        <v>8.6374131422576692</v>
      </c>
      <c r="V14" s="11">
        <f>U14+預測IC!W18</f>
        <v>8.6016441607009835</v>
      </c>
      <c r="W14" s="11">
        <f>V14+預測IC!X18</f>
        <v>8.6466007895555528</v>
      </c>
      <c r="X14" s="11">
        <f>W14+預測IC!Y18</f>
        <v>8.640492679316079</v>
      </c>
      <c r="Y14" s="11">
        <f>X14+預測IC!Z18</f>
        <v>8.698507314890378</v>
      </c>
      <c r="Z14" s="11">
        <f>Y14+預測IC!AA18</f>
        <v>8.527194426480218</v>
      </c>
      <c r="AA14" s="11">
        <f>Z14+預測IC!AB18</f>
        <v>8.518275061677862</v>
      </c>
      <c r="AB14" s="11">
        <f>AA14+預測IC!AC18</f>
        <v>8.5382715309098653</v>
      </c>
      <c r="AC14" s="11">
        <f>AB14+預測IC!AD18</f>
        <v>8.5859935490866324</v>
      </c>
      <c r="AD14" s="11">
        <f>AC14+預測IC!AE18</f>
        <v>8.5538224515595775</v>
      </c>
      <c r="AE14" s="11">
        <f>AD14+預測IC!AF18</f>
        <v>8.7425248316035926</v>
      </c>
      <c r="AF14" s="11">
        <f>AE14+預測IC!AG18</f>
        <v>8.7296185589736428</v>
      </c>
      <c r="AG14" s="11">
        <f>AF14+預測IC!AH18</f>
        <v>8.7180115711400532</v>
      </c>
      <c r="AH14" s="11">
        <f>AG14+預測IC!AI18</f>
        <v>8.670508077968254</v>
      </c>
      <c r="AI14" s="11">
        <f>AH14+預測IC!AJ18</f>
        <v>8.6382703594863433</v>
      </c>
      <c r="AJ14" s="11">
        <f>AI14+預測IC!AK18</f>
        <v>8.5723324711609212</v>
      </c>
      <c r="AK14" s="11">
        <f>AJ14+預測IC!AL18</f>
        <v>8.50842765471441</v>
      </c>
      <c r="AL14" s="11">
        <f>AK14+預測IC!AM18</f>
        <v>8.6796401035977606</v>
      </c>
      <c r="AM14" s="11">
        <f>AL14+預測IC!AN18</f>
        <v>8.6943853459355793</v>
      </c>
      <c r="AN14" s="11">
        <f>AM14+預測IC!AO18</f>
        <v>8.6716894488037131</v>
      </c>
      <c r="AO14" s="11">
        <f>AN14+預測IC!AP18</f>
        <v>8.5999280795851742</v>
      </c>
      <c r="AP14" s="11">
        <f>AO14+預測IC!AQ18</f>
        <v>8.7288857562348081</v>
      </c>
      <c r="AQ14" s="11">
        <f>AP14+預測IC!AR18</f>
        <v>8.7688475940126924</v>
      </c>
      <c r="AR14" s="11">
        <f>AQ14+預測IC!AS18</f>
        <v>8.7038635055694922</v>
      </c>
      <c r="AS14" s="11">
        <f>AR14+預測IC!AT18</f>
        <v>8.6950494468183628</v>
      </c>
      <c r="AT14" s="11">
        <f>AS14+預測IC!AU18</f>
        <v>8.6771673687329116</v>
      </c>
      <c r="AU14" s="11">
        <f>AT14+預測IC!AV18</f>
        <v>8.7031609416340086</v>
      </c>
      <c r="AV14" s="11">
        <f>AU14+預測IC!AW18</f>
        <v>8.6306233468507827</v>
      </c>
      <c r="AW14" s="11">
        <f>AV14+預測IC!AX18</f>
        <v>8.6337250588143153</v>
      </c>
      <c r="AX14" s="11">
        <f>AW14+預測IC!AY18</f>
        <v>8.7087463109210947</v>
      </c>
      <c r="AY14" s="11">
        <f>AX14+預測IC!AZ18</f>
        <v>8.6933473792806808</v>
      </c>
      <c r="AZ14" s="11">
        <f>AY14+預測IC!BA18</f>
        <v>8.7041848565573279</v>
      </c>
      <c r="BA14" s="11">
        <f>AZ14+預測IC!BB18</f>
        <v>8.6247000209799154</v>
      </c>
      <c r="BB14" s="11">
        <f>BA14+預測IC!BC18</f>
        <v>8.6269581846137022</v>
      </c>
      <c r="BC14" s="11">
        <f>BB14+預測IC!BD18</f>
        <v>8.5469838681547579</v>
      </c>
      <c r="BD14" s="11">
        <f>BC14+預測IC!BE18</f>
        <v>8.5266770946610091</v>
      </c>
      <c r="BE14" s="11">
        <f>BD14+預測IC!BF18</f>
        <v>8.5715455359641055</v>
      </c>
      <c r="BF14" s="11">
        <f>BE14+預測IC!BG18</f>
        <v>8.6376317564188394</v>
      </c>
      <c r="BG14" s="11">
        <f>BF14+預測IC!BH18</f>
        <v>8.7756813652333872</v>
      </c>
      <c r="BH14" s="11">
        <f>BG14+預測IC!BI18</f>
        <v>8.728920578286564</v>
      </c>
      <c r="BI14" s="11">
        <f>BH14+預測IC!BJ18</f>
        <v>8.8015192164532934</v>
      </c>
      <c r="BJ14" s="11">
        <f>BI14+預測IC!BK18</f>
        <v>8.8484843042004453</v>
      </c>
      <c r="BK14" s="11">
        <f>BJ14+預測IC!BL18</f>
        <v>8.9226574181403908</v>
      </c>
      <c r="BL14" s="11">
        <f>BK14+預測IC!BM18</f>
        <v>8.9379254756693722</v>
      </c>
      <c r="BM14" s="11">
        <f>BL14+預測IC!BN18</f>
        <v>8.9466691368695201</v>
      </c>
      <c r="BN14" s="11">
        <f>BM14+預測IC!BO18</f>
        <v>8.917065597859132</v>
      </c>
      <c r="BO14" s="11">
        <f>BN14+預測IC!BP18</f>
        <v>9.0037547115175407</v>
      </c>
      <c r="BP14" s="11">
        <f>BO14+預測IC!BQ18</f>
        <v>9.0115290622706077</v>
      </c>
      <c r="BQ14" s="11">
        <f>BP14+預測IC!BR18</f>
        <v>8.9200472895712171</v>
      </c>
      <c r="BR14" s="11">
        <f>BQ14+預測IC!BS18</f>
        <v>8.9139076067720833</v>
      </c>
      <c r="BS14" s="11">
        <f>BR14+預測IC!BT18</f>
        <v>8.9729203854810446</v>
      </c>
      <c r="BT14" s="11">
        <f>BS14+預測IC!BU18</f>
        <v>8.9833433403589353</v>
      </c>
      <c r="BU14" s="11">
        <f>BT14+預測IC!BV18</f>
        <v>9.0996869742319273</v>
      </c>
      <c r="BV14" s="11">
        <f>BU14+預測IC!BW18</f>
        <v>8.955045807053601</v>
      </c>
      <c r="BW14" s="11">
        <f>BV14+預測IC!BX18</f>
        <v>8.9672526771239038</v>
      </c>
      <c r="BX14" s="11">
        <f>BW14+預測IC!BY18</f>
        <v>8.9092931105493935</v>
      </c>
      <c r="BY14" s="11">
        <f>BX14+預測IC!BZ18</f>
        <v>8.9301723104213728</v>
      </c>
      <c r="BZ14" s="11">
        <f>BY14+預測IC!CA18</f>
        <v>8.9064254958575049</v>
      </c>
      <c r="CA14" s="11">
        <f>BZ14+預測IC!CB18</f>
        <v>8.9838357104471136</v>
      </c>
      <c r="CB14" s="11">
        <f>CA14+預測IC!CC18</f>
        <v>9.0535992597496797</v>
      </c>
      <c r="CC14" s="11">
        <f>CB14+預測IC!CD18</f>
        <v>9.0319873970562803</v>
      </c>
      <c r="CD14" s="11">
        <f>CC14+預測IC!CE18</f>
        <v>9.0231949039699533</v>
      </c>
      <c r="CE14" s="11">
        <f>CD14+預測IC!CF18</f>
        <v>9.0275259587916903</v>
      </c>
      <c r="CF14" s="11">
        <f>CE14+預測IC!CG18</f>
        <v>9.0333274900133045</v>
      </c>
      <c r="CG14" s="11">
        <f>CF14+預測IC!CH18</f>
        <v>9.0259496268446178</v>
      </c>
      <c r="CH14" s="11">
        <f>CG14+預測IC!CI18</f>
        <v>9.0578023631778883</v>
      </c>
      <c r="CI14" s="11">
        <f>CH14+預測IC!CJ18</f>
        <v>9.0849402425899672</v>
      </c>
      <c r="CJ14" s="11">
        <f>CI14+預測IC!CK18</f>
        <v>9.0424828089004503</v>
      </c>
      <c r="CK14" s="11">
        <f>CJ14+預測IC!CL18</f>
        <v>8.967924441454171</v>
      </c>
      <c r="CL14" s="11">
        <f>CK14+預測IC!CM18</f>
        <v>9.065644770870966</v>
      </c>
      <c r="CM14" s="11">
        <f>CL14+預測IC!CN18</f>
        <v>9.1508286151573888</v>
      </c>
      <c r="CN14" s="11">
        <f>CM14+預測IC!CO18</f>
        <v>9.1964827547749</v>
      </c>
      <c r="CO14" s="11">
        <f>CN14+預測IC!CP18</f>
        <v>9.3657627069950742</v>
      </c>
      <c r="CP14" s="11">
        <f>CO14+預測IC!CQ18</f>
        <v>9.2494068696261476</v>
      </c>
      <c r="CQ14" s="11">
        <f>CP14+預測IC!CR18</f>
        <v>9.1142695990849578</v>
      </c>
      <c r="CR14" s="11">
        <f>CQ14+預測IC!CS18</f>
        <v>9.0824606164834893</v>
      </c>
      <c r="CS14" s="11">
        <f>CR14+預測IC!CT18</f>
        <v>9.0774443734114225</v>
      </c>
      <c r="CT14" s="11">
        <f>CS14+預測IC!CU18</f>
        <v>9.0001939817702077</v>
      </c>
      <c r="CU14" s="11">
        <f>CT14+預測IC!CV18</f>
        <v>8.9576378184073366</v>
      </c>
      <c r="CV14" s="11">
        <f>CU14+預測IC!CW18</f>
        <v>9.0299979036037694</v>
      </c>
      <c r="CW14" s="11">
        <f>CV14+預測IC!CX18</f>
        <v>9.0694305363345631</v>
      </c>
      <c r="CX14" s="11">
        <f>CW14+預測IC!CY18</f>
        <v>9.0254418704795505</v>
      </c>
      <c r="CY14" s="11">
        <f>CX14+預測IC!CZ18</f>
        <v>9.0379626235089212</v>
      </c>
      <c r="CZ14" s="11">
        <f>CY14+預測IC!DA18</f>
        <v>9.0460933961338021</v>
      </c>
      <c r="DA14" s="11">
        <f>CZ14+預測IC!DB18</f>
        <v>9.1765771999050756</v>
      </c>
      <c r="DB14" s="11">
        <f>DA14+預測IC!DC18</f>
        <v>9.0772166715303833</v>
      </c>
      <c r="DC14" s="11">
        <f>DB14+預測IC!DD18</f>
        <v>9.0757603603672585</v>
      </c>
      <c r="DD14" s="11">
        <f>DC14+預測IC!DE18</f>
        <v>9.0831458582486722</v>
      </c>
      <c r="DE14" s="11">
        <f>DD14+預測IC!DF18</f>
        <v>9.0618625122742582</v>
      </c>
      <c r="DF14" s="11">
        <f>DE14+預測IC!DG18</f>
        <v>9.0124993648176215</v>
      </c>
      <c r="DG14" s="11">
        <f>DF14+預測IC!DH18</f>
        <v>8.9872442972551418</v>
      </c>
      <c r="DH14" s="11">
        <f>DG14+預測IC!DI18</f>
        <v>9.0815963823132524</v>
      </c>
      <c r="DI14" s="11">
        <f>DH14+預測IC!DJ18</f>
        <v>9.2110918959686607</v>
      </c>
      <c r="DJ14" s="11">
        <f>DI14+預測IC!DK18</f>
        <v>9.0930779943404847</v>
      </c>
      <c r="DK14" s="11">
        <f>DJ14+預測IC!DL18</f>
        <v>9.0082344778332111</v>
      </c>
      <c r="DL14" s="11">
        <f>DK14+預測IC!DM18</f>
        <v>8.8901342106472878</v>
      </c>
      <c r="DM14" s="11">
        <f>DL14+預測IC!DN18</f>
        <v>8.8844821092866439</v>
      </c>
      <c r="DN14" s="11">
        <f>DM14+預測IC!DO18</f>
        <v>8.8350248892740186</v>
      </c>
      <c r="DO14" s="11">
        <f>DN14+預測IC!DP18</f>
        <v>8.8210299090474553</v>
      </c>
      <c r="DP14" s="11">
        <f>DO14+預測IC!DQ18</f>
        <v>8.7508101589567637</v>
      </c>
      <c r="DQ14" s="11">
        <f>DP14+預測IC!DR18</f>
        <v>8.7234721847330192</v>
      </c>
      <c r="DR14" s="11">
        <f>DQ14+預測IC!DS18</f>
        <v>8.7707943815601244</v>
      </c>
      <c r="DS14" s="11">
        <f>DR14+預測IC!DT18</f>
        <v>8.7671459109884662</v>
      </c>
      <c r="DT14" s="11">
        <f>DS14+預測IC!DU18</f>
        <v>8.7591791546842259</v>
      </c>
      <c r="DU14" s="11">
        <f>DT14+預測IC!DV18</f>
        <v>8.7700351283226645</v>
      </c>
      <c r="DV14" s="11">
        <f>DU14+預測IC!DW18</f>
        <v>8.8522108043619294</v>
      </c>
      <c r="DW14" s="11">
        <f>DV14+預測IC!DX18</f>
        <v>8.7974136389776056</v>
      </c>
      <c r="DX14" s="11">
        <f>DW14+預測IC!DY18</f>
        <v>8.7982182102619397</v>
      </c>
      <c r="DY14" s="11">
        <f>DX14+預測IC!DZ18</f>
        <v>8.8059601175552551</v>
      </c>
      <c r="DZ14" s="11">
        <f>DY14+預測IC!EA18</f>
        <v>8.820957582021137</v>
      </c>
      <c r="EA14" s="11">
        <f>DZ14+預測IC!EB18</f>
        <v>8.8030550997222008</v>
      </c>
      <c r="EB14" s="11">
        <f>EA14+預測IC!EC18</f>
        <v>8.7837130045637615</v>
      </c>
      <c r="EC14" s="11">
        <f>EB14+預測IC!ED18</f>
        <v>8.8045705650908292</v>
      </c>
      <c r="ED14" s="11">
        <f>EC14+預測IC!EE18</f>
        <v>8.7752985812677959</v>
      </c>
      <c r="EE14" s="11">
        <f>ED14+預測IC!EF18</f>
        <v>8.8272821079058392</v>
      </c>
    </row>
    <row r="15" spans="1:136" ht="16" customHeight="1">
      <c r="A15" s="6" t="s">
        <v>245</v>
      </c>
      <c r="B15" s="9">
        <v>0.77539547410376009</v>
      </c>
      <c r="C15" s="11">
        <f>B15+預測IC!D19</f>
        <v>1.5543147237766854</v>
      </c>
      <c r="D15" s="11">
        <f>C15+預測IC!E19</f>
        <v>2.1730518845916471</v>
      </c>
      <c r="E15" s="11">
        <f>D15+預測IC!F19</f>
        <v>3.1669725396966353</v>
      </c>
      <c r="F15" s="11">
        <f>E15+預測IC!G19</f>
        <v>3.8964644906760086</v>
      </c>
      <c r="G15" s="11">
        <f>F15+預測IC!H19</f>
        <v>4.5303968719738616</v>
      </c>
      <c r="H15" s="11">
        <f>G15+預測IC!I19</f>
        <v>5.1289604084551659</v>
      </c>
      <c r="I15" s="11">
        <f>H15+預測IC!J19</f>
        <v>5.8845973548297241</v>
      </c>
      <c r="J15" s="11">
        <f>I15+預測IC!K19</f>
        <v>6.6402529680697793</v>
      </c>
      <c r="K15" s="11">
        <f>J15+預測IC!L19</f>
        <v>7.3277649291139166</v>
      </c>
      <c r="L15" s="11">
        <f>K15+預測IC!M19</f>
        <v>8.3308131139167898</v>
      </c>
      <c r="M15" s="11">
        <f>L15+預測IC!N19</f>
        <v>9.0680525600914628</v>
      </c>
      <c r="N15" s="11">
        <f>M15+預測IC!O19</f>
        <v>9.1739871519140674</v>
      </c>
      <c r="O15" s="11">
        <f>N15+預測IC!P19</f>
        <v>9.1777435833803143</v>
      </c>
      <c r="P15" s="11">
        <f>O15+預測IC!Q19</f>
        <v>9.0887863448541317</v>
      </c>
      <c r="Q15" s="11">
        <f>P15+預測IC!R19</f>
        <v>9.0562352777282147</v>
      </c>
      <c r="R15" s="11">
        <f>Q15+預測IC!S19</f>
        <v>8.8848858776720636</v>
      </c>
      <c r="S15" s="11">
        <f>R15+預測IC!T19</f>
        <v>8.9010320944084249</v>
      </c>
      <c r="T15" s="11">
        <f>S15+預測IC!U19</f>
        <v>8.9541287215747758</v>
      </c>
      <c r="U15" s="11">
        <f>T15+預測IC!V19</f>
        <v>8.9673479327557271</v>
      </c>
      <c r="V15" s="11">
        <f>U15+預測IC!W19</f>
        <v>8.9197870132100316</v>
      </c>
      <c r="W15" s="11">
        <f>V15+預測IC!X19</f>
        <v>8.9697282139957295</v>
      </c>
      <c r="X15" s="11">
        <f>W15+預測IC!Y19</f>
        <v>8.9614097970620037</v>
      </c>
      <c r="Y15" s="11">
        <f>X15+預測IC!Z19</f>
        <v>9.0089459672401233</v>
      </c>
      <c r="Z15" s="11">
        <f>Y15+預測IC!AA19</f>
        <v>8.8280212428502391</v>
      </c>
      <c r="AA15" s="11">
        <f>Z15+預測IC!AB19</f>
        <v>8.8131202663447095</v>
      </c>
      <c r="AB15" s="11">
        <f>AA15+預測IC!AC19</f>
        <v>8.8365678641510197</v>
      </c>
      <c r="AC15" s="11">
        <f>AB15+預測IC!AD19</f>
        <v>8.8792074644380818</v>
      </c>
      <c r="AD15" s="11">
        <f>AC15+預測IC!AE19</f>
        <v>8.8693363989070342</v>
      </c>
      <c r="AE15" s="11">
        <f>AD15+預測IC!AF19</f>
        <v>9.0383873502018766</v>
      </c>
      <c r="AF15" s="11">
        <f>AE15+預測IC!AG19</f>
        <v>8.9980196253350826</v>
      </c>
      <c r="AG15" s="11">
        <f>AF15+預測IC!AH19</f>
        <v>9.0071830830406086</v>
      </c>
      <c r="AH15" s="11">
        <f>AG15+預測IC!AI19</f>
        <v>8.9698029613120287</v>
      </c>
      <c r="AI15" s="11">
        <f>AH15+預測IC!AJ19</f>
        <v>8.9477783716063861</v>
      </c>
      <c r="AJ15" s="11">
        <f>AI15+預測IC!AK19</f>
        <v>8.8697553735711665</v>
      </c>
      <c r="AK15" s="11">
        <f>AJ15+預測IC!AL19</f>
        <v>8.8235569770425553</v>
      </c>
      <c r="AL15" s="11">
        <f>AK15+預測IC!AM19</f>
        <v>8.9989320547365192</v>
      </c>
      <c r="AM15" s="11">
        <f>AL15+預測IC!AN19</f>
        <v>8.9992997296440027</v>
      </c>
      <c r="AN15" s="11">
        <f>AM15+預測IC!AO19</f>
        <v>8.9808654107398453</v>
      </c>
      <c r="AO15" s="11">
        <f>AN15+預測IC!AP19</f>
        <v>8.9256481238247307</v>
      </c>
      <c r="AP15" s="11">
        <f>AO15+預測IC!AQ19</f>
        <v>9.0563940977174369</v>
      </c>
      <c r="AQ15" s="11">
        <f>AP15+預測IC!AR19</f>
        <v>9.0918611948153902</v>
      </c>
      <c r="AR15" s="11">
        <f>AQ15+預測IC!AS19</f>
        <v>9.0605841356189476</v>
      </c>
      <c r="AS15" s="11">
        <f>AR15+預測IC!AT19</f>
        <v>9.051139795801884</v>
      </c>
      <c r="AT15" s="11">
        <f>AS15+預測IC!AU19</f>
        <v>9.0441173273668856</v>
      </c>
      <c r="AU15" s="11">
        <f>AT15+預測IC!AV19</f>
        <v>9.057823749487298</v>
      </c>
      <c r="AV15" s="11">
        <f>AU15+預測IC!AW19</f>
        <v>8.9982935520874587</v>
      </c>
      <c r="AW15" s="11">
        <f>AV15+預測IC!AX19</f>
        <v>9.0001130518801826</v>
      </c>
      <c r="AX15" s="11">
        <f>AW15+預測IC!AY19</f>
        <v>9.1003532917404542</v>
      </c>
      <c r="AY15" s="11">
        <f>AX15+預測IC!AZ19</f>
        <v>9.0820011093787656</v>
      </c>
      <c r="AZ15" s="11">
        <f>AY15+預測IC!BA19</f>
        <v>9.0875067981398807</v>
      </c>
      <c r="BA15" s="11">
        <f>AZ15+預測IC!BB19</f>
        <v>8.9904241502859836</v>
      </c>
      <c r="BB15" s="11">
        <f>BA15+預測IC!BC19</f>
        <v>9.0038839326847828</v>
      </c>
      <c r="BC15" s="11">
        <f>BB15+預測IC!BD19</f>
        <v>8.9697177098314214</v>
      </c>
      <c r="BD15" s="11">
        <f>BC15+預測IC!BE19</f>
        <v>8.9365902098189949</v>
      </c>
      <c r="BE15" s="11">
        <f>BD15+預測IC!BF19</f>
        <v>8.9872451422580841</v>
      </c>
      <c r="BF15" s="11">
        <f>BE15+預測IC!BG19</f>
        <v>9.0397557898387966</v>
      </c>
      <c r="BG15" s="11">
        <f>BF15+預測IC!BH19</f>
        <v>9.1813553369304586</v>
      </c>
      <c r="BH15" s="11">
        <f>BG15+預測IC!BI19</f>
        <v>9.1379533109957691</v>
      </c>
      <c r="BI15" s="11">
        <f>BH15+預測IC!BJ19</f>
        <v>9.2192193565390461</v>
      </c>
      <c r="BJ15" s="11">
        <f>BI15+預測IC!BK19</f>
        <v>9.2764383174678251</v>
      </c>
      <c r="BK15" s="11">
        <f>BJ15+預測IC!BL19</f>
        <v>9.3539266597778727</v>
      </c>
      <c r="BL15" s="11">
        <f>BK15+預測IC!BM19</f>
        <v>9.3687553613753938</v>
      </c>
      <c r="BM15" s="11">
        <f>BL15+預測IC!BN19</f>
        <v>9.4079187937014783</v>
      </c>
      <c r="BN15" s="11">
        <f>BM15+預測IC!BO19</f>
        <v>9.3700430543369464</v>
      </c>
      <c r="BO15" s="11">
        <f>BN15+預測IC!BP19</f>
        <v>9.4793694166154747</v>
      </c>
      <c r="BP15" s="11">
        <f>BO15+預測IC!BQ19</f>
        <v>9.5164312326170606</v>
      </c>
      <c r="BQ15" s="11">
        <f>BP15+預測IC!BR19</f>
        <v>9.411476226052276</v>
      </c>
      <c r="BR15" s="11">
        <f>BQ15+預測IC!BS19</f>
        <v>9.3881745406229378</v>
      </c>
      <c r="BS15" s="11">
        <f>BR15+預測IC!BT19</f>
        <v>9.4372346649536158</v>
      </c>
      <c r="BT15" s="11">
        <f>BS15+預測IC!BU19</f>
        <v>9.464779243159386</v>
      </c>
      <c r="BU15" s="11">
        <f>BT15+預測IC!BV19</f>
        <v>9.5812943827926702</v>
      </c>
      <c r="BV15" s="11">
        <f>BU15+預測IC!BW19</f>
        <v>9.4223370010917069</v>
      </c>
      <c r="BW15" s="11">
        <f>BV15+預測IC!BX19</f>
        <v>9.4349523371232067</v>
      </c>
      <c r="BX15" s="11">
        <f>BW15+預測IC!BY19</f>
        <v>9.3917756313206393</v>
      </c>
      <c r="BY15" s="11">
        <f>BX15+預測IC!BZ19</f>
        <v>9.3954313706848964</v>
      </c>
      <c r="BZ15" s="11">
        <f>BY15+預測IC!CA19</f>
        <v>9.3508188366524756</v>
      </c>
      <c r="CA15" s="11">
        <f>BZ15+預測IC!CB19</f>
        <v>9.3695582983820156</v>
      </c>
      <c r="CB15" s="11">
        <f>CA15+預測IC!CC19</f>
        <v>9.428593847174179</v>
      </c>
      <c r="CC15" s="11">
        <f>CB15+預測IC!CD19</f>
        <v>9.3825271846004483</v>
      </c>
      <c r="CD15" s="11">
        <f>CC15+預測IC!CE19</f>
        <v>9.3732792989340528</v>
      </c>
      <c r="CE15" s="11">
        <f>CD15+預測IC!CF19</f>
        <v>9.4098087146658838</v>
      </c>
      <c r="CF15" s="11">
        <f>CE15+預測IC!CG19</f>
        <v>9.4151781664193308</v>
      </c>
      <c r="CG15" s="11">
        <f>CF15+預測IC!CH19</f>
        <v>9.42563921525635</v>
      </c>
      <c r="CH15" s="11">
        <f>CG15+預測IC!CI19</f>
        <v>9.4646241509191853</v>
      </c>
      <c r="CI15" s="11">
        <f>CH15+預測IC!CJ19</f>
        <v>9.4749919142023344</v>
      </c>
      <c r="CJ15" s="11">
        <f>CI15+預測IC!CK19</f>
        <v>9.4368553515839064</v>
      </c>
      <c r="CK15" s="11">
        <f>CJ15+預測IC!CL19</f>
        <v>9.3541245574442264</v>
      </c>
      <c r="CL15" s="11">
        <f>CK15+預測IC!CM19</f>
        <v>9.4597922438608926</v>
      </c>
      <c r="CM15" s="11">
        <f>CL15+預測IC!CN19</f>
        <v>9.5697747281253029</v>
      </c>
      <c r="CN15" s="11">
        <f>CM15+預測IC!CO19</f>
        <v>9.6430055940090398</v>
      </c>
      <c r="CO15" s="11">
        <f>CN15+預測IC!CP19</f>
        <v>9.8034851405986725</v>
      </c>
      <c r="CP15" s="11">
        <f>CO15+預測IC!CQ19</f>
        <v>9.6685032258746961</v>
      </c>
      <c r="CQ15" s="11">
        <f>CP15+預測IC!CR19</f>
        <v>9.5670965094386897</v>
      </c>
      <c r="CR15" s="11">
        <f>CQ15+預測IC!CS19</f>
        <v>9.5447331041858501</v>
      </c>
      <c r="CS15" s="11">
        <f>CR15+預測IC!CT19</f>
        <v>9.4855620068578759</v>
      </c>
      <c r="CT15" s="11">
        <f>CS15+預測IC!CU19</f>
        <v>9.3981656616575187</v>
      </c>
      <c r="CU15" s="11">
        <f>CT15+預測IC!CV19</f>
        <v>9.3715691785072881</v>
      </c>
      <c r="CV15" s="11">
        <f>CU15+預測IC!CW19</f>
        <v>9.4461752164320458</v>
      </c>
      <c r="CW15" s="11">
        <f>CV15+預測IC!CX19</f>
        <v>9.5094396057792707</v>
      </c>
      <c r="CX15" s="11">
        <f>CW15+預測IC!CY19</f>
        <v>9.4645802268829584</v>
      </c>
      <c r="CY15" s="11">
        <f>CX15+預測IC!CZ19</f>
        <v>9.478687732188849</v>
      </c>
      <c r="CZ15" s="11">
        <f>CY15+預測IC!DA19</f>
        <v>9.4637938836276341</v>
      </c>
      <c r="DA15" s="11">
        <f>CZ15+預測IC!DB19</f>
        <v>9.615206291369395</v>
      </c>
      <c r="DB15" s="11">
        <f>DA15+預測IC!DC19</f>
        <v>9.4965966224955132</v>
      </c>
      <c r="DC15" s="11">
        <f>DB15+預測IC!DD19</f>
        <v>9.4917545870942419</v>
      </c>
      <c r="DD15" s="11">
        <f>DC15+預測IC!DE19</f>
        <v>9.5255961613130591</v>
      </c>
      <c r="DE15" s="11">
        <f>DD15+預測IC!DF19</f>
        <v>9.505186268324076</v>
      </c>
      <c r="DF15" s="11">
        <f>DE15+預測IC!DG19</f>
        <v>9.4437564851698106</v>
      </c>
      <c r="DG15" s="11">
        <f>DF15+預測IC!DH19</f>
        <v>9.4248725237199462</v>
      </c>
      <c r="DH15" s="11">
        <f>DG15+預測IC!DI19</f>
        <v>9.5269854278196195</v>
      </c>
      <c r="DI15" s="11">
        <f>DH15+預測IC!DJ19</f>
        <v>9.6578238928412574</v>
      </c>
      <c r="DJ15" s="11">
        <f>DI15+預測IC!DK19</f>
        <v>9.559547826391297</v>
      </c>
      <c r="DK15" s="11">
        <f>DJ15+預測IC!DL19</f>
        <v>9.4536096441204513</v>
      </c>
      <c r="DL15" s="11">
        <f>DK15+預測IC!DM19</f>
        <v>9.3202285290410565</v>
      </c>
      <c r="DM15" s="11">
        <f>DL15+預測IC!DN19</f>
        <v>9.3293900217907613</v>
      </c>
      <c r="DN15" s="11">
        <f>DM15+預測IC!DO19</f>
        <v>9.2697748586444266</v>
      </c>
      <c r="DO15" s="11">
        <f>DN15+預測IC!DP19</f>
        <v>9.2645420690974092</v>
      </c>
      <c r="DP15" s="11">
        <f>DO15+預測IC!DQ19</f>
        <v>9.1800869037664619</v>
      </c>
      <c r="DQ15" s="11">
        <f>DP15+預測IC!DR19</f>
        <v>9.1750644186998667</v>
      </c>
      <c r="DR15" s="11">
        <f>DQ15+預測IC!DS19</f>
        <v>9.2066339400652435</v>
      </c>
      <c r="DS15" s="11">
        <f>DR15+預測IC!DT19</f>
        <v>9.2143576801847846</v>
      </c>
      <c r="DT15" s="11">
        <f>DS15+預測IC!DU19</f>
        <v>9.2197872505679399</v>
      </c>
      <c r="DU15" s="11">
        <f>DT15+預測IC!DV19</f>
        <v>9.2240136468728977</v>
      </c>
      <c r="DV15" s="11">
        <f>DU15+預測IC!DW19</f>
        <v>9.3159659100245573</v>
      </c>
      <c r="DW15" s="11">
        <f>DV15+預測IC!DX19</f>
        <v>9.3020276725416</v>
      </c>
      <c r="DX15" s="11">
        <f>DW15+預測IC!DY19</f>
        <v>9.3183752655746908</v>
      </c>
      <c r="DY15" s="11">
        <f>DX15+預測IC!DZ19</f>
        <v>9.3190372951368055</v>
      </c>
      <c r="DZ15" s="11">
        <f>DY15+預測IC!EA19</f>
        <v>9.3376856714825038</v>
      </c>
      <c r="EA15" s="11">
        <f>DZ15+預測IC!EB19</f>
        <v>9.3229980492415585</v>
      </c>
      <c r="EB15" s="11">
        <f>EA15+預測IC!EC19</f>
        <v>9.3288035087547403</v>
      </c>
      <c r="EC15" s="11">
        <f>EB15+預測IC!ED19</f>
        <v>9.3689896490957114</v>
      </c>
      <c r="ED15" s="11">
        <f>EC15+預測IC!EE19</f>
        <v>9.3613443901088385</v>
      </c>
      <c r="EE15" s="11">
        <f>ED15+預測IC!EF19</f>
        <v>9.4288228363267361</v>
      </c>
    </row>
    <row r="16" spans="1:136" ht="16" customHeight="1">
      <c r="A16" s="6" t="s">
        <v>246</v>
      </c>
      <c r="B16" s="9">
        <v>0.8094712492495254</v>
      </c>
      <c r="C16" s="11">
        <f>B16+預測IC!D20</f>
        <v>1.615987150338378</v>
      </c>
      <c r="D16" s="11">
        <f>C16+預測IC!E20</f>
        <v>2.2556190814081303</v>
      </c>
      <c r="E16" s="11">
        <f>D16+預測IC!F20</f>
        <v>3.2970528052561052</v>
      </c>
      <c r="F16" s="11">
        <f>E16+預測IC!G20</f>
        <v>4.0367387995662884</v>
      </c>
      <c r="G16" s="11">
        <f>F16+預測IC!H20</f>
        <v>4.6888142493584128</v>
      </c>
      <c r="H16" s="11">
        <f>G16+預測IC!I20</f>
        <v>5.3137191809783744</v>
      </c>
      <c r="I16" s="11">
        <f>H16+預測IC!J20</f>
        <v>6.0855743558862585</v>
      </c>
      <c r="J16" s="11">
        <f>I16+預測IC!K20</f>
        <v>6.8907257010213998</v>
      </c>
      <c r="K16" s="11">
        <f>J16+預測IC!L20</f>
        <v>7.6213298919556554</v>
      </c>
      <c r="L16" s="11">
        <f>K16+預測IC!M20</f>
        <v>8.6825438085432491</v>
      </c>
      <c r="M16" s="11">
        <f>L16+預測IC!N20</f>
        <v>9.4437320104710807</v>
      </c>
      <c r="N16" s="11">
        <f>M16+預測IC!O20</f>
        <v>9.556434614642777</v>
      </c>
      <c r="O16" s="11">
        <f>N16+預測IC!P20</f>
        <v>9.5515078904416928</v>
      </c>
      <c r="P16" s="11">
        <f>O16+預測IC!Q20</f>
        <v>9.4518251040077814</v>
      </c>
      <c r="Q16" s="11">
        <f>P16+預測IC!R20</f>
        <v>9.3864861925711338</v>
      </c>
      <c r="R16" s="11">
        <f>Q16+預測IC!S20</f>
        <v>9.1967955933880567</v>
      </c>
      <c r="S16" s="11">
        <f>R16+預測IC!T20</f>
        <v>9.2320010577884144</v>
      </c>
      <c r="T16" s="11">
        <f>S16+預測IC!U20</f>
        <v>9.2530657073239322</v>
      </c>
      <c r="U16" s="11">
        <f>T16+預測IC!V20</f>
        <v>9.2452756912731715</v>
      </c>
      <c r="V16" s="11">
        <f>U16+預測IC!W20</f>
        <v>9.2447422714811953</v>
      </c>
      <c r="W16" s="11">
        <f>V16+預測IC!X20</f>
        <v>9.2916845884653121</v>
      </c>
      <c r="X16" s="11">
        <f>W16+預測IC!Y20</f>
        <v>9.3030219384214146</v>
      </c>
      <c r="Y16" s="11">
        <f>X16+預測IC!Z20</f>
        <v>9.3700778949627086</v>
      </c>
      <c r="Z16" s="11">
        <f>Y16+預測IC!AA20</f>
        <v>9.2228778107821476</v>
      </c>
      <c r="AA16" s="11">
        <f>Z16+預測IC!AB20</f>
        <v>9.2026012303361764</v>
      </c>
      <c r="AB16" s="11">
        <f>AA16+預測IC!AC20</f>
        <v>9.2182728908847444</v>
      </c>
      <c r="AC16" s="11">
        <f>AB16+預測IC!AD20</f>
        <v>9.262152592969338</v>
      </c>
      <c r="AD16" s="11">
        <f>AC16+預測IC!AE20</f>
        <v>9.2462116902752918</v>
      </c>
      <c r="AE16" s="11">
        <f>AD16+預測IC!AF20</f>
        <v>9.4459784815551711</v>
      </c>
      <c r="AF16" s="11">
        <f>AE16+預測IC!AG20</f>
        <v>9.3812800869421302</v>
      </c>
      <c r="AG16" s="11">
        <f>AF16+預測IC!AH20</f>
        <v>9.4018956405115901</v>
      </c>
      <c r="AH16" s="11">
        <f>AG16+預測IC!AI20</f>
        <v>9.3469935002796998</v>
      </c>
      <c r="AI16" s="11">
        <f>AH16+預測IC!AJ20</f>
        <v>9.3372539703522115</v>
      </c>
      <c r="AJ16" s="11">
        <f>AI16+預測IC!AK20</f>
        <v>9.2489779785251667</v>
      </c>
      <c r="AK16" s="11">
        <f>AJ16+預測IC!AL20</f>
        <v>9.2268312772914793</v>
      </c>
      <c r="AL16" s="11">
        <f>AK16+預測IC!AM20</f>
        <v>9.4435226670392236</v>
      </c>
      <c r="AM16" s="11">
        <f>AL16+預測IC!AN20</f>
        <v>9.4565985532197558</v>
      </c>
      <c r="AN16" s="11">
        <f>AM16+預測IC!AO20</f>
        <v>9.4342780673549704</v>
      </c>
      <c r="AO16" s="11">
        <f>AN16+預測IC!AP20</f>
        <v>9.3807287350258637</v>
      </c>
      <c r="AP16" s="11">
        <f>AO16+預測IC!AQ20</f>
        <v>9.5631594449919639</v>
      </c>
      <c r="AQ16" s="11">
        <f>AP16+預測IC!AR20</f>
        <v>9.5795420971827472</v>
      </c>
      <c r="AR16" s="11">
        <f>AQ16+預測IC!AS20</f>
        <v>9.5023300848598193</v>
      </c>
      <c r="AS16" s="11">
        <f>AR16+預測IC!AT20</f>
        <v>9.4992811148279035</v>
      </c>
      <c r="AT16" s="11">
        <f>AS16+預測IC!AU20</f>
        <v>9.4919049524035621</v>
      </c>
      <c r="AU16" s="11">
        <f>AT16+預測IC!AV20</f>
        <v>9.4915421341484496</v>
      </c>
      <c r="AV16" s="11">
        <f>AU16+預測IC!AW20</f>
        <v>9.4341006846148634</v>
      </c>
      <c r="AW16" s="11">
        <f>AV16+預測IC!AX20</f>
        <v>9.428940256450776</v>
      </c>
      <c r="AX16" s="11">
        <f>AW16+預測IC!AY20</f>
        <v>9.5203640863944266</v>
      </c>
      <c r="AY16" s="11">
        <f>AX16+預測IC!AZ20</f>
        <v>9.4790949009386338</v>
      </c>
      <c r="AZ16" s="11">
        <f>AY16+預測IC!BA20</f>
        <v>9.4904298504201137</v>
      </c>
      <c r="BA16" s="11">
        <f>AZ16+預測IC!BB20</f>
        <v>9.3580871827758934</v>
      </c>
      <c r="BB16" s="11">
        <f>BA16+預測IC!BC20</f>
        <v>9.3501391747827967</v>
      </c>
      <c r="BC16" s="11">
        <f>BB16+預測IC!BD20</f>
        <v>9.3513020695467706</v>
      </c>
      <c r="BD16" s="11">
        <f>BC16+預測IC!BE20</f>
        <v>9.3280596658724519</v>
      </c>
      <c r="BE16" s="11">
        <f>BD16+預測IC!BF20</f>
        <v>9.400914850154134</v>
      </c>
      <c r="BF16" s="11">
        <f>BE16+預測IC!BG20</f>
        <v>9.4702848809670286</v>
      </c>
      <c r="BG16" s="11">
        <f>BF16+預測IC!BH20</f>
        <v>9.6303886199983495</v>
      </c>
      <c r="BH16" s="11">
        <f>BG16+預測IC!BI20</f>
        <v>9.5690833658896324</v>
      </c>
      <c r="BI16" s="11">
        <f>BH16+預測IC!BJ20</f>
        <v>9.6574233181798643</v>
      </c>
      <c r="BJ16" s="11">
        <f>BI16+預測IC!BK20</f>
        <v>9.7035973836114788</v>
      </c>
      <c r="BK16" s="11">
        <f>BJ16+預測IC!BL20</f>
        <v>9.7871347631063372</v>
      </c>
      <c r="BL16" s="11">
        <f>BK16+預測IC!BM20</f>
        <v>9.8276783532108176</v>
      </c>
      <c r="BM16" s="11">
        <f>BL16+預測IC!BN20</f>
        <v>9.8588428233276169</v>
      </c>
      <c r="BN16" s="11">
        <f>BM16+預測IC!BO20</f>
        <v>9.8179871555640883</v>
      </c>
      <c r="BO16" s="11">
        <f>BN16+預測IC!BP20</f>
        <v>9.9516049858124251</v>
      </c>
      <c r="BP16" s="11">
        <f>BO16+預測IC!BQ20</f>
        <v>9.9970753891497797</v>
      </c>
      <c r="BQ16" s="11">
        <f>BP16+預測IC!BR20</f>
        <v>9.893813898196834</v>
      </c>
      <c r="BR16" s="11">
        <f>BQ16+預測IC!BS20</f>
        <v>9.8522738799278784</v>
      </c>
      <c r="BS16" s="11">
        <f>BR16+預測IC!BT20</f>
        <v>9.9375605875230395</v>
      </c>
      <c r="BT16" s="11">
        <f>BS16+預測IC!BU20</f>
        <v>9.9792485288985127</v>
      </c>
      <c r="BU16" s="11">
        <f>BT16+預測IC!BV20</f>
        <v>10.117065796627985</v>
      </c>
      <c r="BV16" s="11">
        <f>BU16+預測IC!BW20</f>
        <v>9.9705398868794042</v>
      </c>
      <c r="BW16" s="11">
        <f>BV16+預測IC!BX20</f>
        <v>10.00106451727209</v>
      </c>
      <c r="BX16" s="11">
        <f>BW16+預測IC!BY20</f>
        <v>9.9413602413431157</v>
      </c>
      <c r="BY16" s="11">
        <f>BX16+預測IC!BZ20</f>
        <v>9.9420358547138257</v>
      </c>
      <c r="BZ16" s="11">
        <f>BY16+預測IC!CA20</f>
        <v>9.8824742854386205</v>
      </c>
      <c r="CA16" s="11">
        <f>BZ16+預測IC!CB20</f>
        <v>9.88287132810391</v>
      </c>
      <c r="CB16" s="11">
        <f>CA16+預測IC!CC20</f>
        <v>9.9284282183402066</v>
      </c>
      <c r="CC16" s="11">
        <f>CB16+預測IC!CD20</f>
        <v>9.8722740407771017</v>
      </c>
      <c r="CD16" s="11">
        <f>CC16+預測IC!CE20</f>
        <v>9.8572033785777631</v>
      </c>
      <c r="CE16" s="11">
        <f>CD16+預測IC!CF20</f>
        <v>9.9129950891289731</v>
      </c>
      <c r="CF16" s="11">
        <f>CE16+預測IC!CG20</f>
        <v>9.8933450437775967</v>
      </c>
      <c r="CG16" s="11">
        <f>CF16+預測IC!CH20</f>
        <v>9.9070904921144773</v>
      </c>
      <c r="CH16" s="11">
        <f>CG16+預測IC!CI20</f>
        <v>9.952956126992806</v>
      </c>
      <c r="CI16" s="11">
        <f>CH16+預測IC!CJ20</f>
        <v>9.9593827339562999</v>
      </c>
      <c r="CJ16" s="11">
        <f>CI16+預測IC!CK20</f>
        <v>9.9010796489311321</v>
      </c>
      <c r="CK16" s="11">
        <f>CJ16+預測IC!CL20</f>
        <v>9.7827858366672515</v>
      </c>
      <c r="CL16" s="11">
        <f>CK16+預測IC!CM20</f>
        <v>9.874666911038128</v>
      </c>
      <c r="CM16" s="11">
        <f>CL16+預測IC!CN20</f>
        <v>9.982915295992024</v>
      </c>
      <c r="CN16" s="11">
        <f>CM16+預測IC!CO20</f>
        <v>10.065314990547792</v>
      </c>
      <c r="CO16" s="11">
        <f>CN16+預測IC!CP20</f>
        <v>10.251626418816322</v>
      </c>
      <c r="CP16" s="11">
        <f>CO16+預測IC!CQ20</f>
        <v>10.115058532390792</v>
      </c>
      <c r="CQ16" s="11">
        <f>CP16+預測IC!CR20</f>
        <v>9.9934898062935478</v>
      </c>
      <c r="CR16" s="11">
        <f>CQ16+預測IC!CS20</f>
        <v>9.989282946589082</v>
      </c>
      <c r="CS16" s="11">
        <f>CR16+預測IC!CT20</f>
        <v>9.9155908273940963</v>
      </c>
      <c r="CT16" s="11">
        <f>CS16+預測IC!CU20</f>
        <v>9.8227470329392297</v>
      </c>
      <c r="CU16" s="11">
        <f>CT16+預測IC!CV20</f>
        <v>9.7893220126365161</v>
      </c>
      <c r="CV16" s="11">
        <f>CU16+預測IC!CW20</f>
        <v>9.8281760451965567</v>
      </c>
      <c r="CW16" s="11">
        <f>CV16+預測IC!CX20</f>
        <v>9.8784741643916636</v>
      </c>
      <c r="CX16" s="11">
        <f>CW16+預測IC!CY20</f>
        <v>9.8179762037185885</v>
      </c>
      <c r="CY16" s="11">
        <f>CX16+預測IC!CZ20</f>
        <v>9.867417369593829</v>
      </c>
      <c r="CZ16" s="11">
        <f>CY16+預測IC!DA20</f>
        <v>9.8527761771706466</v>
      </c>
      <c r="DA16" s="11">
        <f>CZ16+預測IC!DB20</f>
        <v>9.9982168248553283</v>
      </c>
      <c r="DB16" s="11">
        <f>DA16+預測IC!DC20</f>
        <v>9.8746726657184869</v>
      </c>
      <c r="DC16" s="11">
        <f>DB16+預測IC!DD20</f>
        <v>9.8712782079209447</v>
      </c>
      <c r="DD16" s="11">
        <f>DC16+預測IC!DE20</f>
        <v>9.9333322379715696</v>
      </c>
      <c r="DE16" s="11">
        <f>DD16+預測IC!DF20</f>
        <v>9.9113591824132943</v>
      </c>
      <c r="DF16" s="11">
        <f>DE16+預測IC!DG20</f>
        <v>9.8476606177886659</v>
      </c>
      <c r="DG16" s="11">
        <f>DF16+預測IC!DH20</f>
        <v>9.8410288175529637</v>
      </c>
      <c r="DH16" s="11">
        <f>DG16+預測IC!DI20</f>
        <v>9.9349627887179004</v>
      </c>
      <c r="DI16" s="11">
        <f>DH16+預測IC!DJ20</f>
        <v>10.069434944920692</v>
      </c>
      <c r="DJ16" s="11">
        <f>DI16+預測IC!DK20</f>
        <v>9.9975054470243556</v>
      </c>
      <c r="DK16" s="11">
        <f>DJ16+預測IC!DL20</f>
        <v>9.9050092332699986</v>
      </c>
      <c r="DL16" s="11">
        <f>DK16+預測IC!DM20</f>
        <v>9.7840557434235365</v>
      </c>
      <c r="DM16" s="11">
        <f>DL16+預測IC!DN20</f>
        <v>9.7766316134682913</v>
      </c>
      <c r="DN16" s="11">
        <f>DM16+預測IC!DO20</f>
        <v>9.7332240743280547</v>
      </c>
      <c r="DO16" s="11">
        <f>DN16+預測IC!DP20</f>
        <v>9.6997677533868725</v>
      </c>
      <c r="DP16" s="11">
        <f>DO16+預測IC!DQ20</f>
        <v>9.6190650076255722</v>
      </c>
      <c r="DQ16" s="11">
        <f>DP16+預測IC!DR20</f>
        <v>9.6057621145822765</v>
      </c>
      <c r="DR16" s="11">
        <f>DQ16+預測IC!DS20</f>
        <v>9.6506881894057752</v>
      </c>
      <c r="DS16" s="11">
        <f>DR16+預測IC!DT20</f>
        <v>9.6581280041178275</v>
      </c>
      <c r="DT16" s="11">
        <f>DS16+預測IC!DU20</f>
        <v>9.6771865302480098</v>
      </c>
      <c r="DU16" s="11">
        <f>DT16+預測IC!DV20</f>
        <v>9.6677587860929428</v>
      </c>
      <c r="DV16" s="11">
        <f>DU16+預測IC!DW20</f>
        <v>9.7806740843232234</v>
      </c>
      <c r="DW16" s="11">
        <f>DV16+預測IC!DX20</f>
        <v>9.7801405843772908</v>
      </c>
      <c r="DX16" s="11">
        <f>DW16+預測IC!DY20</f>
        <v>9.7703795332157757</v>
      </c>
      <c r="DY16" s="11">
        <f>DX16+預測IC!DZ20</f>
        <v>9.7817291163620812</v>
      </c>
      <c r="DZ16" s="11">
        <f>DY16+預測IC!EA20</f>
        <v>9.8101125281206407</v>
      </c>
      <c r="EA16" s="11">
        <f>DZ16+預測IC!EB20</f>
        <v>9.785777960899237</v>
      </c>
      <c r="EB16" s="11">
        <f>EA16+預測IC!EC20</f>
        <v>9.7931812359314065</v>
      </c>
      <c r="EC16" s="11">
        <f>EB16+預測IC!ED20</f>
        <v>9.8357024574508269</v>
      </c>
      <c r="ED16" s="11">
        <f>EC16+預測IC!EE20</f>
        <v>9.8532242503482319</v>
      </c>
      <c r="EE16" s="11">
        <f>ED16+預測IC!EF20</f>
        <v>9.926355877430753</v>
      </c>
    </row>
    <row r="17" spans="1:136" ht="16" customHeight="1">
      <c r="A17" s="6" t="s">
        <v>247</v>
      </c>
      <c r="B17" s="9">
        <v>0.85469133748512671</v>
      </c>
      <c r="C17" s="11">
        <f>B17+預測IC!D21</f>
        <v>1.7145042125046306</v>
      </c>
      <c r="D17" s="11">
        <f>C17+預測IC!E21</f>
        <v>2.401876115783693</v>
      </c>
      <c r="E17" s="11">
        <f>D17+預測IC!F21</f>
        <v>3.5173444546260697</v>
      </c>
      <c r="F17" s="11">
        <f>E17+預測IC!G21</f>
        <v>4.2937791357485313</v>
      </c>
      <c r="G17" s="11">
        <f>F17+預測IC!H21</f>
        <v>4.9733764136781247</v>
      </c>
      <c r="H17" s="11">
        <f>G17+預測IC!I21</f>
        <v>5.6169451277262565</v>
      </c>
      <c r="I17" s="11">
        <f>H17+預測IC!J21</f>
        <v>6.4296898798624387</v>
      </c>
      <c r="J17" s="11">
        <f>I17+預測IC!K21</f>
        <v>7.2874783583351972</v>
      </c>
      <c r="K17" s="11">
        <f>J17+預測IC!L21</f>
        <v>8.0799677900116933</v>
      </c>
      <c r="L17" s="11">
        <f>K17+預測IC!M21</f>
        <v>9.1762078154787012</v>
      </c>
      <c r="M17" s="11">
        <f>L17+預測IC!N21</f>
        <v>9.9936763789155911</v>
      </c>
      <c r="N17" s="11">
        <f>M17+預測IC!O21</f>
        <v>10.101191288006646</v>
      </c>
      <c r="O17" s="11">
        <f>N17+預測IC!P21</f>
        <v>10.103607440005446</v>
      </c>
      <c r="P17" s="11">
        <f>O17+預測IC!Q21</f>
        <v>9.9836444673457674</v>
      </c>
      <c r="Q17" s="11">
        <f>P17+預測IC!R21</f>
        <v>9.9238628286401749</v>
      </c>
      <c r="R17" s="11">
        <f>Q17+預測IC!S21</f>
        <v>9.6970129846471149</v>
      </c>
      <c r="S17" s="11">
        <f>R17+預測IC!T21</f>
        <v>9.7175542129120718</v>
      </c>
      <c r="T17" s="11">
        <f>S17+預測IC!U21</f>
        <v>9.7528239651303466</v>
      </c>
      <c r="U17" s="11">
        <f>T17+預測IC!V21</f>
        <v>9.7595398654177181</v>
      </c>
      <c r="V17" s="11">
        <f>U17+預測IC!W21</f>
        <v>9.7662571420173521</v>
      </c>
      <c r="W17" s="11">
        <f>V17+預測IC!X21</f>
        <v>9.8353688719078125</v>
      </c>
      <c r="X17" s="11">
        <f>W17+預測IC!Y21</f>
        <v>9.8478584413434067</v>
      </c>
      <c r="Y17" s="11">
        <f>X17+預測IC!Z21</f>
        <v>9.9021643717422716</v>
      </c>
      <c r="Z17" s="11">
        <f>Y17+預測IC!AA21</f>
        <v>9.7608789356821788</v>
      </c>
      <c r="AA17" s="11">
        <f>Z17+預測IC!AB21</f>
        <v>9.7211671110133757</v>
      </c>
      <c r="AB17" s="11">
        <f>AA17+預測IC!AC21</f>
        <v>9.7312606952269185</v>
      </c>
      <c r="AC17" s="11">
        <f>AB17+預測IC!AD21</f>
        <v>9.7667148483007331</v>
      </c>
      <c r="AD17" s="11">
        <f>AC17+預測IC!AE21</f>
        <v>9.7305980985075209</v>
      </c>
      <c r="AE17" s="11">
        <f>AD17+預測IC!AF21</f>
        <v>9.9667452024723477</v>
      </c>
      <c r="AF17" s="11">
        <f>AE17+預測IC!AG21</f>
        <v>9.8865856018644376</v>
      </c>
      <c r="AG17" s="11">
        <f>AF17+預測IC!AH21</f>
        <v>9.860228974888587</v>
      </c>
      <c r="AH17" s="11">
        <f>AG17+預測IC!AI21</f>
        <v>9.7923294038238122</v>
      </c>
      <c r="AI17" s="11">
        <f>AH17+預測IC!AJ21</f>
        <v>9.7531613126174204</v>
      </c>
      <c r="AJ17" s="11">
        <f>AI17+預測IC!AK21</f>
        <v>9.6910929621603987</v>
      </c>
      <c r="AK17" s="11">
        <f>AJ17+預測IC!AL21</f>
        <v>9.66386969139527</v>
      </c>
      <c r="AL17" s="11">
        <f>AK17+預測IC!AM21</f>
        <v>9.9025577500467623</v>
      </c>
      <c r="AM17" s="11">
        <f>AL17+預測IC!AN21</f>
        <v>9.8971496502250691</v>
      </c>
      <c r="AN17" s="11">
        <f>AM17+預測IC!AO21</f>
        <v>9.7793821921895354</v>
      </c>
      <c r="AO17" s="11">
        <f>AN17+預測IC!AP21</f>
        <v>9.7133224302645367</v>
      </c>
      <c r="AP17" s="11">
        <f>AO17+預測IC!AQ21</f>
        <v>9.8846258871392951</v>
      </c>
      <c r="AQ17" s="11">
        <f>AP17+預測IC!AR21</f>
        <v>9.8868702357949125</v>
      </c>
      <c r="AR17" s="11">
        <f>AQ17+預測IC!AS21</f>
        <v>9.8124543742460038</v>
      </c>
      <c r="AS17" s="11">
        <f>AR17+預測IC!AT21</f>
        <v>9.8164332007672304</v>
      </c>
      <c r="AT17" s="11">
        <f>AS17+預測IC!AU21</f>
        <v>9.8476535991235483</v>
      </c>
      <c r="AU17" s="11">
        <f>AT17+預測IC!AV21</f>
        <v>9.8422515401520148</v>
      </c>
      <c r="AV17" s="11">
        <f>AU17+預測IC!AW21</f>
        <v>9.7934093212337405</v>
      </c>
      <c r="AW17" s="11">
        <f>AV17+預測IC!AX21</f>
        <v>9.7611192147051664</v>
      </c>
      <c r="AX17" s="11">
        <f>AW17+預測IC!AY21</f>
        <v>9.8284018192108888</v>
      </c>
      <c r="AY17" s="11">
        <f>AX17+預測IC!AZ21</f>
        <v>9.831732387655542</v>
      </c>
      <c r="AZ17" s="11">
        <f>AY17+預測IC!BA21</f>
        <v>9.8319670718577328</v>
      </c>
      <c r="BA17" s="11">
        <f>AZ17+預測IC!BB21</f>
        <v>9.6719775669604893</v>
      </c>
      <c r="BB17" s="11">
        <f>BA17+預測IC!BC21</f>
        <v>9.6626722674476326</v>
      </c>
      <c r="BC17" s="11">
        <f>BB17+預測IC!BD21</f>
        <v>9.6638672852439704</v>
      </c>
      <c r="BD17" s="11">
        <f>BC17+預測IC!BE21</f>
        <v>9.6475751084300807</v>
      </c>
      <c r="BE17" s="11">
        <f>BD17+預測IC!BF21</f>
        <v>9.726153272026135</v>
      </c>
      <c r="BF17" s="11">
        <f>BE17+預測IC!BG21</f>
        <v>9.8418313160580411</v>
      </c>
      <c r="BG17" s="11">
        <f>BF17+預測IC!BH21</f>
        <v>10.001033271848319</v>
      </c>
      <c r="BH17" s="11">
        <f>BG17+預測IC!BI21</f>
        <v>9.9570256107987642</v>
      </c>
      <c r="BI17" s="11">
        <f>BH17+預測IC!BJ21</f>
        <v>10.046126999095229</v>
      </c>
      <c r="BJ17" s="11">
        <f>BI17+預測IC!BK21</f>
        <v>10.112622043455501</v>
      </c>
      <c r="BK17" s="11">
        <f>BJ17+預測IC!BL21</f>
        <v>10.211873114191311</v>
      </c>
      <c r="BL17" s="11">
        <f>BK17+預測IC!BM21</f>
        <v>10.244503569957237</v>
      </c>
      <c r="BM17" s="11">
        <f>BL17+預測IC!BN21</f>
        <v>10.334932271490612</v>
      </c>
      <c r="BN17" s="11">
        <f>BM17+預測IC!BO21</f>
        <v>10.258932609673064</v>
      </c>
      <c r="BO17" s="11">
        <f>BN17+預測IC!BP21</f>
        <v>10.409195071773361</v>
      </c>
      <c r="BP17" s="11">
        <f>BO17+預測IC!BQ21</f>
        <v>10.45803758077744</v>
      </c>
      <c r="BQ17" s="11">
        <f>BP17+預測IC!BR21</f>
        <v>10.32572214711935</v>
      </c>
      <c r="BR17" s="11">
        <f>BQ17+預測IC!BS21</f>
        <v>10.267369417620152</v>
      </c>
      <c r="BS17" s="11">
        <f>BR17+預測IC!BT21</f>
        <v>10.39449777816154</v>
      </c>
      <c r="BT17" s="11">
        <f>BS17+預測IC!BU21</f>
        <v>10.436144556822022</v>
      </c>
      <c r="BU17" s="11">
        <f>BT17+預測IC!BV21</f>
        <v>10.519043165077864</v>
      </c>
      <c r="BV17" s="11">
        <f>BU17+預測IC!BW21</f>
        <v>10.352743184245274</v>
      </c>
      <c r="BW17" s="11">
        <f>BV17+預測IC!BX21</f>
        <v>10.376658538862699</v>
      </c>
      <c r="BX17" s="11">
        <f>BW17+預測IC!BY21</f>
        <v>10.34838652273581</v>
      </c>
      <c r="BY17" s="11">
        <f>BX17+預測IC!BZ21</f>
        <v>10.321950288323301</v>
      </c>
      <c r="BZ17" s="11">
        <f>BY17+預測IC!CA21</f>
        <v>10.25915396384889</v>
      </c>
      <c r="CA17" s="11">
        <f>BZ17+預測IC!CB21</f>
        <v>10.282991333210283</v>
      </c>
      <c r="CB17" s="11">
        <f>CA17+預測IC!CC21</f>
        <v>10.38358786926935</v>
      </c>
      <c r="CC17" s="11">
        <f>CB17+預測IC!CD21</f>
        <v>10.312998127531609</v>
      </c>
      <c r="CD17" s="11">
        <f>CC17+預測IC!CE21</f>
        <v>10.304133649702818</v>
      </c>
      <c r="CE17" s="11">
        <f>CD17+預測IC!CF21</f>
        <v>10.352251793243328</v>
      </c>
      <c r="CF17" s="11">
        <f>CE17+預測IC!CG21</f>
        <v>10.328863253414564</v>
      </c>
      <c r="CG17" s="11">
        <f>CF17+預測IC!CH21</f>
        <v>10.340314157206528</v>
      </c>
      <c r="CH17" s="11">
        <f>CG17+預測IC!CI21</f>
        <v>10.379931314908157</v>
      </c>
      <c r="CI17" s="11">
        <f>CH17+預測IC!CJ21</f>
        <v>10.383551391828279</v>
      </c>
      <c r="CJ17" s="11">
        <f>CI17+預測IC!CK21</f>
        <v>10.335027967079057</v>
      </c>
      <c r="CK17" s="11">
        <f>CJ17+預測IC!CL21</f>
        <v>10.181244255978761</v>
      </c>
      <c r="CL17" s="11">
        <f>CK17+預測IC!CM21</f>
        <v>10.275270738377374</v>
      </c>
      <c r="CM17" s="11">
        <f>CL17+預測IC!CN21</f>
        <v>10.424837765139582</v>
      </c>
      <c r="CN17" s="11">
        <f>CM17+預測IC!CO21</f>
        <v>10.537340142147123</v>
      </c>
      <c r="CO17" s="11">
        <f>CN17+預測IC!CP21</f>
        <v>10.735390722600483</v>
      </c>
      <c r="CP17" s="11">
        <f>CO17+預測IC!CQ21</f>
        <v>10.514126053750399</v>
      </c>
      <c r="CQ17" s="11">
        <f>CP17+預測IC!CR21</f>
        <v>10.359525809793292</v>
      </c>
      <c r="CR17" s="11">
        <f>CQ17+預測IC!CS21</f>
        <v>10.403151737452573</v>
      </c>
      <c r="CS17" s="11">
        <f>CR17+預測IC!CT21</f>
        <v>10.301278461465397</v>
      </c>
      <c r="CT17" s="11">
        <f>CS17+預測IC!CU21</f>
        <v>10.227576280858308</v>
      </c>
      <c r="CU17" s="11">
        <f>CT17+預測IC!CV21</f>
        <v>10.169312209404916</v>
      </c>
      <c r="CV17" s="11">
        <f>CU17+預測IC!CW21</f>
        <v>10.196463398215903</v>
      </c>
      <c r="CW17" s="11">
        <f>CV17+預測IC!CX21</f>
        <v>10.245705647005117</v>
      </c>
      <c r="CX17" s="11">
        <f>CW17+預測IC!CY21</f>
        <v>10.164586104796175</v>
      </c>
      <c r="CY17" s="11">
        <f>CX17+預測IC!CZ21</f>
        <v>10.24649239965459</v>
      </c>
      <c r="CZ17" s="11">
        <f>CY17+預測IC!DA21</f>
        <v>10.227795875924189</v>
      </c>
      <c r="DA17" s="11">
        <f>CZ17+預測IC!DB21</f>
        <v>10.399823765243726</v>
      </c>
      <c r="DB17" s="11">
        <f>DA17+預測IC!DC21</f>
        <v>10.26319224566894</v>
      </c>
      <c r="DC17" s="11">
        <f>DB17+預測IC!DD21</f>
        <v>10.272770081853441</v>
      </c>
      <c r="DD17" s="11">
        <f>DC17+預測IC!DE21</f>
        <v>10.346530739201818</v>
      </c>
      <c r="DE17" s="11">
        <f>DD17+預測IC!DF21</f>
        <v>10.265772114705046</v>
      </c>
      <c r="DF17" s="11">
        <f>DE17+預測IC!DG21</f>
        <v>10.235220688669433</v>
      </c>
      <c r="DG17" s="11">
        <f>DF17+預測IC!DH21</f>
        <v>10.22294627422751</v>
      </c>
      <c r="DH17" s="11">
        <f>DG17+預測IC!DI21</f>
        <v>10.301903792844163</v>
      </c>
      <c r="DI17" s="11">
        <f>DH17+預測IC!DJ21</f>
        <v>10.45017643724705</v>
      </c>
      <c r="DJ17" s="11">
        <f>DI17+預測IC!DK21</f>
        <v>10.439185575832735</v>
      </c>
      <c r="DK17" s="11">
        <f>DJ17+預測IC!DL21</f>
        <v>10.381168715813944</v>
      </c>
      <c r="DL17" s="11">
        <f>DK17+預測IC!DM21</f>
        <v>10.208371249623259</v>
      </c>
      <c r="DM17" s="11">
        <f>DL17+預測IC!DN21</f>
        <v>10.170042005426716</v>
      </c>
      <c r="DN17" s="11">
        <f>DM17+預測IC!DO21</f>
        <v>10.116533401636968</v>
      </c>
      <c r="DO17" s="11">
        <f>DN17+預測IC!DP21</f>
        <v>10.063524680391509</v>
      </c>
      <c r="DP17" s="11">
        <f>DO17+預測IC!DQ21</f>
        <v>9.984938918837921</v>
      </c>
      <c r="DQ17" s="11">
        <f>DP17+預測IC!DR21</f>
        <v>10.008326873520945</v>
      </c>
      <c r="DR17" s="11">
        <f>DQ17+預測IC!DS21</f>
        <v>10.065879714330949</v>
      </c>
      <c r="DS17" s="11">
        <f>DR17+預測IC!DT21</f>
        <v>10.120506928931119</v>
      </c>
      <c r="DT17" s="11">
        <f>DS17+預測IC!DU21</f>
        <v>10.13616476001083</v>
      </c>
      <c r="DU17" s="11">
        <f>DT17+預測IC!DV21</f>
        <v>10.111418368882163</v>
      </c>
      <c r="DV17" s="11">
        <f>DU17+預測IC!DW21</f>
        <v>10.24087998187979</v>
      </c>
      <c r="DW17" s="11">
        <f>DV17+預測IC!DX21</f>
        <v>10.241955642989103</v>
      </c>
      <c r="DX17" s="11">
        <f>DW17+預測IC!DY21</f>
        <v>10.263360883609884</v>
      </c>
      <c r="DY17" s="11">
        <f>DX17+預測IC!DZ21</f>
        <v>10.291938870354835</v>
      </c>
      <c r="DZ17" s="11">
        <f>DY17+預測IC!EA21</f>
        <v>10.335105510910054</v>
      </c>
      <c r="EA17" s="11">
        <f>DZ17+預測IC!EB21</f>
        <v>10.348181571042062</v>
      </c>
      <c r="EB17" s="11">
        <f>EA17+預測IC!EC21</f>
        <v>10.360961226905923</v>
      </c>
      <c r="EC17" s="11">
        <f>EB17+預測IC!ED21</f>
        <v>10.435451844227082</v>
      </c>
      <c r="ED17" s="11">
        <f>EC17+預測IC!EE21</f>
        <v>10.461083030809601</v>
      </c>
      <c r="EE17" s="11">
        <f>ED17+預測IC!EF21</f>
        <v>10.562316931718065</v>
      </c>
    </row>
    <row r="18" spans="1:136" ht="16" customHeight="1">
      <c r="A18" s="6" t="s">
        <v>248</v>
      </c>
      <c r="B18" s="9">
        <v>0.89798478135778881</v>
      </c>
      <c r="C18" s="11">
        <f>B18+預測IC!D22</f>
        <v>1.8434193986581693</v>
      </c>
      <c r="D18" s="11">
        <f>C18+預測IC!E22</f>
        <v>2.5772893098862957</v>
      </c>
      <c r="E18" s="11">
        <f>D18+預測IC!F22</f>
        <v>3.7746310925377164</v>
      </c>
      <c r="F18" s="11">
        <f>E18+預測IC!G22</f>
        <v>4.5404617761683381</v>
      </c>
      <c r="G18" s="11">
        <f>F18+預測IC!H22</f>
        <v>5.2367039113854101</v>
      </c>
      <c r="H18" s="11">
        <f>G18+預測IC!I22</f>
        <v>5.9117601401198794</v>
      </c>
      <c r="I18" s="11">
        <f>H18+預測IC!J22</f>
        <v>6.7501470623586952</v>
      </c>
      <c r="J18" s="11">
        <f>I18+預測IC!K22</f>
        <v>7.6694811289693261</v>
      </c>
      <c r="K18" s="11">
        <f>J18+預測IC!L22</f>
        <v>8.4724385489314109</v>
      </c>
      <c r="L18" s="11">
        <f>K18+預測IC!M22</f>
        <v>9.6411022018583576</v>
      </c>
      <c r="M18" s="11">
        <f>L18+預測IC!N22</f>
        <v>10.536369560261791</v>
      </c>
      <c r="N18" s="11">
        <f>M18+預測IC!O22</f>
        <v>10.653900288307714</v>
      </c>
      <c r="O18" s="11">
        <f>N18+預測IC!P22</f>
        <v>10.67623311323373</v>
      </c>
      <c r="P18" s="11">
        <f>O18+預測IC!Q22</f>
        <v>10.56170141926046</v>
      </c>
      <c r="Q18" s="11">
        <f>P18+預測IC!R22</f>
        <v>10.504170874059152</v>
      </c>
      <c r="R18" s="11">
        <f>Q18+預測IC!S22</f>
        <v>10.222538430236947</v>
      </c>
      <c r="S18" s="11">
        <f>R18+預測IC!T22</f>
        <v>10.256917245970177</v>
      </c>
      <c r="T18" s="11">
        <f>S18+預測IC!U22</f>
        <v>10.277757862032635</v>
      </c>
      <c r="U18" s="11">
        <f>T18+預測IC!V22</f>
        <v>10.335292073685213</v>
      </c>
      <c r="V18" s="11">
        <f>U18+預測IC!W22</f>
        <v>10.371864442991821</v>
      </c>
      <c r="W18" s="11">
        <f>V18+預測IC!X22</f>
        <v>10.457352064626374</v>
      </c>
      <c r="X18" s="11">
        <f>W18+預測IC!Y22</f>
        <v>10.462095211257843</v>
      </c>
      <c r="Y18" s="11">
        <f>X18+預測IC!Z22</f>
        <v>10.536122379515797</v>
      </c>
      <c r="Z18" s="11">
        <f>Y18+預測IC!AA22</f>
        <v>10.412216397932609</v>
      </c>
      <c r="AA18" s="11">
        <f>Z18+預測IC!AB22</f>
        <v>10.382377863571527</v>
      </c>
      <c r="AB18" s="11">
        <f>AA18+預測IC!AC22</f>
        <v>10.399599587265884</v>
      </c>
      <c r="AC18" s="11">
        <f>AB18+預測IC!AD22</f>
        <v>10.483751724618909</v>
      </c>
      <c r="AD18" s="11">
        <f>AC18+預測IC!AE22</f>
        <v>10.41713388831198</v>
      </c>
      <c r="AE18" s="11">
        <f>AD18+預測IC!AF22</f>
        <v>10.63020094203638</v>
      </c>
      <c r="AF18" s="11">
        <f>AE18+預測IC!AG22</f>
        <v>10.594669405262806</v>
      </c>
      <c r="AG18" s="11">
        <f>AF18+預測IC!AH22</f>
        <v>10.566519160971257</v>
      </c>
      <c r="AH18" s="11">
        <f>AG18+預測IC!AI22</f>
        <v>10.5241999621235</v>
      </c>
      <c r="AI18" s="11">
        <f>AH18+預測IC!AJ22</f>
        <v>10.474165790239969</v>
      </c>
      <c r="AJ18" s="11">
        <f>AI18+預測IC!AK22</f>
        <v>10.419782047648976</v>
      </c>
      <c r="AK18" s="11">
        <f>AJ18+預測IC!AL22</f>
        <v>10.32520611356037</v>
      </c>
      <c r="AL18" s="11">
        <f>AK18+預測IC!AM22</f>
        <v>10.525909207514156</v>
      </c>
      <c r="AM18" s="11">
        <f>AL18+預測IC!AN22</f>
        <v>10.497980684683851</v>
      </c>
      <c r="AN18" s="11">
        <f>AM18+預測IC!AO22</f>
        <v>10.343389562636387</v>
      </c>
      <c r="AO18" s="11">
        <f>AN18+預測IC!AP22</f>
        <v>10.243047849633324</v>
      </c>
      <c r="AP18" s="11">
        <f>AO18+預測IC!AQ22</f>
        <v>10.486150973513839</v>
      </c>
      <c r="AQ18" s="11">
        <f>AP18+預測IC!AR22</f>
        <v>10.494054327340567</v>
      </c>
      <c r="AR18" s="11">
        <f>AQ18+預測IC!AS22</f>
        <v>10.465083246525902</v>
      </c>
      <c r="AS18" s="11">
        <f>AR18+預測IC!AT22</f>
        <v>10.475016979400468</v>
      </c>
      <c r="AT18" s="11">
        <f>AS18+預測IC!AU22</f>
        <v>10.489426654727064</v>
      </c>
      <c r="AU18" s="11">
        <f>AT18+預測IC!AV22</f>
        <v>10.484265586206996</v>
      </c>
      <c r="AV18" s="11">
        <f>AU18+預測IC!AW22</f>
        <v>10.410854338581144</v>
      </c>
      <c r="AW18" s="11">
        <f>AV18+預測IC!AX22</f>
        <v>10.378180157869686</v>
      </c>
      <c r="AX18" s="11">
        <f>AW18+預測IC!AY22</f>
        <v>10.389705057008213</v>
      </c>
      <c r="AY18" s="11">
        <f>AX18+預測IC!AZ22</f>
        <v>10.374749378336739</v>
      </c>
      <c r="AZ18" s="11">
        <f>AY18+預測IC!BA22</f>
        <v>10.366622664404012</v>
      </c>
      <c r="BA18" s="11">
        <f>AZ18+預測IC!BB22</f>
        <v>10.218439038279833</v>
      </c>
      <c r="BB18" s="11">
        <f>BA18+預測IC!BC22</f>
        <v>10.202054876476629</v>
      </c>
      <c r="BC18" s="11">
        <f>BB18+預測IC!BD22</f>
        <v>10.250188563930081</v>
      </c>
      <c r="BD18" s="11">
        <f>BC18+預測IC!BE22</f>
        <v>10.236077255790709</v>
      </c>
      <c r="BE18" s="11">
        <f>BD18+預測IC!BF22</f>
        <v>10.312781183770939</v>
      </c>
      <c r="BF18" s="11">
        <f>BE18+預測IC!BG22</f>
        <v>10.430579190586823</v>
      </c>
      <c r="BG18" s="11">
        <f>BF18+預測IC!BH22</f>
        <v>10.532864743053096</v>
      </c>
      <c r="BH18" s="11">
        <f>BG18+預測IC!BI22</f>
        <v>10.473504927077267</v>
      </c>
      <c r="BI18" s="11">
        <f>BH18+預測IC!BJ22</f>
        <v>10.574102902278396</v>
      </c>
      <c r="BJ18" s="11">
        <f>BI18+預測IC!BK22</f>
        <v>10.645427445944902</v>
      </c>
      <c r="BK18" s="11">
        <f>BJ18+預測IC!BL22</f>
        <v>10.753032661741422</v>
      </c>
      <c r="BL18" s="11">
        <f>BK18+預測IC!BM22</f>
        <v>10.79923174701168</v>
      </c>
      <c r="BM18" s="11">
        <f>BL18+預測IC!BN22</f>
        <v>10.845404576293275</v>
      </c>
      <c r="BN18" s="11">
        <f>BM18+預測IC!BO22</f>
        <v>10.802036407131947</v>
      </c>
      <c r="BO18" s="11">
        <f>BN18+預測IC!BP22</f>
        <v>10.982351361652304</v>
      </c>
      <c r="BP18" s="11">
        <f>BO18+預測IC!BQ22</f>
        <v>10.967140717776353</v>
      </c>
      <c r="BQ18" s="11">
        <f>BP18+預測IC!BR22</f>
        <v>10.806040508705216</v>
      </c>
      <c r="BR18" s="11">
        <f>BQ18+預測IC!BS22</f>
        <v>10.732651418754813</v>
      </c>
      <c r="BS18" s="11">
        <f>BR18+預測IC!BT22</f>
        <v>10.856890931241285</v>
      </c>
      <c r="BT18" s="11">
        <f>BS18+預測IC!BU22</f>
        <v>10.83179490684477</v>
      </c>
      <c r="BU18" s="11">
        <f>BT18+預測IC!BV22</f>
        <v>10.938239499427695</v>
      </c>
      <c r="BV18" s="11">
        <f>BU18+預測IC!BW22</f>
        <v>10.788580889968598</v>
      </c>
      <c r="BW18" s="11">
        <f>BV18+預測IC!BX22</f>
        <v>10.806852751451741</v>
      </c>
      <c r="BX18" s="11">
        <f>BW18+預測IC!BY22</f>
        <v>10.770279516913554</v>
      </c>
      <c r="BY18" s="11">
        <f>BX18+預測IC!BZ22</f>
        <v>10.79222303388738</v>
      </c>
      <c r="BZ18" s="11">
        <f>BY18+預測IC!CA22</f>
        <v>10.736522727035009</v>
      </c>
      <c r="CA18" s="11">
        <f>BZ18+預測IC!CB22</f>
        <v>10.726554265546463</v>
      </c>
      <c r="CB18" s="11">
        <f>CA18+預測IC!CC22</f>
        <v>10.847270108817344</v>
      </c>
      <c r="CC18" s="11">
        <f>CB18+預測IC!CD22</f>
        <v>10.781928637261062</v>
      </c>
      <c r="CD18" s="11">
        <f>CC18+預測IC!CE22</f>
        <v>10.781172269291535</v>
      </c>
      <c r="CE18" s="11">
        <f>CD18+預測IC!CF22</f>
        <v>10.801854082992847</v>
      </c>
      <c r="CF18" s="11">
        <f>CE18+預測IC!CG22</f>
        <v>10.782926523175618</v>
      </c>
      <c r="CG18" s="11">
        <f>CF18+預測IC!CH22</f>
        <v>10.805986134826743</v>
      </c>
      <c r="CH18" s="11">
        <f>CG18+預測IC!CI22</f>
        <v>10.87271924497114</v>
      </c>
      <c r="CI18" s="11">
        <f>CH18+預測IC!CJ22</f>
        <v>10.861429016587532</v>
      </c>
      <c r="CJ18" s="11">
        <f>CI18+預測IC!CK22</f>
        <v>10.802227496262031</v>
      </c>
      <c r="CK18" s="11">
        <f>CJ18+預測IC!CL22</f>
        <v>10.634442096272522</v>
      </c>
      <c r="CL18" s="11">
        <f>CK18+預測IC!CM22</f>
        <v>10.694868807379175</v>
      </c>
      <c r="CM18" s="11">
        <f>CL18+預測IC!CN22</f>
        <v>10.860133504983896</v>
      </c>
      <c r="CN18" s="11">
        <f>CM18+預測IC!CO22</f>
        <v>11.020144897252599</v>
      </c>
      <c r="CO18" s="11">
        <f>CN18+預測IC!CP22</f>
        <v>11.226313424787088</v>
      </c>
      <c r="CP18" s="11">
        <f>CO18+預測IC!CQ22</f>
        <v>10.927483875727869</v>
      </c>
      <c r="CQ18" s="11">
        <f>CP18+預測IC!CR22</f>
        <v>10.73740500439235</v>
      </c>
      <c r="CR18" s="11">
        <f>CQ18+預測IC!CS22</f>
        <v>10.799562147729755</v>
      </c>
      <c r="CS18" s="11">
        <f>CR18+預測IC!CT22</f>
        <v>10.617118968221991</v>
      </c>
      <c r="CT18" s="11">
        <f>CS18+預測IC!CU22</f>
        <v>10.557449684416623</v>
      </c>
      <c r="CU18" s="11">
        <f>CT18+預測IC!CV22</f>
        <v>10.471907516815762</v>
      </c>
      <c r="CV18" s="11">
        <f>CU18+預測IC!CW22</f>
        <v>10.465112062247881</v>
      </c>
      <c r="CW18" s="11">
        <f>CV18+預測IC!CX22</f>
        <v>10.474907124772722</v>
      </c>
      <c r="CX18" s="11">
        <f>CW18+預測IC!CY22</f>
        <v>10.365858318882321</v>
      </c>
      <c r="CY18" s="11">
        <f>CX18+預測IC!CZ22</f>
        <v>10.475341556915012</v>
      </c>
      <c r="CZ18" s="11">
        <f>CY18+預測IC!DA22</f>
        <v>10.421063326344848</v>
      </c>
      <c r="DA18" s="11">
        <f>CZ18+預測IC!DB22</f>
        <v>10.459036820011846</v>
      </c>
      <c r="DB18" s="11">
        <f>DA18+預測IC!DC22</f>
        <v>10.358238956871636</v>
      </c>
      <c r="DC18" s="11">
        <f>DB18+預測IC!DD22</f>
        <v>10.368269511368974</v>
      </c>
      <c r="DD18" s="11">
        <f>DC18+預測IC!DE22</f>
        <v>10.427773001749507</v>
      </c>
      <c r="DE18" s="11">
        <f>DD18+預測IC!DF22</f>
        <v>10.377793598215057</v>
      </c>
      <c r="DF18" s="11">
        <f>DE18+預測IC!DG22</f>
        <v>10.389788338289049</v>
      </c>
      <c r="DG18" s="11">
        <f>DF18+預測IC!DH22</f>
        <v>10.352429889005339</v>
      </c>
      <c r="DH18" s="11">
        <f>DG18+預測IC!DI22</f>
        <v>10.416800550468594</v>
      </c>
      <c r="DI18" s="11">
        <f>DH18+預測IC!DJ22</f>
        <v>10.589256257909751</v>
      </c>
      <c r="DJ18" s="11">
        <f>DI18+預測IC!DK22</f>
        <v>10.617656816039256</v>
      </c>
      <c r="DK18" s="11">
        <f>DJ18+預測IC!DL22</f>
        <v>10.572504510636156</v>
      </c>
      <c r="DL18" s="11">
        <f>DK18+預測IC!DM22</f>
        <v>10.381434448167832</v>
      </c>
      <c r="DM18" s="11">
        <f>DL18+預測IC!DN22</f>
        <v>10.303687971260514</v>
      </c>
      <c r="DN18" s="11">
        <f>DM18+預測IC!DO22</f>
        <v>10.248767507715602</v>
      </c>
      <c r="DO18" s="11">
        <f>DN18+預測IC!DP22</f>
        <v>10.179674529606091</v>
      </c>
      <c r="DP18" s="11">
        <f>DO18+預測IC!DQ22</f>
        <v>10.173435276785414</v>
      </c>
      <c r="DQ18" s="11">
        <f>DP18+預測IC!DR22</f>
        <v>10.202486046072254</v>
      </c>
      <c r="DR18" s="11">
        <f>DQ18+預測IC!DS22</f>
        <v>10.264870197762686</v>
      </c>
      <c r="DS18" s="11">
        <f>DR18+預測IC!DT22</f>
        <v>10.320212998715599</v>
      </c>
      <c r="DT18" s="11">
        <f>DS18+預測IC!DU22</f>
        <v>10.355063027662155</v>
      </c>
      <c r="DU18" s="11">
        <f>DT18+預測IC!DV22</f>
        <v>10.316669672788732</v>
      </c>
      <c r="DV18" s="11">
        <f>DU18+預測IC!DW22</f>
        <v>10.365514814607089</v>
      </c>
      <c r="DW18" s="11">
        <f>DV18+預測IC!DX22</f>
        <v>10.371382527543789</v>
      </c>
      <c r="DX18" s="11">
        <f>DW18+預測IC!DY22</f>
        <v>10.390107827267032</v>
      </c>
      <c r="DY18" s="11">
        <f>DX18+預測IC!DZ22</f>
        <v>10.437760578814309</v>
      </c>
      <c r="DZ18" s="11">
        <f>DY18+預測IC!EA22</f>
        <v>10.482876117475048</v>
      </c>
      <c r="EA18" s="11">
        <f>DZ18+預測IC!EB22</f>
        <v>10.481199432797668</v>
      </c>
      <c r="EB18" s="11">
        <f>EA18+預測IC!EC22</f>
        <v>10.495092272369563</v>
      </c>
      <c r="EC18" s="11">
        <f>EB18+預測IC!ED22</f>
        <v>10.570940048418484</v>
      </c>
      <c r="ED18" s="11">
        <f>EC18+預測IC!EE22</f>
        <v>10.595807658754353</v>
      </c>
      <c r="EE18" s="11">
        <f>ED18+預測IC!EF22</f>
        <v>10.676037776192507</v>
      </c>
    </row>
    <row r="19" spans="1:136" ht="16" customHeight="1">
      <c r="A19" s="6" t="s">
        <v>249</v>
      </c>
      <c r="B19" s="9">
        <v>0.89783896967174559</v>
      </c>
      <c r="C19" s="11">
        <f>B19+預測IC!D23</f>
        <v>1.8999218338135386</v>
      </c>
      <c r="D19" s="11">
        <f>C19+預測IC!E23</f>
        <v>2.6805265657466699</v>
      </c>
      <c r="E19" s="11">
        <f>D19+預測IC!F23</f>
        <v>3.9648149238579968</v>
      </c>
      <c r="F19" s="11">
        <f>E19+預測IC!G23</f>
        <v>4.7674498082293502</v>
      </c>
      <c r="G19" s="11">
        <f>F19+預測IC!H23</f>
        <v>5.4923635837920459</v>
      </c>
      <c r="H19" s="11">
        <f>G19+預測IC!I23</f>
        <v>6.1935181917645554</v>
      </c>
      <c r="I19" s="11">
        <f>H19+預測IC!J23</f>
        <v>7.0796078487503564</v>
      </c>
      <c r="J19" s="11">
        <f>I19+預測IC!K23</f>
        <v>8.1058544008066225</v>
      </c>
      <c r="K19" s="11">
        <f>J19+預測IC!L23</f>
        <v>8.9756124240571005</v>
      </c>
      <c r="L19" s="11">
        <f>K19+預測IC!M23</f>
        <v>10.231819808245968</v>
      </c>
      <c r="M19" s="11">
        <f>L19+預測IC!N23</f>
        <v>11.219660563817255</v>
      </c>
      <c r="N19" s="11">
        <f>M19+預測IC!O23</f>
        <v>11.325725414196954</v>
      </c>
      <c r="O19" s="11">
        <f>N19+預測IC!P23</f>
        <v>11.356492966463041</v>
      </c>
      <c r="P19" s="11">
        <f>O19+預測IC!Q23</f>
        <v>11.165023576322158</v>
      </c>
      <c r="Q19" s="11">
        <f>P19+預測IC!R23</f>
        <v>11.079605502227919</v>
      </c>
      <c r="R19" s="11">
        <f>Q19+預測IC!S23</f>
        <v>11.082836592842632</v>
      </c>
      <c r="S19" s="11">
        <f>R19+預測IC!T23</f>
        <v>11.172161412591418</v>
      </c>
      <c r="T19" s="11">
        <f>S19+預測IC!U23</f>
        <v>11.208311034426719</v>
      </c>
      <c r="U19" s="11">
        <f>T19+預測IC!V23</f>
        <v>11.221498215533854</v>
      </c>
      <c r="V19" s="11">
        <f>U19+預測IC!W23</f>
        <v>11.250760372524722</v>
      </c>
      <c r="W19" s="11">
        <f>V19+預測IC!X23</f>
        <v>11.330295026467542</v>
      </c>
      <c r="X19" s="11">
        <f>W19+預測IC!Y23</f>
        <v>11.328185920183131</v>
      </c>
      <c r="Y19" s="11">
        <f>X19+預測IC!Z23</f>
        <v>11.375609962470453</v>
      </c>
      <c r="Z19" s="11">
        <f>Y19+預測IC!AA23</f>
        <v>11.287175070926034</v>
      </c>
      <c r="AA19" s="11">
        <f>Z19+預測IC!AB23</f>
        <v>11.265888471479579</v>
      </c>
      <c r="AB19" s="11">
        <f>AA19+預測IC!AC23</f>
        <v>11.287849729349505</v>
      </c>
      <c r="AC19" s="11">
        <f>AB19+預測IC!AD23</f>
        <v>11.415466487484963</v>
      </c>
      <c r="AD19" s="11">
        <f>AC19+預測IC!AE23</f>
        <v>11.33363644919595</v>
      </c>
      <c r="AE19" s="11">
        <f>AD19+預測IC!AF23</f>
        <v>11.581466460236967</v>
      </c>
      <c r="AF19" s="11">
        <f>AE19+預測IC!AG23</f>
        <v>11.552979987138052</v>
      </c>
      <c r="AG19" s="11">
        <f>AF19+預測IC!AH23</f>
        <v>11.541392562665582</v>
      </c>
      <c r="AH19" s="11">
        <f>AG19+預測IC!AI23</f>
        <v>11.503378628169177</v>
      </c>
      <c r="AI19" s="11">
        <f>AH19+預測IC!AJ23</f>
        <v>11.484425290120189</v>
      </c>
      <c r="AJ19" s="11">
        <f>AI19+預測IC!AK23</f>
        <v>11.446558752022867</v>
      </c>
      <c r="AK19" s="11">
        <f>AJ19+預測IC!AL23</f>
        <v>11.3449403182402</v>
      </c>
      <c r="AL19" s="11">
        <f>AK19+預測IC!AM23</f>
        <v>11.578092327003963</v>
      </c>
      <c r="AM19" s="11">
        <f>AL19+預測IC!AN23</f>
        <v>11.574003578812212</v>
      </c>
      <c r="AN19" s="11">
        <f>AM19+預測IC!AO23</f>
        <v>11.486908652067015</v>
      </c>
      <c r="AO19" s="11">
        <f>AN19+預測IC!AP23</f>
        <v>11.374682180065346</v>
      </c>
      <c r="AP19" s="11">
        <f>AO19+預測IC!AQ23</f>
        <v>11.577362513566001</v>
      </c>
      <c r="AQ19" s="11">
        <f>AP19+預測IC!AR23</f>
        <v>11.576117006184035</v>
      </c>
      <c r="AR19" s="11">
        <f>AQ19+預測IC!AS23</f>
        <v>11.558620055582846</v>
      </c>
      <c r="AS19" s="11">
        <f>AR19+預測IC!AT23</f>
        <v>11.575704513192871</v>
      </c>
      <c r="AT19" s="11">
        <f>AS19+預測IC!AU23</f>
        <v>11.582652363145792</v>
      </c>
      <c r="AU19" s="11">
        <f>AT19+預測IC!AV23</f>
        <v>11.569890097997071</v>
      </c>
      <c r="AV19" s="11">
        <f>AU19+預測IC!AW23</f>
        <v>11.462164810824564</v>
      </c>
      <c r="AW19" s="11">
        <f>AV19+預測IC!AX23</f>
        <v>11.408588454508235</v>
      </c>
      <c r="AX19" s="11">
        <f>AW19+預測IC!AY23</f>
        <v>11.442254351672039</v>
      </c>
      <c r="AY19" s="11">
        <f>AX19+預測IC!AZ23</f>
        <v>11.45476018212098</v>
      </c>
      <c r="AZ19" s="11">
        <f>AY19+預測IC!BA23</f>
        <v>11.427536020915506</v>
      </c>
      <c r="BA19" s="11">
        <f>AZ19+預測IC!BB23</f>
        <v>11.328826729355638</v>
      </c>
      <c r="BB19" s="11">
        <f>BA19+預測IC!BC23</f>
        <v>11.354228894572174</v>
      </c>
      <c r="BC19" s="11">
        <f>BB19+預測IC!BD23</f>
        <v>11.333184271288408</v>
      </c>
      <c r="BD19" s="11">
        <f>BC19+預測IC!BE23</f>
        <v>11.271548169511449</v>
      </c>
      <c r="BE19" s="11">
        <f>BD19+預測IC!BF23</f>
        <v>11.358990833302578</v>
      </c>
      <c r="BF19" s="11">
        <f>BE19+預測IC!BG23</f>
        <v>11.475203234224933</v>
      </c>
      <c r="BG19" s="11">
        <f>BF19+預測IC!BH23</f>
        <v>11.524758380802268</v>
      </c>
      <c r="BH19" s="11">
        <f>BG19+預測IC!BI23</f>
        <v>11.465185696880958</v>
      </c>
      <c r="BI19" s="11">
        <f>BH19+預測IC!BJ23</f>
        <v>11.600992926677415</v>
      </c>
      <c r="BJ19" s="11">
        <f>BI19+預測IC!BK23</f>
        <v>11.714200631609355</v>
      </c>
      <c r="BK19" s="11">
        <f>BJ19+預測IC!BL23</f>
        <v>11.843579684128596</v>
      </c>
      <c r="BL19" s="11">
        <f>BK19+預測IC!BM23</f>
        <v>11.877692895919937</v>
      </c>
      <c r="BM19" s="11">
        <f>BL19+預測IC!BN23</f>
        <v>11.91695793887609</v>
      </c>
      <c r="BN19" s="11">
        <f>BM19+預測IC!BO23</f>
        <v>11.92758949658797</v>
      </c>
      <c r="BO19" s="11">
        <f>BN19+預測IC!BP23</f>
        <v>12.158476100024419</v>
      </c>
      <c r="BP19" s="11">
        <f>BO19+預測IC!BQ23</f>
        <v>12.176756408416159</v>
      </c>
      <c r="BQ19" s="11">
        <f>BP19+預測IC!BR23</f>
        <v>11.999244536891812</v>
      </c>
      <c r="BR19" s="11">
        <f>BQ19+預測IC!BS23</f>
        <v>11.956371564250023</v>
      </c>
      <c r="BS19" s="11">
        <f>BR19+預測IC!BT23</f>
        <v>12.122056393250121</v>
      </c>
      <c r="BT19" s="11">
        <f>BS19+預測IC!BU23</f>
        <v>12.108831680214198</v>
      </c>
      <c r="BU19" s="11">
        <f>BT19+預測IC!BV23</f>
        <v>12.170645553461593</v>
      </c>
      <c r="BV19" s="11">
        <f>BU19+預測IC!BW23</f>
        <v>11.956118554500984</v>
      </c>
      <c r="BW19" s="11">
        <f>BV19+預測IC!BX23</f>
        <v>11.971602897242635</v>
      </c>
      <c r="BX19" s="11">
        <f>BW19+預測IC!BY23</f>
        <v>11.934834203838065</v>
      </c>
      <c r="BY19" s="11">
        <f>BX19+預測IC!BZ23</f>
        <v>11.81726749109891</v>
      </c>
      <c r="BZ19" s="11">
        <f>BY19+預測IC!CA23</f>
        <v>11.763218505918045</v>
      </c>
      <c r="CA19" s="11">
        <f>BZ19+預測IC!CB23</f>
        <v>11.764493208565188</v>
      </c>
      <c r="CB19" s="11">
        <f>CA19+預測IC!CC23</f>
        <v>11.84002786315552</v>
      </c>
      <c r="CC19" s="11">
        <f>CB19+預測IC!CD23</f>
        <v>11.758795694136127</v>
      </c>
      <c r="CD19" s="11">
        <f>CC19+預測IC!CE23</f>
        <v>11.762602165087539</v>
      </c>
      <c r="CE19" s="11">
        <f>CD19+預測IC!CF23</f>
        <v>11.787398727931274</v>
      </c>
      <c r="CF19" s="11">
        <f>CE19+預測IC!CG23</f>
        <v>11.84015853893597</v>
      </c>
      <c r="CG19" s="11">
        <f>CF19+預測IC!CH23</f>
        <v>11.890774456709945</v>
      </c>
      <c r="CH19" s="11">
        <f>CG19+預測IC!CI23</f>
        <v>11.940503157365326</v>
      </c>
      <c r="CI19" s="11">
        <f>CH19+預測IC!CJ23</f>
        <v>11.912302582188651</v>
      </c>
      <c r="CJ19" s="11">
        <f>CI19+預測IC!CK23</f>
        <v>11.846562493259922</v>
      </c>
      <c r="CK19" s="11">
        <f>CJ19+預測IC!CL23</f>
        <v>11.633266389574414</v>
      </c>
      <c r="CL19" s="11">
        <f>CK19+預測IC!CM23</f>
        <v>11.668512626204004</v>
      </c>
      <c r="CM19" s="11">
        <f>CL19+預測IC!CN23</f>
        <v>11.766445291201633</v>
      </c>
      <c r="CN19" s="11">
        <f>CM19+預測IC!CO23</f>
        <v>11.945396624253837</v>
      </c>
      <c r="CO19" s="11">
        <f>CN19+預測IC!CP23</f>
        <v>12.135078328904864</v>
      </c>
      <c r="CP19" s="11">
        <f>CO19+預測IC!CQ23</f>
        <v>11.839422704220986</v>
      </c>
      <c r="CQ19" s="11">
        <f>CP19+預測IC!CR23</f>
        <v>11.672055321075774</v>
      </c>
      <c r="CR19" s="11">
        <f>CQ19+預測IC!CS23</f>
        <v>11.733829450061084</v>
      </c>
      <c r="CS19" s="11">
        <f>CR19+預測IC!CT23</f>
        <v>11.65091018528372</v>
      </c>
      <c r="CT19" s="11">
        <f>CS19+預測IC!CU23</f>
        <v>11.574913474982568</v>
      </c>
      <c r="CU19" s="11">
        <f>CT19+預測IC!CV23</f>
        <v>11.47367155614447</v>
      </c>
      <c r="CV19" s="11">
        <f>CU19+預測IC!CW23</f>
        <v>11.44104179369541</v>
      </c>
      <c r="CW19" s="11">
        <f>CV19+預測IC!CX23</f>
        <v>11.460231898900599</v>
      </c>
      <c r="CX19" s="11">
        <f>CW19+預測IC!CY23</f>
        <v>11.394282653418999</v>
      </c>
      <c r="CY19" s="11">
        <f>CX19+預測IC!CZ23</f>
        <v>11.545462643288547</v>
      </c>
      <c r="CZ19" s="11">
        <f>CY19+預測IC!DA23</f>
        <v>11.467843240592364</v>
      </c>
      <c r="DA19" s="11">
        <f>CZ19+預測IC!DB23</f>
        <v>11.517981867804428</v>
      </c>
      <c r="DB19" s="11">
        <f>DA19+預測IC!DC23</f>
        <v>11.413883618141654</v>
      </c>
      <c r="DC19" s="11">
        <f>DB19+預測IC!DD23</f>
        <v>11.425670158958196</v>
      </c>
      <c r="DD19" s="11">
        <f>DC19+預測IC!DE23</f>
        <v>11.445410307184469</v>
      </c>
      <c r="DE19" s="11">
        <f>DD19+預測IC!DF23</f>
        <v>11.404755398911293</v>
      </c>
      <c r="DF19" s="11">
        <f>DE19+預測IC!DG23</f>
        <v>11.39006178722166</v>
      </c>
      <c r="DG19" s="11">
        <f>DF19+預測IC!DH23</f>
        <v>11.340155454462517</v>
      </c>
      <c r="DH19" s="11">
        <f>DG19+預測IC!DI23</f>
        <v>11.398156143038245</v>
      </c>
      <c r="DI19" s="11">
        <f>DH19+預測IC!DJ23</f>
        <v>11.558885448184062</v>
      </c>
      <c r="DJ19" s="11">
        <f>DI19+預測IC!DK23</f>
        <v>11.608554177715826</v>
      </c>
      <c r="DK19" s="11">
        <f>DJ19+預測IC!DL23</f>
        <v>11.476156736338067</v>
      </c>
      <c r="DL19" s="11">
        <f>DK19+預測IC!DM23</f>
        <v>11.293279066738693</v>
      </c>
      <c r="DM19" s="11">
        <f>DL19+預測IC!DN23</f>
        <v>11.234979129381333</v>
      </c>
      <c r="DN19" s="11">
        <f>DM19+預測IC!DO23</f>
        <v>11.170042429507495</v>
      </c>
      <c r="DO19" s="11">
        <f>DN19+預測IC!DP23</f>
        <v>11.082845251895217</v>
      </c>
      <c r="DP19" s="11">
        <f>DO19+預測IC!DQ23</f>
        <v>11.082777550581268</v>
      </c>
      <c r="DQ19" s="11">
        <f>DP19+預測IC!DR23</f>
        <v>11.096071884482615</v>
      </c>
      <c r="DR19" s="11">
        <f>DQ19+預測IC!DS23</f>
        <v>11.115113367758669</v>
      </c>
      <c r="DS19" s="11">
        <f>DR19+預測IC!DT23</f>
        <v>11.142619056100243</v>
      </c>
      <c r="DT19" s="11">
        <f>DS19+預測IC!DU23</f>
        <v>11.18661249748448</v>
      </c>
      <c r="DU19" s="11">
        <f>DT19+預測IC!DV23</f>
        <v>11.128297289277711</v>
      </c>
      <c r="DV19" s="11">
        <f>DU19+預測IC!DW23</f>
        <v>11.19364987560828</v>
      </c>
      <c r="DW19" s="11">
        <f>DV19+預測IC!DX23</f>
        <v>11.211314443044675</v>
      </c>
      <c r="DX19" s="11">
        <f>DW19+預測IC!DY23</f>
        <v>11.166998872170096</v>
      </c>
      <c r="DY19" s="11">
        <f>DX19+預測IC!DZ23</f>
        <v>11.228709417529087</v>
      </c>
      <c r="DZ19" s="11">
        <f>DY19+預測IC!EA23</f>
        <v>11.283992498874136</v>
      </c>
      <c r="EA19" s="11">
        <f>DZ19+預測IC!EB23</f>
        <v>11.287502368074335</v>
      </c>
      <c r="EB19" s="11">
        <f>EA19+預測IC!EC23</f>
        <v>11.29068819337841</v>
      </c>
      <c r="EC19" s="11">
        <f>EB19+預測IC!ED23</f>
        <v>11.38071681482117</v>
      </c>
      <c r="ED19" s="11">
        <f>EC19+預測IC!EE23</f>
        <v>11.416852004570387</v>
      </c>
      <c r="EE19" s="11">
        <f>ED19+預測IC!EF23</f>
        <v>11.492938497166019</v>
      </c>
    </row>
    <row r="20" spans="1:136" ht="16" customHeight="1">
      <c r="A20" s="6" t="s">
        <v>250</v>
      </c>
      <c r="B20" s="9">
        <v>0.98736986204569799</v>
      </c>
      <c r="C20" s="11">
        <f>B20+預測IC!D24</f>
        <v>2.0816411861353559</v>
      </c>
      <c r="D20" s="11">
        <f>C20+預測IC!E24</f>
        <v>2.9090790854550184</v>
      </c>
      <c r="E20" s="11">
        <f>D20+預測IC!F24</f>
        <v>4.2609058661664436</v>
      </c>
      <c r="F20" s="11">
        <f>E20+預測IC!G24</f>
        <v>5.0867029504023051</v>
      </c>
      <c r="G20" s="11">
        <f>F20+預測IC!H24</f>
        <v>5.7829382856756304</v>
      </c>
      <c r="H20" s="11">
        <f>G20+預測IC!I24</f>
        <v>6.4860564642149585</v>
      </c>
      <c r="I20" s="11">
        <f>H20+預測IC!J24</f>
        <v>7.4315798423046751</v>
      </c>
      <c r="J20" s="11">
        <f>I20+預測IC!K24</f>
        <v>8.6189868859770034</v>
      </c>
      <c r="K20" s="11">
        <f>J20+預測IC!L24</f>
        <v>9.6214595433797587</v>
      </c>
      <c r="L20" s="11">
        <f>K20+預測IC!M24</f>
        <v>11.066478649117109</v>
      </c>
      <c r="M20" s="11">
        <f>L20+預測IC!N24</f>
        <v>12.171293745797874</v>
      </c>
      <c r="N20" s="11">
        <f>M20+預測IC!O24</f>
        <v>12.267245016210298</v>
      </c>
      <c r="O20" s="11">
        <f>N20+預測IC!P24</f>
        <v>12.287100626164353</v>
      </c>
      <c r="P20" s="11">
        <f>O20+預測IC!Q24</f>
        <v>11.937732198704875</v>
      </c>
      <c r="Q20" s="11">
        <f>P20+預測IC!R24</f>
        <v>11.893263064937152</v>
      </c>
      <c r="R20" s="11">
        <f>Q20+預測IC!S24</f>
        <v>11.864502997922333</v>
      </c>
      <c r="S20" s="11">
        <f>R20+預測IC!T24</f>
        <v>11.967399393551084</v>
      </c>
      <c r="T20" s="11">
        <f>S20+預測IC!U24</f>
        <v>11.945684195768028</v>
      </c>
      <c r="U20" s="11">
        <f>T20+預測IC!V24</f>
        <v>11.955667121067904</v>
      </c>
      <c r="V20" s="11">
        <f>U20+預測IC!W24</f>
        <v>12.038688082250504</v>
      </c>
      <c r="W20" s="11">
        <f>V20+預測IC!X24</f>
        <v>12.138773132020276</v>
      </c>
      <c r="X20" s="11">
        <f>W20+預測IC!Y24</f>
        <v>12.116963282568616</v>
      </c>
      <c r="Y20" s="11">
        <f>X20+預測IC!Z24</f>
        <v>12.147892520104108</v>
      </c>
      <c r="Z20" s="11">
        <f>Y20+預測IC!AA24</f>
        <v>12.074554407807437</v>
      </c>
      <c r="AA20" s="11">
        <f>Z20+預測IC!AB24</f>
        <v>12.062967968457485</v>
      </c>
      <c r="AB20" s="11">
        <f>AA20+預測IC!AC24</f>
        <v>12.098909716669745</v>
      </c>
      <c r="AC20" s="11">
        <f>AB20+預測IC!AD24</f>
        <v>12.148909668947864</v>
      </c>
      <c r="AD20" s="11">
        <f>AC20+預測IC!AE24</f>
        <v>12.067786823653858</v>
      </c>
      <c r="AE20" s="11">
        <f>AD20+預測IC!AF24</f>
        <v>12.343211217001894</v>
      </c>
      <c r="AF20" s="11">
        <f>AE20+預測IC!AG24</f>
        <v>12.371183267624897</v>
      </c>
      <c r="AG20" s="11">
        <f>AF20+預測IC!AH24</f>
        <v>12.406268780556399</v>
      </c>
      <c r="AH20" s="11">
        <f>AG20+預測IC!AI24</f>
        <v>12.25568144608833</v>
      </c>
      <c r="AI20" s="11">
        <f>AH20+預測IC!AJ24</f>
        <v>12.255960132450619</v>
      </c>
      <c r="AJ20" s="11">
        <f>AI20+預測IC!AK24</f>
        <v>12.193216801424347</v>
      </c>
      <c r="AK20" s="11">
        <f>AJ20+預測IC!AL24</f>
        <v>12.141073753934689</v>
      </c>
      <c r="AL20" s="11">
        <f>AK20+預測IC!AM24</f>
        <v>12.286628931041969</v>
      </c>
      <c r="AM20" s="11">
        <f>AL20+預測IC!AN24</f>
        <v>12.367581486485228</v>
      </c>
      <c r="AN20" s="11">
        <f>AM20+預測IC!AO24</f>
        <v>12.274341257099685</v>
      </c>
      <c r="AO20" s="11">
        <f>AN20+預測IC!AP24</f>
        <v>12.107916055104706</v>
      </c>
      <c r="AP20" s="11">
        <f>AO20+預測IC!AQ24</f>
        <v>12.510050231204408</v>
      </c>
      <c r="AQ20" s="11">
        <f>AP20+預測IC!AR24</f>
        <v>12.551883890804111</v>
      </c>
      <c r="AR20" s="11">
        <f>AQ20+預測IC!AS24</f>
        <v>12.500219024189795</v>
      </c>
      <c r="AS20" s="11">
        <f>AR20+預測IC!AT24</f>
        <v>12.532891285502627</v>
      </c>
      <c r="AT20" s="11">
        <f>AS20+預測IC!AU24</f>
        <v>12.484059648198341</v>
      </c>
      <c r="AU20" s="11">
        <f>AT20+預測IC!AV24</f>
        <v>12.479685685679415</v>
      </c>
      <c r="AV20" s="11">
        <f>AU20+預測IC!AW24</f>
        <v>12.41716788557892</v>
      </c>
      <c r="AW20" s="11">
        <f>AV20+預測IC!AX24</f>
        <v>12.357158222000209</v>
      </c>
      <c r="AX20" s="11">
        <f>AW20+預測IC!AY24</f>
        <v>12.255437898074439</v>
      </c>
      <c r="AY20" s="11">
        <f>AX20+預測IC!AZ24</f>
        <v>12.201607029317206</v>
      </c>
      <c r="AZ20" s="11">
        <f>AY20+預測IC!BA24</f>
        <v>12.133197557858791</v>
      </c>
      <c r="BA20" s="11">
        <f>AZ20+預測IC!BB24</f>
        <v>11.957019005458207</v>
      </c>
      <c r="BB20" s="11">
        <f>BA20+預測IC!BC24</f>
        <v>11.985340580800417</v>
      </c>
      <c r="BC20" s="11">
        <f>BB20+預測IC!BD24</f>
        <v>11.914252102800695</v>
      </c>
      <c r="BD20" s="11">
        <f>BC20+預測IC!BE24</f>
        <v>11.88209356406872</v>
      </c>
      <c r="BE20" s="11">
        <f>BD20+預測IC!BF24</f>
        <v>11.971601225032597</v>
      </c>
      <c r="BF20" s="11">
        <f>BE20+預測IC!BG24</f>
        <v>12.096853145135229</v>
      </c>
      <c r="BG20" s="11">
        <f>BF20+預測IC!BH24</f>
        <v>12.201269144194143</v>
      </c>
      <c r="BH20" s="11">
        <f>BG20+預測IC!BI24</f>
        <v>12.077285049868451</v>
      </c>
      <c r="BI20" s="11">
        <f>BH20+預測IC!BJ24</f>
        <v>12.235425276577454</v>
      </c>
      <c r="BJ20" s="11">
        <f>BI20+預測IC!BK24</f>
        <v>12.34432650293787</v>
      </c>
      <c r="BK20" s="11">
        <f>BJ20+預測IC!BL24</f>
        <v>12.514251964610647</v>
      </c>
      <c r="BL20" s="11">
        <f>BK20+預測IC!BM24</f>
        <v>12.549380282724332</v>
      </c>
      <c r="BM20" s="11">
        <f>BL20+預測IC!BN24</f>
        <v>12.630934619015241</v>
      </c>
      <c r="BN20" s="11">
        <f>BM20+預測IC!BO24</f>
        <v>12.588741591760774</v>
      </c>
      <c r="BO20" s="11">
        <f>BN20+預測IC!BP24</f>
        <v>12.850595353734141</v>
      </c>
      <c r="BP20" s="11">
        <f>BO20+預測IC!BQ24</f>
        <v>12.867839513743792</v>
      </c>
      <c r="BQ20" s="11">
        <f>BP20+預測IC!BR24</f>
        <v>12.703788104597823</v>
      </c>
      <c r="BR20" s="11">
        <f>BQ20+預測IC!BS24</f>
        <v>12.687390659394699</v>
      </c>
      <c r="BS20" s="11">
        <f>BR20+預測IC!BT24</f>
        <v>12.736178856738459</v>
      </c>
      <c r="BT20" s="11">
        <f>BS20+預測IC!BU24</f>
        <v>12.719934533923707</v>
      </c>
      <c r="BU20" s="11">
        <f>BT20+預測IC!BV24</f>
        <v>12.828337089581455</v>
      </c>
      <c r="BV20" s="11">
        <f>BU20+預測IC!BW24</f>
        <v>12.656640725916484</v>
      </c>
      <c r="BW20" s="11">
        <f>BV20+預測IC!BX24</f>
        <v>12.636716093601731</v>
      </c>
      <c r="BX20" s="11">
        <f>BW20+預測IC!BY24</f>
        <v>12.701172344528414</v>
      </c>
      <c r="BY20" s="11">
        <f>BX20+預測IC!BZ24</f>
        <v>12.656230074814362</v>
      </c>
      <c r="BZ20" s="11">
        <f>BY20+預測IC!CA24</f>
        <v>12.597009953344283</v>
      </c>
      <c r="CA20" s="11">
        <f>BZ20+預測IC!CB24</f>
        <v>12.611433143372833</v>
      </c>
      <c r="CB20" s="11">
        <f>CA20+預測IC!CC24</f>
        <v>12.652772726179856</v>
      </c>
      <c r="CC20" s="11">
        <f>CB20+預測IC!CD24</f>
        <v>12.57968781544486</v>
      </c>
      <c r="CD20" s="11">
        <f>CC20+預測IC!CE24</f>
        <v>12.638926264296066</v>
      </c>
      <c r="CE20" s="11">
        <f>CD20+預測IC!CF24</f>
        <v>12.64480090761835</v>
      </c>
      <c r="CF20" s="11">
        <f>CE20+預測IC!CG24</f>
        <v>12.726368378980926</v>
      </c>
      <c r="CG20" s="11">
        <f>CF20+預測IC!CH24</f>
        <v>12.740151774717589</v>
      </c>
      <c r="CH20" s="11">
        <f>CG20+預測IC!CI24</f>
        <v>12.684204782482391</v>
      </c>
      <c r="CI20" s="11">
        <f>CH20+預測IC!CJ24</f>
        <v>12.658280304566508</v>
      </c>
      <c r="CJ20" s="11">
        <f>CI20+預測IC!CK24</f>
        <v>12.545555456643237</v>
      </c>
      <c r="CK20" s="11">
        <f>CJ20+預測IC!CL24</f>
        <v>12.312401057993975</v>
      </c>
      <c r="CL20" s="11">
        <f>CK20+預測IC!CM24</f>
        <v>12.428373701741879</v>
      </c>
      <c r="CM20" s="11">
        <f>CL20+預測IC!CN24</f>
        <v>12.540830048295275</v>
      </c>
      <c r="CN20" s="11">
        <f>CM20+預測IC!CO24</f>
        <v>12.755863930357947</v>
      </c>
      <c r="CO20" s="11">
        <f>CN20+預測IC!CP24</f>
        <v>12.990513060218113</v>
      </c>
      <c r="CP20" s="11">
        <f>CO20+預測IC!CQ24</f>
        <v>12.601056567572392</v>
      </c>
      <c r="CQ20" s="11">
        <f>CP20+預測IC!CR24</f>
        <v>12.461314104823016</v>
      </c>
      <c r="CR20" s="11">
        <f>CQ20+預測IC!CS24</f>
        <v>12.572555281768372</v>
      </c>
      <c r="CS20" s="11">
        <f>CR20+預測IC!CT24</f>
        <v>12.474286285415531</v>
      </c>
      <c r="CT20" s="11">
        <f>CS20+預測IC!CU24</f>
        <v>12.349454257061556</v>
      </c>
      <c r="CU20" s="11">
        <f>CT20+預測IC!CV24</f>
        <v>12.230830366891659</v>
      </c>
      <c r="CV20" s="11">
        <f>CU20+預測IC!CW24</f>
        <v>12.151078712212218</v>
      </c>
      <c r="CW20" s="11">
        <f>CV20+預測IC!CX24</f>
        <v>12.208380650631435</v>
      </c>
      <c r="CX20" s="11">
        <f>CW20+預測IC!CY24</f>
        <v>12.116551350168962</v>
      </c>
      <c r="CY20" s="11">
        <f>CX20+預測IC!CZ24</f>
        <v>12.250727563591433</v>
      </c>
      <c r="CZ20" s="11">
        <f>CY20+預測IC!DA24</f>
        <v>12.190886360765521</v>
      </c>
      <c r="DA20" s="11">
        <f>CZ20+預測IC!DB24</f>
        <v>12.105231770556196</v>
      </c>
      <c r="DB20" s="11">
        <f>DA20+預測IC!DC24</f>
        <v>11.953654493839771</v>
      </c>
      <c r="DC20" s="11">
        <f>DB20+預測IC!DD24</f>
        <v>12.036674115000903</v>
      </c>
      <c r="DD20" s="11">
        <f>DC20+預測IC!DE24</f>
        <v>11.977271553330178</v>
      </c>
      <c r="DE20" s="11">
        <f>DD20+預測IC!DF24</f>
        <v>11.958875408780372</v>
      </c>
      <c r="DF20" s="11">
        <f>DE20+預測IC!DG24</f>
        <v>11.976365841834458</v>
      </c>
      <c r="DG20" s="11">
        <f>DF20+預測IC!DH24</f>
        <v>11.953377706362827</v>
      </c>
      <c r="DH20" s="11">
        <f>DG20+預測IC!DI24</f>
        <v>12.064804907503936</v>
      </c>
      <c r="DI20" s="11">
        <f>DH20+預測IC!DJ24</f>
        <v>12.175872744144421</v>
      </c>
      <c r="DJ20" s="11">
        <f>DI20+預測IC!DK24</f>
        <v>12.344410816845006</v>
      </c>
      <c r="DK20" s="11">
        <f>DJ20+預測IC!DL24</f>
        <v>12.173237100121757</v>
      </c>
      <c r="DL20" s="11">
        <f>DK20+預測IC!DM24</f>
        <v>11.978619094048103</v>
      </c>
      <c r="DM20" s="11">
        <f>DL20+預測IC!DN24</f>
        <v>11.900557931089534</v>
      </c>
      <c r="DN20" s="11">
        <f>DM20+預測IC!DO24</f>
        <v>11.837153591158774</v>
      </c>
      <c r="DO20" s="11">
        <f>DN20+預測IC!DP24</f>
        <v>11.777102366160731</v>
      </c>
      <c r="DP20" s="11">
        <f>DO20+預測IC!DQ24</f>
        <v>11.758231036524773</v>
      </c>
      <c r="DQ20" s="11">
        <f>DP20+預測IC!DR24</f>
        <v>11.803383276700348</v>
      </c>
      <c r="DR20" s="11">
        <f>DQ20+預測IC!DS24</f>
        <v>11.83853125653841</v>
      </c>
      <c r="DS20" s="11">
        <f>DR20+預測IC!DT24</f>
        <v>11.876557499511632</v>
      </c>
      <c r="DT20" s="11">
        <f>DS20+預測IC!DU24</f>
        <v>11.896925879227707</v>
      </c>
      <c r="DU20" s="11">
        <f>DT20+預測IC!DV24</f>
        <v>11.836221594455456</v>
      </c>
      <c r="DV20" s="11">
        <f>DU20+預測IC!DW24</f>
        <v>11.893810936683794</v>
      </c>
      <c r="DW20" s="11">
        <f>DV20+預測IC!DX24</f>
        <v>11.888080680729933</v>
      </c>
      <c r="DX20" s="11">
        <f>DW20+預測IC!DY24</f>
        <v>11.832981345296499</v>
      </c>
      <c r="DY20" s="11">
        <f>DX20+預測IC!DZ24</f>
        <v>11.891240435498561</v>
      </c>
      <c r="DZ20" s="11">
        <f>DY20+預測IC!EA24</f>
        <v>11.934385140725617</v>
      </c>
      <c r="EA20" s="11">
        <f>DZ20+預測IC!EB24</f>
        <v>11.92454503828106</v>
      </c>
      <c r="EB20" s="11">
        <f>EA20+預測IC!EC24</f>
        <v>11.924441279119408</v>
      </c>
      <c r="EC20" s="11">
        <f>EB20+預測IC!ED24</f>
        <v>11.999968976834916</v>
      </c>
      <c r="ED20" s="11">
        <f>EC20+預測IC!EE24</f>
        <v>12.004393767835982</v>
      </c>
      <c r="EE20" s="11">
        <f>ED20+預測IC!EF24</f>
        <v>12.090909856569601</v>
      </c>
    </row>
    <row r="21" spans="1:136" ht="16" customHeight="1">
      <c r="A21" s="6" t="s">
        <v>251</v>
      </c>
      <c r="B21" s="9">
        <v>1.1374397124464179</v>
      </c>
      <c r="C21" s="11">
        <f>B21+預測IC!D25</f>
        <v>2.363565027747994</v>
      </c>
      <c r="D21" s="11">
        <f>C21+預測IC!E25</f>
        <v>3.273671831869176</v>
      </c>
      <c r="E21" s="11">
        <f>D21+預測IC!F25</f>
        <v>4.8082687364086381</v>
      </c>
      <c r="F21" s="11">
        <f>E21+預測IC!G25</f>
        <v>5.664147583819382</v>
      </c>
      <c r="G21" s="11">
        <f>F21+預測IC!H25</f>
        <v>6.4056344198672637</v>
      </c>
      <c r="H21" s="11">
        <f>G21+預測IC!I25</f>
        <v>7.125817515134651</v>
      </c>
      <c r="I21" s="11">
        <f>H21+預測IC!J25</f>
        <v>8.1298751616828095</v>
      </c>
      <c r="J21" s="11">
        <f>I21+預測IC!K25</f>
        <v>9.6473619230695018</v>
      </c>
      <c r="K21" s="11">
        <f>J21+預測IC!L25</f>
        <v>10.736963266404748</v>
      </c>
      <c r="L21" s="11">
        <f>K21+預測IC!M25</f>
        <v>12.468747875416561</v>
      </c>
      <c r="M21" s="11">
        <f>L21+預測IC!N25</f>
        <v>13.8295652623629</v>
      </c>
      <c r="N21" s="11">
        <f>M21+預測IC!O25</f>
        <v>13.889338305924595</v>
      </c>
      <c r="O21" s="11">
        <f>N21+預測IC!P25</f>
        <v>13.897329280866112</v>
      </c>
      <c r="P21" s="11">
        <f>O21+預測IC!Q25</f>
        <v>13.510191365001166</v>
      </c>
      <c r="Q21" s="11">
        <f>P21+預測IC!R25</f>
        <v>13.411454012047152</v>
      </c>
      <c r="R21" s="11">
        <f>Q21+預測IC!S25</f>
        <v>13.431947313211012</v>
      </c>
      <c r="S21" s="11">
        <f>R21+預測IC!T25</f>
        <v>13.667361817106086</v>
      </c>
      <c r="T21" s="11">
        <f>S21+預測IC!U25</f>
        <v>13.678434269985186</v>
      </c>
      <c r="U21" s="11">
        <f>T21+預測IC!V25</f>
        <v>13.803783124898919</v>
      </c>
      <c r="V21" s="11">
        <f>U21+預測IC!W25</f>
        <v>13.896121940329028</v>
      </c>
      <c r="W21" s="11">
        <f>V21+預測IC!X25</f>
        <v>14.0664724290642</v>
      </c>
      <c r="X21" s="11">
        <f>W21+預測IC!Y25</f>
        <v>14.041881837790566</v>
      </c>
      <c r="Y21" s="11">
        <f>X21+預測IC!Z25</f>
        <v>14.09474045667764</v>
      </c>
      <c r="Z21" s="11">
        <f>Y21+預測IC!AA25</f>
        <v>13.818712552426945</v>
      </c>
      <c r="AA21" s="11">
        <f>Z21+預測IC!AB25</f>
        <v>13.908164606512388</v>
      </c>
      <c r="AB21" s="11">
        <f>AA21+預測IC!AC25</f>
        <v>13.969555878937099</v>
      </c>
      <c r="AC21" s="11">
        <f>AB21+預測IC!AD25</f>
        <v>13.975807748517058</v>
      </c>
      <c r="AD21" s="11">
        <f>AC21+預測IC!AE25</f>
        <v>13.892644082910939</v>
      </c>
      <c r="AE21" s="11">
        <f>AD21+預測IC!AF25</f>
        <v>14.266738907345497</v>
      </c>
      <c r="AF21" s="11">
        <f>AE21+預測IC!AG25</f>
        <v>14.237264175423666</v>
      </c>
      <c r="AG21" s="11">
        <f>AF21+預測IC!AH25</f>
        <v>14.293205409779167</v>
      </c>
      <c r="AH21" s="11">
        <f>AG21+預測IC!AI25</f>
        <v>14.077692357316653</v>
      </c>
      <c r="AI21" s="11">
        <f>AH21+預測IC!AJ25</f>
        <v>14.087750668271763</v>
      </c>
      <c r="AJ21" s="11">
        <f>AI21+預測IC!AK25</f>
        <v>14.028913968463922</v>
      </c>
      <c r="AK21" s="11">
        <f>AJ21+預測IC!AL25</f>
        <v>13.871336317753858</v>
      </c>
      <c r="AL21" s="11">
        <f>AK21+預測IC!AM25</f>
        <v>13.868755662785956</v>
      </c>
      <c r="AM21" s="11">
        <f>AL21+預測IC!AN25</f>
        <v>14.012864763544675</v>
      </c>
      <c r="AN21" s="11">
        <f>AM21+預測IC!AO25</f>
        <v>14.014600136095401</v>
      </c>
      <c r="AO21" s="11">
        <f>AN21+預測IC!AP25</f>
        <v>13.927557137974503</v>
      </c>
      <c r="AP21" s="11">
        <f>AO21+預測IC!AQ25</f>
        <v>14.422313611469201</v>
      </c>
      <c r="AQ21" s="11">
        <f>AP21+預測IC!AR25</f>
        <v>14.434229063292566</v>
      </c>
      <c r="AR21" s="11">
        <f>AQ21+預測IC!AS25</f>
        <v>14.274907147628582</v>
      </c>
      <c r="AS21" s="11">
        <f>AR21+預測IC!AT25</f>
        <v>14.325195893171593</v>
      </c>
      <c r="AT21" s="11">
        <f>AS21+預測IC!AU25</f>
        <v>14.297898229758069</v>
      </c>
      <c r="AU21" s="11">
        <f>AT21+預測IC!AV25</f>
        <v>14.366568901325584</v>
      </c>
      <c r="AV21" s="11">
        <f>AU21+預測IC!AW25</f>
        <v>14.231626245541005</v>
      </c>
      <c r="AW21" s="11">
        <f>AV21+預測IC!AX25</f>
        <v>14.129087024197489</v>
      </c>
      <c r="AX21" s="11">
        <f>AW21+預測IC!AY25</f>
        <v>14.028798562087463</v>
      </c>
      <c r="AY21" s="11">
        <f>AX21+預測IC!AZ25</f>
        <v>13.952429770952897</v>
      </c>
      <c r="AZ21" s="11">
        <f>AY21+預測IC!BA25</f>
        <v>13.874384037433355</v>
      </c>
      <c r="BA21" s="11">
        <f>AZ21+預測IC!BB25</f>
        <v>13.624680762718526</v>
      </c>
      <c r="BB21" s="11">
        <f>BA21+預測IC!BC25</f>
        <v>13.65995343673554</v>
      </c>
      <c r="BC21" s="11">
        <f>BB21+預測IC!BD25</f>
        <v>13.600168118156891</v>
      </c>
      <c r="BD21" s="11">
        <f>BC21+預測IC!BE25</f>
        <v>13.572746359445638</v>
      </c>
      <c r="BE21" s="11">
        <f>BD21+預測IC!BF25</f>
        <v>13.645816421475995</v>
      </c>
      <c r="BF21" s="11">
        <f>BE21+預測IC!BG25</f>
        <v>13.712915978726887</v>
      </c>
      <c r="BG21" s="11">
        <f>BF21+預測IC!BH25</f>
        <v>13.824766482935724</v>
      </c>
      <c r="BH21" s="11">
        <f>BG21+預測IC!BI25</f>
        <v>13.686980889356608</v>
      </c>
      <c r="BI21" s="11">
        <f>BH21+預測IC!BJ25</f>
        <v>13.844876545180592</v>
      </c>
      <c r="BJ21" s="11">
        <f>BI21+預測IC!BK25</f>
        <v>14.000807526973794</v>
      </c>
      <c r="BK21" s="11">
        <f>BJ21+預測IC!BL25</f>
        <v>14.187225950568306</v>
      </c>
      <c r="BL21" s="11">
        <f>BK21+預測IC!BM25</f>
        <v>14.355909241143454</v>
      </c>
      <c r="BM21" s="11">
        <f>BL21+預測IC!BN25</f>
        <v>14.549053103987941</v>
      </c>
      <c r="BN21" s="11">
        <f>BM21+預測IC!BO25</f>
        <v>14.425916373444068</v>
      </c>
      <c r="BO21" s="11">
        <f>BN21+預測IC!BP25</f>
        <v>14.540199138635755</v>
      </c>
      <c r="BP21" s="11">
        <f>BO21+預測IC!BQ25</f>
        <v>14.638509727710984</v>
      </c>
      <c r="BQ21" s="11">
        <f>BP21+預測IC!BR25</f>
        <v>14.474778670427723</v>
      </c>
      <c r="BR21" s="11">
        <f>BQ21+預測IC!BS25</f>
        <v>14.55400598670087</v>
      </c>
      <c r="BS21" s="11">
        <f>BR21+預測IC!BT25</f>
        <v>14.490179988046911</v>
      </c>
      <c r="BT21" s="11">
        <f>BS21+預測IC!BU25</f>
        <v>14.632361259330757</v>
      </c>
      <c r="BU21" s="11">
        <f>BT21+預測IC!BV25</f>
        <v>14.914223077031528</v>
      </c>
      <c r="BV21" s="11">
        <f>BU21+預測IC!BW25</f>
        <v>14.649426595972276</v>
      </c>
      <c r="BW21" s="11">
        <f>BV21+預測IC!BX25</f>
        <v>14.634928316847043</v>
      </c>
      <c r="BX21" s="11">
        <f>BW21+預測IC!BY25</f>
        <v>14.722676400689791</v>
      </c>
      <c r="BY21" s="11">
        <f>BX21+預測IC!BZ25</f>
        <v>14.668562044696058</v>
      </c>
      <c r="BZ21" s="11">
        <f>BY21+預測IC!CA25</f>
        <v>14.544987349342227</v>
      </c>
      <c r="CA21" s="11">
        <f>BZ21+預測IC!CB25</f>
        <v>14.483880056574302</v>
      </c>
      <c r="CB21" s="11">
        <f>CA21+預測IC!CC25</f>
        <v>14.660592142841198</v>
      </c>
      <c r="CC21" s="11">
        <f>CB21+預測IC!CD25</f>
        <v>14.561414731832503</v>
      </c>
      <c r="CD21" s="11">
        <f>CC21+預測IC!CE25</f>
        <v>14.598009683839109</v>
      </c>
      <c r="CE21" s="11">
        <f>CD21+預測IC!CF25</f>
        <v>14.543974482191969</v>
      </c>
      <c r="CF21" s="11">
        <f>CE21+預測IC!CG25</f>
        <v>14.520440779362293</v>
      </c>
      <c r="CG21" s="11">
        <f>CF21+預測IC!CH25</f>
        <v>14.586277192113931</v>
      </c>
      <c r="CH21" s="11">
        <f>CG21+預測IC!CI25</f>
        <v>14.579514774308363</v>
      </c>
      <c r="CI21" s="11">
        <f>CH21+預測IC!CJ25</f>
        <v>14.533939633603669</v>
      </c>
      <c r="CJ21" s="11">
        <f>CI21+預測IC!CK25</f>
        <v>14.43523750090062</v>
      </c>
      <c r="CK21" s="11">
        <f>CJ21+預測IC!CL25</f>
        <v>14.151624496829033</v>
      </c>
      <c r="CL21" s="11">
        <f>CK21+預測IC!CM25</f>
        <v>14.249976380250777</v>
      </c>
      <c r="CM21" s="11">
        <f>CL21+預測IC!CN25</f>
        <v>14.23412267220357</v>
      </c>
      <c r="CN21" s="11">
        <f>CM21+預測IC!CO25</f>
        <v>14.526772660259233</v>
      </c>
      <c r="CO21" s="11">
        <f>CN21+預測IC!CP25</f>
        <v>14.801339634925197</v>
      </c>
      <c r="CP21" s="11">
        <f>CO21+預測IC!CQ25</f>
        <v>14.752120779957425</v>
      </c>
      <c r="CQ21" s="11">
        <f>CP21+預測IC!CR25</f>
        <v>14.649393767346673</v>
      </c>
      <c r="CR21" s="11">
        <f>CQ21+預測IC!CS25</f>
        <v>14.74973309367134</v>
      </c>
      <c r="CS21" s="11">
        <f>CR21+預測IC!CT25</f>
        <v>14.618889319059555</v>
      </c>
      <c r="CT21" s="11">
        <f>CS21+預測IC!CU25</f>
        <v>14.450510223075991</v>
      </c>
      <c r="CU21" s="11">
        <f>CT21+預測IC!CV25</f>
        <v>14.260370649996073</v>
      </c>
      <c r="CV21" s="11">
        <f>CU21+預測IC!CW25</f>
        <v>14.218729272307796</v>
      </c>
      <c r="CW21" s="11">
        <f>CV21+預測IC!CX25</f>
        <v>14.232580063834751</v>
      </c>
      <c r="CX21" s="11">
        <f>CW21+預測IC!CY25</f>
        <v>14.111763012435208</v>
      </c>
      <c r="CY21" s="11">
        <f>CX21+預測IC!CZ25</f>
        <v>14.305378785857627</v>
      </c>
      <c r="CZ21" s="11">
        <f>CY21+預測IC!DA25</f>
        <v>14.211402232890309</v>
      </c>
      <c r="DA21" s="11">
        <f>CZ21+預測IC!DB25</f>
        <v>14.076339533464809</v>
      </c>
      <c r="DB21" s="11">
        <f>DA21+預測IC!DC25</f>
        <v>13.950561288603524</v>
      </c>
      <c r="DC21" s="11">
        <f>DB21+預測IC!DD25</f>
        <v>14.133133739906164</v>
      </c>
      <c r="DD21" s="11">
        <f>DC21+預測IC!DE25</f>
        <v>14.106028440157605</v>
      </c>
      <c r="DE21" s="11">
        <f>DD21+預測IC!DF25</f>
        <v>14.128474567207176</v>
      </c>
      <c r="DF21" s="11">
        <f>DE21+預測IC!DG25</f>
        <v>14.080871254343112</v>
      </c>
      <c r="DG21" s="11">
        <f>DF21+預測IC!DH25</f>
        <v>13.990330315387741</v>
      </c>
      <c r="DH21" s="11">
        <f>DG21+預測IC!DI25</f>
        <v>14.105002524648491</v>
      </c>
      <c r="DI21" s="11">
        <f>DH21+預測IC!DJ25</f>
        <v>14.211663712662258</v>
      </c>
      <c r="DJ21" s="11">
        <f>DI21+預測IC!DK25</f>
        <v>14.322115926709285</v>
      </c>
      <c r="DK21" s="11">
        <f>DJ21+預測IC!DL25</f>
        <v>14.301584847565309</v>
      </c>
      <c r="DL21" s="11">
        <f>DK21+預測IC!DM25</f>
        <v>14.01974015501027</v>
      </c>
      <c r="DM21" s="11">
        <f>DL21+預測IC!DN25</f>
        <v>13.980543433110807</v>
      </c>
      <c r="DN21" s="11">
        <f>DM21+預測IC!DO25</f>
        <v>13.900741657207414</v>
      </c>
      <c r="DO21" s="11">
        <f>DN21+預測IC!DP25</f>
        <v>13.814434485039607</v>
      </c>
      <c r="DP21" s="11">
        <f>DO21+預測IC!DQ25</f>
        <v>13.862166726876428</v>
      </c>
      <c r="DQ21" s="11">
        <f>DP21+預測IC!DR25</f>
        <v>13.944901179574375</v>
      </c>
      <c r="DR21" s="11">
        <f>DQ21+預測IC!DS25</f>
        <v>14.05077846657854</v>
      </c>
      <c r="DS21" s="11">
        <f>DR21+預測IC!DT25</f>
        <v>14.058636489110993</v>
      </c>
      <c r="DT21" s="11">
        <f>DS21+預測IC!DU25</f>
        <v>14.138373789299317</v>
      </c>
      <c r="DU21" s="11">
        <f>DT21+預測IC!DV25</f>
        <v>14.049143205219252</v>
      </c>
      <c r="DV21" s="11">
        <f>DU21+預測IC!DW25</f>
        <v>14.050837383144227</v>
      </c>
      <c r="DW21" s="11">
        <f>DV21+預測IC!DX25</f>
        <v>14.025424191703097</v>
      </c>
      <c r="DX21" s="11">
        <f>DW21+預測IC!DY25</f>
        <v>13.943853756137829</v>
      </c>
      <c r="DY21" s="11">
        <f>DX21+預測IC!DZ25</f>
        <v>13.874958439454447</v>
      </c>
      <c r="DZ21" s="11">
        <f>DY21+預測IC!EA25</f>
        <v>13.925432615686709</v>
      </c>
      <c r="EA21" s="11">
        <f>DZ21+預測IC!EB25</f>
        <v>13.913464123694578</v>
      </c>
      <c r="EB21" s="11">
        <f>EA21+預測IC!EC25</f>
        <v>13.997519575301274</v>
      </c>
      <c r="EC21" s="11">
        <f>EB21+預測IC!ED25</f>
        <v>14.112110036162766</v>
      </c>
      <c r="ED21" s="11">
        <f>EC21+預測IC!EE25</f>
        <v>14.145075114825126</v>
      </c>
      <c r="EE21" s="11">
        <f>ED21+預測IC!EF25</f>
        <v>14.169358564720492</v>
      </c>
    </row>
    <row r="22" spans="1:136" ht="16" customHeight="1">
      <c r="A22" s="6" t="s">
        <v>252</v>
      </c>
      <c r="B22" s="9">
        <v>1.274316755103944</v>
      </c>
      <c r="C22" s="11">
        <f>B22+預測IC!D26</f>
        <v>2.8227665980442209</v>
      </c>
      <c r="D22" s="11">
        <f>C22+預測IC!E26</f>
        <v>3.9106123125733578</v>
      </c>
      <c r="E22" s="11">
        <f>D22+預測IC!F26</f>
        <v>5.7045140400968855</v>
      </c>
      <c r="F22" s="11">
        <f>E22+預測IC!G26</f>
        <v>6.5229873867115709</v>
      </c>
      <c r="G22" s="11">
        <f>F22+預測IC!H26</f>
        <v>7.329680667515782</v>
      </c>
      <c r="H22" s="11">
        <f>G22+預測IC!I26</f>
        <v>8.1277853665537663</v>
      </c>
      <c r="I22" s="11">
        <f>H22+預測IC!J26</f>
        <v>9.1180269646191903</v>
      </c>
      <c r="J22" s="11">
        <f>I22+預測IC!K26</f>
        <v>11.527610847711587</v>
      </c>
      <c r="K22" s="11">
        <f>J22+預測IC!L26</f>
        <v>12.773755107550054</v>
      </c>
      <c r="L22" s="11">
        <f>K22+預測IC!M26</f>
        <v>14.709604589479932</v>
      </c>
      <c r="M22" s="11">
        <f>L22+預測IC!N26</f>
        <v>16.609444184418454</v>
      </c>
      <c r="N22" s="11">
        <f>M22+預測IC!O26</f>
        <v>16.829907942675113</v>
      </c>
      <c r="O22" s="11">
        <f>N22+預測IC!P26</f>
        <v>16.817555004704865</v>
      </c>
      <c r="P22" s="11">
        <f>O22+預測IC!Q26</f>
        <v>16.814312493626904</v>
      </c>
      <c r="Q22" s="11">
        <f>P22+預測IC!R26</f>
        <v>16.57547639047306</v>
      </c>
      <c r="R22" s="11">
        <f>Q22+預測IC!S26</f>
        <v>16.643023867838544</v>
      </c>
      <c r="S22" s="11">
        <f>R22+預測IC!T26</f>
        <v>16.669114269630235</v>
      </c>
      <c r="T22" s="11">
        <f>S22+預測IC!U26</f>
        <v>16.686690563487566</v>
      </c>
      <c r="U22" s="11">
        <f>T22+預測IC!V26</f>
        <v>16.962099155584134</v>
      </c>
      <c r="V22" s="11">
        <f>U22+預測IC!W26</f>
        <v>17.173204904224967</v>
      </c>
      <c r="W22" s="11">
        <f>V22+預測IC!X26</f>
        <v>17.334002705765641</v>
      </c>
      <c r="X22" s="11">
        <f>W22+預測IC!Y26</f>
        <v>17.281372419726338</v>
      </c>
      <c r="Y22" s="11">
        <f>X22+預測IC!Z26</f>
        <v>17.198919075113523</v>
      </c>
      <c r="Z22" s="11">
        <f>Y22+預測IC!AA26</f>
        <v>17.013824824633765</v>
      </c>
      <c r="AA22" s="11">
        <f>Z22+預測IC!AB26</f>
        <v>17.135758704516213</v>
      </c>
      <c r="AB22" s="11">
        <f>AA22+預測IC!AC26</f>
        <v>17.182462358017752</v>
      </c>
      <c r="AC22" s="11">
        <f>AB22+預測IC!AD26</f>
        <v>16.720750052406878</v>
      </c>
      <c r="AD22" s="11">
        <f>AC22+預測IC!AE26</f>
        <v>16.527608262695118</v>
      </c>
      <c r="AE22" s="11">
        <f>AD22+預測IC!AF26</f>
        <v>17.02299767549928</v>
      </c>
      <c r="AF22" s="11">
        <f>AE22+預測IC!AG26</f>
        <v>17.172427683660658</v>
      </c>
      <c r="AG22" s="11">
        <f>AF22+預測IC!AH26</f>
        <v>17.288624730549454</v>
      </c>
      <c r="AH22" s="11">
        <f>AG22+預測IC!AI26</f>
        <v>16.904612590392603</v>
      </c>
      <c r="AI22" s="11">
        <f>AH22+預測IC!AJ26</f>
        <v>16.823015595463293</v>
      </c>
      <c r="AJ22" s="11">
        <f>AI22+預測IC!AK26</f>
        <v>16.827201247271624</v>
      </c>
      <c r="AK22" s="11">
        <f>AJ22+預測IC!AL26</f>
        <v>16.667128421146494</v>
      </c>
      <c r="AL22" s="11">
        <f>AK22+預測IC!AM26</f>
        <v>16.712251291475098</v>
      </c>
      <c r="AM22" s="11">
        <f>AL22+預測IC!AN26</f>
        <v>16.870428291585096</v>
      </c>
      <c r="AN22" s="11">
        <f>AM22+預測IC!AO26</f>
        <v>16.944720478286438</v>
      </c>
      <c r="AO22" s="11">
        <f>AN22+預測IC!AP26</f>
        <v>16.9955983628228</v>
      </c>
      <c r="AP22" s="11">
        <f>AO22+預測IC!AQ26</f>
        <v>17.515845739213511</v>
      </c>
      <c r="AQ22" s="11">
        <f>AP22+預測IC!AR26</f>
        <v>17.651155734943877</v>
      </c>
      <c r="AR22" s="11">
        <f>AQ22+預測IC!AS26</f>
        <v>17.507854941739641</v>
      </c>
      <c r="AS22" s="11">
        <f>AR22+預測IC!AT26</f>
        <v>17.480535609604043</v>
      </c>
      <c r="AT22" s="11">
        <f>AS22+預測IC!AU26</f>
        <v>17.405829614450163</v>
      </c>
      <c r="AU22" s="11">
        <f>AT22+預測IC!AV26</f>
        <v>17.568440388180186</v>
      </c>
      <c r="AV22" s="11">
        <f>AU22+預測IC!AW26</f>
        <v>17.316697275601399</v>
      </c>
      <c r="AW22" s="11">
        <f>AV22+預測IC!AX26</f>
        <v>17.418564204441733</v>
      </c>
      <c r="AX22" s="11">
        <f>AW22+預測IC!AY26</f>
        <v>17.527470398851992</v>
      </c>
      <c r="AY22" s="11">
        <f>AX22+預測IC!AZ26</f>
        <v>17.49847025397543</v>
      </c>
      <c r="AZ22" s="11">
        <f>AY22+預測IC!BA26</f>
        <v>17.466455879310836</v>
      </c>
      <c r="BA22" s="11">
        <f>AZ22+預測IC!BB26</f>
        <v>17.097994993153016</v>
      </c>
      <c r="BB22" s="11">
        <f>BA22+預測IC!BC26</f>
        <v>17.155781482627322</v>
      </c>
      <c r="BC22" s="11">
        <f>BB22+預測IC!BD26</f>
        <v>16.992219276188486</v>
      </c>
      <c r="BD22" s="11">
        <f>BC22+預測IC!BE26</f>
        <v>16.98090314819402</v>
      </c>
      <c r="BE22" s="11">
        <f>BD22+預測IC!BF26</f>
        <v>17.136116252746493</v>
      </c>
      <c r="BF22" s="11">
        <f>BE22+預測IC!BG26</f>
        <v>17.015256494276468</v>
      </c>
      <c r="BG22" s="11">
        <f>BF22+預測IC!BH26</f>
        <v>17.372829310318778</v>
      </c>
      <c r="BH22" s="11">
        <f>BG22+預測IC!BI26</f>
        <v>17.191643287753418</v>
      </c>
      <c r="BI22" s="11">
        <f>BH22+預測IC!BJ26</f>
        <v>17.360927669394901</v>
      </c>
      <c r="BJ22" s="11">
        <f>BI22+預測IC!BK26</f>
        <v>17.515149526132401</v>
      </c>
      <c r="BK22" s="11">
        <f>BJ22+預測IC!BL26</f>
        <v>17.712058493980269</v>
      </c>
      <c r="BL22" s="11">
        <f>BK22+預測IC!BM26</f>
        <v>18.083343663887451</v>
      </c>
      <c r="BM22" s="11">
        <f>BL22+預測IC!BN26</f>
        <v>18.426970892433708</v>
      </c>
      <c r="BN22" s="11">
        <f>BM22+預測IC!BO26</f>
        <v>18.202952881873294</v>
      </c>
      <c r="BO22" s="11">
        <f>BN22+預測IC!BP26</f>
        <v>18.420732102148936</v>
      </c>
      <c r="BP22" s="11">
        <f>BO22+預測IC!BQ26</f>
        <v>18.539021974761013</v>
      </c>
      <c r="BQ22" s="11">
        <f>BP22+預測IC!BR26</f>
        <v>18.331468023070077</v>
      </c>
      <c r="BR22" s="11">
        <f>BQ22+預測IC!BS26</f>
        <v>18.40892608210908</v>
      </c>
      <c r="BS22" s="11">
        <f>BR22+預測IC!BT26</f>
        <v>18.396988057787347</v>
      </c>
      <c r="BT22" s="11">
        <f>BS22+預測IC!BU26</f>
        <v>18.851972340667881</v>
      </c>
      <c r="BU22" s="11">
        <f>BT22+預測IC!BV26</f>
        <v>18.824108306293343</v>
      </c>
      <c r="BV22" s="11">
        <f>BU22+預測IC!BW26</f>
        <v>18.622678515202917</v>
      </c>
      <c r="BW22" s="11">
        <f>BV22+預測IC!BX26</f>
        <v>18.563630578400698</v>
      </c>
      <c r="BX22" s="11">
        <f>BW22+預測IC!BY26</f>
        <v>18.725095674897258</v>
      </c>
      <c r="BY22" s="11">
        <f>BX22+預測IC!BZ26</f>
        <v>18.564504671650674</v>
      </c>
      <c r="BZ22" s="11">
        <f>BY22+預測IC!CA26</f>
        <v>18.343232028272276</v>
      </c>
      <c r="CA22" s="11">
        <f>BZ22+預測IC!CB26</f>
        <v>18.303660838620267</v>
      </c>
      <c r="CB22" s="11">
        <f>CA22+預測IC!CC26</f>
        <v>18.536060622823605</v>
      </c>
      <c r="CC22" s="11">
        <f>CB22+預測IC!CD26</f>
        <v>18.634187224681064</v>
      </c>
      <c r="CD22" s="11">
        <f>CC22+預測IC!CE26</f>
        <v>18.706092918246526</v>
      </c>
      <c r="CE22" s="11">
        <f>CD22+預測IC!CF26</f>
        <v>18.597160712019505</v>
      </c>
      <c r="CF22" s="11">
        <f>CE22+預測IC!CG26</f>
        <v>18.961819572522987</v>
      </c>
      <c r="CG22" s="11">
        <f>CF22+預測IC!CH26</f>
        <v>19.214476557115642</v>
      </c>
      <c r="CH22" s="11">
        <f>CG22+預測IC!CI26</f>
        <v>19.334808436979465</v>
      </c>
      <c r="CI22" s="11">
        <f>CH22+預測IC!CJ26</f>
        <v>19.297859155246702</v>
      </c>
      <c r="CJ22" s="11">
        <f>CI22+預測IC!CK26</f>
        <v>19.437195531232327</v>
      </c>
      <c r="CK22" s="11">
        <f>CJ22+預測IC!CL26</f>
        <v>18.938649756906404</v>
      </c>
      <c r="CL22" s="11">
        <f>CK22+預測IC!CM26</f>
        <v>18.845673740691467</v>
      </c>
      <c r="CM22" s="11">
        <f>CL22+預測IC!CN26</f>
        <v>18.787215540204873</v>
      </c>
      <c r="CN22" s="11">
        <f>CM22+預測IC!CO26</f>
        <v>19.0384667892632</v>
      </c>
      <c r="CO22" s="11">
        <f>CN22+預測IC!CP26</f>
        <v>19.263786620000005</v>
      </c>
      <c r="CP22" s="11">
        <f>CO22+預測IC!CQ26</f>
        <v>19.108525734755741</v>
      </c>
      <c r="CQ22" s="11">
        <f>CP22+預測IC!CR26</f>
        <v>19.126385562647975</v>
      </c>
      <c r="CR22" s="11">
        <f>CQ22+預測IC!CS26</f>
        <v>19.227179581191418</v>
      </c>
      <c r="CS22" s="11">
        <f>CR22+預測IC!CT26</f>
        <v>18.974734094072492</v>
      </c>
      <c r="CT22" s="11">
        <f>CS22+預測IC!CU26</f>
        <v>18.753155281609896</v>
      </c>
      <c r="CU22" s="11">
        <f>CT22+預測IC!CV26</f>
        <v>18.641503790704316</v>
      </c>
      <c r="CV22" s="11">
        <f>CU22+預測IC!CW26</f>
        <v>18.555522598208803</v>
      </c>
      <c r="CW22" s="11">
        <f>CV22+預測IC!CX26</f>
        <v>18.59236791136416</v>
      </c>
      <c r="CX22" s="11">
        <f>CW22+預測IC!CY26</f>
        <v>18.527911684593587</v>
      </c>
      <c r="CY22" s="11">
        <f>CX22+預測IC!CZ26</f>
        <v>18.885095168748023</v>
      </c>
      <c r="CZ22" s="11">
        <f>CY22+預測IC!DA26</f>
        <v>18.811895988645436</v>
      </c>
      <c r="DA22" s="11">
        <f>CZ22+預測IC!DB26</f>
        <v>18.562137892618871</v>
      </c>
      <c r="DB22" s="11">
        <f>DA22+預測IC!DC26</f>
        <v>18.221655661209969</v>
      </c>
      <c r="DC22" s="11">
        <f>DB22+預測IC!DD26</f>
        <v>18.363825689232485</v>
      </c>
      <c r="DD22" s="11">
        <f>DC22+預測IC!DE26</f>
        <v>18.229862228734969</v>
      </c>
      <c r="DE22" s="11">
        <f>DD22+預測IC!DF26</f>
        <v>18.268880482469992</v>
      </c>
      <c r="DF22" s="11">
        <f>DE22+預測IC!DG26</f>
        <v>18.187684593811465</v>
      </c>
      <c r="DG22" s="11">
        <f>DF22+預測IC!DH26</f>
        <v>18.146908960610382</v>
      </c>
      <c r="DH22" s="11">
        <f>DG22+預測IC!DI26</f>
        <v>18.523058002156564</v>
      </c>
      <c r="DI22" s="11">
        <f>DH22+預測IC!DJ26</f>
        <v>18.667294461697342</v>
      </c>
      <c r="DJ22" s="11">
        <f>DI22+預測IC!DK26</f>
        <v>18.58642957094894</v>
      </c>
      <c r="DK22" s="11">
        <f>DJ22+預測IC!DL26</f>
        <v>18.717109558974936</v>
      </c>
      <c r="DL22" s="11">
        <f>DK22+預測IC!DM26</f>
        <v>18.621024885779633</v>
      </c>
      <c r="DM22" s="11">
        <f>DL22+預測IC!DN26</f>
        <v>18.520497180214011</v>
      </c>
      <c r="DN22" s="11">
        <f>DM22+預測IC!DO26</f>
        <v>18.508247728796032</v>
      </c>
      <c r="DO22" s="11">
        <f>DN22+預測IC!DP26</f>
        <v>18.47344704434159</v>
      </c>
      <c r="DP22" s="11">
        <f>DO22+預測IC!DQ26</f>
        <v>18.557907745647743</v>
      </c>
      <c r="DQ22" s="11">
        <f>DP22+預測IC!DR26</f>
        <v>18.737570632481049</v>
      </c>
      <c r="DR22" s="11">
        <f>DQ22+預測IC!DS26</f>
        <v>18.868335653882081</v>
      </c>
      <c r="DS22" s="11">
        <f>DR22+預測IC!DT26</f>
        <v>18.86541708844053</v>
      </c>
      <c r="DT22" s="11">
        <f>DS22+預測IC!DU26</f>
        <v>18.931923585881918</v>
      </c>
      <c r="DU22" s="11">
        <f>DT22+預測IC!DV26</f>
        <v>18.861980973970336</v>
      </c>
      <c r="DV22" s="11">
        <f>DU22+預測IC!DW26</f>
        <v>18.556761280853227</v>
      </c>
      <c r="DW22" s="11">
        <f>DV22+預測IC!DX26</f>
        <v>18.519698230241342</v>
      </c>
      <c r="DX22" s="11">
        <f>DW22+預測IC!DY26</f>
        <v>18.400583607867297</v>
      </c>
      <c r="DY22" s="11">
        <f>DX22+預測IC!DZ26</f>
        <v>18.211663928940666</v>
      </c>
      <c r="DZ22" s="11">
        <f>DY22+預測IC!EA26</f>
        <v>18.283257582127675</v>
      </c>
      <c r="EA22" s="11">
        <f>DZ22+預測IC!EB26</f>
        <v>18.283298412203113</v>
      </c>
      <c r="EB22" s="11">
        <f>EA22+預測IC!EC26</f>
        <v>18.477659698307516</v>
      </c>
      <c r="EC22" s="11">
        <f>EB22+預測IC!ED26</f>
        <v>18.725473948006211</v>
      </c>
      <c r="ED22" s="11">
        <f>EC22+預測IC!EE26</f>
        <v>18.742492486757786</v>
      </c>
      <c r="EE22" s="11">
        <f>ED22+預測IC!EF26</f>
        <v>18.760176492463192</v>
      </c>
    </row>
    <row r="23" spans="1:136" ht="16" customHeight="1">
      <c r="A23" s="6" t="s">
        <v>147</v>
      </c>
      <c r="B23" s="20">
        <v>-1.7446770539390338E-2</v>
      </c>
      <c r="C23" s="28">
        <f>B23+預測IC!D27</f>
        <v>3.2542899924252917E-3</v>
      </c>
      <c r="D23" s="28">
        <f>C23+預測IC!E27</f>
        <v>2.7236419247192001E-2</v>
      </c>
      <c r="E23" s="28">
        <f>D23+預測IC!F27</f>
        <v>2.0678840274368924E-2</v>
      </c>
      <c r="F23" s="28">
        <f>E23+預測IC!G27</f>
        <v>5.2523970074888612E-2</v>
      </c>
      <c r="G23" s="28">
        <f>F23+預測IC!H27</f>
        <v>8.6872502811879138E-2</v>
      </c>
      <c r="H23" s="28">
        <f>G23+預測IC!I27</f>
        <v>7.8617570030553904E-2</v>
      </c>
      <c r="I23" s="28">
        <f>H23+預測IC!J27</f>
        <v>9.1461094424606662E-2</v>
      </c>
      <c r="J23" s="28">
        <f>I23+預測IC!K27</f>
        <v>4.0442569797815839E-2</v>
      </c>
      <c r="K23" s="28">
        <f>J23+預測IC!L27</f>
        <v>4.1316512538852428E-2</v>
      </c>
      <c r="L23" s="28">
        <f>K23+預測IC!M27</f>
        <v>6.4706088044348353E-2</v>
      </c>
      <c r="M23" s="28">
        <f>L23+預測IC!N27</f>
        <v>7.7695060244681202E-2</v>
      </c>
      <c r="N23" s="28">
        <f>M23+預測IC!O27</f>
        <v>8.3549648970316082E-2</v>
      </c>
      <c r="O23" s="28">
        <f>N23+預測IC!P27</f>
        <v>0.11096285554210664</v>
      </c>
      <c r="P23" s="28">
        <f>O23+預測IC!Q27</f>
        <v>0.10724991942441378</v>
      </c>
      <c r="Q23" s="28">
        <f>P23+預測IC!R27</f>
        <v>0.13132653347223711</v>
      </c>
      <c r="R23" s="28">
        <f>Q23+預測IC!S27</f>
        <v>0.11913650817319715</v>
      </c>
      <c r="S23" s="28">
        <f>R23+預測IC!T27</f>
        <v>7.9386930013607554E-2</v>
      </c>
      <c r="T23" s="28">
        <f>S23+預測IC!U27</f>
        <v>6.2314801819580018E-3</v>
      </c>
      <c r="U23" s="28">
        <f>T23+預測IC!V27</f>
        <v>-5.2028749728156659E-2</v>
      </c>
      <c r="V23" s="28">
        <f>U23+預測IC!W27</f>
        <v>-5.1255952162648284E-2</v>
      </c>
      <c r="W23" s="28">
        <f>V23+預測IC!X27</f>
        <v>-6.6644310274293142E-3</v>
      </c>
      <c r="X23" s="28">
        <f>W23+預測IC!Y27</f>
        <v>-3.4364111077642409E-2</v>
      </c>
      <c r="Y23" s="28">
        <f>X23+預測IC!Z27</f>
        <v>-3.226910512789876E-2</v>
      </c>
      <c r="Z23" s="28">
        <f>Y23+預測IC!AA27</f>
        <v>-5.5669656120462874E-2</v>
      </c>
      <c r="AA23" s="28">
        <f>Z23+預測IC!AB27</f>
        <v>-2.3540285023140685E-2</v>
      </c>
      <c r="AB23" s="28">
        <f>AA23+預測IC!AC27</f>
        <v>1.5362988070925745E-2</v>
      </c>
      <c r="AC23" s="28">
        <f>AB23+預測IC!AD27</f>
        <v>-2.7502394100178525E-2</v>
      </c>
      <c r="AD23" s="28">
        <f>AC23+預測IC!AE27</f>
        <v>-8.8551995500263658E-3</v>
      </c>
      <c r="AE23" s="28">
        <f>AD23+預測IC!AF27</f>
        <v>6.3745687725025833E-3</v>
      </c>
      <c r="AF23" s="28">
        <f>AE23+預測IC!AG27</f>
        <v>4.2391172551395004E-2</v>
      </c>
      <c r="AG23" s="28">
        <f>AF23+預測IC!AH27</f>
        <v>5.174578393671117E-2</v>
      </c>
      <c r="AH23" s="28">
        <f>AG23+預測IC!AI27</f>
        <v>6.2494035273549312E-2</v>
      </c>
      <c r="AI23" s="28">
        <f>AH23+預測IC!AJ27</f>
        <v>7.5851789326630281E-2</v>
      </c>
      <c r="AJ23" s="28">
        <f>AI23+預測IC!AK27</f>
        <v>7.0519041997534893E-2</v>
      </c>
      <c r="AK23" s="28">
        <f>AJ23+預測IC!AL27</f>
        <v>7.1902177804796574E-2</v>
      </c>
      <c r="AL23" s="28">
        <f>AK23+預測IC!AM27</f>
        <v>9.2698106224871041E-2</v>
      </c>
      <c r="AM23" s="28">
        <f>AL23+預測IC!AN27</f>
        <v>0.12421580844526167</v>
      </c>
      <c r="AN23" s="28">
        <f>AM23+預測IC!AO27</f>
        <v>0.13045752497859112</v>
      </c>
      <c r="AO23" s="28">
        <f>AN23+預測IC!AP27</f>
        <v>0.13660278663216249</v>
      </c>
      <c r="AP23" s="28">
        <f>AO23+預測IC!AQ27</f>
        <v>0.15354914430885899</v>
      </c>
      <c r="AQ23" s="28">
        <f>AP23+預測IC!AR27</f>
        <v>0.18823197476316722</v>
      </c>
      <c r="AR23" s="28">
        <f>AQ23+預測IC!AS27</f>
        <v>0.19133056338036419</v>
      </c>
      <c r="AS23" s="28">
        <f>AR23+預測IC!AT27</f>
        <v>0.2064119105238503</v>
      </c>
      <c r="AT23" s="28">
        <f>AS23+預測IC!AU27</f>
        <v>0.18716070129398632</v>
      </c>
      <c r="AU23" s="28">
        <f>AT23+預測IC!AV27</f>
        <v>0.22587221468161775</v>
      </c>
      <c r="AV23" s="28">
        <f>AU23+預測IC!AW27</f>
        <v>0.20401526354588115</v>
      </c>
      <c r="AW23" s="28">
        <f>AV23+預測IC!AX27</f>
        <v>0.21178956425567083</v>
      </c>
      <c r="AX23" s="28">
        <f>AW23+預測IC!AY27</f>
        <v>0.25418681095099677</v>
      </c>
      <c r="AY23" s="28">
        <f>AX23+預測IC!AZ27</f>
        <v>0.22787783608983703</v>
      </c>
      <c r="AZ23" s="28">
        <f>AY23+預測IC!BA27</f>
        <v>0.23744958539855326</v>
      </c>
      <c r="BA23" s="28">
        <f>AZ23+預測IC!BB27</f>
        <v>0.21319984413227844</v>
      </c>
      <c r="BB23" s="28">
        <f>BA23+預測IC!BC27</f>
        <v>0.23336321827619427</v>
      </c>
      <c r="BC23" s="28">
        <f>BB23+預測IC!BD27</f>
        <v>0.22985821949407825</v>
      </c>
      <c r="BD23" s="28">
        <f>BC23+預測IC!BE27</f>
        <v>0.25001015459262055</v>
      </c>
      <c r="BE23" s="28">
        <f>BD23+預測IC!BF27</f>
        <v>0.25059149082339083</v>
      </c>
      <c r="BF23" s="28">
        <f>BE23+預測IC!BG27</f>
        <v>0.24537178987013822</v>
      </c>
      <c r="BG23" s="28">
        <f>BF23+預測IC!BH27</f>
        <v>0.12950002846800823</v>
      </c>
      <c r="BH23" s="28">
        <f>BG23+預測IC!BI27</f>
        <v>0.13822525416044559</v>
      </c>
      <c r="BI23" s="28">
        <f>BH23+預測IC!BJ27</f>
        <v>0.12184799318262345</v>
      </c>
      <c r="BJ23" s="28">
        <f>BI23+預測IC!BK27</f>
        <v>0.14268836478288388</v>
      </c>
      <c r="BK23" s="28">
        <f>BJ23+預測IC!BL27</f>
        <v>0.18766423688499859</v>
      </c>
      <c r="BL23" s="28">
        <f>BK23+預測IC!BM27</f>
        <v>0.21161854296686244</v>
      </c>
      <c r="BM23" s="28">
        <f>BL23+預測IC!BN27</f>
        <v>0.24185764435830504</v>
      </c>
      <c r="BN23" s="28">
        <f>BM23+預測IC!BO27</f>
        <v>0.19813175676721753</v>
      </c>
      <c r="BO23" s="28">
        <f>BN23+預測IC!BP27</f>
        <v>0.22002122633541615</v>
      </c>
      <c r="BP23" s="28">
        <f>BO23+預測IC!BQ27</f>
        <v>0.22864865659892455</v>
      </c>
      <c r="BQ23" s="28">
        <f>BP23+預測IC!BR27</f>
        <v>0.20945570260426577</v>
      </c>
      <c r="BR23" s="28">
        <f>BQ23+預測IC!BS27</f>
        <v>0.22919083249239883</v>
      </c>
      <c r="BS23" s="28">
        <f>BR23+預測IC!BT27</f>
        <v>0.27688516997609824</v>
      </c>
      <c r="BT23" s="28">
        <f>BS23+預測IC!BU27</f>
        <v>0.28833998678268163</v>
      </c>
      <c r="BU23" s="28">
        <f>BT23+預測IC!BV27</f>
        <v>0.33156860751789485</v>
      </c>
      <c r="BV23" s="28">
        <f>BU23+預測IC!BW27</f>
        <v>0.28882117708097205</v>
      </c>
      <c r="BW23" s="28">
        <f>BV23+預測IC!BX27</f>
        <v>0.27100988465317749</v>
      </c>
      <c r="BX23" s="28">
        <f>BW23+預測IC!BY27</f>
        <v>0.11985678778410189</v>
      </c>
      <c r="BY23" s="28">
        <f>BX23+預測IC!BZ27</f>
        <v>0.24408079140367717</v>
      </c>
      <c r="BZ23" s="28">
        <f>BY23+預測IC!CA27</f>
        <v>0.23952353755914751</v>
      </c>
      <c r="CA23" s="28">
        <f>BZ23+預測IC!CB27</f>
        <v>0.29973477776405871</v>
      </c>
      <c r="CB23" s="28">
        <f>CA23+預測IC!CC27</f>
        <v>0.385726811246561</v>
      </c>
      <c r="CC23" s="28">
        <f>CB23+預測IC!CD27</f>
        <v>0.37991833166419492</v>
      </c>
      <c r="CD23" s="28">
        <f>CC23+預測IC!CE27</f>
        <v>0.37387698467522684</v>
      </c>
      <c r="CE23" s="28">
        <f>CD23+預測IC!CF27</f>
        <v>0.37632930904747891</v>
      </c>
      <c r="CF23" s="28">
        <f>CE23+預測IC!CG27</f>
        <v>0.46596556098450181</v>
      </c>
      <c r="CG23" s="28">
        <f>CF23+預測IC!CH27</f>
        <v>0.53695829351125968</v>
      </c>
      <c r="CH23" s="28">
        <f>CG23+預測IC!CI27</f>
        <v>0.56412893641304307</v>
      </c>
      <c r="CI23" s="28">
        <f>CH23+預測IC!CJ27</f>
        <v>0.61659736483837313</v>
      </c>
      <c r="CJ23" s="28">
        <f>CI23+預測IC!CK27</f>
        <v>0.64607802578142259</v>
      </c>
      <c r="CK23" s="28">
        <f>CJ23+預測IC!CL27</f>
        <v>0.71290310684162383</v>
      </c>
      <c r="CL23" s="28">
        <f>CK23+預測IC!CM27</f>
        <v>0.68413087782180682</v>
      </c>
      <c r="CM23" s="28">
        <f>CL23+預測IC!CN27</f>
        <v>0.72359339372344467</v>
      </c>
      <c r="CN23" s="28">
        <f>CM23+預測IC!CO27</f>
        <v>0.69456230674608477</v>
      </c>
      <c r="CO23" s="28">
        <f>CN23+預測IC!CP27</f>
        <v>0.70854618926555268</v>
      </c>
      <c r="CP23" s="28">
        <f>CO23+預測IC!CQ27</f>
        <v>0.67626922430621883</v>
      </c>
      <c r="CQ23" s="28">
        <f>CP23+預測IC!CR27</f>
        <v>0.6793728009191129</v>
      </c>
      <c r="CR23" s="28">
        <f>CQ23+預測IC!CS27</f>
        <v>0.70496465668619601</v>
      </c>
      <c r="CS23" s="28">
        <f>CR23+預測IC!CT27</f>
        <v>0.74935654297338927</v>
      </c>
      <c r="CT23" s="28">
        <f>CS23+預測IC!CU27</f>
        <v>0.71901758442381181</v>
      </c>
      <c r="CU23" s="28">
        <f>CT23+預測IC!CV27</f>
        <v>0.7177596079692401</v>
      </c>
      <c r="CV23" s="28">
        <f>CU23+預測IC!CW27</f>
        <v>0.72009596442509805</v>
      </c>
      <c r="CW23" s="28">
        <f>CV23+預測IC!CX27</f>
        <v>0.655831819499192</v>
      </c>
      <c r="CX23" s="28">
        <f>CW23+預測IC!CY27</f>
        <v>0.66874159895818441</v>
      </c>
      <c r="CY23" s="28">
        <f>CX23+預測IC!CZ27</f>
        <v>0.54326450428732564</v>
      </c>
      <c r="CZ23" s="28">
        <f>CY23+預測IC!DA27</f>
        <v>0.55495518722711823</v>
      </c>
      <c r="DA23" s="28">
        <f>CZ23+預測IC!DB27</f>
        <v>0.56129303092785998</v>
      </c>
      <c r="DB23" s="28">
        <f>DA23+預測IC!DC27</f>
        <v>0.44398767445847448</v>
      </c>
      <c r="DC23" s="28">
        <f>DB23+預測IC!DD27</f>
        <v>0.40797680240902789</v>
      </c>
      <c r="DD23" s="28">
        <f>DC23+預測IC!DE27</f>
        <v>0.54688810648129582</v>
      </c>
      <c r="DE23" s="28">
        <f>DD23+預測IC!DF27</f>
        <v>0.49574460025519007</v>
      </c>
      <c r="DF23" s="28">
        <f>DE23+預測IC!DG27</f>
        <v>0.57247604743715907</v>
      </c>
      <c r="DG23" s="28">
        <f>DF23+預測IC!DH27</f>
        <v>0.58798482963416721</v>
      </c>
      <c r="DH23" s="28">
        <f>DG23+預測IC!DI27</f>
        <v>0.61120860330892302</v>
      </c>
      <c r="DI23" s="28">
        <f>DH23+預測IC!DJ27</f>
        <v>0.59283572694769515</v>
      </c>
      <c r="DJ23" s="28">
        <f>DI23+預測IC!DK27</f>
        <v>0.65503474103279458</v>
      </c>
      <c r="DK23" s="28">
        <f>DJ23+預測IC!DL27</f>
        <v>0.67513304551975173</v>
      </c>
      <c r="DL23" s="28">
        <f>DK23+預測IC!DM27</f>
        <v>0.68863198526781977</v>
      </c>
      <c r="DM23" s="28">
        <f>DL23+預測IC!DN27</f>
        <v>0.65837977253939894</v>
      </c>
      <c r="DN23" s="28">
        <f>DM23+預測IC!DO27</f>
        <v>0.64135693683134509</v>
      </c>
      <c r="DO23" s="28">
        <f>DN23+預測IC!DP27</f>
        <v>0.61956841355888315</v>
      </c>
      <c r="DP23" s="28">
        <f>DO23+預測IC!DQ27</f>
        <v>0.70531403814402038</v>
      </c>
      <c r="DQ23" s="28">
        <f>DP23+預測IC!DR27</f>
        <v>0.73342078174899417</v>
      </c>
      <c r="DR23" s="28">
        <f>DQ23+預測IC!DS27</f>
        <v>0.73111762194163477</v>
      </c>
      <c r="DS23" s="28">
        <f>DR23+預測IC!DT27</f>
        <v>0.78958882007312226</v>
      </c>
      <c r="DT23" s="28">
        <f>DS23+預測IC!DU27</f>
        <v>0.85724776912176992</v>
      </c>
      <c r="DU23" s="28">
        <f>DT23+預測IC!DV27</f>
        <v>0.86226853976220219</v>
      </c>
      <c r="DV23" s="28">
        <f>DU23+預測IC!DW27</f>
        <v>0.89968472343740924</v>
      </c>
      <c r="DW23" s="28">
        <f>DV23+預測IC!DX27</f>
        <v>0.98379572718345132</v>
      </c>
      <c r="DX23" s="28">
        <f>DW23+預測IC!DY27</f>
        <v>0.94696332863943844</v>
      </c>
      <c r="DY23" s="28">
        <f>DX23+預測IC!DZ27</f>
        <v>0.95005503145637549</v>
      </c>
      <c r="DZ23" s="28">
        <f>DY23+預測IC!EA27</f>
        <v>0.94809740324208092</v>
      </c>
      <c r="EA23" s="28">
        <f>DZ23+預測IC!EB27</f>
        <v>0.97455650684560069</v>
      </c>
      <c r="EB23" s="28">
        <f>EA23+預測IC!EC27</f>
        <v>0.94980396808491041</v>
      </c>
      <c r="EC23" s="28">
        <f>EB23+預測IC!ED27</f>
        <v>0.98391945906747036</v>
      </c>
      <c r="ED23" s="28">
        <f>EC23+預測IC!EE27</f>
        <v>1.0049814330565034</v>
      </c>
      <c r="EE23" s="28">
        <f>ED23+預測IC!EF27</f>
        <v>0.98470404035049752</v>
      </c>
      <c r="EF23" s="3"/>
    </row>
  </sheetData>
  <mergeCells count="1">
    <mergeCell ref="A8:B8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EH29"/>
  <sheetViews>
    <sheetView topLeftCell="A12" zoomScaleNormal="74" workbookViewId="0">
      <selection activeCell="P54" sqref="P54"/>
    </sheetView>
  </sheetViews>
  <sheetFormatPr baseColWidth="10" defaultColWidth="8.83203125" defaultRowHeight="15"/>
  <cols>
    <col min="2" max="2" width="7.6640625" style="21" customWidth="1"/>
    <col min="3" max="3" width="10.83203125" style="21" customWidth="1"/>
  </cols>
  <sheetData>
    <row r="3" spans="3:137" ht="16" customHeight="1">
      <c r="C3" s="6" t="s">
        <v>142</v>
      </c>
      <c r="D3" s="10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 customHeight="1">
      <c r="C4" s="24" t="s">
        <v>144</v>
      </c>
      <c r="D4" s="14" t="s">
        <v>3</v>
      </c>
      <c r="E4" s="14" t="s">
        <v>4</v>
      </c>
      <c r="F4" s="14" t="s">
        <v>5</v>
      </c>
      <c r="G4" s="14" t="s">
        <v>6</v>
      </c>
      <c r="H4" s="14" t="s">
        <v>7</v>
      </c>
      <c r="I4" s="14" t="s">
        <v>8</v>
      </c>
      <c r="J4" s="14" t="s">
        <v>9</v>
      </c>
      <c r="K4" s="14" t="s">
        <v>10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15</v>
      </c>
      <c r="Q4" s="14" t="s">
        <v>16</v>
      </c>
      <c r="R4" s="14" t="s">
        <v>17</v>
      </c>
      <c r="S4" s="14" t="s">
        <v>18</v>
      </c>
      <c r="T4" s="14" t="s">
        <v>19</v>
      </c>
      <c r="U4" s="14" t="s">
        <v>20</v>
      </c>
      <c r="V4" s="14" t="s">
        <v>21</v>
      </c>
      <c r="W4" s="14" t="s">
        <v>22</v>
      </c>
      <c r="X4" s="14" t="s">
        <v>23</v>
      </c>
      <c r="Y4" s="14" t="s">
        <v>24</v>
      </c>
      <c r="Z4" s="14" t="s">
        <v>25</v>
      </c>
      <c r="AA4" s="14" t="s">
        <v>26</v>
      </c>
      <c r="AB4" s="14" t="s">
        <v>27</v>
      </c>
      <c r="AC4" s="14" t="s">
        <v>28</v>
      </c>
      <c r="AD4" s="14" t="s">
        <v>29</v>
      </c>
      <c r="AE4" s="14" t="s">
        <v>30</v>
      </c>
      <c r="AF4" s="14" t="s">
        <v>31</v>
      </c>
      <c r="AG4" s="14" t="s">
        <v>32</v>
      </c>
      <c r="AH4" s="14" t="s">
        <v>33</v>
      </c>
      <c r="AI4" s="14" t="s">
        <v>34</v>
      </c>
      <c r="AJ4" s="14" t="s">
        <v>35</v>
      </c>
      <c r="AK4" s="14" t="s">
        <v>36</v>
      </c>
      <c r="AL4" s="14" t="s">
        <v>37</v>
      </c>
      <c r="AM4" s="14" t="s">
        <v>38</v>
      </c>
      <c r="AN4" s="14" t="s">
        <v>39</v>
      </c>
      <c r="AO4" s="14" t="s">
        <v>40</v>
      </c>
      <c r="AP4" s="14" t="s">
        <v>41</v>
      </c>
      <c r="AQ4" s="14" t="s">
        <v>42</v>
      </c>
      <c r="AR4" s="14" t="s">
        <v>43</v>
      </c>
      <c r="AS4" s="14" t="s">
        <v>44</v>
      </c>
      <c r="AT4" s="14" t="s">
        <v>45</v>
      </c>
      <c r="AU4" s="14" t="s">
        <v>46</v>
      </c>
      <c r="AV4" s="14" t="s">
        <v>47</v>
      </c>
      <c r="AW4" s="14" t="s">
        <v>48</v>
      </c>
      <c r="AX4" s="14" t="s">
        <v>49</v>
      </c>
      <c r="AY4" s="14" t="s">
        <v>50</v>
      </c>
      <c r="AZ4" s="14" t="s">
        <v>51</v>
      </c>
      <c r="BA4" s="14" t="s">
        <v>52</v>
      </c>
      <c r="BB4" s="14" t="s">
        <v>53</v>
      </c>
      <c r="BC4" s="14" t="s">
        <v>54</v>
      </c>
      <c r="BD4" s="14" t="s">
        <v>55</v>
      </c>
      <c r="BE4" s="14" t="s">
        <v>56</v>
      </c>
      <c r="BF4" s="14" t="s">
        <v>57</v>
      </c>
      <c r="BG4" s="14" t="s">
        <v>58</v>
      </c>
      <c r="BH4" s="14" t="s">
        <v>59</v>
      </c>
      <c r="BI4" s="14" t="s">
        <v>60</v>
      </c>
      <c r="BJ4" s="14" t="s">
        <v>61</v>
      </c>
      <c r="BK4" s="14" t="s">
        <v>62</v>
      </c>
      <c r="BL4" s="14" t="s">
        <v>63</v>
      </c>
      <c r="BM4" s="14" t="s">
        <v>64</v>
      </c>
      <c r="BN4" s="14" t="s">
        <v>65</v>
      </c>
      <c r="BO4" s="14" t="s">
        <v>66</v>
      </c>
      <c r="BP4" s="14" t="s">
        <v>67</v>
      </c>
      <c r="BQ4" s="14" t="s">
        <v>68</v>
      </c>
      <c r="BR4" s="14" t="s">
        <v>69</v>
      </c>
      <c r="BS4" s="14" t="s">
        <v>70</v>
      </c>
      <c r="BT4" s="14" t="s">
        <v>71</v>
      </c>
      <c r="BU4" s="14" t="s">
        <v>72</v>
      </c>
      <c r="BV4" s="14" t="s">
        <v>73</v>
      </c>
      <c r="BW4" s="14" t="s">
        <v>74</v>
      </c>
      <c r="BX4" s="14" t="s">
        <v>75</v>
      </c>
      <c r="BY4" s="14" t="s">
        <v>76</v>
      </c>
      <c r="BZ4" s="14" t="s">
        <v>77</v>
      </c>
      <c r="CA4" s="14" t="s">
        <v>78</v>
      </c>
      <c r="CB4" s="14" t="s">
        <v>79</v>
      </c>
      <c r="CC4" s="14" t="s">
        <v>80</v>
      </c>
      <c r="CD4" s="14" t="s">
        <v>81</v>
      </c>
      <c r="CE4" s="14" t="s">
        <v>82</v>
      </c>
      <c r="CF4" s="14" t="s">
        <v>83</v>
      </c>
      <c r="CG4" s="14" t="s">
        <v>84</v>
      </c>
      <c r="CH4" s="14" t="s">
        <v>85</v>
      </c>
      <c r="CI4" s="14" t="s">
        <v>86</v>
      </c>
      <c r="CJ4" s="14" t="s">
        <v>87</v>
      </c>
      <c r="CK4" s="14" t="s">
        <v>88</v>
      </c>
      <c r="CL4" s="14" t="s">
        <v>89</v>
      </c>
      <c r="CM4" s="14" t="s">
        <v>90</v>
      </c>
      <c r="CN4" s="14" t="s">
        <v>91</v>
      </c>
      <c r="CO4" s="14" t="s">
        <v>92</v>
      </c>
      <c r="CP4" s="14" t="s">
        <v>93</v>
      </c>
      <c r="CQ4" s="14" t="s">
        <v>94</v>
      </c>
      <c r="CR4" s="14" t="s">
        <v>95</v>
      </c>
      <c r="CS4" s="14" t="s">
        <v>96</v>
      </c>
      <c r="CT4" s="14" t="s">
        <v>97</v>
      </c>
      <c r="CU4" s="14" t="s">
        <v>98</v>
      </c>
      <c r="CV4" s="14" t="s">
        <v>99</v>
      </c>
      <c r="CW4" s="14" t="s">
        <v>100</v>
      </c>
      <c r="CX4" s="14" t="s">
        <v>101</v>
      </c>
      <c r="CY4" s="14" t="s">
        <v>102</v>
      </c>
      <c r="CZ4" s="14" t="s">
        <v>103</v>
      </c>
      <c r="DA4" s="14" t="s">
        <v>104</v>
      </c>
      <c r="DB4" s="14" t="s">
        <v>105</v>
      </c>
      <c r="DC4" s="14" t="s">
        <v>106</v>
      </c>
      <c r="DD4" s="14" t="s">
        <v>107</v>
      </c>
      <c r="DE4" s="14" t="s">
        <v>108</v>
      </c>
      <c r="DF4" s="14" t="s">
        <v>109</v>
      </c>
      <c r="DG4" s="14" t="s">
        <v>110</v>
      </c>
      <c r="DH4" s="14" t="s">
        <v>111</v>
      </c>
      <c r="DI4" s="14" t="s">
        <v>112</v>
      </c>
      <c r="DJ4" s="14" t="s">
        <v>113</v>
      </c>
      <c r="DK4" s="14" t="s">
        <v>114</v>
      </c>
      <c r="DL4" s="14" t="s">
        <v>115</v>
      </c>
      <c r="DM4" s="14" t="s">
        <v>116</v>
      </c>
      <c r="DN4" s="14" t="s">
        <v>117</v>
      </c>
      <c r="DO4" s="14" t="s">
        <v>118</v>
      </c>
      <c r="DP4" s="14" t="s">
        <v>119</v>
      </c>
      <c r="DQ4" s="14" t="s">
        <v>120</v>
      </c>
      <c r="DR4" s="14" t="s">
        <v>121</v>
      </c>
      <c r="DS4" s="14" t="s">
        <v>122</v>
      </c>
      <c r="DT4" s="14" t="s">
        <v>123</v>
      </c>
      <c r="DU4" s="14" t="s">
        <v>124</v>
      </c>
      <c r="DV4" s="14" t="s">
        <v>125</v>
      </c>
      <c r="DW4" s="14" t="s">
        <v>126</v>
      </c>
      <c r="DX4" s="14" t="s">
        <v>127</v>
      </c>
      <c r="DY4" s="14" t="s">
        <v>128</v>
      </c>
      <c r="DZ4" s="14" t="s">
        <v>129</v>
      </c>
      <c r="EA4" s="14" t="s">
        <v>130</v>
      </c>
      <c r="EB4" s="14" t="s">
        <v>131</v>
      </c>
      <c r="EC4" s="14" t="s">
        <v>132</v>
      </c>
      <c r="ED4" s="14" t="s">
        <v>133</v>
      </c>
      <c r="EE4" s="14" t="s">
        <v>134</v>
      </c>
      <c r="EF4" s="14" t="s">
        <v>135</v>
      </c>
      <c r="EG4" s="14" t="s">
        <v>146</v>
      </c>
    </row>
    <row r="5" spans="3:137" ht="16" customHeight="1">
      <c r="C5" s="6">
        <v>10</v>
      </c>
      <c r="D5" s="9">
        <v>0.29562126567416419</v>
      </c>
      <c r="E5" s="9">
        <f t="array" ref="E5">PRODUCT(1 + 預測IC!$C14:D14) - 1</f>
        <v>0.67886454739873292</v>
      </c>
      <c r="F5" s="9">
        <f t="array" ref="F5">PRODUCT(1 + 預測IC!$C14:E14) - 1</f>
        <v>1.2030566626568584</v>
      </c>
      <c r="G5" s="9">
        <f t="array" ref="G5">PRODUCT(1 + 預測IC!$C14:F14) - 1</f>
        <v>1.899643608980369</v>
      </c>
      <c r="H5" s="9">
        <f t="array" ref="H5">PRODUCT(1 + 預測IC!$C14:G14) - 1</f>
        <v>2.7392556506184573</v>
      </c>
      <c r="I5" s="9">
        <f t="array" ref="I5">PRODUCT(1 + 預測IC!$C14:H14) - 1</f>
        <v>3.8684484665847858</v>
      </c>
      <c r="J5" s="9">
        <f t="array" ref="J5">PRODUCT(1 + 預測IC!$C14:I14) - 1</f>
        <v>5.2353288345664168</v>
      </c>
      <c r="K5" s="9">
        <f t="array" ref="K5">PRODUCT(1 + 預測IC!$C14:J14) - 1</f>
        <v>7.1564964266887188</v>
      </c>
      <c r="L5" s="9">
        <f t="array" ref="L5">PRODUCT(1 + 預測IC!$C14:K14) - 1</f>
        <v>9.2406079028457206</v>
      </c>
      <c r="M5" s="9">
        <f t="array" ref="M5">PRODUCT(1 + 預測IC!$C14:L14) - 1</f>
        <v>12.160435838511621</v>
      </c>
      <c r="N5" s="9">
        <f t="array" ref="N5">PRODUCT(1 + 預測IC!$C14:M14) - 1</f>
        <v>16.015616692935122</v>
      </c>
      <c r="O5" s="9">
        <f t="array" ref="O5">PRODUCT(1 + 預測IC!$C14:N14) - 1</f>
        <v>20.606200247296396</v>
      </c>
      <c r="P5" s="9">
        <f t="array" ref="P5">PRODUCT(1 + 預測IC!$C14:O14) - 1</f>
        <v>21.33768720516704</v>
      </c>
      <c r="Q5" s="9">
        <f t="array" ref="Q5">PRODUCT(1 + 預測IC!$C14:P14) - 1</f>
        <v>21.542921696982557</v>
      </c>
      <c r="R5" s="9">
        <f t="array" ref="R5">PRODUCT(1 + 預測IC!$C14:Q14) - 1</f>
        <v>21.626156760624845</v>
      </c>
      <c r="S5" s="9">
        <f t="array" ref="S5">PRODUCT(1 + 預測IC!$C14:R14) - 1</f>
        <v>22.052826050712145</v>
      </c>
      <c r="T5" s="9">
        <f t="array" ref="T5">PRODUCT(1 + 預測IC!$C14:S14) - 1</f>
        <v>21.81307374050126</v>
      </c>
      <c r="U5" s="9">
        <f t="array" ref="U5">PRODUCT(1 + 預測IC!$C14:T14) - 1</f>
        <v>22.706300572832014</v>
      </c>
      <c r="V5" s="9">
        <f t="array" ref="V5">PRODUCT(1 + 預測IC!$C14:U14) - 1</f>
        <v>23.513520047833047</v>
      </c>
      <c r="W5" s="9">
        <f t="array" ref="W5">PRODUCT(1 + 預測IC!$C14:V14) - 1</f>
        <v>23.826677483370709</v>
      </c>
      <c r="X5" s="9">
        <f t="array" ref="X5">PRODUCT(1 + 預測IC!$C14:W14) - 1</f>
        <v>23.433584615950945</v>
      </c>
      <c r="Y5" s="9">
        <f t="array" ref="Y5">PRODUCT(1 + 預測IC!$C14:X14) - 1</f>
        <v>23.886260926305741</v>
      </c>
      <c r="Z5" s="9">
        <f t="array" ref="Z5">PRODUCT(1 + 預測IC!$C14:Y14) - 1</f>
        <v>23.682340059047146</v>
      </c>
      <c r="AA5" s="9">
        <f t="array" ref="AA5">PRODUCT(1 + 預測IC!$C14:Z14) - 1</f>
        <v>24.098094304540854</v>
      </c>
      <c r="AB5" s="9">
        <f t="array" ref="AB5">PRODUCT(1 + 預測IC!$C14:AA14) - 1</f>
        <v>23.221529120988226</v>
      </c>
      <c r="AC5" s="9">
        <f t="array" ref="AC5">PRODUCT(1 + 預測IC!$C14:AB14) - 1</f>
        <v>23.505728764244491</v>
      </c>
      <c r="AD5" s="9">
        <f t="array" ref="AD5">PRODUCT(1 + 預測IC!$C14:AC14) - 1</f>
        <v>23.565836742334376</v>
      </c>
      <c r="AE5" s="9">
        <f t="array" ref="AE5">PRODUCT(1 + 預測IC!$C14:AD14) - 1</f>
        <v>23.924657270888883</v>
      </c>
      <c r="AF5" s="9">
        <f t="array" ref="AF5">PRODUCT(1 + 預測IC!$C14:AE14) - 1</f>
        <v>22.745457859527786</v>
      </c>
      <c r="AG5" s="9">
        <f t="array" ref="AG5">PRODUCT(1 + 預測IC!$C14:AF14) - 1</f>
        <v>23.629412278515765</v>
      </c>
      <c r="AH5" s="9">
        <f t="array" ref="AH5">PRODUCT(1 + 預測IC!$C14:AG14) - 1</f>
        <v>23.3672284479272</v>
      </c>
      <c r="AI5" s="9">
        <f t="array" ref="AI5">PRODUCT(1 + 預測IC!$C14:AH14) - 1</f>
        <v>23.3469687399853</v>
      </c>
      <c r="AJ5" s="9">
        <f t="array" ref="AJ5">PRODUCT(1 + 預測IC!$C14:AI14) - 1</f>
        <v>23.131898770126966</v>
      </c>
      <c r="AK5" s="9">
        <f t="array" ref="AK5">PRODUCT(1 + 預測IC!$C14:AJ14) - 1</f>
        <v>23.488875589825653</v>
      </c>
      <c r="AL5" s="9">
        <f t="array" ref="AL5">PRODUCT(1 + 預測IC!$C14:AK14) - 1</f>
        <v>23.574592691783735</v>
      </c>
      <c r="AM5" s="9">
        <f t="array" ref="AM5">PRODUCT(1 + 預測IC!$C14:AL14) - 1</f>
        <v>22.882265884515547</v>
      </c>
      <c r="AN5" s="9">
        <f t="array" ref="AN5">PRODUCT(1 + 預測IC!$C14:AM14) - 1</f>
        <v>23.125540666877409</v>
      </c>
      <c r="AO5" s="9">
        <f t="array" ref="AO5">PRODUCT(1 + 預測IC!$C14:AN14) - 1</f>
        <v>22.44040288169937</v>
      </c>
      <c r="AP5" s="9">
        <f t="array" ref="AP5">PRODUCT(1 + 預測IC!$C14:AO14) - 1</f>
        <v>21.617772613532459</v>
      </c>
      <c r="AQ5" s="9">
        <f t="array" ref="AQ5">PRODUCT(1 + 預測IC!$C14:AP14) - 1</f>
        <v>21.615150386117381</v>
      </c>
      <c r="AR5" s="9">
        <f t="array" ref="AR5">PRODUCT(1 + 預測IC!$C14:AQ14) - 1</f>
        <v>21.769316614687646</v>
      </c>
      <c r="AS5" s="9">
        <f t="array" ref="AS5">PRODUCT(1 + 預測IC!$C14:AR14) - 1</f>
        <v>21.596161733108378</v>
      </c>
      <c r="AT5" s="9">
        <f t="array" ref="AT5">PRODUCT(1 + 預測IC!$C14:AS14) - 1</f>
        <v>21.354523626139752</v>
      </c>
      <c r="AU5" s="9">
        <f t="array" ref="AU5">PRODUCT(1 + 預測IC!$C14:AT14) - 1</f>
        <v>20.787700552936748</v>
      </c>
      <c r="AV5" s="9">
        <f t="array" ref="AV5">PRODUCT(1 + 預測IC!$C14:AU14) - 1</f>
        <v>20.978251697150682</v>
      </c>
      <c r="AW5" s="9">
        <f t="array" ref="AW5">PRODUCT(1 + 預測IC!$C14:AV14) - 1</f>
        <v>20.937968637544003</v>
      </c>
      <c r="AX5" s="9">
        <f t="array" ref="AX5">PRODUCT(1 + 預測IC!$C14:AW14) - 1</f>
        <v>20.936325547188702</v>
      </c>
      <c r="AY5" s="9">
        <f t="array" ref="AY5">PRODUCT(1 + 預測IC!$C14:AX14) - 1</f>
        <v>21.01842843999956</v>
      </c>
      <c r="AZ5" s="9">
        <f t="array" ref="AZ5">PRODUCT(1 + 預測IC!$C14:AY14) - 1</f>
        <v>21.172406279057494</v>
      </c>
      <c r="BA5" s="9">
        <f t="array" ref="BA5">PRODUCT(1 + 預測IC!$C14:AZ14) - 1</f>
        <v>21.075802184575931</v>
      </c>
      <c r="BB5" s="9">
        <f t="array" ref="BB5">PRODUCT(1 + 預測IC!$C14:BA14) - 1</f>
        <v>20.913019131282876</v>
      </c>
      <c r="BC5" s="9">
        <f t="array" ref="BC5">PRODUCT(1 + 預測IC!$C14:BB14) - 1</f>
        <v>20.839992144868745</v>
      </c>
      <c r="BD5" s="9">
        <f t="array" ref="BD5">PRODUCT(1 + 預測IC!$C14:BC14) - 1</f>
        <v>20.947746120034601</v>
      </c>
      <c r="BE5" s="9">
        <f t="array" ref="BE5">PRODUCT(1 + 預測IC!$C14:BD14) - 1</f>
        <v>20.793076313531348</v>
      </c>
      <c r="BF5" s="9">
        <f t="array" ref="BF5">PRODUCT(1 + 預測IC!$C14:BE14) - 1</f>
        <v>20.357823826655011</v>
      </c>
      <c r="BG5" s="9">
        <f t="array" ref="BG5">PRODUCT(1 + 預測IC!$C14:BF14) - 1</f>
        <v>20.492031310977389</v>
      </c>
      <c r="BH5" s="9">
        <f t="array" ref="BH5">PRODUCT(1 + 預測IC!$C14:BG14) - 1</f>
        <v>20.568781786562305</v>
      </c>
      <c r="BI5" s="9">
        <f t="array" ref="BI5">PRODUCT(1 + 預測IC!$C14:BH14) - 1</f>
        <v>22.373370275890359</v>
      </c>
      <c r="BJ5" s="9">
        <f t="array" ref="BJ5">PRODUCT(1 + 預測IC!$C14:BI14) - 1</f>
        <v>20.524203789679628</v>
      </c>
      <c r="BK5" s="9">
        <f t="array" ref="BK5">PRODUCT(1 + 預測IC!$C14:BJ14) - 1</f>
        <v>20.347267455451199</v>
      </c>
      <c r="BL5" s="9">
        <f t="array" ref="BL5">PRODUCT(1 + 預測IC!$C14:BK14) - 1</f>
        <v>20.688475132316935</v>
      </c>
      <c r="BM5" s="9">
        <f t="array" ref="BM5">PRODUCT(1 + 預測IC!$C14:BL14) - 1</f>
        <v>20.872446176052723</v>
      </c>
      <c r="BN5" s="9">
        <f t="array" ref="BN5">PRODUCT(1 + 預測IC!$C14:BM14) - 1</f>
        <v>21.078660870437254</v>
      </c>
      <c r="BO5" s="9">
        <f t="array" ref="BO5">PRODUCT(1 + 預測IC!$C14:BN14) - 1</f>
        <v>21.595970449931329</v>
      </c>
      <c r="BP5" s="9">
        <f t="array" ref="BP5">PRODUCT(1 + 預測IC!$C14:BO14) - 1</f>
        <v>21.432249027523984</v>
      </c>
      <c r="BQ5" s="9">
        <f t="array" ref="BQ5">PRODUCT(1 + 預測IC!$C14:BP14) - 1</f>
        <v>22.041472961040384</v>
      </c>
      <c r="BR5" s="9">
        <f t="array" ref="BR5">PRODUCT(1 + 預測IC!$C14:BQ14) - 1</f>
        <v>22.688120430800247</v>
      </c>
      <c r="BS5" s="9">
        <f t="array" ref="BS5">PRODUCT(1 + 預測IC!$C14:BR14) - 1</f>
        <v>21.346132241354365</v>
      </c>
      <c r="BT5" s="9">
        <f t="array" ref="BT5">PRODUCT(1 + 預測IC!$C14:BS14) - 1</f>
        <v>21.661881714674895</v>
      </c>
      <c r="BU5" s="9">
        <f t="array" ref="BU5">PRODUCT(1 + 預測IC!$C14:BT14) - 1</f>
        <v>20.730603622275602</v>
      </c>
      <c r="BV5" s="9">
        <f t="array" ref="BV5">PRODUCT(1 + 預測IC!$C14:BU14) - 1</f>
        <v>21.027658045514844</v>
      </c>
      <c r="BW5" s="9">
        <f t="array" ref="BW5">PRODUCT(1 + 預測IC!$C14:BV14) - 1</f>
        <v>20.899706854779442</v>
      </c>
      <c r="BX5" s="9">
        <f t="array" ref="BX5">PRODUCT(1 + 預測IC!$C14:BW14) - 1</f>
        <v>20.620835379526294</v>
      </c>
      <c r="BY5" s="9">
        <f t="array" ref="BY5">PRODUCT(1 + 預測IC!$C14:BX14) - 1</f>
        <v>21.37400818520679</v>
      </c>
      <c r="BZ5" s="9">
        <f t="array" ref="BZ5">PRODUCT(1 + 預測IC!$C14:BY14) - 1</f>
        <v>21.501779452238619</v>
      </c>
      <c r="CA5" s="9">
        <f t="array" ref="CA5">PRODUCT(1 + 預測IC!$C14:BZ14) - 1</f>
        <v>21.109610746734806</v>
      </c>
      <c r="CB5" s="9">
        <f t="array" ref="CB5">PRODUCT(1 + 預測IC!$C14:CA14) - 1</f>
        <v>21.361004975662247</v>
      </c>
      <c r="CC5" s="9">
        <f t="array" ref="CC5">PRODUCT(1 + 預測IC!$C14:CB14) - 1</f>
        <v>21.4762453627105</v>
      </c>
      <c r="CD5" s="9">
        <f t="array" ref="CD5">PRODUCT(1 + 預測IC!$C14:CC14) - 1</f>
        <v>21.032794057556345</v>
      </c>
      <c r="CE5" s="9">
        <f t="array" ref="CE5">PRODUCT(1 + 預測IC!$C14:CD14) - 1</f>
        <v>20.556937111353232</v>
      </c>
      <c r="CF5" s="9">
        <f t="array" ref="CF5">PRODUCT(1 + 預測IC!$C14:CE14) - 1</f>
        <v>20.481688317800536</v>
      </c>
      <c r="CG5" s="9">
        <f t="array" ref="CG5">PRODUCT(1 + 預測IC!$C14:CF14) - 1</f>
        <v>19.679709189840437</v>
      </c>
      <c r="CH5" s="9">
        <f t="array" ref="CH5">PRODUCT(1 + 預測IC!$C14:CG14) - 1</f>
        <v>20.385956693422372</v>
      </c>
      <c r="CI5" s="9">
        <f t="array" ref="CI5">PRODUCT(1 + 預測IC!$C14:CH14) - 1</f>
        <v>20.553753071668655</v>
      </c>
      <c r="CJ5" s="9">
        <f t="array" ref="CJ5">PRODUCT(1 + 預測IC!$C14:CI14) - 1</f>
        <v>20.7926160798335</v>
      </c>
      <c r="CK5" s="9">
        <f t="array" ref="CK5">PRODUCT(1 + 預測IC!$C14:CJ14) - 1</f>
        <v>20.680322706373357</v>
      </c>
      <c r="CL5" s="9">
        <f t="array" ref="CL5">PRODUCT(1 + 預測IC!$C14:CK14) - 1</f>
        <v>20.34119246874269</v>
      </c>
      <c r="CM5" s="9">
        <f t="array" ref="CM5">PRODUCT(1 + 預測IC!$C14:CL14) - 1</f>
        <v>18.611360964772469</v>
      </c>
      <c r="CN5" s="9">
        <f t="array" ref="CN5">PRODUCT(1 + 預測IC!$C14:CM14) - 1</f>
        <v>18.450265689817154</v>
      </c>
      <c r="CO5" s="9">
        <f t="array" ref="CO5">PRODUCT(1 + 預測IC!$C14:CN14) - 1</f>
        <v>19.597223446622518</v>
      </c>
      <c r="CP5" s="9">
        <f t="array" ref="CP5">PRODUCT(1 + 預測IC!$C14:CO14) - 1</f>
        <v>19.595251935488744</v>
      </c>
      <c r="CQ5" s="9">
        <f t="array" ref="CQ5">PRODUCT(1 + 預測IC!$C14:CP14) - 1</f>
        <v>20.456594793945694</v>
      </c>
      <c r="CR5" s="9">
        <f t="array" ref="CR5">PRODUCT(1 + 預測IC!$C14:CQ14) - 1</f>
        <v>19.59661677042434</v>
      </c>
      <c r="CS5" s="9">
        <f t="array" ref="CS5">PRODUCT(1 + 預測IC!$C14:CR14) - 1</f>
        <v>19.134458900989987</v>
      </c>
      <c r="CT5" s="9">
        <f t="array" ref="CT5">PRODUCT(1 + 預測IC!$C14:CS14) - 1</f>
        <v>19.440071652401848</v>
      </c>
      <c r="CU5" s="9">
        <f t="array" ref="CU5">PRODUCT(1 + 預測IC!$C14:CT14) - 1</f>
        <v>19.659182188620711</v>
      </c>
      <c r="CV5" s="9">
        <f t="array" ref="CV5">PRODUCT(1 + 預測IC!$C14:CU14) - 1</f>
        <v>19.452032987304676</v>
      </c>
      <c r="CW5" s="9">
        <f t="array" ref="CW5">PRODUCT(1 + 預測IC!$C14:CV14) - 1</f>
        <v>19.230530764678704</v>
      </c>
      <c r="CX5" s="9">
        <f t="array" ref="CX5">PRODUCT(1 + 預測IC!$C14:CW14) - 1</f>
        <v>19.67113122857738</v>
      </c>
      <c r="CY5" s="9">
        <f t="array" ref="CY5">PRODUCT(1 + 預測IC!$C14:CX14) - 1</f>
        <v>19.955811515860148</v>
      </c>
      <c r="CZ5" s="9">
        <f t="array" ref="CZ5">PRODUCT(1 + 預測IC!$C14:CY14) - 1</f>
        <v>19.995798294450779</v>
      </c>
      <c r="DA5" s="9">
        <f t="array" ref="DA5">PRODUCT(1 + 預測IC!$C14:CZ14) - 1</f>
        <v>21.041784501006912</v>
      </c>
      <c r="DB5" s="9">
        <f t="array" ref="DB5">PRODUCT(1 + 預測IC!$C14:DA14) - 1</f>
        <v>20.977310001755654</v>
      </c>
      <c r="DC5" s="9">
        <f t="array" ref="DC5">PRODUCT(1 + 預測IC!$C14:DB14) - 1</f>
        <v>21.209045485797738</v>
      </c>
      <c r="DD5" s="9">
        <f t="array" ref="DD5">PRODUCT(1 + 預測IC!$C14:DC14) - 1</f>
        <v>21.999472364578374</v>
      </c>
      <c r="DE5" s="9">
        <f t="array" ref="DE5">PRODUCT(1 + 預測IC!$C14:DD14) - 1</f>
        <v>21.999806595190133</v>
      </c>
      <c r="DF5" s="9">
        <f t="array" ref="DF5">PRODUCT(1 + 預測IC!$C14:DE14) - 1</f>
        <v>21.00931520808302</v>
      </c>
      <c r="DG5" s="9">
        <f t="array" ref="DG5">PRODUCT(1 + 預測IC!$C14:DF14) - 1</f>
        <v>20.88801167039588</v>
      </c>
      <c r="DH5" s="9">
        <f t="array" ref="DH5">PRODUCT(1 + 預測IC!$C14:DG14) - 1</f>
        <v>20.167852471856765</v>
      </c>
      <c r="DI5" s="9">
        <f t="array" ref="DI5">PRODUCT(1 + 預測IC!$C14:DH14) - 1</f>
        <v>20.066508151526595</v>
      </c>
      <c r="DJ5" s="9">
        <f t="array" ref="DJ5">PRODUCT(1 + 預測IC!$C14:DI14) - 1</f>
        <v>19.692210233046683</v>
      </c>
      <c r="DK5" s="9">
        <f t="array" ref="DK5">PRODUCT(1 + 預測IC!$C14:DJ14) - 1</f>
        <v>20.100545908345264</v>
      </c>
      <c r="DL5" s="9">
        <f t="array" ref="DL5">PRODUCT(1 + 預測IC!$C14:DK14) - 1</f>
        <v>19.693881227509902</v>
      </c>
      <c r="DM5" s="9">
        <f t="array" ref="DM5">PRODUCT(1 + 預測IC!$C14:DL14) - 1</f>
        <v>19.138863566785233</v>
      </c>
      <c r="DN5" s="9">
        <f t="array" ref="DN5">PRODUCT(1 + 預測IC!$C14:DM14) - 1</f>
        <v>18.788819035150599</v>
      </c>
      <c r="DO5" s="9">
        <f t="array" ref="DO5">PRODUCT(1 + 預測IC!$C14:DN14) - 1</f>
        <v>18.450380709890602</v>
      </c>
      <c r="DP5" s="9">
        <f t="array" ref="DP5">PRODUCT(1 + 預測IC!$C14:DO14) - 1</f>
        <v>18.051490647886066</v>
      </c>
      <c r="DQ5" s="9">
        <f t="array" ref="DQ5">PRODUCT(1 + 預測IC!$C14:DP14) - 1</f>
        <v>18.039089433117987</v>
      </c>
      <c r="DR5" s="9">
        <f t="array" ref="DR5">PRODUCT(1 + 預測IC!$C14:DQ14) - 1</f>
        <v>17.930088041227979</v>
      </c>
      <c r="DS5" s="9">
        <f t="array" ref="DS5">PRODUCT(1 + 預測IC!$C14:DR14) - 1</f>
        <v>18.197295567116544</v>
      </c>
      <c r="DT5" s="9">
        <f t="array" ref="DT5">PRODUCT(1 + 預測IC!$C14:DS14) - 1</f>
        <v>18.137823386814265</v>
      </c>
      <c r="DU5" s="9">
        <f t="array" ref="DU5">PRODUCT(1 + 預測IC!$C14:DT14) - 1</f>
        <v>18.040448429252926</v>
      </c>
      <c r="DV5" s="9">
        <f t="array" ref="DV5">PRODUCT(1 + 預測IC!$C14:DU14) - 1</f>
        <v>18.156601279005216</v>
      </c>
      <c r="DW5" s="9">
        <f t="array" ref="DW5">PRODUCT(1 + 預測IC!$C14:DV14) - 1</f>
        <v>18.009929324394175</v>
      </c>
      <c r="DX5" s="9">
        <f t="array" ref="DX5">PRODUCT(1 + 預測IC!$C14:DW14) - 1</f>
        <v>17.994149814432308</v>
      </c>
      <c r="DY5" s="9">
        <f t="array" ref="DY5">PRODUCT(1 + 預測IC!$C14:DX14) - 1</f>
        <v>18.105329062696036</v>
      </c>
      <c r="DZ5" s="9">
        <f t="array" ref="DZ5">PRODUCT(1 + 預測IC!$C14:DY14) - 1</f>
        <v>17.74455049930225</v>
      </c>
      <c r="EA5" s="9">
        <f t="array" ref="EA5">PRODUCT(1 + 預測IC!$C14:DZ14) - 1</f>
        <v>17.177689303585989</v>
      </c>
      <c r="EB5" s="9">
        <f t="array" ref="EB5">PRODUCT(1 + 預測IC!$C14:EA14) - 1</f>
        <v>17.36413678579915</v>
      </c>
      <c r="EC5" s="9">
        <f t="array" ref="EC5">PRODUCT(1 + 預測IC!$C14:EB14) - 1</f>
        <v>17.593628451613149</v>
      </c>
      <c r="ED5" s="9">
        <f t="array" ref="ED5">PRODUCT(1 + 預測IC!$C14:EC14) - 1</f>
        <v>17.621268939424564</v>
      </c>
      <c r="EE5" s="9">
        <f t="array" ref="EE5">PRODUCT(1 + 預測IC!$C14:ED14) - 1</f>
        <v>17.956646803173086</v>
      </c>
      <c r="EF5" s="9">
        <f t="array" ref="EF5">PRODUCT(1 + 預測IC!$C14:EE14) - 1</f>
        <v>17.932174914959578</v>
      </c>
      <c r="EG5" s="9">
        <f t="array" ref="EG5">PRODUCT(1 + 預測IC!$C14:EF14) - 1</f>
        <v>18.213111133940206</v>
      </c>
    </row>
    <row r="6" spans="3:137" ht="16" customHeight="1">
      <c r="C6" s="6">
        <v>20</v>
      </c>
      <c r="D6" s="9">
        <v>0.39331188340051321</v>
      </c>
      <c r="E6" s="9">
        <f t="array" ref="E6">PRODUCT(1 + 預測IC!$C15:D15) - 1</f>
        <v>0.94555788230504167</v>
      </c>
      <c r="F6" s="9">
        <f t="array" ref="F6">PRODUCT(1 + 預測IC!$C15:E15) - 1</f>
        <v>1.7321788081566547</v>
      </c>
      <c r="G6" s="9">
        <f t="array" ref="G6">PRODUCT(1 + 預測IC!$C15:F15) - 1</f>
        <v>2.9619839543824846</v>
      </c>
      <c r="H6" s="9">
        <f t="array" ref="H6">PRODUCT(1 + 預測IC!$C15:G15) - 1</f>
        <v>4.5228865738875115</v>
      </c>
      <c r="I6" s="9">
        <f t="array" ref="I6">PRODUCT(1 + 預測IC!$C15:H15) - 1</f>
        <v>6.689727165010785</v>
      </c>
      <c r="J6" s="9">
        <f t="array" ref="J6">PRODUCT(1 + 預測IC!$C15:I15) - 1</f>
        <v>9.5868880243469707</v>
      </c>
      <c r="K6" s="9">
        <f t="array" ref="K6">PRODUCT(1 + 預測IC!$C15:J15) - 1</f>
        <v>14.04408318730405</v>
      </c>
      <c r="L6" s="9">
        <f t="array" ref="L6">PRODUCT(1 + 預測IC!$C15:K15) - 1</f>
        <v>19.387525214802839</v>
      </c>
      <c r="M6" s="9">
        <f t="array" ref="M6">PRODUCT(1 + 預測IC!$C15:L15) - 1</f>
        <v>27.136627742155763</v>
      </c>
      <c r="N6" s="9">
        <f t="array" ref="N6">PRODUCT(1 + 預測IC!$C15:M15) - 1</f>
        <v>38.946014747521062</v>
      </c>
      <c r="O6" s="9">
        <f t="array" ref="O6">PRODUCT(1 + 預測IC!$C15:N15) - 1</f>
        <v>53.872854271702543</v>
      </c>
      <c r="P6" s="9">
        <f t="array" ref="P6">PRODUCT(1 + 預測IC!$C15:O15) - 1</f>
        <v>55.821695116187307</v>
      </c>
      <c r="Q6" s="9">
        <f t="array" ref="Q6">PRODUCT(1 + 預測IC!$C15:P15) - 1</f>
        <v>56.425642866708415</v>
      </c>
      <c r="R6" s="9">
        <f t="array" ref="R6">PRODUCT(1 + 預測IC!$C15:Q15) - 1</f>
        <v>57.385397152452342</v>
      </c>
      <c r="S6" s="9">
        <f t="array" ref="S6">PRODUCT(1 + 預測IC!$C15:R15) - 1</f>
        <v>59.066053716076887</v>
      </c>
      <c r="T6" s="9">
        <f t="array" ref="T6">PRODUCT(1 + 預測IC!$C15:S15) - 1</f>
        <v>57.235068951642113</v>
      </c>
      <c r="U6" s="9">
        <f t="array" ref="U6">PRODUCT(1 + 預測IC!$C15:T15) - 1</f>
        <v>60.347892977129163</v>
      </c>
      <c r="V6" s="9">
        <f t="array" ref="V6">PRODUCT(1 + 預測IC!$C15:U15) - 1</f>
        <v>61.711557760682382</v>
      </c>
      <c r="W6" s="9">
        <f t="array" ref="W6">PRODUCT(1 + 預測IC!$C15:V15) - 1</f>
        <v>63.126844056066076</v>
      </c>
      <c r="X6" s="9">
        <f t="array" ref="X6">PRODUCT(1 + 預測IC!$C15:W15) - 1</f>
        <v>62.210727755229996</v>
      </c>
      <c r="Y6" s="9">
        <f t="array" ref="Y6">PRODUCT(1 + 預測IC!$C15:X15) - 1</f>
        <v>63.207506193636164</v>
      </c>
      <c r="Z6" s="9">
        <f t="array" ref="Z6">PRODUCT(1 + 預測IC!$C15:Y15) - 1</f>
        <v>63.091184813590516</v>
      </c>
      <c r="AA6" s="9">
        <f t="array" ref="AA6">PRODUCT(1 + 預測IC!$C15:Z15) - 1</f>
        <v>65.376718712703905</v>
      </c>
      <c r="AB6" s="9">
        <f t="array" ref="AB6">PRODUCT(1 + 預測IC!$C15:AA15) - 1</f>
        <v>61.915926486517293</v>
      </c>
      <c r="AC6" s="9">
        <f t="array" ref="AC6">PRODUCT(1 + 預測IC!$C15:AB15) - 1</f>
        <v>61.710970628630776</v>
      </c>
      <c r="AD6" s="9">
        <f t="array" ref="AD6">PRODUCT(1 + 預測IC!$C15:AC15) - 1</f>
        <v>61.434925830445529</v>
      </c>
      <c r="AE6" s="9">
        <f t="array" ref="AE6">PRODUCT(1 + 預測IC!$C15:AD15) - 1</f>
        <v>62.925311986142489</v>
      </c>
      <c r="AF6" s="9">
        <f t="array" ref="AF6">PRODUCT(1 + 預測IC!$C15:AE15) - 1</f>
        <v>59.994537852885479</v>
      </c>
      <c r="AG6" s="9">
        <f t="array" ref="AG6">PRODUCT(1 + 預測IC!$C15:AF15) - 1</f>
        <v>64.015130011648736</v>
      </c>
      <c r="AH6" s="9">
        <f t="array" ref="AH6">PRODUCT(1 + 預測IC!$C15:AG15) - 1</f>
        <v>63.446821470466418</v>
      </c>
      <c r="AI6" s="9">
        <f t="array" ref="AI6">PRODUCT(1 + 預測IC!$C15:AH15) - 1</f>
        <v>64.724122605483288</v>
      </c>
      <c r="AJ6" s="9">
        <f t="array" ref="AJ6">PRODUCT(1 + 預測IC!$C15:AI15) - 1</f>
        <v>63.093840011412482</v>
      </c>
      <c r="AK6" s="9">
        <f t="array" ref="AK6">PRODUCT(1 + 預測IC!$C15:AJ15) - 1</f>
        <v>64.021457031036633</v>
      </c>
      <c r="AL6" s="9">
        <f t="array" ref="AL6">PRODUCT(1 + 預測IC!$C15:AK15) - 1</f>
        <v>63.088887371154783</v>
      </c>
      <c r="AM6" s="9">
        <f t="array" ref="AM6">PRODUCT(1 + 預測IC!$C15:AL15) - 1</f>
        <v>61.584641266004589</v>
      </c>
      <c r="AN6" s="9">
        <f t="array" ref="AN6">PRODUCT(1 + 預測IC!$C15:AM15) - 1</f>
        <v>63.72904262230648</v>
      </c>
      <c r="AO6" s="9">
        <f t="array" ref="AO6">PRODUCT(1 + 預測IC!$C15:AN15) - 1</f>
        <v>62.541957840713806</v>
      </c>
      <c r="AP6" s="9">
        <f t="array" ref="AP6">PRODUCT(1 + 預測IC!$C15:AO15) - 1</f>
        <v>61.789764375145261</v>
      </c>
      <c r="AQ6" s="9">
        <f t="array" ref="AQ6">PRODUCT(1 + 預測IC!$C15:AP15) - 1</f>
        <v>61.516637261094196</v>
      </c>
      <c r="AR6" s="9">
        <f t="array" ref="AR6">PRODUCT(1 + 預測IC!$C15:AQ15) - 1</f>
        <v>62.719238469540933</v>
      </c>
      <c r="AS6" s="9">
        <f t="array" ref="AS6">PRODUCT(1 + 預測IC!$C15:AR15) - 1</f>
        <v>62.95448363274231</v>
      </c>
      <c r="AT6" s="9">
        <f t="array" ref="AT6">PRODUCT(1 + 預測IC!$C15:AS15) - 1</f>
        <v>60.899104191328554</v>
      </c>
      <c r="AU6" s="9">
        <f t="array" ref="AU6">PRODUCT(1 + 預測IC!$C15:AT15) - 1</f>
        <v>59.739883854715238</v>
      </c>
      <c r="AV6" s="9">
        <f t="array" ref="AV6">PRODUCT(1 + 預測IC!$C15:AU15) - 1</f>
        <v>61.089566970091205</v>
      </c>
      <c r="AW6" s="9">
        <f t="array" ref="AW6">PRODUCT(1 + 預測IC!$C15:AV15) - 1</f>
        <v>61.504936065775809</v>
      </c>
      <c r="AX6" s="9">
        <f t="array" ref="AX6">PRODUCT(1 + 預測IC!$C15:AW15) - 1</f>
        <v>60.19770830958425</v>
      </c>
      <c r="AY6" s="9">
        <f t="array" ref="AY6">PRODUCT(1 + 預測IC!$C15:AX15) - 1</f>
        <v>60.270560882444009</v>
      </c>
      <c r="AZ6" s="9">
        <f t="array" ref="AZ6">PRODUCT(1 + 預測IC!$C15:AY15) - 1</f>
        <v>62.356240230951279</v>
      </c>
      <c r="BA6" s="9">
        <f t="array" ref="BA6">PRODUCT(1 + 預測IC!$C15:AZ15) - 1</f>
        <v>60.945017809301731</v>
      </c>
      <c r="BB6" s="9">
        <f t="array" ref="BB6">PRODUCT(1 + 預測IC!$C15:BA15) - 1</f>
        <v>60.407306956171439</v>
      </c>
      <c r="BC6" s="9">
        <f t="array" ref="BC6">PRODUCT(1 + 預測IC!$C15:BB15) - 1</f>
        <v>58.093328859636017</v>
      </c>
      <c r="BD6" s="9">
        <f t="array" ref="BD6">PRODUCT(1 + 預測IC!$C15:BC15) - 1</f>
        <v>57.993696062668064</v>
      </c>
      <c r="BE6" s="9">
        <f t="array" ref="BE6">PRODUCT(1 + 預測IC!$C15:BD15) - 1</f>
        <v>58.371089142610579</v>
      </c>
      <c r="BF6" s="9">
        <f t="array" ref="BF6">PRODUCT(1 + 預測IC!$C15:BE15) - 1</f>
        <v>57.500319794377923</v>
      </c>
      <c r="BG6" s="9">
        <f t="array" ref="BG6">PRODUCT(1 + 預測IC!$C15:BF15) - 1</f>
        <v>57.056235178390828</v>
      </c>
      <c r="BH6" s="9">
        <f t="array" ref="BH6">PRODUCT(1 + 預測IC!$C15:BG15) - 1</f>
        <v>57.54324832643416</v>
      </c>
      <c r="BI6" s="9">
        <f t="array" ref="BI6">PRODUCT(1 + 預測IC!$C15:BH15) - 1</f>
        <v>62.617766498550466</v>
      </c>
      <c r="BJ6" s="9">
        <f t="array" ref="BJ6">PRODUCT(1 + 預測IC!$C15:BI15) - 1</f>
        <v>56.672557037702674</v>
      </c>
      <c r="BK6" s="9">
        <f t="array" ref="BK6">PRODUCT(1 + 預測IC!$C15:BJ15) - 1</f>
        <v>54.689587501802144</v>
      </c>
      <c r="BL6" s="9">
        <f t="array" ref="BL6">PRODUCT(1 + 預測IC!$C15:BK15) - 1</f>
        <v>55.856408031344642</v>
      </c>
      <c r="BM6" s="9">
        <f t="array" ref="BM6">PRODUCT(1 + 預測IC!$C15:BL15) - 1</f>
        <v>56.851305361712384</v>
      </c>
      <c r="BN6" s="9">
        <f t="array" ref="BN6">PRODUCT(1 + 預測IC!$C15:BM15) - 1</f>
        <v>58.011785322256799</v>
      </c>
      <c r="BO6" s="9">
        <f t="array" ref="BO6">PRODUCT(1 + 預測IC!$C15:BN15) - 1</f>
        <v>59.11052543850473</v>
      </c>
      <c r="BP6" s="9">
        <f t="array" ref="BP6">PRODUCT(1 + 預測IC!$C15:BO15) - 1</f>
        <v>58.770272516389099</v>
      </c>
      <c r="BQ6" s="9">
        <f t="array" ref="BQ6">PRODUCT(1 + 預測IC!$C15:BP15) - 1</f>
        <v>61.22257263961373</v>
      </c>
      <c r="BR6" s="9">
        <f t="array" ref="BR6">PRODUCT(1 + 預測IC!$C15:BQ15) - 1</f>
        <v>61.951085160404638</v>
      </c>
      <c r="BS6" s="9">
        <f t="array" ref="BS6">PRODUCT(1 + 預測IC!$C15:BR15) - 1</f>
        <v>57.286730214164074</v>
      </c>
      <c r="BT6" s="9">
        <f t="array" ref="BT6">PRODUCT(1 + 預測IC!$C15:BS15) - 1</f>
        <v>57.433491589367392</v>
      </c>
      <c r="BU6" s="9">
        <f t="array" ref="BU6">PRODUCT(1 + 預測IC!$C15:BT15) - 1</f>
        <v>56.398326517819051</v>
      </c>
      <c r="BV6" s="9">
        <f t="array" ref="BV6">PRODUCT(1 + 預測IC!$C15:BU15) - 1</f>
        <v>57.311368393573538</v>
      </c>
      <c r="BW6" s="9">
        <f t="array" ref="BW6">PRODUCT(1 + 預測IC!$C15:BV15) - 1</f>
        <v>59.885372412036915</v>
      </c>
      <c r="BX6" s="9">
        <f t="array" ref="BX6">PRODUCT(1 + 預測IC!$C15:BW15) - 1</f>
        <v>58.416474599580376</v>
      </c>
      <c r="BY6" s="9">
        <f t="array" ref="BY6">PRODUCT(1 + 預測IC!$C15:BX15) - 1</f>
        <v>59.825121984960894</v>
      </c>
      <c r="BZ6" s="9">
        <f t="array" ref="BZ6">PRODUCT(1 + 預測IC!$C15:BY15) - 1</f>
        <v>61.598417367212541</v>
      </c>
      <c r="CA6" s="9">
        <f t="array" ref="CA6">PRODUCT(1 + 預測IC!$C15:BZ15) - 1</f>
        <v>60.290645954458441</v>
      </c>
      <c r="CB6" s="9">
        <f t="array" ref="CB6">PRODUCT(1 + 預測IC!$C15:CA15) - 1</f>
        <v>62.037046085102233</v>
      </c>
      <c r="CC6" s="9">
        <f t="array" ref="CC6">PRODUCT(1 + 預測IC!$C15:CB15) - 1</f>
        <v>63.613293438698676</v>
      </c>
      <c r="CD6" s="9">
        <f t="array" ref="CD6">PRODUCT(1 + 預測IC!$C15:CC15) - 1</f>
        <v>61.725770339928694</v>
      </c>
      <c r="CE6" s="9">
        <f t="array" ref="CE6">PRODUCT(1 + 預測IC!$C15:CD15) - 1</f>
        <v>59.91289348064322</v>
      </c>
      <c r="CF6" s="9">
        <f t="array" ref="CF6">PRODUCT(1 + 預測IC!$C15:CE15) - 1</f>
        <v>61.034066361328343</v>
      </c>
      <c r="CG6" s="9">
        <f t="array" ref="CG6">PRODUCT(1 + 預測IC!$C15:CF15) - 1</f>
        <v>61.328089316845542</v>
      </c>
      <c r="CH6" s="9">
        <f t="array" ref="CH6">PRODUCT(1 + 預測IC!$C15:CG15) - 1</f>
        <v>63.884808514035186</v>
      </c>
      <c r="CI6" s="9">
        <f t="array" ref="CI6">PRODUCT(1 + 預測IC!$C15:CH15) - 1</f>
        <v>64.996855760719413</v>
      </c>
      <c r="CJ6" s="9">
        <f t="array" ref="CJ6">PRODUCT(1 + 預測IC!$C15:CI15) - 1</f>
        <v>65.48567031965743</v>
      </c>
      <c r="CK6" s="9">
        <f t="array" ref="CK6">PRODUCT(1 + 預測IC!$C15:CJ15) - 1</f>
        <v>66.364104953773534</v>
      </c>
      <c r="CL6" s="9">
        <f t="array" ref="CL6">PRODUCT(1 + 預測IC!$C15:CK15) - 1</f>
        <v>67.269799661030333</v>
      </c>
      <c r="CM6" s="9">
        <f t="array" ref="CM6">PRODUCT(1 + 預測IC!$C15:CL15) - 1</f>
        <v>60.214684997200763</v>
      </c>
      <c r="CN6" s="9">
        <f t="array" ref="CN6">PRODUCT(1 + 預測IC!$C15:CM15) - 1</f>
        <v>58.243069717624813</v>
      </c>
      <c r="CO6" s="9">
        <f t="array" ref="CO6">PRODUCT(1 + 預測IC!$C15:CN15) - 1</f>
        <v>64.340393693236109</v>
      </c>
      <c r="CP6" s="9">
        <f t="array" ref="CP6">PRODUCT(1 + 預測IC!$C15:CO15) - 1</f>
        <v>63.597467786287041</v>
      </c>
      <c r="CQ6" s="9">
        <f t="array" ref="CQ6">PRODUCT(1 + 預測IC!$C15:CP15) - 1</f>
        <v>66.771026112190413</v>
      </c>
      <c r="CR6" s="9">
        <f t="array" ref="CR6">PRODUCT(1 + 預測IC!$C15:CQ15) - 1</f>
        <v>62.464674858484763</v>
      </c>
      <c r="CS6" s="9">
        <f t="array" ref="CS6">PRODUCT(1 + 預測IC!$C15:CR15) - 1</f>
        <v>59.084319725437958</v>
      </c>
      <c r="CT6" s="9">
        <f t="array" ref="CT6">PRODUCT(1 + 預測IC!$C15:CS15) - 1</f>
        <v>57.773249563018894</v>
      </c>
      <c r="CU6" s="9">
        <f t="array" ref="CU6">PRODUCT(1 + 預測IC!$C15:CT15) - 1</f>
        <v>58.47120976116657</v>
      </c>
      <c r="CV6" s="9">
        <f t="array" ref="CV6">PRODUCT(1 + 預測IC!$C15:CU15) - 1</f>
        <v>57.759096406390313</v>
      </c>
      <c r="CW6" s="9">
        <f t="array" ref="CW6">PRODUCT(1 + 預測IC!$C15:CV15) - 1</f>
        <v>55.939044547529036</v>
      </c>
      <c r="CX6" s="9">
        <f t="array" ref="CX6">PRODUCT(1 + 預測IC!$C15:CW15) - 1</f>
        <v>57.121956039979203</v>
      </c>
      <c r="CY6" s="9">
        <f t="array" ref="CY6">PRODUCT(1 + 預測IC!$C15:CX15) - 1</f>
        <v>57.323851709441477</v>
      </c>
      <c r="CZ6" s="9">
        <f t="array" ref="CZ6">PRODUCT(1 + 預測IC!$C15:CY15) - 1</f>
        <v>56.262059647857434</v>
      </c>
      <c r="DA6" s="9">
        <f t="array" ref="DA6">PRODUCT(1 + 預測IC!$C15:CZ15) - 1</f>
        <v>59.074930097945355</v>
      </c>
      <c r="DB6" s="9">
        <f t="array" ref="DB6">PRODUCT(1 + 預測IC!$C15:DA15) - 1</f>
        <v>59.955912795115978</v>
      </c>
      <c r="DC6" s="9">
        <f t="array" ref="DC6">PRODUCT(1 + 預測IC!$C15:DB15) - 1</f>
        <v>61.758342719381091</v>
      </c>
      <c r="DD6" s="9">
        <f t="array" ref="DD6">PRODUCT(1 + 預測IC!$C15:DC15) - 1</f>
        <v>61.980852177146865</v>
      </c>
      <c r="DE6" s="9">
        <f t="array" ref="DE6">PRODUCT(1 + 預測IC!$C15:DD15) - 1</f>
        <v>62.444186253545524</v>
      </c>
      <c r="DF6" s="9">
        <f t="array" ref="DF6">PRODUCT(1 + 預測IC!$C15:DE15) - 1</f>
        <v>60.750983479237867</v>
      </c>
      <c r="DG6" s="9">
        <f t="array" ref="DG6">PRODUCT(1 + 預測IC!$C15:DF15) - 1</f>
        <v>58.949780430390874</v>
      </c>
      <c r="DH6" s="9">
        <f t="array" ref="DH6">PRODUCT(1 + 預測IC!$C15:DG15) - 1</f>
        <v>54.957279159359352</v>
      </c>
      <c r="DI6" s="9">
        <f t="array" ref="DI6">PRODUCT(1 + 預測IC!$C15:DH15) - 1</f>
        <v>54.009319501187349</v>
      </c>
      <c r="DJ6" s="9">
        <f t="array" ref="DJ6">PRODUCT(1 + 預測IC!$C15:DI15) - 1</f>
        <v>56.19098822191831</v>
      </c>
      <c r="DK6" s="9">
        <f t="array" ref="DK6">PRODUCT(1 + 預測IC!$C15:DJ15) - 1</f>
        <v>58.399208567721672</v>
      </c>
      <c r="DL6" s="9">
        <f t="array" ref="DL6">PRODUCT(1 + 預測IC!$C15:DK15) - 1</f>
        <v>56.601053117779479</v>
      </c>
      <c r="DM6" s="9">
        <f t="array" ref="DM6">PRODUCT(1 + 預測IC!$C15:DL15) - 1</f>
        <v>54.121091358853093</v>
      </c>
      <c r="DN6" s="9">
        <f t="array" ref="DN6">PRODUCT(1 + 預測IC!$C15:DM15) - 1</f>
        <v>52.480075071223972</v>
      </c>
      <c r="DO6" s="9">
        <f t="array" ref="DO6">PRODUCT(1 + 預測IC!$C15:DN15) - 1</f>
        <v>52.398423790167321</v>
      </c>
      <c r="DP6" s="9">
        <f t="array" ref="DP6">PRODUCT(1 + 預測IC!$C15:DO15) - 1</f>
        <v>51.020986745299787</v>
      </c>
      <c r="DQ6" s="9">
        <f t="array" ref="DQ6">PRODUCT(1 + 預測IC!$C15:DP15) - 1</f>
        <v>50.623676556248292</v>
      </c>
      <c r="DR6" s="9">
        <f t="array" ref="DR6">PRODUCT(1 + 預測IC!$C15:DQ15) - 1</f>
        <v>50.647391442823462</v>
      </c>
      <c r="DS6" s="9">
        <f t="array" ref="DS6">PRODUCT(1 + 預測IC!$C15:DR15) - 1</f>
        <v>50.519943088236467</v>
      </c>
      <c r="DT6" s="9">
        <f t="array" ref="DT6">PRODUCT(1 + 預測IC!$C15:DS15) - 1</f>
        <v>51.509508981834067</v>
      </c>
      <c r="DU6" s="9">
        <f t="array" ref="DU6">PRODUCT(1 + 預測IC!$C15:DT15) - 1</f>
        <v>51.808311709712022</v>
      </c>
      <c r="DV6" s="9">
        <f t="array" ref="DV6">PRODUCT(1 + 預測IC!$C15:DU15) - 1</f>
        <v>51.392660495367167</v>
      </c>
      <c r="DW6" s="9">
        <f t="array" ref="DW6">PRODUCT(1 + 預測IC!$C15:DV15) - 1</f>
        <v>51.066288406236069</v>
      </c>
      <c r="DX6" s="9">
        <f t="array" ref="DX6">PRODUCT(1 + 預測IC!$C15:DW15) - 1</f>
        <v>51.287422613129166</v>
      </c>
      <c r="DY6" s="9">
        <f t="array" ref="DY6">PRODUCT(1 + 預測IC!$C15:DX15) - 1</f>
        <v>51.097525591578652</v>
      </c>
      <c r="DZ6" s="9">
        <f t="array" ref="DZ6">PRODUCT(1 + 預測IC!$C15:DY15) - 1</f>
        <v>49.360831989557752</v>
      </c>
      <c r="EA6" s="9">
        <f t="array" ref="EA6">PRODUCT(1 + 預測IC!$C15:DZ15) - 1</f>
        <v>47.876839757944573</v>
      </c>
      <c r="EB6" s="9">
        <f t="array" ref="EB6">PRODUCT(1 + 預測IC!$C15:EA15) - 1</f>
        <v>48.788546468134598</v>
      </c>
      <c r="EC6" s="9">
        <f t="array" ref="EC6">PRODUCT(1 + 預測IC!$C15:EB15) - 1</f>
        <v>49.056075446420031</v>
      </c>
      <c r="ED6" s="9">
        <f t="array" ref="ED6">PRODUCT(1 + 預測IC!$C15:EC15) - 1</f>
        <v>48.453409658707535</v>
      </c>
      <c r="EE6" s="9">
        <f t="array" ref="EE6">PRODUCT(1 + 預測IC!$C15:ED15) - 1</f>
        <v>49.425941908199029</v>
      </c>
      <c r="EF6" s="9">
        <f t="array" ref="EF6">PRODUCT(1 + 預測IC!$C15:EE15) - 1</f>
        <v>49.660332141914843</v>
      </c>
      <c r="EG6" s="9">
        <f t="array" ref="EG6">PRODUCT(1 + 預測IC!$C15:EF15) - 1</f>
        <v>49.638911437986842</v>
      </c>
    </row>
    <row r="7" spans="3:137" ht="16" customHeight="1">
      <c r="C7" s="6">
        <v>50</v>
      </c>
      <c r="D7" s="9">
        <v>0.56869310141554197</v>
      </c>
      <c r="E7" s="9">
        <f t="array" ref="E7">PRODUCT(1 + 預測IC!$C16:D16) - 1</f>
        <v>1.4833153247607833</v>
      </c>
      <c r="F7" s="9">
        <f t="array" ref="F7">PRODUCT(1 + 預測IC!$C16:E16) - 1</f>
        <v>2.7467267370508579</v>
      </c>
      <c r="G7" s="9">
        <f t="array" ref="G7">PRODUCT(1 + 預測IC!$C16:F16) - 1</f>
        <v>5.3739566370048477</v>
      </c>
      <c r="H7" s="9">
        <f t="array" ref="H7">PRODUCT(1 + 預測IC!$C16:G16) - 1</f>
        <v>8.9921013595512775</v>
      </c>
      <c r="I7" s="9">
        <f t="array" ref="I7">PRODUCT(1 + 預測IC!$C16:H16) - 1</f>
        <v>14.123398073341559</v>
      </c>
      <c r="J7" s="9">
        <f t="array" ref="J7">PRODUCT(1 + 預測IC!$C16:I16) - 1</f>
        <v>22.057099061963189</v>
      </c>
      <c r="K7" s="9">
        <f t="array" ref="K7">PRODUCT(1 + 預測IC!$C16:J16) - 1</f>
        <v>35.304009207235246</v>
      </c>
      <c r="L7" s="9">
        <f t="array" ref="L7">PRODUCT(1 + 預測IC!$C16:K16) - 1</f>
        <v>54.673398415912388</v>
      </c>
      <c r="M7" s="9">
        <f t="array" ref="M7">PRODUCT(1 + 預測IC!$C16:L16) - 1</f>
        <v>83.837342477306692</v>
      </c>
      <c r="N7" s="9">
        <f t="array" ref="N7">PRODUCT(1 + 預測IC!$C16:M16) - 1</f>
        <v>140.01823402060199</v>
      </c>
      <c r="O7" s="9">
        <f t="array" ref="O7">PRODUCT(1 + 預測IC!$C16:N16) - 1</f>
        <v>214.71370697600676</v>
      </c>
      <c r="P7" s="9">
        <f t="array" ref="P7">PRODUCT(1 + 預測IC!$C16:O16) - 1</f>
        <v>229.4853898144965</v>
      </c>
      <c r="Q7" s="9">
        <f t="array" ref="Q7">PRODUCT(1 + 預測IC!$C16:P16) - 1</f>
        <v>234.03662208827254</v>
      </c>
      <c r="R7" s="9">
        <f t="array" ref="R7">PRODUCT(1 + 預測IC!$C16:Q16) - 1</f>
        <v>239.85660728107078</v>
      </c>
      <c r="S7" s="9">
        <f t="array" ref="S7">PRODUCT(1 + 預測IC!$C16:R16) - 1</f>
        <v>232.84013040330004</v>
      </c>
      <c r="T7" s="9">
        <f t="array" ref="T7">PRODUCT(1 + 預測IC!$C16:S16) - 1</f>
        <v>212.92446934135771</v>
      </c>
      <c r="U7" s="9">
        <f t="array" ref="U7">PRODUCT(1 + 預測IC!$C16:T16) - 1</f>
        <v>215.77526998319894</v>
      </c>
      <c r="V7" s="9">
        <f t="array" ref="V7">PRODUCT(1 + 預測IC!$C16:U16) - 1</f>
        <v>221.72464328498643</v>
      </c>
      <c r="W7" s="9">
        <f t="array" ref="W7">PRODUCT(1 + 預測IC!$C16:V16) - 1</f>
        <v>217.03587572670276</v>
      </c>
      <c r="X7" s="9">
        <f t="array" ref="X7">PRODUCT(1 + 預測IC!$C16:W16) - 1</f>
        <v>213.98108006061597</v>
      </c>
      <c r="Y7" s="9">
        <f t="array" ref="Y7">PRODUCT(1 + 預測IC!$C16:X16) - 1</f>
        <v>212.51358331451337</v>
      </c>
      <c r="Z7" s="9">
        <f t="array" ref="Z7">PRODUCT(1 + 預測IC!$C16:Y16) - 1</f>
        <v>208.76568123982875</v>
      </c>
      <c r="AA7" s="9">
        <f t="array" ref="AA7">PRODUCT(1 + 預測IC!$C16:Z16) - 1</f>
        <v>225.0235634175379</v>
      </c>
      <c r="AB7" s="9">
        <f t="array" ref="AB7">PRODUCT(1 + 預測IC!$C16:AA16) - 1</f>
        <v>203.95681346408369</v>
      </c>
      <c r="AC7" s="9">
        <f t="array" ref="AC7">PRODUCT(1 + 預測IC!$C16:AB16) - 1</f>
        <v>197.49226061822972</v>
      </c>
      <c r="AD7" s="9">
        <f t="array" ref="AD7">PRODUCT(1 + 預測IC!$C16:AC16) - 1</f>
        <v>200.25578760416485</v>
      </c>
      <c r="AE7" s="9">
        <f t="array" ref="AE7">PRODUCT(1 + 預測IC!$C16:AD16) - 1</f>
        <v>204.12353934317579</v>
      </c>
      <c r="AF7" s="9">
        <f t="array" ref="AF7">PRODUCT(1 + 預測IC!$C16:AE16) - 1</f>
        <v>194.73576416201635</v>
      </c>
      <c r="AG7" s="9">
        <f t="array" ref="AG7">PRODUCT(1 + 預測IC!$C16:AF16) - 1</f>
        <v>215.74876855468563</v>
      </c>
      <c r="AH7" s="9">
        <f t="array" ref="AH7">PRODUCT(1 + 預測IC!$C16:AG16) - 1</f>
        <v>214.84798844561533</v>
      </c>
      <c r="AI7" s="9">
        <f t="array" ref="AI7">PRODUCT(1 + 預測IC!$C16:AH16) - 1</f>
        <v>214.64397120566099</v>
      </c>
      <c r="AJ7" s="9">
        <f t="array" ref="AJ7">PRODUCT(1 + 預測IC!$C16:AI16) - 1</f>
        <v>200.4386575595083</v>
      </c>
      <c r="AK7" s="9">
        <f t="array" ref="AK7">PRODUCT(1 + 預測IC!$C16:AJ16) - 1</f>
        <v>203.41383024563771</v>
      </c>
      <c r="AL7" s="9">
        <f t="array" ref="AL7">PRODUCT(1 + 預測IC!$C16:AK16) - 1</f>
        <v>193.51191109952097</v>
      </c>
      <c r="AM7" s="9">
        <f t="array" ref="AM7">PRODUCT(1 + 預測IC!$C16:AL16) - 1</f>
        <v>189.05511539505289</v>
      </c>
      <c r="AN7" s="9">
        <f t="array" ref="AN7">PRODUCT(1 + 預測IC!$C16:AM16) - 1</f>
        <v>198.05432612923659</v>
      </c>
      <c r="AO7" s="9">
        <f t="array" ref="AO7">PRODUCT(1 + 預測IC!$C16:AN16) - 1</f>
        <v>197.52778447458934</v>
      </c>
      <c r="AP7" s="9">
        <f t="array" ref="AP7">PRODUCT(1 + 預測IC!$C16:AO16) - 1</f>
        <v>190.48938641668354</v>
      </c>
      <c r="AQ7" s="9">
        <f t="array" ref="AQ7">PRODUCT(1 + 預測IC!$C16:AP16) - 1</f>
        <v>184.525783448433</v>
      </c>
      <c r="AR7" s="9">
        <f t="array" ref="AR7">PRODUCT(1 + 預測IC!$C16:AQ16) - 1</f>
        <v>197.05967486739709</v>
      </c>
      <c r="AS7" s="9">
        <f t="array" ref="AS7">PRODUCT(1 + 預測IC!$C16:AR16) - 1</f>
        <v>204.76929242788327</v>
      </c>
      <c r="AT7" s="9">
        <f t="array" ref="AT7">PRODUCT(1 + 預測IC!$C16:AS16) - 1</f>
        <v>194.53527416506984</v>
      </c>
      <c r="AU7" s="9">
        <f t="array" ref="AU7">PRODUCT(1 + 預測IC!$C16:AT16) - 1</f>
        <v>193.85463248001273</v>
      </c>
      <c r="AV7" s="9">
        <f t="array" ref="AV7">PRODUCT(1 + 預測IC!$C16:AU16) - 1</f>
        <v>205.36765916753845</v>
      </c>
      <c r="AW7" s="9">
        <f t="array" ref="AW7">PRODUCT(1 + 預測IC!$C16:AV16) - 1</f>
        <v>207.46958979610577</v>
      </c>
      <c r="AX7" s="9">
        <f t="array" ref="AX7">PRODUCT(1 + 預測IC!$C16:AW16) - 1</f>
        <v>200.76142904015799</v>
      </c>
      <c r="AY7" s="9">
        <f t="array" ref="AY7">PRODUCT(1 + 預測IC!$C16:AX16) - 1</f>
        <v>210.61238475250732</v>
      </c>
      <c r="AZ7" s="9">
        <f t="array" ref="AZ7">PRODUCT(1 + 預測IC!$C16:AY16) - 1</f>
        <v>214.58862125443321</v>
      </c>
      <c r="BA7" s="9">
        <f t="array" ref="BA7">PRODUCT(1 + 預測IC!$C16:AZ16) - 1</f>
        <v>208.99224219421686</v>
      </c>
      <c r="BB7" s="9">
        <f t="array" ref="BB7">PRODUCT(1 + 預測IC!$C16:BA16) - 1</f>
        <v>211.84299725017044</v>
      </c>
      <c r="BC7" s="9">
        <f t="array" ref="BC7">PRODUCT(1 + 預測IC!$C16:BB16) - 1</f>
        <v>203.79389708461878</v>
      </c>
      <c r="BD7" s="9">
        <f t="array" ref="BD7">PRODUCT(1 + 預測IC!$C16:BC16) - 1</f>
        <v>192.04380149076277</v>
      </c>
      <c r="BE7" s="9">
        <f t="array" ref="BE7">PRODUCT(1 + 預測IC!$C16:BD16) - 1</f>
        <v>187.74686739114685</v>
      </c>
      <c r="BF7" s="9">
        <f t="array" ref="BF7">PRODUCT(1 + 預測IC!$C16:BE16) - 1</f>
        <v>186.68553111584978</v>
      </c>
      <c r="BG7" s="9">
        <f t="array" ref="BG7">PRODUCT(1 + 預測IC!$C16:BF16) - 1</f>
        <v>185.6503648542546</v>
      </c>
      <c r="BH7" s="9">
        <f t="array" ref="BH7">PRODUCT(1 + 預測IC!$C16:BG16) - 1</f>
        <v>183.549715255591</v>
      </c>
      <c r="BI7" s="9">
        <f t="array" ref="BI7">PRODUCT(1 + 預測IC!$C16:BH16) - 1</f>
        <v>200.80324948135501</v>
      </c>
      <c r="BJ7" s="9">
        <f t="array" ref="BJ7">PRODUCT(1 + 預測IC!$C16:BI16) - 1</f>
        <v>193.89898245274705</v>
      </c>
      <c r="BK7" s="9">
        <f t="array" ref="BK7">PRODUCT(1 + 預測IC!$C16:BJ16) - 1</f>
        <v>196.11357080975009</v>
      </c>
      <c r="BL7" s="9">
        <f t="array" ref="BL7">PRODUCT(1 + 預測IC!$C16:BK16) - 1</f>
        <v>202.96093542617203</v>
      </c>
      <c r="BM7" s="9">
        <f t="array" ref="BM7">PRODUCT(1 + 預測IC!$C16:BL16) - 1</f>
        <v>210.92861705680789</v>
      </c>
      <c r="BN7" s="9">
        <f t="array" ref="BN7">PRODUCT(1 + 預測IC!$C16:BM16) - 1</f>
        <v>221.5784318095981</v>
      </c>
      <c r="BO7" s="9">
        <f t="array" ref="BO7">PRODUCT(1 + 預測IC!$C16:BN16) - 1</f>
        <v>226.50429655024288</v>
      </c>
      <c r="BP7" s="9">
        <f t="array" ref="BP7">PRODUCT(1 + 預測IC!$C16:BO16) - 1</f>
        <v>220.26495724982465</v>
      </c>
      <c r="BQ7" s="9">
        <f t="array" ref="BQ7">PRODUCT(1 + 預測IC!$C16:BP16) - 1</f>
        <v>242.04140265763198</v>
      </c>
      <c r="BR7" s="9">
        <f t="array" ref="BR7">PRODUCT(1 + 預測IC!$C16:BQ16) - 1</f>
        <v>245.34152189090329</v>
      </c>
      <c r="BS7" s="9">
        <f t="array" ref="BS7">PRODUCT(1 + 預測IC!$C16:BR16) - 1</f>
        <v>217.61589568963223</v>
      </c>
      <c r="BT7" s="9">
        <f t="array" ref="BT7">PRODUCT(1 + 預測IC!$C16:BS16) - 1</f>
        <v>217.85427433604255</v>
      </c>
      <c r="BU7" s="9">
        <f t="array" ref="BU7">PRODUCT(1 + 預測IC!$C16:BT16) - 1</f>
        <v>231.2768150911206</v>
      </c>
      <c r="BV7" s="9">
        <f t="array" ref="BV7">PRODUCT(1 + 預測IC!$C16:BU16) - 1</f>
        <v>232.05898125000397</v>
      </c>
      <c r="BW7" s="9">
        <f t="array" ref="BW7">PRODUCT(1 + 預測IC!$C16:BV16) - 1</f>
        <v>248.91715672159313</v>
      </c>
      <c r="BX7" s="9">
        <f t="array" ref="BX7">PRODUCT(1 + 預測IC!$C16:BW16) - 1</f>
        <v>236.30196599234662</v>
      </c>
      <c r="BY7" s="9">
        <f t="array" ref="BY7">PRODUCT(1 + 預測IC!$C16:BX16) - 1</f>
        <v>235.69874718829806</v>
      </c>
      <c r="BZ7" s="9">
        <f t="array" ref="BZ7">PRODUCT(1 + 預測IC!$C16:BY16) - 1</f>
        <v>233.88632912593411</v>
      </c>
      <c r="CA7" s="9">
        <f t="array" ref="CA7">PRODUCT(1 + 預測IC!$C16:BZ16) - 1</f>
        <v>235.48730562203701</v>
      </c>
      <c r="CB7" s="9">
        <f t="array" ref="CB7">PRODUCT(1 + 預測IC!$C16:CA16) - 1</f>
        <v>240.61025250175143</v>
      </c>
      <c r="CC7" s="9">
        <f t="array" ref="CC7">PRODUCT(1 + 預測IC!$C16:CB16) - 1</f>
        <v>250.14246135160255</v>
      </c>
      <c r="CD7" s="9">
        <f t="array" ref="CD7">PRODUCT(1 + 預測IC!$C16:CC16) - 1</f>
        <v>252.4192891803167</v>
      </c>
      <c r="CE7" s="9">
        <f t="array" ref="CE7">PRODUCT(1 + 預測IC!$C16:CD16) - 1</f>
        <v>260.37203694449613</v>
      </c>
      <c r="CF7" s="9">
        <f t="array" ref="CF7">PRODUCT(1 + 預測IC!$C16:CE16) - 1</f>
        <v>271.04600722589845</v>
      </c>
      <c r="CG7" s="9">
        <f t="array" ref="CG7">PRODUCT(1 + 預測IC!$C16:CF16) - 1</f>
        <v>278.99041925845199</v>
      </c>
      <c r="CH7" s="9">
        <f t="array" ref="CH7">PRODUCT(1 + 預測IC!$C16:CG16) - 1</f>
        <v>279.19647384792046</v>
      </c>
      <c r="CI7" s="9">
        <f t="array" ref="CI7">PRODUCT(1 + 預測IC!$C16:CH16) - 1</f>
        <v>278.42568497966823</v>
      </c>
      <c r="CJ7" s="9">
        <f t="array" ref="CJ7">PRODUCT(1 + 預測IC!$C16:CI16) - 1</f>
        <v>289.49674608213581</v>
      </c>
      <c r="CK7" s="9">
        <f t="array" ref="CK7">PRODUCT(1 + 預測IC!$C16:CJ16) - 1</f>
        <v>296.89662168349849</v>
      </c>
      <c r="CL7" s="9">
        <f t="array" ref="CL7">PRODUCT(1 + 預測IC!$C16:CK16) - 1</f>
        <v>295.61409775361898</v>
      </c>
      <c r="CM7" s="9">
        <f t="array" ref="CM7">PRODUCT(1 + 預測IC!$C16:CL16) - 1</f>
        <v>267.66425338313849</v>
      </c>
      <c r="CN7" s="9">
        <f t="array" ref="CN7">PRODUCT(1 + 預測IC!$C16:CM16) - 1</f>
        <v>255.38096485579405</v>
      </c>
      <c r="CO7" s="9">
        <f t="array" ref="CO7">PRODUCT(1 + 預測IC!$C16:CN16) - 1</f>
        <v>276.92204088853663</v>
      </c>
      <c r="CP7" s="9">
        <f t="array" ref="CP7">PRODUCT(1 + 預測IC!$C16:CO16) - 1</f>
        <v>274.39859217039515</v>
      </c>
      <c r="CQ7" s="9">
        <f t="array" ref="CQ7">PRODUCT(1 + 預測IC!$C16:CP16) - 1</f>
        <v>293.69190787871111</v>
      </c>
      <c r="CR7" s="9">
        <f t="array" ref="CR7">PRODUCT(1 + 預測IC!$C16:CQ16) - 1</f>
        <v>269.54787085191771</v>
      </c>
      <c r="CS7" s="9">
        <f t="array" ref="CS7">PRODUCT(1 + 預測IC!$C16:CR16) - 1</f>
        <v>233.54939719723325</v>
      </c>
      <c r="CT7" s="9">
        <f t="array" ref="CT7">PRODUCT(1 + 預測IC!$C16:CS16) - 1</f>
        <v>222.23431378834758</v>
      </c>
      <c r="CU7" s="9">
        <f t="array" ref="CU7">PRODUCT(1 + 預測IC!$C16:CT16) - 1</f>
        <v>228.90887173811626</v>
      </c>
      <c r="CV7" s="9">
        <f t="array" ref="CV7">PRODUCT(1 + 預測IC!$C16:CU16) - 1</f>
        <v>204.54215519322457</v>
      </c>
      <c r="CW7" s="9">
        <f t="array" ref="CW7">PRODUCT(1 + 預測IC!$C16:CV16) - 1</f>
        <v>200.63034100568871</v>
      </c>
      <c r="CX7" s="9">
        <f t="array" ref="CX7">PRODUCT(1 + 預測IC!$C16:CW16) - 1</f>
        <v>208.55159105366349</v>
      </c>
      <c r="CY7" s="9">
        <f t="array" ref="CY7">PRODUCT(1 + 預測IC!$C16:CX16) - 1</f>
        <v>217.95427922237377</v>
      </c>
      <c r="CZ7" s="9">
        <f t="array" ref="CZ7">PRODUCT(1 + 預測IC!$C16:CY16) - 1</f>
        <v>212.1641339116274</v>
      </c>
      <c r="DA7" s="9">
        <f t="array" ref="DA7">PRODUCT(1 + 預測IC!$C16:CZ16) - 1</f>
        <v>219.29298869064522</v>
      </c>
      <c r="DB7" s="9">
        <f t="array" ref="DB7">PRODUCT(1 + 預測IC!$C16:DA16) - 1</f>
        <v>229.08656632466105</v>
      </c>
      <c r="DC7" s="9">
        <f t="array" ref="DC7">PRODUCT(1 + 預測IC!$C16:DB16) - 1</f>
        <v>259.79677222420588</v>
      </c>
      <c r="DD7" s="9">
        <f t="array" ref="DD7">PRODUCT(1 + 預測IC!$C16:DC16) - 1</f>
        <v>232.09791653738117</v>
      </c>
      <c r="DE7" s="9">
        <f t="array" ref="DE7">PRODUCT(1 + 預測IC!$C16:DD16) - 1</f>
        <v>231.52536760305819</v>
      </c>
      <c r="DF7" s="9">
        <f t="array" ref="DF7">PRODUCT(1 + 預測IC!$C16:DE16) - 1</f>
        <v>235.21501259916678</v>
      </c>
      <c r="DG7" s="9">
        <f t="array" ref="DG7">PRODUCT(1 + 預測IC!$C16:DF16) - 1</f>
        <v>224.3578466618379</v>
      </c>
      <c r="DH7" s="9">
        <f t="array" ref="DH7">PRODUCT(1 + 預測IC!$C16:DG16) - 1</f>
        <v>209.33803971935086</v>
      </c>
      <c r="DI7" s="9">
        <f t="array" ref="DI7">PRODUCT(1 + 預測IC!$C16:DH16) - 1</f>
        <v>209.54977540759839</v>
      </c>
      <c r="DJ7" s="9">
        <f t="array" ref="DJ7">PRODUCT(1 + 預測IC!$C16:DI16) - 1</f>
        <v>213.26334869393838</v>
      </c>
      <c r="DK7" s="9">
        <f t="array" ref="DK7">PRODUCT(1 + 預測IC!$C16:DJ16) - 1</f>
        <v>237.14912795970096</v>
      </c>
      <c r="DL7" s="9">
        <f t="array" ref="DL7">PRODUCT(1 + 預測IC!$C16:DK16) - 1</f>
        <v>223.18326847365589</v>
      </c>
      <c r="DM7" s="9">
        <f t="array" ref="DM7">PRODUCT(1 + 預測IC!$C16:DL16) - 1</f>
        <v>211.00812797015107</v>
      </c>
      <c r="DN7" s="9">
        <f t="array" ref="DN7">PRODUCT(1 + 預測IC!$C16:DM16) - 1</f>
        <v>188.58405814631058</v>
      </c>
      <c r="DO7" s="9">
        <f t="array" ref="DO7">PRODUCT(1 + 預測IC!$C16:DN16) - 1</f>
        <v>191.79659514803427</v>
      </c>
      <c r="DP7" s="9">
        <f t="array" ref="DP7">PRODUCT(1 + 預測IC!$C16:DO16) - 1</f>
        <v>181.61777486080797</v>
      </c>
      <c r="DQ7" s="9">
        <f t="array" ref="DQ7">PRODUCT(1 + 預測IC!$C16:DP16) - 1</f>
        <v>180.39889757144675</v>
      </c>
      <c r="DR7" s="9">
        <f t="array" ref="DR7">PRODUCT(1 + 預測IC!$C16:DQ16) - 1</f>
        <v>176.39161375929055</v>
      </c>
      <c r="DS7" s="9">
        <f t="array" ref="DS7">PRODUCT(1 + 預測IC!$C16:DR16) - 1</f>
        <v>178.2051962903837</v>
      </c>
      <c r="DT7" s="9">
        <f t="array" ref="DT7">PRODUCT(1 + 預測IC!$C16:DS16) - 1</f>
        <v>185.19468111569756</v>
      </c>
      <c r="DU7" s="9">
        <f t="array" ref="DU7">PRODUCT(1 + 預測IC!$C16:DT16) - 1</f>
        <v>190.04462544910419</v>
      </c>
      <c r="DV7" s="9">
        <f t="array" ref="DV7">PRODUCT(1 + 預測IC!$C16:DU16) - 1</f>
        <v>191.68368526523497</v>
      </c>
      <c r="DW7" s="9">
        <f t="array" ref="DW7">PRODUCT(1 + 預測IC!$C16:DV16) - 1</f>
        <v>185.52534076640535</v>
      </c>
      <c r="DX7" s="9">
        <f t="array" ref="DX7">PRODUCT(1 + 預測IC!$C16:DW16) - 1</f>
        <v>189.28579240809955</v>
      </c>
      <c r="DY7" s="9">
        <f t="array" ref="DY7">PRODUCT(1 + 預測IC!$C16:DX16) - 1</f>
        <v>178.64123726297194</v>
      </c>
      <c r="DZ7" s="9">
        <f t="array" ref="DZ7">PRODUCT(1 + 預測IC!$C16:DY16) - 1</f>
        <v>170.59976942482589</v>
      </c>
      <c r="EA7" s="9">
        <f t="array" ref="EA7">PRODUCT(1 + 預測IC!$C16:DZ16) - 1</f>
        <v>166.52762101857527</v>
      </c>
      <c r="EB7" s="9">
        <f t="array" ref="EB7">PRODUCT(1 + 預測IC!$C16:EA16) - 1</f>
        <v>171.52743407810465</v>
      </c>
      <c r="EC7" s="9">
        <f t="array" ref="EC7">PRODUCT(1 + 預測IC!$C16:EB16) - 1</f>
        <v>167.71101680144815</v>
      </c>
      <c r="ED7" s="9">
        <f t="array" ref="ED7">PRODUCT(1 + 預測IC!$C16:EC16) - 1</f>
        <v>166.20961744705542</v>
      </c>
      <c r="EE7" s="9">
        <f t="array" ref="EE7">PRODUCT(1 + 預測IC!$C16:ED16) - 1</f>
        <v>167.37109621733595</v>
      </c>
      <c r="EF7" s="9">
        <f t="array" ref="EF7">PRODUCT(1 + 預測IC!$C16:EE16) - 1</f>
        <v>164.54503363793762</v>
      </c>
      <c r="EG7" s="9">
        <f t="array" ref="EG7">PRODUCT(1 + 預測IC!$C16:EF16) - 1</f>
        <v>167.70780571997011</v>
      </c>
    </row>
    <row r="8" spans="3:137" ht="16" customHeight="1">
      <c r="C8" s="6">
        <v>100</v>
      </c>
      <c r="D8" s="9">
        <v>0.70578592605259094</v>
      </c>
      <c r="E8" s="9">
        <f t="array" ref="E8">PRODUCT(1 + 預測IC!$C17:D17) - 1</f>
        <v>1.9306433022499072</v>
      </c>
      <c r="F8" s="9">
        <f t="array" ref="F8">PRODUCT(1 + 預測IC!$C17:E17) - 1</f>
        <v>3.6591218833806662</v>
      </c>
      <c r="G8" s="9">
        <f t="array" ref="G8">PRODUCT(1 + 預測IC!$C17:F17) - 1</f>
        <v>7.9341868475675028</v>
      </c>
      <c r="H8" s="9">
        <f t="array" ref="H8">PRODUCT(1 + 預測IC!$C17:G17) - 1</f>
        <v>14.052263887222734</v>
      </c>
      <c r="I8" s="9">
        <f t="array" ref="I8">PRODUCT(1 + 預測IC!$C17:H17) - 1</f>
        <v>22.957552752258163</v>
      </c>
      <c r="J8" s="9">
        <f t="array" ref="J8">PRODUCT(1 + 預測IC!$C17:I17) - 1</f>
        <v>36.454001802129689</v>
      </c>
      <c r="K8" s="9">
        <f t="array" ref="K8">PRODUCT(1 + 預測IC!$C17:J17) - 1</f>
        <v>62.738177635759008</v>
      </c>
      <c r="L8" s="9">
        <f t="array" ref="L8">PRODUCT(1 + 預測IC!$C17:K17) - 1</f>
        <v>106.99999975647333</v>
      </c>
      <c r="M8" s="9">
        <f t="array" ref="M8">PRODUCT(1 + 預測IC!$C17:L17) - 1</f>
        <v>176.28412122545492</v>
      </c>
      <c r="N8" s="9">
        <f t="array" ref="N8">PRODUCT(1 + 預測IC!$C17:M17) - 1</f>
        <v>336.85647015767</v>
      </c>
      <c r="O8" s="9">
        <f t="array" ref="O8">PRODUCT(1 + 預測IC!$C17:N17) - 1</f>
        <v>570.15654271453616</v>
      </c>
      <c r="P8" s="9">
        <f t="array" ref="P8">PRODUCT(1 + 預測IC!$C17:O17) - 1</f>
        <v>632.72374239991984</v>
      </c>
      <c r="Q8" s="9">
        <f t="array" ref="Q8">PRODUCT(1 + 預測IC!$C17:P17) - 1</f>
        <v>641.89253667724756</v>
      </c>
      <c r="R8" s="9">
        <f t="array" ref="R8">PRODUCT(1 + 預測IC!$C17:Q17) - 1</f>
        <v>597.06024985953798</v>
      </c>
      <c r="S8" s="9">
        <f t="array" ref="S8">PRODUCT(1 + 預測IC!$C17:R17) - 1</f>
        <v>572.56605016485287</v>
      </c>
      <c r="T8" s="9">
        <f t="array" ref="T8">PRODUCT(1 + 預測IC!$C17:S17) - 1</f>
        <v>530.53165284268732</v>
      </c>
      <c r="U8" s="9">
        <f t="array" ref="U8">PRODUCT(1 + 預測IC!$C17:T17) - 1</f>
        <v>508.96168999841865</v>
      </c>
      <c r="V8" s="9">
        <f t="array" ref="V8">PRODUCT(1 + 預測IC!$C17:U17) - 1</f>
        <v>533.0092275511962</v>
      </c>
      <c r="W8" s="9">
        <f t="array" ref="W8">PRODUCT(1 + 預測IC!$C17:V17) - 1</f>
        <v>532.53530972262672</v>
      </c>
      <c r="X8" s="9">
        <f t="array" ref="X8">PRODUCT(1 + 預測IC!$C17:W17) - 1</f>
        <v>514.82288870993352</v>
      </c>
      <c r="Y8" s="9">
        <f t="array" ref="Y8">PRODUCT(1 + 預測IC!$C17:X17) - 1</f>
        <v>525.69755754532116</v>
      </c>
      <c r="Z8" s="9">
        <f t="array" ref="Z8">PRODUCT(1 + 預測IC!$C17:Y17) - 1</f>
        <v>519.01804926283864</v>
      </c>
      <c r="AA8" s="9">
        <f t="array" ref="AA8">PRODUCT(1 + 預測IC!$C17:Z17) - 1</f>
        <v>556.9492118306473</v>
      </c>
      <c r="AB8" s="9">
        <f t="array" ref="AB8">PRODUCT(1 + 預測IC!$C17:AA17) - 1</f>
        <v>465.787051189723</v>
      </c>
      <c r="AC8" s="9">
        <f t="array" ref="AC8">PRODUCT(1 + 預測IC!$C17:AB17) - 1</f>
        <v>454.01628202300327</v>
      </c>
      <c r="AD8" s="9">
        <f t="array" ref="AD8">PRODUCT(1 + 預測IC!$C17:AC17) - 1</f>
        <v>464.98159639692807</v>
      </c>
      <c r="AE8" s="9">
        <f t="array" ref="AE8">PRODUCT(1 + 預測IC!$C17:AD17) - 1</f>
        <v>482.59821941852954</v>
      </c>
      <c r="AF8" s="9">
        <f t="array" ref="AF8">PRODUCT(1 + 預測IC!$C17:AE17) - 1</f>
        <v>467.55120931546992</v>
      </c>
      <c r="AG8" s="9">
        <f t="array" ref="AG8">PRODUCT(1 + 預測IC!$C17:AF17) - 1</f>
        <v>548.74990987755075</v>
      </c>
      <c r="AH8" s="9">
        <f t="array" ref="AH8">PRODUCT(1 + 預測IC!$C17:AG17) - 1</f>
        <v>538.76510620395959</v>
      </c>
      <c r="AI8" s="9">
        <f t="array" ref="AI8">PRODUCT(1 + 預測IC!$C17:AH17) - 1</f>
        <v>528.22435010139054</v>
      </c>
      <c r="AJ8" s="9">
        <f t="array" ref="AJ8">PRODUCT(1 + 預測IC!$C17:AI17) - 1</f>
        <v>502.85988546514022</v>
      </c>
      <c r="AK8" s="9">
        <f t="array" ref="AK8">PRODUCT(1 + 預測IC!$C17:AJ17) - 1</f>
        <v>487.74376724553639</v>
      </c>
      <c r="AL8" s="9">
        <f t="array" ref="AL8">PRODUCT(1 + 預測IC!$C17:AK17) - 1</f>
        <v>445.88108264168903</v>
      </c>
      <c r="AM8" s="9">
        <f t="array" ref="AM8">PRODUCT(1 + 預測IC!$C17:AL17) - 1</f>
        <v>418.52165313623954</v>
      </c>
      <c r="AN8" s="9">
        <f t="array" ref="AN8">PRODUCT(1 + 預測IC!$C17:AM17) - 1</f>
        <v>485.06228601205464</v>
      </c>
      <c r="AO8" s="9">
        <f t="array" ref="AO8">PRODUCT(1 + 預測IC!$C17:AN17) - 1</f>
        <v>498.5154632547999</v>
      </c>
      <c r="AP8" s="9">
        <f t="array" ref="AP8">PRODUCT(1 + 預測IC!$C17:AO17) - 1</f>
        <v>488.1060093045453</v>
      </c>
      <c r="AQ8" s="9">
        <f t="array" ref="AQ8">PRODUCT(1 + 預測IC!$C17:AP17) - 1</f>
        <v>450.35906523719007</v>
      </c>
      <c r="AR8" s="9">
        <f t="array" ref="AR8">PRODUCT(1 + 預測IC!$C17:AQ17) - 1</f>
        <v>503.02511483129985</v>
      </c>
      <c r="AS8" s="9">
        <f t="array" ref="AS8">PRODUCT(1 + 預測IC!$C17:AR17) - 1</f>
        <v>518.02156234213396</v>
      </c>
      <c r="AT8" s="9">
        <f t="array" ref="AT8">PRODUCT(1 + 預測IC!$C17:AS17) - 1</f>
        <v>493.36483663652365</v>
      </c>
      <c r="AU8" s="9">
        <f t="array" ref="AU8">PRODUCT(1 + 預測IC!$C17:AT17) - 1</f>
        <v>487.46762256219108</v>
      </c>
      <c r="AV8" s="9">
        <f t="array" ref="AV8">PRODUCT(1 + 預測IC!$C17:AU17) - 1</f>
        <v>481.4555253939443</v>
      </c>
      <c r="AW8" s="9">
        <f t="array" ref="AW8">PRODUCT(1 + 預測IC!$C17:AV17) - 1</f>
        <v>496.39524331412434</v>
      </c>
      <c r="AX8" s="9">
        <f t="array" ref="AX8">PRODUCT(1 + 預測IC!$C17:AW17) - 1</f>
        <v>455.99954272286868</v>
      </c>
      <c r="AY8" s="9">
        <f t="array" ref="AY8">PRODUCT(1 + 預測IC!$C17:AX17) - 1</f>
        <v>460.60347587078269</v>
      </c>
      <c r="AZ8" s="9">
        <f t="array" ref="AZ8">PRODUCT(1 + 預測IC!$C17:AY17) - 1</f>
        <v>481.86490721161539</v>
      </c>
      <c r="BA8" s="9">
        <f t="array" ref="BA8">PRODUCT(1 + 預測IC!$C17:AZ17) - 1</f>
        <v>484.87198690957683</v>
      </c>
      <c r="BB8" s="9">
        <f t="array" ref="BB8">PRODUCT(1 + 預測IC!$C17:BA17) - 1</f>
        <v>513.52334994463752</v>
      </c>
      <c r="BC8" s="9">
        <f t="array" ref="BC8">PRODUCT(1 + 預測IC!$C17:BB17) - 1</f>
        <v>483.09902489697583</v>
      </c>
      <c r="BD8" s="9">
        <f t="array" ref="BD8">PRODUCT(1 + 預測IC!$C17:BC17) - 1</f>
        <v>474.60572287012548</v>
      </c>
      <c r="BE8" s="9">
        <f t="array" ref="BE8">PRODUCT(1 + 預測IC!$C17:BD17) - 1</f>
        <v>438.08171173820779</v>
      </c>
      <c r="BF8" s="9">
        <f t="array" ref="BF8">PRODUCT(1 + 預測IC!$C17:BE17) - 1</f>
        <v>426.37874842517931</v>
      </c>
      <c r="BG8" s="9">
        <f t="array" ref="BG8">PRODUCT(1 + 預測IC!$C17:BF17) - 1</f>
        <v>442.45110677088627</v>
      </c>
      <c r="BH8" s="9">
        <f t="array" ref="BH8">PRODUCT(1 + 預測IC!$C17:BG17) - 1</f>
        <v>463.13597199124575</v>
      </c>
      <c r="BI8" s="9">
        <f t="array" ref="BI8">PRODUCT(1 + 預測IC!$C17:BH17) - 1</f>
        <v>538.82776119597645</v>
      </c>
      <c r="BJ8" s="9">
        <f t="array" ref="BJ8">PRODUCT(1 + 預測IC!$C17:BI17) - 1</f>
        <v>516.67453719605442</v>
      </c>
      <c r="BK8" s="9">
        <f t="array" ref="BK8">PRODUCT(1 + 預測IC!$C17:BJ17) - 1</f>
        <v>545.21873912348588</v>
      </c>
      <c r="BL8" s="9">
        <f t="array" ref="BL8">PRODUCT(1 + 預測IC!$C17:BK17) - 1</f>
        <v>567.52068923148556</v>
      </c>
      <c r="BM8" s="9">
        <f t="array" ref="BM8">PRODUCT(1 + 預測IC!$C17:BL17) - 1</f>
        <v>615.4373789614823</v>
      </c>
      <c r="BN8" s="9">
        <f t="array" ref="BN8">PRODUCT(1 + 預測IC!$C17:BM17) - 1</f>
        <v>631.01179929969771</v>
      </c>
      <c r="BO8" s="9">
        <f t="array" ref="BO8">PRODUCT(1 + 預測IC!$C17:BN17) - 1</f>
        <v>639.46847375814889</v>
      </c>
      <c r="BP8" s="9">
        <f t="array" ref="BP8">PRODUCT(1 + 預測IC!$C17:BO17) - 1</f>
        <v>629.95245561970466</v>
      </c>
      <c r="BQ8" s="9">
        <f t="array" ref="BQ8">PRODUCT(1 + 預測IC!$C17:BP17) - 1</f>
        <v>679.95801187996096</v>
      </c>
      <c r="BR8" s="9">
        <f t="array" ref="BR8">PRODUCT(1 + 預測IC!$C17:BQ17) - 1</f>
        <v>682.73099207806854</v>
      </c>
      <c r="BS8" s="9">
        <f t="array" ref="BS8">PRODUCT(1 + 預測IC!$C17:BR17) - 1</f>
        <v>607.74737676369989</v>
      </c>
      <c r="BT8" s="9">
        <f t="array" ref="BT8">PRODUCT(1 + 預測IC!$C17:BS17) - 1</f>
        <v>603.94268415448573</v>
      </c>
      <c r="BU8" s="9">
        <f t="array" ref="BU8">PRODUCT(1 + 預測IC!$C17:BT17) - 1</f>
        <v>636.87633428851541</v>
      </c>
      <c r="BV8" s="9">
        <f t="array" ref="BV8">PRODUCT(1 + 預測IC!$C17:BU17) - 1</f>
        <v>634.021790427734</v>
      </c>
      <c r="BW8" s="9">
        <f t="array" ref="BW8">PRODUCT(1 + 預測IC!$C17:BV17) - 1</f>
        <v>692.95705885960683</v>
      </c>
      <c r="BX8" s="9">
        <f t="array" ref="BX8">PRODUCT(1 + 預測IC!$C17:BW17) - 1</f>
        <v>591.39992866908312</v>
      </c>
      <c r="BY8" s="9">
        <f t="array" ref="BY8">PRODUCT(1 + 預測IC!$C17:BX17) - 1</f>
        <v>596.92582756614877</v>
      </c>
      <c r="BZ8" s="9">
        <f t="array" ref="BZ8">PRODUCT(1 + 預測IC!$C17:BY17) - 1</f>
        <v>574.14798312227492</v>
      </c>
      <c r="CA8" s="9">
        <f t="array" ref="CA8">PRODUCT(1 + 預測IC!$C17:BZ17) - 1</f>
        <v>591.91150500804554</v>
      </c>
      <c r="CB8" s="9">
        <f t="array" ref="CB8">PRODUCT(1 + 預測IC!$C17:CA17) - 1</f>
        <v>581.2333676890122</v>
      </c>
      <c r="CC8" s="9">
        <f t="array" ref="CC8">PRODUCT(1 + 預測IC!$C17:CB17) - 1</f>
        <v>627.49387289566505</v>
      </c>
      <c r="CD8" s="9">
        <f t="array" ref="CD8">PRODUCT(1 + 預測IC!$C17:CC17) - 1</f>
        <v>662.5456650426263</v>
      </c>
      <c r="CE8" s="9">
        <f t="array" ref="CE8">PRODUCT(1 + 預測IC!$C17:CD17) - 1</f>
        <v>667.820396382426</v>
      </c>
      <c r="CF8" s="9">
        <f t="array" ref="CF8">PRODUCT(1 + 預測IC!$C17:CE17) - 1</f>
        <v>703.28440018809556</v>
      </c>
      <c r="CG8" s="9">
        <f t="array" ref="CG8">PRODUCT(1 + 預測IC!$C17:CF17) - 1</f>
        <v>705.28149826873187</v>
      </c>
      <c r="CH8" s="9">
        <f t="array" ref="CH8">PRODUCT(1 + 預測IC!$C17:CG17) - 1</f>
        <v>709.77760345686988</v>
      </c>
      <c r="CI8" s="9">
        <f t="array" ref="CI8">PRODUCT(1 + 預測IC!$C17:CH17) - 1</f>
        <v>716.99750406838689</v>
      </c>
      <c r="CJ8" s="9">
        <f t="array" ref="CJ8">PRODUCT(1 + 預測IC!$C17:CI17) - 1</f>
        <v>754.35123783383597</v>
      </c>
      <c r="CK8" s="9">
        <f t="array" ref="CK8">PRODUCT(1 + 預測IC!$C17:CJ17) - 1</f>
        <v>770.34988730298437</v>
      </c>
      <c r="CL8" s="9">
        <f t="array" ref="CL8">PRODUCT(1 + 預測IC!$C17:CK17) - 1</f>
        <v>716.68769170831092</v>
      </c>
      <c r="CM8" s="9">
        <f t="array" ref="CM8">PRODUCT(1 + 預測IC!$C17:CL17) - 1</f>
        <v>691.42215924597087</v>
      </c>
      <c r="CN8" s="9">
        <f t="array" ref="CN8">PRODUCT(1 + 預測IC!$C17:CM17) - 1</f>
        <v>734.8379616381186</v>
      </c>
      <c r="CO8" s="9">
        <f t="array" ref="CO8">PRODUCT(1 + 預測IC!$C17:CN17) - 1</f>
        <v>813.72295747517546</v>
      </c>
      <c r="CP8" s="9">
        <f t="array" ref="CP8">PRODUCT(1 + 預測IC!$C17:CO17) - 1</f>
        <v>844.11640758617773</v>
      </c>
      <c r="CQ8" s="9">
        <f t="array" ref="CQ8">PRODUCT(1 + 預測IC!$C17:CP17) - 1</f>
        <v>973.81866659382797</v>
      </c>
      <c r="CR8" s="9">
        <f t="array" ref="CR8">PRODUCT(1 + 預測IC!$C17:CQ17) - 1</f>
        <v>850.23404567046862</v>
      </c>
      <c r="CS8" s="9">
        <f t="array" ref="CS8">PRODUCT(1 + 預測IC!$C17:CR17) - 1</f>
        <v>598.16432298506049</v>
      </c>
      <c r="CT8" s="9">
        <f t="array" ref="CT8">PRODUCT(1 + 預測IC!$C17:CS17) - 1</f>
        <v>581.65922304345281</v>
      </c>
      <c r="CU8" s="9">
        <f t="array" ref="CU8">PRODUCT(1 + 預測IC!$C17:CT17) - 1</f>
        <v>580.80439958042064</v>
      </c>
      <c r="CV8" s="9">
        <f t="array" ref="CV8">PRODUCT(1 + 預測IC!$C17:CU17) - 1</f>
        <v>537.93742797970617</v>
      </c>
      <c r="CW8" s="9">
        <f t="array" ref="CW8">PRODUCT(1 + 預測IC!$C17:CV17) - 1</f>
        <v>518.22467000777954</v>
      </c>
      <c r="CX8" s="9">
        <f t="array" ref="CX8">PRODUCT(1 + 預測IC!$C17:CW17) - 1</f>
        <v>551.39737927177782</v>
      </c>
      <c r="CY8" s="9">
        <f t="array" ref="CY8">PRODUCT(1 + 預測IC!$C17:CX17) - 1</f>
        <v>567.79101234056645</v>
      </c>
      <c r="CZ8" s="9">
        <f t="array" ref="CZ8">PRODUCT(1 + 預測IC!$C17:CY17) - 1</f>
        <v>554.74857356730013</v>
      </c>
      <c r="DA8" s="9">
        <f t="array" ref="DA8">PRODUCT(1 + 預測IC!$C17:CZ17) - 1</f>
        <v>570.8162388665553</v>
      </c>
      <c r="DB8" s="9">
        <f t="array" ref="DB8">PRODUCT(1 + 預測IC!$C17:DA17) - 1</f>
        <v>583.81394708654011</v>
      </c>
      <c r="DC8" s="9">
        <f t="array" ref="DC8">PRODUCT(1 + 預測IC!$C17:DB17) - 1</f>
        <v>651.88010471154473</v>
      </c>
      <c r="DD8" s="9">
        <f t="array" ref="DD8">PRODUCT(1 + 預測IC!$C17:DC17) - 1</f>
        <v>577.21546663748961</v>
      </c>
      <c r="DE8" s="9">
        <f t="array" ref="DE8">PRODUCT(1 + 預測IC!$C17:DD17) - 1</f>
        <v>571.07656974168401</v>
      </c>
      <c r="DF8" s="9">
        <f t="array" ref="DF8">PRODUCT(1 + 預測IC!$C17:DE17) - 1</f>
        <v>582.20667489490484</v>
      </c>
      <c r="DG8" s="9">
        <f t="array" ref="DG8">PRODUCT(1 + 預測IC!$C17:DF17) - 1</f>
        <v>564.29777611619011</v>
      </c>
      <c r="DH8" s="9">
        <f t="array" ref="DH8">PRODUCT(1 + 預測IC!$C17:DG17) - 1</f>
        <v>536.70433906515666</v>
      </c>
      <c r="DI8" s="9">
        <f t="array" ref="DI8">PRODUCT(1 + 預測IC!$C17:DH17) - 1</f>
        <v>522.61463943453089</v>
      </c>
      <c r="DJ8" s="9">
        <f t="array" ref="DJ8">PRODUCT(1 + 預測IC!$C17:DI17) - 1</f>
        <v>577.39216771000781</v>
      </c>
      <c r="DK8" s="9">
        <f t="array" ref="DK8">PRODUCT(1 + 預測IC!$C17:DJ17) - 1</f>
        <v>642.37784853766607</v>
      </c>
      <c r="DL8" s="9">
        <f t="array" ref="DL8">PRODUCT(1 + 預測IC!$C17:DK17) - 1</f>
        <v>578.98133135758712</v>
      </c>
      <c r="DM8" s="9">
        <f t="array" ref="DM8">PRODUCT(1 + 預測IC!$C17:DL17) - 1</f>
        <v>546.86820545268108</v>
      </c>
      <c r="DN8" s="9">
        <f t="array" ref="DN8">PRODUCT(1 + 預測IC!$C17:DM17) - 1</f>
        <v>497.48675268260064</v>
      </c>
      <c r="DO8" s="9">
        <f t="array" ref="DO8">PRODUCT(1 + 預測IC!$C17:DN17) - 1</f>
        <v>495.57135187069406</v>
      </c>
      <c r="DP8" s="9">
        <f t="array" ref="DP8">PRODUCT(1 + 預測IC!$C17:DO17) - 1</f>
        <v>470.82766417340281</v>
      </c>
      <c r="DQ8" s="9">
        <f t="array" ref="DQ8">PRODUCT(1 + 預測IC!$C17:DP17) - 1</f>
        <v>459.89278728084366</v>
      </c>
      <c r="DR8" s="9">
        <f t="array" ref="DR8">PRODUCT(1 + 預測IC!$C17:DQ17) - 1</f>
        <v>429.16744695319562</v>
      </c>
      <c r="DS8" s="9">
        <f t="array" ref="DS8">PRODUCT(1 + 預測IC!$C17:DR17) - 1</f>
        <v>426.12381733317483</v>
      </c>
      <c r="DT8" s="9">
        <f t="array" ref="DT8">PRODUCT(1 + 預測IC!$C17:DS17) - 1</f>
        <v>454.89531001508652</v>
      </c>
      <c r="DU8" s="9">
        <f t="array" ref="DU8">PRODUCT(1 + 預測IC!$C17:DT17) - 1</f>
        <v>464.10008737824757</v>
      </c>
      <c r="DV8" s="9">
        <f t="array" ref="DV8">PRODUCT(1 + 預測IC!$C17:DU17) - 1</f>
        <v>467.7672827687901</v>
      </c>
      <c r="DW8" s="9">
        <f t="array" ref="DW8">PRODUCT(1 + 預測IC!$C17:DV17) - 1</f>
        <v>464.17746252679689</v>
      </c>
      <c r="DX8" s="9">
        <f t="array" ref="DX8">PRODUCT(1 + 預測IC!$C17:DW17) - 1</f>
        <v>500.04806661131761</v>
      </c>
      <c r="DY8" s="9">
        <f t="array" ref="DY8">PRODUCT(1 + 預測IC!$C17:DX17) - 1</f>
        <v>473.41546514113986</v>
      </c>
      <c r="DZ8" s="9">
        <f t="array" ref="DZ8">PRODUCT(1 + 預測IC!$C17:DY17) - 1</f>
        <v>471.74986714526273</v>
      </c>
      <c r="EA8" s="9">
        <f t="array" ref="EA8">PRODUCT(1 + 預測IC!$C17:DZ17) - 1</f>
        <v>475.86420352875206</v>
      </c>
      <c r="EB8" s="9">
        <f t="array" ref="EB8">PRODUCT(1 + 預測IC!$C17:EA17) - 1</f>
        <v>485.0159345680359</v>
      </c>
      <c r="EC8" s="9">
        <f t="array" ref="EC8">PRODUCT(1 + 預測IC!$C17:EB17) - 1</f>
        <v>499.70016438029626</v>
      </c>
      <c r="ED8" s="9">
        <f t="array" ref="ED8">PRODUCT(1 + 預測IC!$C17:EC17) - 1</f>
        <v>477.4597097219177</v>
      </c>
      <c r="EE8" s="9">
        <f t="array" ref="EE8">PRODUCT(1 + 預測IC!$C17:ED17) - 1</f>
        <v>482.8827392141701</v>
      </c>
      <c r="EF8" s="9">
        <f t="array" ref="EF8">PRODUCT(1 + 預測IC!$C17:EE17) - 1</f>
        <v>467.97830648473132</v>
      </c>
      <c r="EG8" s="9">
        <f t="array" ref="EG8">PRODUCT(1 + 預測IC!$C17:EF17) - 1</f>
        <v>477.47722542423105</v>
      </c>
    </row>
    <row r="9" spans="3:137" ht="16" customHeight="1">
      <c r="C9" s="6">
        <v>107</v>
      </c>
      <c r="D9" s="9">
        <v>0.73827782114429374</v>
      </c>
      <c r="E9" s="9">
        <f t="array" ref="E9">PRODUCT(1 + 預測IC!$C18:D18) - 1</f>
        <v>2.039355269696677</v>
      </c>
      <c r="F9" s="9">
        <f t="array" ref="F9">PRODUCT(1 + 預測IC!$C18:E18) - 1</f>
        <v>3.8717435628909573</v>
      </c>
      <c r="G9" s="9">
        <f t="array" ref="G9">PRODUCT(1 + 預測IC!$C18:F18) - 1</f>
        <v>8.6039046928829137</v>
      </c>
      <c r="H9" s="9">
        <f t="array" ref="H9">PRODUCT(1 + 預測IC!$C18:G18) - 1</f>
        <v>15.344568514979212</v>
      </c>
      <c r="I9" s="9">
        <f t="array" ref="I9">PRODUCT(1 + 預測IC!$C18:H18) - 1</f>
        <v>25.256076927197121</v>
      </c>
      <c r="J9" s="9">
        <f t="array" ref="J9">PRODUCT(1 + 預測IC!$C18:I18) - 1</f>
        <v>40.50209526319415</v>
      </c>
      <c r="K9" s="9">
        <f t="array" ref="K9">PRODUCT(1 + 預測IC!$C18:J18) - 1</f>
        <v>70.485636476692235</v>
      </c>
      <c r="L9" s="9">
        <f t="array" ref="L9">PRODUCT(1 + 預測IC!$C18:K18) - 1</f>
        <v>121.93716965271987</v>
      </c>
      <c r="M9" s="9">
        <f t="array" ref="M9">PRODUCT(1 + 預測IC!$C18:L18) - 1</f>
        <v>203.50790862011382</v>
      </c>
      <c r="N9" s="9">
        <f t="array" ref="N9">PRODUCT(1 + 預測IC!$C18:M18) - 1</f>
        <v>396.25677243562586</v>
      </c>
      <c r="O9" s="9">
        <f t="array" ref="O9">PRODUCT(1 + 預測IC!$C18:N18) - 1</f>
        <v>681.54780152084982</v>
      </c>
      <c r="P9" s="9">
        <f t="array" ref="P9">PRODUCT(1 + 預測IC!$C18:O18) - 1</f>
        <v>747.44189349683677</v>
      </c>
      <c r="Q9" s="9">
        <f t="array" ref="Q9">PRODUCT(1 + 預測IC!$C18:P18) - 1</f>
        <v>752.51711259243848</v>
      </c>
      <c r="R9" s="9">
        <f t="array" ref="R9">PRODUCT(1 + 預測IC!$C18:Q18) - 1</f>
        <v>685.84820565059078</v>
      </c>
      <c r="S9" s="9">
        <f t="array" ref="S9">PRODUCT(1 + 預測IC!$C18:R18) - 1</f>
        <v>669.32372719081445</v>
      </c>
      <c r="T9" s="9">
        <f t="array" ref="T9">PRODUCT(1 + 預測IC!$C18:S18) - 1</f>
        <v>586.55815922674242</v>
      </c>
      <c r="U9" s="9">
        <f t="array" ref="U9">PRODUCT(1 + 預測IC!$C18:T18) - 1</f>
        <v>591.21931303787062</v>
      </c>
      <c r="V9" s="9">
        <f t="array" ref="V9">PRODUCT(1 + 預測IC!$C18:U18) - 1</f>
        <v>610.50720905821572</v>
      </c>
      <c r="W9" s="9">
        <f t="array" ref="W9">PRODUCT(1 + 預測IC!$C18:V18) - 1</f>
        <v>618.62672702082534</v>
      </c>
      <c r="X9" s="9">
        <f t="array" ref="X9">PRODUCT(1 + 預測IC!$C18:W18) - 1</f>
        <v>596.46331004998785</v>
      </c>
      <c r="Y9" s="9">
        <f t="array" ref="Y9">PRODUCT(1 + 預測IC!$C18:X18) - 1</f>
        <v>623.32324633412759</v>
      </c>
      <c r="Z9" s="9">
        <f t="array" ref="Z9">PRODUCT(1 + 預測IC!$C18:Y18) - 1</f>
        <v>619.50981112045281</v>
      </c>
      <c r="AA9" s="9">
        <f t="array" ref="AA9">PRODUCT(1 + 預測IC!$C18:Z18) - 1</f>
        <v>655.50846168288342</v>
      </c>
      <c r="AB9" s="9">
        <f t="array" ref="AB9">PRODUCT(1 + 預測IC!$C18:AA18) - 1</f>
        <v>543.04010084627782</v>
      </c>
      <c r="AC9" s="9">
        <f t="array" ref="AC9">PRODUCT(1 + 預測IC!$C18:AB18) - 1</f>
        <v>538.18760871971972</v>
      </c>
      <c r="AD9" s="9">
        <f t="array" ref="AD9">PRODUCT(1 + 預測IC!$C18:AC18) - 1</f>
        <v>548.96945714776109</v>
      </c>
      <c r="AE9" s="9">
        <f t="array" ref="AE9">PRODUCT(1 + 預測IC!$C18:AD18) - 1</f>
        <v>575.2151095784335</v>
      </c>
      <c r="AF9" s="9">
        <f t="array" ref="AF9">PRODUCT(1 + 預測IC!$C18:AE18) - 1</f>
        <v>556.67763709162318</v>
      </c>
      <c r="AG9" s="9">
        <f t="array" ref="AG9">PRODUCT(1 + 預測IC!$C18:AF18) - 1</f>
        <v>661.91273450813503</v>
      </c>
      <c r="AH9" s="9">
        <f t="array" ref="AH9">PRODUCT(1 + 預測IC!$C18:AG18) - 1</f>
        <v>653.35700202670785</v>
      </c>
      <c r="AI9" s="9">
        <f t="array" ref="AI9">PRODUCT(1 + 預測IC!$C18:AH18) - 1</f>
        <v>645.76188826535952</v>
      </c>
      <c r="AJ9" s="9">
        <f t="array" ref="AJ9">PRODUCT(1 + 預測IC!$C18:AI18) - 1</f>
        <v>615.03843932236566</v>
      </c>
      <c r="AK9" s="9">
        <f t="array" ref="AK9">PRODUCT(1 + 預測IC!$C18:AJ18) - 1</f>
        <v>595.17876554145607</v>
      </c>
      <c r="AL9" s="9">
        <f t="array" ref="AL9">PRODUCT(1 + 預測IC!$C18:AK18) - 1</f>
        <v>555.86799667719526</v>
      </c>
      <c r="AM9" s="9">
        <f t="array" ref="AM9">PRODUCT(1 + 預測IC!$C18:AL18) - 1</f>
        <v>520.28144956460255</v>
      </c>
      <c r="AN9" s="9">
        <f t="array" ref="AN9">PRODUCT(1 + 預測IC!$C18:AM18) - 1</f>
        <v>609.53132310202147</v>
      </c>
      <c r="AO9" s="9">
        <f t="array" ref="AO9">PRODUCT(1 + 預測IC!$C18:AN18) - 1</f>
        <v>618.53375541598928</v>
      </c>
      <c r="AP9" s="9">
        <f t="array" ref="AP9">PRODUCT(1 + 預測IC!$C18:AO18) - 1</f>
        <v>604.47288103334915</v>
      </c>
      <c r="AQ9" s="9">
        <f t="array" ref="AQ9">PRODUCT(1 + 預測IC!$C18:AP18) - 1</f>
        <v>561.02331806570214</v>
      </c>
      <c r="AR9" s="9">
        <f t="array" ref="AR9">PRODUCT(1 + 預測IC!$C18:AQ18) - 1</f>
        <v>633.50053938637313</v>
      </c>
      <c r="AS9" s="9">
        <f t="array" ref="AS9">PRODUCT(1 + 預測IC!$C18:AR18) - 1</f>
        <v>658.85634701131175</v>
      </c>
      <c r="AT9" s="9">
        <f t="array" ref="AT9">PRODUCT(1 + 預測IC!$C18:AS18) - 1</f>
        <v>615.9761837973216</v>
      </c>
      <c r="AU9" s="9">
        <f t="array" ref="AU9">PRODUCT(1 + 預測IC!$C18:AT18) - 1</f>
        <v>610.53811946528447</v>
      </c>
      <c r="AV9" s="9">
        <f t="array" ref="AV9">PRODUCT(1 + 預測IC!$C18:AU18) - 1</f>
        <v>599.60254706077637</v>
      </c>
      <c r="AW9" s="9">
        <f t="array" ref="AW9">PRODUCT(1 + 預測IC!$C18:AV18) - 1</f>
        <v>615.21435315238557</v>
      </c>
      <c r="AX9" s="9">
        <f t="array" ref="AX9">PRODUCT(1 + 預測IC!$C18:AW18) - 1</f>
        <v>570.5156461038099</v>
      </c>
      <c r="AY9" s="9">
        <f t="array" ref="AY9">PRODUCT(1 + 預測IC!$C18:AX18) - 1</f>
        <v>572.28832302067633</v>
      </c>
      <c r="AZ9" s="9">
        <f t="array" ref="AZ9">PRODUCT(1 + 預測IC!$C18:AY18) - 1</f>
        <v>615.29713083188312</v>
      </c>
      <c r="BA9" s="9">
        <f t="array" ref="BA9">PRODUCT(1 + 預測IC!$C18:AZ18) - 1</f>
        <v>605.80681344402012</v>
      </c>
      <c r="BB9" s="9">
        <f t="array" ref="BB9">PRODUCT(1 + 預測IC!$C18:BA18) - 1</f>
        <v>612.38306849603475</v>
      </c>
      <c r="BC9" s="9">
        <f t="array" ref="BC9">PRODUCT(1 + 預測IC!$C18:BB18) - 1</f>
        <v>563.62841615065884</v>
      </c>
      <c r="BD9" s="9">
        <f t="array" ref="BD9">PRODUCT(1 + 預測IC!$C18:BC18) - 1</f>
        <v>564.90343950661304</v>
      </c>
      <c r="BE9" s="9">
        <f t="array" ref="BE9">PRODUCT(1 + 預測IC!$C18:BD18) - 1</f>
        <v>519.64569875030645</v>
      </c>
      <c r="BF9" s="9">
        <f t="array" ref="BF9">PRODUCT(1 + 預測IC!$C18:BE18) - 1</f>
        <v>509.07306447528902</v>
      </c>
      <c r="BG9" s="9">
        <f t="array" ref="BG9">PRODUCT(1 + 預測IC!$C18:BF18) - 1</f>
        <v>531.95924782898874</v>
      </c>
      <c r="BH9" s="9">
        <f t="array" ref="BH9">PRODUCT(1 + 預測IC!$C18:BG18) - 1</f>
        <v>567.18051017440405</v>
      </c>
      <c r="BI9" s="9">
        <f t="array" ref="BI9">PRODUCT(1 + 預測IC!$C18:BH18) - 1</f>
        <v>645.61760734003064</v>
      </c>
      <c r="BJ9" s="9">
        <f t="array" ref="BJ9">PRODUCT(1 + 預測IC!$C18:BI18) - 1</f>
        <v>615.38125916713841</v>
      </c>
      <c r="BK9" s="9">
        <f t="array" ref="BK9">PRODUCT(1 + 預測IC!$C18:BJ18) - 1</f>
        <v>660.12969917416694</v>
      </c>
      <c r="BL9" s="9">
        <f t="array" ref="BL9">PRODUCT(1 + 預測IC!$C18:BK18) - 1</f>
        <v>691.17971350813013</v>
      </c>
      <c r="BM9" s="9">
        <f t="array" ref="BM9">PRODUCT(1 + 預測IC!$C18:BL18) - 1</f>
        <v>742.52083826508749</v>
      </c>
      <c r="BN9" s="9">
        <f t="array" ref="BN9">PRODUCT(1 + 預測IC!$C18:BM18) - 1</f>
        <v>753.87295719771487</v>
      </c>
      <c r="BO9" s="9">
        <f t="array" ref="BO9">PRODUCT(1 + 預測IC!$C18:BN18) - 1</f>
        <v>760.473310584606</v>
      </c>
      <c r="BP9" s="9">
        <f t="array" ref="BP9">PRODUCT(1 + 預測IC!$C18:BO18) - 1</f>
        <v>737.93100572934475</v>
      </c>
      <c r="BQ9" s="9">
        <f t="array" ref="BQ9">PRODUCT(1 + 預測IC!$C18:BP18) - 1</f>
        <v>801.98827967073771</v>
      </c>
      <c r="BR9" s="9">
        <f t="array" ref="BR9">PRODUCT(1 + 預測IC!$C18:BQ18) - 1</f>
        <v>808.23099220750044</v>
      </c>
      <c r="BS9" s="9">
        <f t="array" ref="BS9">PRODUCT(1 + 預測IC!$C18:BR18) - 1</f>
        <v>734.20110651707171</v>
      </c>
      <c r="BT9" s="9">
        <f t="array" ref="BT9">PRODUCT(1 + 預測IC!$C18:BS18) - 1</f>
        <v>729.68720492948455</v>
      </c>
      <c r="BU9" s="9">
        <f t="array" ref="BU9">PRODUCT(1 + 預測IC!$C18:BT18) - 1</f>
        <v>772.8070872594584</v>
      </c>
      <c r="BV9" s="9">
        <f t="array" ref="BV9">PRODUCT(1 + 預測IC!$C18:BU18) - 1</f>
        <v>780.87244361415594</v>
      </c>
      <c r="BW9" s="9">
        <f t="array" ref="BW9">PRODUCT(1 + 預測IC!$C18:BV18) - 1</f>
        <v>871.83832492938234</v>
      </c>
      <c r="BX9" s="9">
        <f t="array" ref="BX9">PRODUCT(1 + 預測IC!$C18:BW18) - 1</f>
        <v>745.58997085362194</v>
      </c>
      <c r="BY9" s="9">
        <f t="array" ref="BY9">PRODUCT(1 + 預測IC!$C18:BX18) - 1</f>
        <v>754.70349762362275</v>
      </c>
      <c r="BZ9" s="9">
        <f t="array" ref="BZ9">PRODUCT(1 + 預測IC!$C18:BY18) - 1</f>
        <v>710.90325044251654</v>
      </c>
      <c r="CA9" s="9">
        <f t="array" ref="CA9">PRODUCT(1 + 預測IC!$C18:BZ18) - 1</f>
        <v>725.76722069801724</v>
      </c>
      <c r="CB9" s="9">
        <f t="array" ref="CB9">PRODUCT(1 + 預測IC!$C18:CA18) - 1</f>
        <v>708.50881427700313</v>
      </c>
      <c r="CC9" s="9">
        <f t="array" ref="CC9">PRODUCT(1 + 預測IC!$C18:CB18) - 1</f>
        <v>763.43204384340481</v>
      </c>
      <c r="CD9" s="9">
        <f t="array" ref="CD9">PRODUCT(1 + 預測IC!$C18:CC18) - 1</f>
        <v>816.76153642253485</v>
      </c>
      <c r="CE9" s="9">
        <f t="array" ref="CE9">PRODUCT(1 + 預測IC!$C18:CD18) - 1</f>
        <v>799.08818638142816</v>
      </c>
      <c r="CF9" s="9">
        <f t="array" ref="CF9">PRODUCT(1 + 預測IC!$C18:CE18) - 1</f>
        <v>792.05341653421829</v>
      </c>
      <c r="CG9" s="9">
        <f t="array" ref="CG9">PRODUCT(1 + 預測IC!$C18:CF18) - 1</f>
        <v>795.4881743577937</v>
      </c>
      <c r="CH9" s="9">
        <f t="array" ref="CH9">PRODUCT(1 + 預測IC!$C18:CG18) - 1</f>
        <v>800.10902536897697</v>
      </c>
      <c r="CI9" s="9">
        <f t="array" ref="CI9">PRODUCT(1 + 預測IC!$C18:CH18) - 1</f>
        <v>794.19855259660494</v>
      </c>
      <c r="CJ9" s="9">
        <f t="array" ref="CJ9">PRODUCT(1 + 預測IC!$C18:CI18) - 1</f>
        <v>819.52780242506321</v>
      </c>
      <c r="CK9" s="9">
        <f t="array" ref="CK9">PRODUCT(1 + 預測IC!$C18:CJ18) - 1</f>
        <v>841.79518698153299</v>
      </c>
      <c r="CL9" s="9">
        <f t="array" ref="CL9">PRODUCT(1 + 預測IC!$C18:CK18) - 1</f>
        <v>806.0122662164207</v>
      </c>
      <c r="CM9" s="9">
        <f t="array" ref="CM9">PRODUCT(1 + 預測IC!$C18:CL18) - 1</f>
        <v>745.84274913820275</v>
      </c>
      <c r="CN9" s="9">
        <f t="array" ref="CN9">PRODUCT(1 + 預測IC!$C18:CM18) - 1</f>
        <v>818.82446860653283</v>
      </c>
      <c r="CO9" s="9">
        <f t="array" ref="CO9">PRODUCT(1 + 預測IC!$C18:CN18) - 1</f>
        <v>888.66026848251101</v>
      </c>
      <c r="CP9" s="9">
        <f t="array" ref="CP9">PRODUCT(1 + 預測IC!$C18:CO18) - 1</f>
        <v>929.27694259196403</v>
      </c>
      <c r="CQ9" s="9">
        <f t="array" ref="CQ9">PRODUCT(1 + 預測IC!$C18:CP18) - 1</f>
        <v>1086.754178985462</v>
      </c>
      <c r="CR9" s="9">
        <f t="array" ref="CR9">PRODUCT(1 + 預測IC!$C18:CQ18) - 1</f>
        <v>960.18763063805989</v>
      </c>
      <c r="CS9" s="9">
        <f t="array" ref="CS9">PRODUCT(1 + 預測IC!$C18:CR18) - 1</f>
        <v>830.29535775567922</v>
      </c>
      <c r="CT9" s="9">
        <f t="array" ref="CT9">PRODUCT(1 + 預測IC!$C18:CS18) - 1</f>
        <v>803.85269818414667</v>
      </c>
      <c r="CU9" s="9">
        <f t="array" ref="CU9">PRODUCT(1 + 預測IC!$C18:CT18) - 1</f>
        <v>799.81536141284596</v>
      </c>
      <c r="CV9" s="9">
        <f t="array" ref="CV9">PRODUCT(1 + 預測IC!$C18:CU18) - 1</f>
        <v>737.95206111140249</v>
      </c>
      <c r="CW9" s="9">
        <f t="array" ref="CW9">PRODUCT(1 + 預測IC!$C18:CV18) - 1</f>
        <v>706.50509648141553</v>
      </c>
      <c r="CX9" s="9">
        <f t="array" ref="CX9">PRODUCT(1 + 預測IC!$C18:CW18) - 1</f>
        <v>757.70022553972103</v>
      </c>
      <c r="CY9" s="9">
        <f t="array" ref="CY9">PRODUCT(1 + 預測IC!$C18:CX18) - 1</f>
        <v>787.61777288619953</v>
      </c>
      <c r="CZ9" s="9">
        <f t="array" ref="CZ9">PRODUCT(1 + 預測IC!$C18:CY18) - 1</f>
        <v>752.92752918738381</v>
      </c>
      <c r="DA9" s="9">
        <f t="array" ref="DA9">PRODUCT(1 + 預測IC!$C18:CZ18) - 1</f>
        <v>762.36726958238228</v>
      </c>
      <c r="DB9" s="9">
        <f t="array" ref="DB9">PRODUCT(1 + 預測IC!$C18:DA18) - 1</f>
        <v>768.57403528063332</v>
      </c>
      <c r="DC9" s="9">
        <f t="array" ref="DC9">PRODUCT(1 + 預測IC!$C18:DB18) - 1</f>
        <v>868.99098268765817</v>
      </c>
      <c r="DD9" s="9">
        <f t="array" ref="DD9">PRODUCT(1 + 預測IC!$C18:DC18) - 1</f>
        <v>782.54821896659519</v>
      </c>
      <c r="DE9" s="9">
        <f t="array" ref="DE9">PRODUCT(1 + 預測IC!$C18:DD18) - 1</f>
        <v>781.40712894846808</v>
      </c>
      <c r="DF9" s="9">
        <f t="array" ref="DF9">PRODUCT(1 + 預測IC!$C18:DE18) - 1</f>
        <v>787.18559514172023</v>
      </c>
      <c r="DG9" s="9">
        <f t="array" ref="DG9">PRODUCT(1 + 預測IC!$C18:DF18) - 1</f>
        <v>770.41036842826907</v>
      </c>
      <c r="DH9" s="9">
        <f t="array" ref="DH9">PRODUCT(1 + 預測IC!$C18:DG18) - 1</f>
        <v>732.33112466196656</v>
      </c>
      <c r="DI9" s="9">
        <f t="array" ref="DI9">PRODUCT(1 + 預測IC!$C18:DH18) - 1</f>
        <v>713.81079756295946</v>
      </c>
      <c r="DJ9" s="9">
        <f t="array" ref="DJ9">PRODUCT(1 + 預測IC!$C18:DI18) - 1</f>
        <v>781.25468673507521</v>
      </c>
      <c r="DK9" s="9">
        <f t="array" ref="DK9">PRODUCT(1 + 預測IC!$C18:DJ18) - 1</f>
        <v>882.55315920318469</v>
      </c>
      <c r="DL9" s="9">
        <f t="array" ref="DL9">PRODUCT(1 + 預測IC!$C18:DK18) - 1</f>
        <v>778.28160358971593</v>
      </c>
      <c r="DM9" s="9">
        <f t="array" ref="DM9">PRODUCT(1 + 預測IC!$C18:DL18) - 1</f>
        <v>712.16461199173716</v>
      </c>
      <c r="DN9" s="9">
        <f t="array" ref="DN9">PRODUCT(1 + 預測IC!$C18:DM18) - 1</f>
        <v>627.93968076796727</v>
      </c>
      <c r="DO9" s="9">
        <f t="array" ref="DO9">PRODUCT(1 + 預測IC!$C18:DN18) - 1</f>
        <v>624.38484994253577</v>
      </c>
      <c r="DP9" s="9">
        <f t="array" ref="DP9">PRODUCT(1 + 預測IC!$C18:DO18) - 1</f>
        <v>593.45505382636566</v>
      </c>
      <c r="DQ9" s="9">
        <f t="array" ref="DQ9">PRODUCT(1 + 預測IC!$C18:DP18) - 1</f>
        <v>585.13566710248472</v>
      </c>
      <c r="DR9" s="9">
        <f t="array" ref="DR9">PRODUCT(1 + 預測IC!$C18:DQ18) - 1</f>
        <v>543.97736703930696</v>
      </c>
      <c r="DS9" s="9">
        <f t="array" ref="DS9">PRODUCT(1 + 預測IC!$C18:DR18) - 1</f>
        <v>529.07878982666239</v>
      </c>
      <c r="DT9" s="9">
        <f t="array" ref="DT9">PRODUCT(1 + 預測IC!$C18:DS18) - 1</f>
        <v>554.16328265271352</v>
      </c>
      <c r="DU9" s="9">
        <f t="array" ref="DU9">PRODUCT(1 + 預測IC!$C18:DT18) - 1</f>
        <v>552.13778575348977</v>
      </c>
      <c r="DV9" s="9">
        <f t="array" ref="DV9">PRODUCT(1 + 預測IC!$C18:DU18) - 1</f>
        <v>547.73107181172475</v>
      </c>
      <c r="DW9" s="9">
        <f t="array" ref="DW9">PRODUCT(1 + 預測IC!$C18:DV18) - 1</f>
        <v>553.68808186190449</v>
      </c>
      <c r="DX9" s="9">
        <f t="array" ref="DX9">PRODUCT(1 + 預測IC!$C18:DW18) - 1</f>
        <v>599.2699499798299</v>
      </c>
      <c r="DY9" s="9">
        <f t="array" ref="DY9">PRODUCT(1 + 預測IC!$C18:DX18) - 1</f>
        <v>566.37685825554502</v>
      </c>
      <c r="DZ9" s="9">
        <f t="array" ref="DZ9">PRODUCT(1 + 預測IC!$C18:DY18) - 1</f>
        <v>566.83335338309359</v>
      </c>
      <c r="EA9" s="9">
        <f t="array" ref="EA9">PRODUCT(1 + 預測IC!$C18:DZ18) - 1</f>
        <v>571.22946656303782</v>
      </c>
      <c r="EB9" s="9">
        <f t="array" ref="EB9">PRODUCT(1 + 預測IC!$C18:EA18) - 1</f>
        <v>579.81145765414726</v>
      </c>
      <c r="EC9" s="9">
        <f t="array" ref="EC9">PRODUCT(1 + 預測IC!$C18:EB18) - 1</f>
        <v>569.41349081447504</v>
      </c>
      <c r="ED9" s="9">
        <f t="array" ref="ED9">PRODUCT(1 + 預測IC!$C18:EC18) - 1</f>
        <v>558.38049879548396</v>
      </c>
      <c r="EE9" s="9">
        <f t="array" ref="EE9">PRODUCT(1 + 預測IC!$C18:ED18) - 1</f>
        <v>570.04781140677176</v>
      </c>
      <c r="EF9" s="9">
        <f t="array" ref="EF9">PRODUCT(1 + 預測IC!$C18:EE18) - 1</f>
        <v>553.33210910909418</v>
      </c>
      <c r="EG9" s="9">
        <f t="array" ref="EG9">PRODUCT(1 + 預測IC!$C18:EF18) - 1</f>
        <v>582.14824706928982</v>
      </c>
    </row>
    <row r="10" spans="3:137" ht="16" customHeight="1">
      <c r="C10" s="6">
        <v>120</v>
      </c>
      <c r="D10" s="9">
        <v>0.77539547410376009</v>
      </c>
      <c r="E10" s="9">
        <f t="array" ref="E10">PRODUCT(1 + 預測IC!$C19:D19) - 1</f>
        <v>2.158285184665369</v>
      </c>
      <c r="F10" s="9">
        <f t="array" ref="F10">PRODUCT(1 + 預測IC!$C19:E19) - 1</f>
        <v>4.1124335928691753</v>
      </c>
      <c r="G10" s="9">
        <f t="array" ref="G10">PRODUCT(1 + 預測IC!$C19:F19) - 1</f>
        <v>9.1937869386744548</v>
      </c>
      <c r="H10" s="9">
        <f t="array" ref="H10">PRODUCT(1 + 預測IC!$C19:G19) - 1</f>
        <v>16.630072460436136</v>
      </c>
      <c r="I10" s="9">
        <f t="array" ref="I10">PRODUCT(1 + 預測IC!$C19:H19) - 1</f>
        <v>27.806346277734114</v>
      </c>
      <c r="J10" s="9">
        <f t="array" ref="J10">PRODUCT(1 + 預測IC!$C19:I19) - 1</f>
        <v>45.048774778839707</v>
      </c>
      <c r="K10" s="9">
        <f t="array" ref="K10">PRODUCT(1 + 預測IC!$C19:J19) - 1</f>
        <v>79.844930337011917</v>
      </c>
      <c r="L10" s="9">
        <f t="array" ref="L10">PRODUCT(1 + 預測IC!$C19:K19) - 1</f>
        <v>140.93585574817615</v>
      </c>
      <c r="M10" s="9">
        <f t="array" ref="M10">PRODUCT(1 + 預測IC!$C19:L19) - 1</f>
        <v>238.51845427608257</v>
      </c>
      <c r="N10" s="9">
        <f t="array" ref="N10">PRODUCT(1 + 預測IC!$C19:M19) - 1</f>
        <v>478.76700506449737</v>
      </c>
      <c r="O10" s="9">
        <f t="array" ref="O10">PRODUCT(1 + 預測IC!$C19:N19) - 1</f>
        <v>832.47016617112888</v>
      </c>
      <c r="P10" s="9">
        <f t="array" ref="P10">PRODUCT(1 + 預測IC!$C19:O19) - 1</f>
        <v>920.76348802078576</v>
      </c>
      <c r="Q10" s="9">
        <f t="array" ref="Q10">PRODUCT(1 + 預測IC!$C19:P19) - 1</f>
        <v>924.22602939162527</v>
      </c>
      <c r="R10" s="9">
        <f t="array" ref="R10">PRODUCT(1 + 預測IC!$C19:Q19) - 1</f>
        <v>841.92047680440169</v>
      </c>
      <c r="S10" s="9">
        <f t="array" ref="S10">PRODUCT(1 + 預測IC!$C19:R19) - 1</f>
        <v>814.48251578213103</v>
      </c>
      <c r="T10" s="9">
        <f t="array" ref="T10">PRODUCT(1 + 預測IC!$C19:S19) - 1</f>
        <v>674.75007594658189</v>
      </c>
      <c r="U10" s="9">
        <f t="array" ref="U10">PRODUCT(1 + 預測IC!$C19:T19) - 1</f>
        <v>685.66088313242756</v>
      </c>
      <c r="V10" s="9">
        <f t="array" ref="V10">PRODUCT(1 + 預測IC!$C19:U19) - 1</f>
        <v>722.12026003382709</v>
      </c>
      <c r="W10" s="9">
        <f t="array" ref="W10">PRODUCT(1 + 預測IC!$C19:V19) - 1</f>
        <v>731.67933946043865</v>
      </c>
      <c r="X10" s="9">
        <f t="array" ref="X10">PRODUCT(1 + 預測IC!$C19:W19) - 1</f>
        <v>696.83243634356779</v>
      </c>
      <c r="Y10" s="9">
        <f t="array" ref="Y10">PRODUCT(1 + 預測IC!$C19:X19) - 1</f>
        <v>731.68302616177505</v>
      </c>
      <c r="Z10" s="9">
        <f t="array" ref="Z10">PRODUCT(1 + 預測IC!$C19:Y19) - 1</f>
        <v>725.58826326989708</v>
      </c>
      <c r="AA10" s="9">
        <f t="array" ref="AA10">PRODUCT(1 + 預測IC!$C19:Z19) - 1</f>
        <v>760.12748660211878</v>
      </c>
      <c r="AB10" s="9">
        <f t="array" ref="AB10">PRODUCT(1 + 預測IC!$C19:AA19) - 1</f>
        <v>622.42070586306465</v>
      </c>
      <c r="AC10" s="9">
        <f t="array" ref="AC10">PRODUCT(1 + 預測IC!$C19:AB19) - 1</f>
        <v>613.13112857193823</v>
      </c>
      <c r="AD10" s="9">
        <f t="array" ref="AD10">PRODUCT(1 + 預測IC!$C19:AC19) - 1</f>
        <v>627.53102827502858</v>
      </c>
      <c r="AE10" s="9">
        <f t="array" ref="AE10">PRODUCT(1 + 預測IC!$C19:AD19) - 1</f>
        <v>654.33134008869206</v>
      </c>
      <c r="AF10" s="9">
        <f t="array" ref="AF10">PRODUCT(1 + 預測IC!$C19:AE19) - 1</f>
        <v>647.86252148612698</v>
      </c>
      <c r="AG10" s="9">
        <f t="array" ref="AG10">PRODUCT(1 + 預測IC!$C19:AF19) - 1</f>
        <v>757.55334800292746</v>
      </c>
      <c r="AH10" s="9">
        <f t="array" ref="AH10">PRODUCT(1 + 預測IC!$C19:AG19) - 1</f>
        <v>726.93227515395949</v>
      </c>
      <c r="AI10" s="9">
        <f t="array" ref="AI10">PRODUCT(1 + 預測IC!$C19:AH19) - 1</f>
        <v>733.60265176982011</v>
      </c>
      <c r="AJ10" s="9">
        <f t="array" ref="AJ10">PRODUCT(1 + 預測IC!$C19:AI19) - 1</f>
        <v>706.14311522452624</v>
      </c>
      <c r="AK10" s="9">
        <f t="array" ref="AK10">PRODUCT(1 + 預測IC!$C19:AJ19) - 1</f>
        <v>690.56857824853637</v>
      </c>
      <c r="AL10" s="9">
        <f t="array" ref="AL10">PRODUCT(1 + 預測IC!$C19:AK19) - 1</f>
        <v>636.61032442663145</v>
      </c>
      <c r="AM10" s="9">
        <f t="array" ref="AM10">PRODUCT(1 + 預測IC!$C19:AL19) - 1</f>
        <v>607.15374982803394</v>
      </c>
      <c r="AN10" s="9">
        <f t="array" ref="AN10">PRODUCT(1 + 預測IC!$C19:AM19) - 1</f>
        <v>713.80876095400106</v>
      </c>
      <c r="AO10" s="9">
        <f t="array" ref="AO10">PRODUCT(1 + 預測IC!$C19:AN19) - 1</f>
        <v>714.07157819905285</v>
      </c>
      <c r="AP10" s="9">
        <f t="array" ref="AP10">PRODUCT(1 + 預測IC!$C19:AO19) - 1</f>
        <v>700.88972068723285</v>
      </c>
      <c r="AQ10" s="9">
        <f t="array" ref="AQ10">PRODUCT(1 + 預測IC!$C19:AP19) - 1</f>
        <v>662.13327459727589</v>
      </c>
      <c r="AR10" s="9">
        <f t="array" ref="AR10">PRODUCT(1 + 預測IC!$C19:AQ19) - 1</f>
        <v>748.8352804051558</v>
      </c>
      <c r="AS10" s="9">
        <f t="array" ref="AS10">PRODUCT(1 + 預測IC!$C19:AR19) - 1</f>
        <v>775.42976110275708</v>
      </c>
      <c r="AT10" s="9">
        <f t="array" ref="AT10">PRODUCT(1 + 預測IC!$C19:AS19) - 1</f>
        <v>751.14532150286686</v>
      </c>
      <c r="AU10" s="9">
        <f t="array" ref="AU10">PRODUCT(1 + 預測IC!$C19:AT19) - 1</f>
        <v>744.04180549477894</v>
      </c>
      <c r="AV10" s="9">
        <f t="array" ref="AV10">PRODUCT(1 + 預測IC!$C19:AU19) - 1</f>
        <v>738.80977293293745</v>
      </c>
      <c r="AW10" s="9">
        <f t="array" ref="AW10">PRODUCT(1 + 預測IC!$C19:AV19) - 1</f>
        <v>748.9499179695631</v>
      </c>
      <c r="AX10" s="9">
        <f t="array" ref="AX10">PRODUCT(1 + 預測IC!$C19:AW19) - 1</f>
        <v>704.3052513128423</v>
      </c>
      <c r="AY10" s="9">
        <f t="array" ref="AY10">PRODUCT(1 + 預測IC!$C19:AX19) - 1</f>
        <v>705.58855407141266</v>
      </c>
      <c r="AZ10" s="9">
        <f t="array" ref="AZ10">PRODUCT(1 + 預測IC!$C19:AY19) - 1</f>
        <v>776.41716021405318</v>
      </c>
      <c r="BA10" s="9">
        <f t="array" ref="BA10">PRODUCT(1 + 預測IC!$C19:AZ19) - 1</f>
        <v>762.14985871869851</v>
      </c>
      <c r="BB10" s="9">
        <f t="array" ref="BB10">PRODUCT(1 + 預測IC!$C19:BA19) - 1</f>
        <v>766.3515243188923</v>
      </c>
      <c r="BC10" s="9">
        <f t="array" ref="BC10">PRODUCT(1 + 預測IC!$C19:BB19) - 1</f>
        <v>691.85500650329038</v>
      </c>
      <c r="BD10" s="9">
        <f t="array" ref="BD10">PRODUCT(1 + 預測IC!$C19:BC19) - 1</f>
        <v>701.18068412474292</v>
      </c>
      <c r="BE10" s="9">
        <f t="array" ref="BE10">PRODUCT(1 + 預測IC!$C19:BD19) - 1</f>
        <v>677.18982238761112</v>
      </c>
      <c r="BF10" s="9">
        <f t="array" ref="BF10">PRODUCT(1 + 預測IC!$C19:BE19) - 1</f>
        <v>654.72308903803821</v>
      </c>
      <c r="BG10" s="9">
        <f t="array" ref="BG10">PRODUCT(1 + 預測IC!$C19:BF19) - 1</f>
        <v>687.93869781201113</v>
      </c>
      <c r="BH10" s="9">
        <f t="array" ref="BH10">PRODUCT(1 + 預測IC!$C19:BG19) - 1</f>
        <v>724.11531497753276</v>
      </c>
      <c r="BI10" s="9">
        <f t="array" ref="BI10">PRODUCT(1 + 預測IC!$C19:BH19) - 1</f>
        <v>826.79131516757911</v>
      </c>
      <c r="BJ10" s="9">
        <f t="array" ref="BJ10">PRODUCT(1 + 預測IC!$C19:BI19) - 1</f>
        <v>790.86349503816518</v>
      </c>
      <c r="BK10" s="9">
        <f t="array" ref="BK10">PRODUCT(1 + 預測IC!$C19:BJ19) - 1</f>
        <v>855.21510988999455</v>
      </c>
      <c r="BL10" s="9">
        <f t="array" ref="BL10">PRODUCT(1 + 預測IC!$C19:BK19) - 1</f>
        <v>904.20684880942076</v>
      </c>
      <c r="BM10" s="9">
        <f t="array" ref="BM10">PRODUCT(1 + 預測IC!$C19:BL19) - 1</f>
        <v>974.34982697136536</v>
      </c>
      <c r="BN10" s="9">
        <f t="array" ref="BN10">PRODUCT(1 + 預測IC!$C19:BM19) - 1</f>
        <v>988.81299850871812</v>
      </c>
      <c r="BO10" s="9">
        <f t="array" ref="BO10">PRODUCT(1 + 預測IC!$C19:BN19) - 1</f>
        <v>1027.5774728912929</v>
      </c>
      <c r="BP10" s="9">
        <f t="array" ref="BP10">PRODUCT(1 + 預測IC!$C19:BO19) - 1</f>
        <v>988.61934061183319</v>
      </c>
      <c r="BQ10" s="9">
        <f t="array" ref="BQ10">PRODUCT(1 + 預測IC!$C19:BP19) - 1</f>
        <v>1096.8108231613999</v>
      </c>
      <c r="BR10" s="9">
        <f t="array" ref="BR10">PRODUCT(1 + 預測IC!$C19:BQ19) - 1</f>
        <v>1137.4976858939567</v>
      </c>
      <c r="BS10" s="9">
        <f t="array" ref="BS10">PRODUCT(1 + 預測IC!$C19:BR19) - 1</f>
        <v>1018.0066537969641</v>
      </c>
      <c r="BT10" s="9">
        <f t="array" ref="BT10">PRODUCT(1 + 預測IC!$C19:BS19) - 1</f>
        <v>994.26208129978397</v>
      </c>
      <c r="BU10" s="9">
        <f t="array" ref="BU10">PRODUCT(1 + 預測IC!$C19:BT19) - 1</f>
        <v>1043.0897627499612</v>
      </c>
      <c r="BV10" s="9">
        <f t="array" ref="BV10">PRODUCT(1 + 預測IC!$C19:BU19) - 1</f>
        <v>1071.8487748738717</v>
      </c>
      <c r="BW10" s="9">
        <f t="array" ref="BW10">PRODUCT(1 + 預測IC!$C19:BV19) - 1</f>
        <v>1196.8518996836981</v>
      </c>
      <c r="BX10" s="9">
        <f t="array" ref="BX10">PRODUCT(1 + 預測IC!$C19:BW19) - 1</f>
        <v>1006.4444980444522</v>
      </c>
      <c r="BY10" s="9">
        <f t="array" ref="BY10">PRODUCT(1 + 預測IC!$C19:BX19) - 1</f>
        <v>1019.1537489203683</v>
      </c>
      <c r="BZ10" s="9">
        <f t="array" ref="BZ10">PRODUCT(1 + 預測IC!$C19:BY19) - 1</f>
        <v>975.10687062984698</v>
      </c>
      <c r="CA10" s="9">
        <f t="array" ref="CA10">PRODUCT(1 + 預測IC!$C19:BZ19) - 1</f>
        <v>978.67526294052971</v>
      </c>
      <c r="CB10" s="9">
        <f t="array" ref="CB10">PRODUCT(1 + 預測IC!$C19:CA19) - 1</f>
        <v>934.96946693187488</v>
      </c>
      <c r="CC10" s="9">
        <f t="array" ref="CC10">PRODUCT(1 + 預測IC!$C19:CB19) - 1</f>
        <v>952.50903093746331</v>
      </c>
      <c r="CD10" s="9">
        <f t="array" ref="CD10">PRODUCT(1 + 預測IC!$C19:CC19) - 1</f>
        <v>1008.7999598571406</v>
      </c>
      <c r="CE10" s="9">
        <f t="array" ref="CE10">PRODUCT(1 + 預測IC!$C19:CD19) - 1</f>
        <v>962.28184583943516</v>
      </c>
      <c r="CF10" s="9">
        <f t="array" ref="CF10">PRODUCT(1 + 預測IC!$C19:CE19) - 1</f>
        <v>953.37352546459761</v>
      </c>
      <c r="CG10" s="9">
        <f t="array" ref="CG10">PRODUCT(1 + 預測IC!$C19:CF19) - 1</f>
        <v>988.23623273974772</v>
      </c>
      <c r="CH10" s="9">
        <f t="array" ref="CH10">PRODUCT(1 + 預測IC!$C19:CG19) - 1</f>
        <v>993.54788896420644</v>
      </c>
      <c r="CI10" s="9">
        <f t="array" ref="CI10">PRODUCT(1 + 預測IC!$C19:CH19) - 1</f>
        <v>1003.9519030014148</v>
      </c>
      <c r="CJ10" s="9">
        <f t="array" ref="CJ10">PRODUCT(1 + 預測IC!$C19:CI19) - 1</f>
        <v>1043.1298882841697</v>
      </c>
      <c r="CK10" s="9">
        <f t="array" ref="CK10">PRODUCT(1 + 預測IC!$C19:CJ19) - 1</f>
        <v>1053.955179802761</v>
      </c>
      <c r="CL10" s="9">
        <f t="array" ref="CL10">PRODUCT(1 + 預測IC!$C19:CK19) - 1</f>
        <v>1013.7228155285783</v>
      </c>
      <c r="CM10" s="9">
        <f t="array" ref="CM10">PRODUCT(1 + 預測IC!$C19:CL19) - 1</f>
        <v>929.77399116824768</v>
      </c>
      <c r="CN10" s="9">
        <f t="array" ref="CN10">PRODUCT(1 + 預測IC!$C19:CM19) - 1</f>
        <v>1028.1267253918033</v>
      </c>
      <c r="CO10" s="9">
        <f t="array" ref="CO10">PRODUCT(1 + 預測IC!$C19:CN19) - 1</f>
        <v>1141.3126392732909</v>
      </c>
      <c r="CP10" s="9">
        <f t="array" ref="CP10">PRODUCT(1 + 預測IC!$C19:CO19) - 1</f>
        <v>1224.9651829572097</v>
      </c>
      <c r="CQ10" s="9">
        <f t="array" ref="CQ10">PRODUCT(1 + 預測IC!$C19:CP19) - 1</f>
        <v>1421.7075196528583</v>
      </c>
      <c r="CR10" s="9">
        <f t="array" ref="CR10">PRODUCT(1 + 預測IC!$C19:CQ19) - 1</f>
        <v>1229.6677345579167</v>
      </c>
      <c r="CS10" s="9">
        <f t="array" ref="CS10">PRODUCT(1 + 預測IC!$C19:CR19) - 1</f>
        <v>1104.8697605726591</v>
      </c>
      <c r="CT10" s="9">
        <f t="array" ref="CT10">PRODUCT(1 + 預測IC!$C19:CS19) - 1</f>
        <v>1080.1387469601123</v>
      </c>
      <c r="CU10" s="9">
        <f t="array" ref="CU10">PRODUCT(1 + 預測IC!$C19:CT19) - 1</f>
        <v>1016.1665809386917</v>
      </c>
      <c r="CV10" s="9">
        <f t="array" ref="CV10">PRODUCT(1 + 預測IC!$C19:CU19) - 1</f>
        <v>927.2699393047069</v>
      </c>
      <c r="CW10" s="9">
        <f t="array" ref="CW10">PRODUCT(1 + 預測IC!$C19:CV19) - 1</f>
        <v>902.5812235051244</v>
      </c>
      <c r="CX10" s="9">
        <f t="array" ref="CX10">PRODUCT(1 + 預測IC!$C19:CW19) - 1</f>
        <v>969.99383853404674</v>
      </c>
      <c r="CY10" s="9">
        <f t="array" ref="CY10">PRODUCT(1 + 預測IC!$C19:CX19) - 1</f>
        <v>1031.4231707888205</v>
      </c>
      <c r="CZ10" s="9">
        <f t="array" ref="CZ10">PRODUCT(1 + 預測IC!$C19:CY19) - 1</f>
        <v>985.10930858907261</v>
      </c>
      <c r="DA10" s="9">
        <f t="array" ref="DA10">PRODUCT(1 + 預測IC!$C19:CZ19) - 1</f>
        <v>999.02085089218099</v>
      </c>
      <c r="DB10" s="9">
        <f t="array" ref="DB10">PRODUCT(1 + 預測IC!$C19:DA19) - 1</f>
        <v>984.12669178093597</v>
      </c>
      <c r="DC10" s="9">
        <f t="array" ref="DC10">PRODUCT(1 + 預測IC!$C19:DB19) - 1</f>
        <v>1133.2870961141628</v>
      </c>
      <c r="DD10" s="9">
        <f t="array" ref="DD10">PRODUCT(1 + 預測IC!$C19:DC19) - 1</f>
        <v>998.74967923614474</v>
      </c>
      <c r="DE10" s="9">
        <f t="array" ref="DE10">PRODUCT(1 + 預測IC!$C19:DD19) - 1</f>
        <v>993.90885589687343</v>
      </c>
      <c r="DF10" s="9">
        <f t="array" ref="DF10">PRODUCT(1 + 預測IC!$C19:DE19) - 1</f>
        <v>1027.5781377846652</v>
      </c>
      <c r="DG10" s="9">
        <f t="array" ref="DG10">PRODUCT(1 + 預測IC!$C19:DF19) - 1</f>
        <v>1006.5849680616724</v>
      </c>
      <c r="DH10" s="9">
        <f t="array" ref="DH10">PRODUCT(1 + 預測IC!$C19:DG19) - 1</f>
        <v>944.68924196414673</v>
      </c>
      <c r="DI10" s="9">
        <f t="array" ref="DI10">PRODUCT(1 + 預測IC!$C19:DH19) - 1</f>
        <v>926.83088277534387</v>
      </c>
      <c r="DJ10" s="9">
        <f t="array" ref="DJ10">PRODUCT(1 + 預測IC!$C19:DI19) - 1</f>
        <v>1021.574388728898</v>
      </c>
      <c r="DK10" s="9">
        <f t="array" ref="DK10">PRODUCT(1 + 預測IC!$C19:DJ19) - 1</f>
        <v>1155.366452120626</v>
      </c>
      <c r="DL10" s="9">
        <f t="array" ref="DL10">PRODUCT(1 + 預測IC!$C19:DK19) - 1</f>
        <v>1041.7233058315142</v>
      </c>
      <c r="DM10" s="9">
        <f t="array" ref="DM10">PRODUCT(1 + 預測IC!$C19:DL19) - 1</f>
        <v>931.25909420027688</v>
      </c>
      <c r="DN10" s="9">
        <f t="array" ref="DN10">PRODUCT(1 + 預測IC!$C19:DM19) - 1</f>
        <v>806.91333667293691</v>
      </c>
      <c r="DO10" s="9">
        <f t="array" ref="DO10">PRODUCT(1 + 預測IC!$C19:DN19) - 1</f>
        <v>814.31502884925635</v>
      </c>
      <c r="DP10" s="9">
        <f t="array" ref="DP10">PRODUCT(1 + 預測IC!$C19:DO19) - 1</f>
        <v>765.7098903887495</v>
      </c>
      <c r="DQ10" s="9">
        <f t="array" ref="DQ10">PRODUCT(1 + 預測IC!$C19:DP19) - 1</f>
        <v>761.69785888872866</v>
      </c>
      <c r="DR10" s="9">
        <f t="array" ref="DR10">PRODUCT(1 + 預測IC!$C19:DQ19) - 1</f>
        <v>697.28408511872112</v>
      </c>
      <c r="DS10" s="9">
        <f t="array" ref="DS10">PRODUCT(1 + 預測IC!$C19:DR19) - 1</f>
        <v>693.77696372897162</v>
      </c>
      <c r="DT10" s="9">
        <f t="array" ref="DT10">PRODUCT(1 + 預測IC!$C19:DS19) - 1</f>
        <v>715.71073992958475</v>
      </c>
      <c r="DU10" s="9">
        <f t="array" ref="DU10">PRODUCT(1 + 預測IC!$C19:DT19) - 1</f>
        <v>721.24642742568494</v>
      </c>
      <c r="DV10" s="9">
        <f t="array" ref="DV10">PRODUCT(1 + 預測IC!$C19:DU19) - 1</f>
        <v>725.16791523737527</v>
      </c>
      <c r="DW10" s="9">
        <f t="array" ref="DW10">PRODUCT(1 + 預測IC!$C19:DV19) - 1</f>
        <v>728.23698863111326</v>
      </c>
      <c r="DX10" s="9">
        <f t="array" ref="DX10">PRODUCT(1 + 預測IC!$C19:DW19) - 1</f>
        <v>795.29198010964569</v>
      </c>
      <c r="DY10" s="9">
        <f t="array" ref="DY10">PRODUCT(1 + 預測IC!$C19:DX19) - 1</f>
        <v>784.19307338510282</v>
      </c>
      <c r="DZ10" s="9">
        <f t="array" ref="DZ10">PRODUCT(1 + 預測IC!$C19:DY19) - 1</f>
        <v>797.02909020120455</v>
      </c>
      <c r="EA10" s="9">
        <f t="array" ref="EA10">PRODUCT(1 + 預測IC!$C19:DZ19) - 1</f>
        <v>797.5574090503452</v>
      </c>
      <c r="EB10" s="9">
        <f t="array" ref="EB10">PRODUCT(1 + 預測IC!$C19:EA19) - 1</f>
        <v>812.44920814796171</v>
      </c>
      <c r="EC10" s="9">
        <f t="array" ref="EC10">PRODUCT(1 + 預測IC!$C19:EB19) - 1</f>
        <v>800.50157346648905</v>
      </c>
      <c r="ED10" s="9">
        <f t="array" ref="ED10">PRODUCT(1 + 預測IC!$C19:EC19) - 1</f>
        <v>805.15465840099966</v>
      </c>
      <c r="EE10" s="9">
        <f t="array" ref="EE10">PRODUCT(1 + 預測IC!$C19:ED19) - 1</f>
        <v>837.55090264002968</v>
      </c>
      <c r="EF10" s="9">
        <f t="array" ref="EF10">PRODUCT(1 + 預測IC!$C19:EE19) - 1</f>
        <v>831.13996381566994</v>
      </c>
      <c r="EG10" s="9">
        <f t="array" ref="EG10">PRODUCT(1 + 預測IC!$C19:EF19) - 1</f>
        <v>887.29147560976912</v>
      </c>
    </row>
    <row r="11" spans="3:137" ht="16" customHeight="1">
      <c r="C11" s="6">
        <v>137</v>
      </c>
      <c r="D11" s="9">
        <v>0.8094712492495254</v>
      </c>
      <c r="E11" s="9">
        <f t="array" ref="E11">PRODUCT(1 + 預測IC!$C20:D20) - 1</f>
        <v>2.2688385843323777</v>
      </c>
      <c r="F11" s="9">
        <f t="array" ref="F11">PRODUCT(1 + 預測IC!$C20:E20) - 1</f>
        <v>4.3596921203842127</v>
      </c>
      <c r="G11" s="9">
        <f t="array" ref="G11">PRODUCT(1 + 預測IC!$C20:F20) - 1</f>
        <v>9.9414562439945922</v>
      </c>
      <c r="H11" s="9">
        <f t="array" ref="H11">PRODUCT(1 + 預測IC!$C20:G20) - 1</f>
        <v>18.03469818503509</v>
      </c>
      <c r="I11" s="9">
        <f t="array" ref="I11">PRODUCT(1 + 預測IC!$C20:H20) - 1</f>
        <v>30.44675756569918</v>
      </c>
      <c r="J11" s="9">
        <f t="array" ref="J11">PRODUCT(1 + 預測IC!$C20:I20) - 1</f>
        <v>50.097991451961931</v>
      </c>
      <c r="K11" s="9">
        <f t="array" ref="K11">PRODUCT(1 + 預測IC!$C20:J20) - 1</f>
        <v>89.538240581557574</v>
      </c>
      <c r="L11" s="9">
        <f t="array" ref="L11">PRODUCT(1 + 預測IC!$C20:K20) - 1</f>
        <v>162.43522677196771</v>
      </c>
      <c r="M11" s="9">
        <f t="array" ref="M11">PRODUCT(1 + 預測IC!$C20:L20) - 1</f>
        <v>281.84168839785769</v>
      </c>
      <c r="N11" s="9">
        <f t="array" ref="N11">PRODUCT(1 + 預測IC!$C20:M20) - 1</f>
        <v>581.99722431679606</v>
      </c>
      <c r="O11" s="9">
        <f t="array" ref="O11">PRODUCT(1 + 預測IC!$C20:N20) - 1</f>
        <v>1025.7678332234143</v>
      </c>
      <c r="P11" s="9">
        <f t="array" ref="P11">PRODUCT(1 + 預測IC!$C20:O20) - 1</f>
        <v>1141.4872419074229</v>
      </c>
      <c r="Q11" s="9">
        <f t="array" ref="Q11">PRODUCT(1 + 預測IC!$C20:P20) - 1</f>
        <v>1135.8585223632876</v>
      </c>
      <c r="R11" s="9">
        <f t="array" ref="R11">PRODUCT(1 + 預測IC!$C20:Q20) - 1</f>
        <v>1022.5332970729755</v>
      </c>
      <c r="S11" s="9">
        <f t="array" ref="S11">PRODUCT(1 + 預測IC!$C20:R20) - 1</f>
        <v>955.65674562306401</v>
      </c>
      <c r="T11" s="9">
        <f t="array" ref="T11">PRODUCT(1 + 預測IC!$C20:S20) - 1</f>
        <v>774.1879543332924</v>
      </c>
      <c r="U11" s="9">
        <f t="array" ref="U11">PRODUCT(1 + 預測IC!$C20:T20) - 1</f>
        <v>801.47880626315987</v>
      </c>
      <c r="V11" s="9">
        <f t="array" ref="V11">PRODUCT(1 + 預測IC!$C20:U20) - 1</f>
        <v>818.38274107677466</v>
      </c>
      <c r="W11" s="9">
        <f t="array" ref="W11">PRODUCT(1 + 預測IC!$C20:V20) - 1</f>
        <v>811.99973637207074</v>
      </c>
      <c r="X11" s="9">
        <f t="array" ref="X11">PRODUCT(1 + 預測IC!$C20:W20) - 1</f>
        <v>811.56606622181823</v>
      </c>
      <c r="Y11" s="9">
        <f t="array" ref="Y11">PRODUCT(1 + 預測IC!$C20:X20) - 1</f>
        <v>849.70980007294031</v>
      </c>
      <c r="Z11" s="9">
        <f t="array" ref="Z11">PRODUCT(1 + 預測IC!$C20:Y20) - 1</f>
        <v>859.35459478745258</v>
      </c>
      <c r="AA11" s="9">
        <f t="array" ref="AA11">PRODUCT(1 + 預測IC!$C20:Z20) - 1</f>
        <v>917.04649510562228</v>
      </c>
      <c r="AB11" s="9">
        <f t="array" ref="AB11">PRODUCT(1 + 預測IC!$C20:AA20) - 1</f>
        <v>781.9099737444061</v>
      </c>
      <c r="AC11" s="9">
        <f t="array" ref="AC11">PRODUCT(1 + 預測IC!$C20:AB20) - 1</f>
        <v>766.03523667982472</v>
      </c>
      <c r="AD11" s="9">
        <f t="array" ref="AD11">PRODUCT(1 + 預測IC!$C20:AC20) - 1</f>
        <v>778.05595253786203</v>
      </c>
      <c r="AE11" s="9">
        <f t="array" ref="AE11">PRODUCT(1 + 預測IC!$C20:AD20) - 1</f>
        <v>812.24069564245303</v>
      </c>
      <c r="AF11" s="9">
        <f t="array" ref="AF11">PRODUCT(1 + 預測IC!$C20:AE20) - 1</f>
        <v>799.2769048463781</v>
      </c>
      <c r="AG11" s="9">
        <f t="array" ref="AG11">PRODUCT(1 + 預測IC!$C20:AF20) - 1</f>
        <v>959.14565426293302</v>
      </c>
      <c r="AH11" s="9">
        <f t="array" ref="AH11">PRODUCT(1 + 預測IC!$C20:AG20) - 1</f>
        <v>897.02577183743404</v>
      </c>
      <c r="AI11" s="9">
        <f t="array" ref="AI11">PRODUCT(1 + 預測IC!$C20:AH20) - 1</f>
        <v>915.53907024350406</v>
      </c>
      <c r="AJ11" s="9">
        <f t="array" ref="AJ11">PRODUCT(1 + 預測IC!$C20:AI20) - 1</f>
        <v>865.21911368098813</v>
      </c>
      <c r="AK11" s="9">
        <f t="array" ref="AK11">PRODUCT(1 + 預測IC!$C20:AJ20) - 1</f>
        <v>856.78254669952958</v>
      </c>
      <c r="AL11" s="9">
        <f t="array" ref="AL11">PRODUCT(1 + 預測IC!$C20:AK20) - 1</f>
        <v>781.06094161769965</v>
      </c>
      <c r="AM11" s="9">
        <f t="array" ref="AM11">PRODUCT(1 + 預測IC!$C20:AL20) - 1</f>
        <v>763.74087159715668</v>
      </c>
      <c r="AN11" s="9">
        <f t="array" ref="AN11">PRODUCT(1 + 預測IC!$C20:AM20) - 1</f>
        <v>929.45363386044585</v>
      </c>
      <c r="AO11" s="9">
        <f t="array" ref="AO11">PRODUCT(1 + 預測IC!$C20:AN20) - 1</f>
        <v>941.62013967306848</v>
      </c>
      <c r="AP11" s="9">
        <f t="array" ref="AP11">PRODUCT(1 + 預測IC!$C20:AO20) - 1</f>
        <v>920.580400169634</v>
      </c>
      <c r="AQ11" s="9">
        <f t="array" ref="AQ11">PRODUCT(1 + 預測IC!$C20:AP20) - 1</f>
        <v>871.23038505295904</v>
      </c>
      <c r="AR11" s="9">
        <f t="array" ref="AR11">PRODUCT(1 + 預測IC!$C20:AQ20) - 1</f>
        <v>1030.351993452176</v>
      </c>
      <c r="AS11" s="9">
        <f t="array" ref="AS11">PRODUCT(1 + 預測IC!$C20:AR20) - 1</f>
        <v>1047.2482744471736</v>
      </c>
      <c r="AT11" s="9">
        <f t="array" ref="AT11">PRODUCT(1 + 預測IC!$C20:AS20) - 1</f>
        <v>966.31091576307006</v>
      </c>
      <c r="AU11" s="9">
        <f t="array" ref="AU11">PRODUCT(1 + 預測IC!$C20:AT20) - 1</f>
        <v>963.36161376936366</v>
      </c>
      <c r="AV11" s="9">
        <f t="array" ref="AV11">PRODUCT(1 + 預測IC!$C20:AU20) - 1</f>
        <v>956.24832587040032</v>
      </c>
      <c r="AW11" s="9">
        <f t="array" ref="AW11">PRODUCT(1 + 預測IC!$C20:AV20) - 1</f>
        <v>955.90101870309877</v>
      </c>
      <c r="AX11" s="9">
        <f t="array" ref="AX11">PRODUCT(1 + 預測IC!$C20:AW20) - 1</f>
        <v>900.93523712862691</v>
      </c>
      <c r="AY11" s="9">
        <f t="array" ref="AY11">PRODUCT(1 + 預測IC!$C20:AX20) - 1</f>
        <v>896.28086512876519</v>
      </c>
      <c r="AZ11" s="9">
        <f t="array" ref="AZ11">PRODUCT(1 + 預測IC!$C20:AY20) - 1</f>
        <v>978.31371835398841</v>
      </c>
      <c r="BA11" s="9">
        <f t="array" ref="BA11">PRODUCT(1 + 預測IC!$C20:AZ20) - 1</f>
        <v>937.8982388918364</v>
      </c>
      <c r="BB11" s="9">
        <f t="array" ref="BB11">PRODUCT(1 + 預測IC!$C20:BA20) - 1</f>
        <v>948.54060299792513</v>
      </c>
      <c r="BC11" s="9">
        <f t="array" ref="BC11">PRODUCT(1 + 預測IC!$C20:BB20) - 1</f>
        <v>822.87586656067822</v>
      </c>
      <c r="BD11" s="9">
        <f t="array" ref="BD11">PRODUCT(1 + 預測IC!$C20:BC20) - 1</f>
        <v>816.3276945879345</v>
      </c>
      <c r="BE11" s="9">
        <f t="array" ref="BE11">PRODUCT(1 + 預測IC!$C20:BD20) - 1</f>
        <v>817.27816068442201</v>
      </c>
      <c r="BF11" s="9">
        <f t="array" ref="BF11">PRODUCT(1 + 預測IC!$C20:BE20) - 1</f>
        <v>798.25940935591495</v>
      </c>
      <c r="BG11" s="9">
        <f t="array" ref="BG11">PRODUCT(1 + 預測IC!$C20:BF20) - 1</f>
        <v>856.48960091340905</v>
      </c>
      <c r="BH11" s="9">
        <f t="array" ref="BH11">PRODUCT(1 + 預測IC!$C20:BG20) - 1</f>
        <v>915.97368095050956</v>
      </c>
      <c r="BI11" s="9">
        <f t="array" ref="BI11">PRODUCT(1 + 預測IC!$C20:BH20) - 1</f>
        <v>1062.7845958639994</v>
      </c>
      <c r="BJ11" s="9">
        <f t="array" ref="BJ11">PRODUCT(1 + 預測IC!$C20:BI20) - 1</f>
        <v>997.56901089761845</v>
      </c>
      <c r="BK11" s="9">
        <f t="array" ref="BK11">PRODUCT(1 + 預測IC!$C20:BJ20) - 1</f>
        <v>1085.7825496788191</v>
      </c>
      <c r="BL11" s="9">
        <f t="array" ref="BL11">PRODUCT(1 + 預測IC!$C20:BK20) - 1</f>
        <v>1135.9637182376259</v>
      </c>
      <c r="BM11" s="9">
        <f t="array" ref="BM11">PRODUCT(1 + 預測IC!$C20:BL20) - 1</f>
        <v>1230.9426878399283</v>
      </c>
      <c r="BN11" s="9">
        <f t="array" ref="BN11">PRODUCT(1 + 預測IC!$C20:BM20) - 1</f>
        <v>1280.8900672079228</v>
      </c>
      <c r="BO11" s="9">
        <f t="array" ref="BO11">PRODUCT(1 + 預測IC!$C20:BN20) - 1</f>
        <v>1320.8394919004454</v>
      </c>
      <c r="BP11" s="9">
        <f t="array" ref="BP11">PRODUCT(1 + 預測IC!$C20:BO20) - 1</f>
        <v>1266.8348567826506</v>
      </c>
      <c r="BQ11" s="9">
        <f t="array" ref="BQ11">PRODUCT(1 + 預測IC!$C20:BP20) - 1</f>
        <v>1436.2401994591587</v>
      </c>
      <c r="BR11" s="9">
        <f t="array" ref="BR11">PRODUCT(1 + 預測IC!$C20:BQ20) - 1</f>
        <v>1501.5920910212265</v>
      </c>
      <c r="BS11" s="9">
        <f t="array" ref="BS11">PRODUCT(1 + 預測IC!$C20:BR20) - 1</f>
        <v>1346.4321914082709</v>
      </c>
      <c r="BT11" s="9">
        <f t="array" ref="BT11">PRODUCT(1 + 預測IC!$C20:BS20) - 1</f>
        <v>1290.4598335609937</v>
      </c>
      <c r="BU11" s="9">
        <f t="array" ref="BU11">PRODUCT(1 + 預測IC!$C20:BT20) - 1</f>
        <v>1400.6041907568044</v>
      </c>
      <c r="BV11" s="9">
        <f t="array" ref="BV11">PRODUCT(1 + 預測IC!$C20:BU20) - 1</f>
        <v>1459.0341840926906</v>
      </c>
      <c r="BW11" s="9">
        <f t="array" ref="BW11">PRODUCT(1 + 預測IC!$C20:BV20) - 1</f>
        <v>1660.2521061359755</v>
      </c>
      <c r="BX11" s="9">
        <f t="array" ref="BX11">PRODUCT(1 + 預測IC!$C20:BW20) - 1</f>
        <v>1416.8356299626566</v>
      </c>
      <c r="BY11" s="9">
        <f t="array" ref="BY11">PRODUCT(1 + 預測IC!$C20:BX20) - 1</f>
        <v>1460.1145385248458</v>
      </c>
      <c r="BZ11" s="9">
        <f t="array" ref="BZ11">PRODUCT(1 + 預測IC!$C20:BY20) - 1</f>
        <v>1372.8797529529227</v>
      </c>
      <c r="CA11" s="9">
        <f t="array" ref="CA11">PRODUCT(1 + 預測IC!$C20:BZ20) - 1</f>
        <v>1373.8079644837649</v>
      </c>
      <c r="CB11" s="9">
        <f t="array" ref="CB11">PRODUCT(1 + 預測IC!$C20:CA20) - 1</f>
        <v>1291.9222446670608</v>
      </c>
      <c r="CC11" s="9">
        <f t="array" ref="CC11">PRODUCT(1 + 預測IC!$C20:CB20) - 1</f>
        <v>1292.4355899610957</v>
      </c>
      <c r="CD11" s="9">
        <f t="array" ref="CD11">PRODUCT(1 + 預測IC!$C20:CC20) - 1</f>
        <v>1351.3604931606737</v>
      </c>
      <c r="CE11" s="9">
        <f t="array" ref="CE11">PRODUCT(1 + 預測IC!$C20:CD20) - 1</f>
        <v>1275.4198018984007</v>
      </c>
      <c r="CF11" s="9">
        <f t="array" ref="CF11">PRODUCT(1 + 預測IC!$C20:CE20) - 1</f>
        <v>1256.1833102394437</v>
      </c>
      <c r="CG11" s="9">
        <f t="array" ref="CG11">PRODUCT(1 + 預測IC!$C20:CF20) - 1</f>
        <v>1326.3237175941358</v>
      </c>
      <c r="CH11" s="9">
        <f t="array" ref="CH11">PRODUCT(1 + 預測IC!$C20:CG20) - 1</f>
        <v>1300.2417463474542</v>
      </c>
      <c r="CI11" s="9">
        <f t="array" ref="CI11">PRODUCT(1 + 預測IC!$C20:CH20) - 1</f>
        <v>1318.1278975456651</v>
      </c>
      <c r="CJ11" s="9">
        <f t="array" ref="CJ11">PRODUCT(1 + 預測IC!$C20:CI20) - 1</f>
        <v>1378.6305360523106</v>
      </c>
      <c r="CK11" s="9">
        <f t="array" ref="CK11">PRODUCT(1 + 預測IC!$C20:CJ20) - 1</f>
        <v>1387.4968792623533</v>
      </c>
      <c r="CL11" s="9">
        <f t="array" ref="CL11">PRODUCT(1 + 預測IC!$C20:CK20) - 1</f>
        <v>1306.5432276535391</v>
      </c>
      <c r="CM11" s="9">
        <f t="array" ref="CM11">PRODUCT(1 + 預測IC!$C20:CL20) - 1</f>
        <v>1151.8689545545819</v>
      </c>
      <c r="CN11" s="9">
        <f t="array" ref="CN11">PRODUCT(1 + 預測IC!$C20:CM20) - 1</f>
        <v>1257.7957927078869</v>
      </c>
      <c r="CO11" s="9">
        <f t="array" ref="CO11">PRODUCT(1 + 預測IC!$C20:CN20) - 1</f>
        <v>1394.0584042552755</v>
      </c>
      <c r="CP11" s="9">
        <f t="array" ref="CP11">PRODUCT(1 + 預測IC!$C20:CO20) - 1</f>
        <v>1509.0107906533663</v>
      </c>
      <c r="CQ11" s="9">
        <f t="array" ref="CQ11">PRODUCT(1 + 預測IC!$C20:CP20) - 1</f>
        <v>1790.3430577608867</v>
      </c>
      <c r="CR11" s="9">
        <f t="array" ref="CR11">PRODUCT(1 + 預測IC!$C20:CQ20) - 1</f>
        <v>1545.703122499438</v>
      </c>
      <c r="CS11" s="9">
        <f t="array" ref="CS11">PRODUCT(1 + 預測IC!$C20:CR20) - 1</f>
        <v>1357.6723942465517</v>
      </c>
      <c r="CT11" s="9">
        <f t="array" ref="CT11">PRODUCT(1 + 預測IC!$C20:CS20) - 1</f>
        <v>1351.956650099627</v>
      </c>
      <c r="CU11" s="9">
        <f t="array" ref="CU11">PRODUCT(1 + 預測IC!$C20:CT20) - 1</f>
        <v>1252.2544073748372</v>
      </c>
      <c r="CV11" s="9">
        <f t="array" ref="CV11">PRODUCT(1 + 預測IC!$C20:CU20) - 1</f>
        <v>1135.8975127768724</v>
      </c>
      <c r="CW11" s="9">
        <f t="array" ref="CW11">PRODUCT(1 + 預測IC!$C20:CV20) - 1</f>
        <v>1097.896690330201</v>
      </c>
      <c r="CX11" s="9">
        <f t="array" ref="CX11">PRODUCT(1 + 預測IC!$C20:CW20) - 1</f>
        <v>1140.5932581164109</v>
      </c>
      <c r="CY11" s="9">
        <f t="array" ref="CY11">PRODUCT(1 + 預測IC!$C20:CX20) - 1</f>
        <v>1198.0132518854805</v>
      </c>
      <c r="CZ11" s="9">
        <f t="array" ref="CZ11">PRODUCT(1 + 預測IC!$C20:CY20) - 1</f>
        <v>1125.4753953264171</v>
      </c>
      <c r="DA11" s="9">
        <f t="array" ref="DA11">PRODUCT(1 + 預測IC!$C20:CZ20) - 1</f>
        <v>1181.1696522011268</v>
      </c>
      <c r="DB11" s="9">
        <f t="array" ref="DB11">PRODUCT(1 + 預測IC!$C20:DA20) - 1</f>
        <v>1163.8612788464045</v>
      </c>
      <c r="DC11" s="9">
        <f t="array" ref="DC11">PRODUCT(1 + 預測IC!$C20:DB20) - 1</f>
        <v>1333.2794577046329</v>
      </c>
      <c r="DD11" s="9">
        <f t="array" ref="DD11">PRODUCT(1 + 預測IC!$C20:DC20) - 1</f>
        <v>1168.4370240489541</v>
      </c>
      <c r="DE11" s="9">
        <f t="array" ref="DE11">PRODUCT(1 + 預測IC!$C20:DD20) - 1</f>
        <v>1164.4674194239374</v>
      </c>
      <c r="DF11" s="9">
        <f t="array" ref="DF11">PRODUCT(1 + 預測IC!$C20:DE20) - 1</f>
        <v>1236.7893696918936</v>
      </c>
      <c r="DG11" s="9">
        <f t="array" ref="DG11">PRODUCT(1 + 預測IC!$C20:DF20) - 1</f>
        <v>1209.5913551022102</v>
      </c>
      <c r="DH11" s="9">
        <f t="array" ref="DH11">PRODUCT(1 + 預測IC!$C20:DG20) - 1</f>
        <v>1132.4784234352162</v>
      </c>
      <c r="DI11" s="9">
        <f t="array" ref="DI11">PRODUCT(1 + 預測IC!$C20:DH20) - 1</f>
        <v>1124.961420959515</v>
      </c>
      <c r="DJ11" s="9">
        <f t="array" ref="DJ11">PRODUCT(1 + 預測IC!$C20:DI20) - 1</f>
        <v>1230.7274486087579</v>
      </c>
      <c r="DK11" s="9">
        <f t="array" ref="DK11">PRODUCT(1 + 預測IC!$C20:DJ20) - 1</f>
        <v>1396.3604944773415</v>
      </c>
      <c r="DL11" s="9">
        <f t="array" ref="DL11">PRODUCT(1 + 預測IC!$C20:DK20) - 1</f>
        <v>1295.8490557294092</v>
      </c>
      <c r="DM11" s="9">
        <f t="array" ref="DM11">PRODUCT(1 + 預測IC!$C20:DL20) - 1</f>
        <v>1175.8954282635248</v>
      </c>
      <c r="DN11" s="9">
        <f t="array" ref="DN11">PRODUCT(1 + 預測IC!$C20:DM20) - 1</f>
        <v>1033.5458190307047</v>
      </c>
      <c r="DO11" s="9">
        <f t="array" ref="DO11">PRODUCT(1 + 預測IC!$C20:DN20) - 1</f>
        <v>1025.8652164255652</v>
      </c>
      <c r="DP11" s="9">
        <f t="array" ref="DP11">PRODUCT(1 + 預測IC!$C20:DO20) - 1</f>
        <v>981.29152435182402</v>
      </c>
      <c r="DQ11" s="9">
        <f t="array" ref="DQ11">PRODUCT(1 + 預測IC!$C20:DP20) - 1</f>
        <v>948.42766385530626</v>
      </c>
      <c r="DR11" s="9">
        <f t="array" ref="DR11">PRODUCT(1 + 預測IC!$C20:DQ20) - 1</f>
        <v>871.80624448044603</v>
      </c>
      <c r="DS11" s="9">
        <f t="array" ref="DS11">PRODUCT(1 + 預測IC!$C20:DR20) - 1</f>
        <v>860.1953963626014</v>
      </c>
      <c r="DT11" s="9">
        <f t="array" ref="DT11">PRODUCT(1 + 預測IC!$C20:DS20) - 1</f>
        <v>898.88552517724008</v>
      </c>
      <c r="DU11" s="9">
        <f t="array" ref="DU11">PRODUCT(1 + 預測IC!$C20:DT20) - 1</f>
        <v>905.58050674661581</v>
      </c>
      <c r="DV11" s="9">
        <f t="array" ref="DV11">PRODUCT(1 + 預測IC!$C20:DU20) - 1</f>
        <v>922.85859502355947</v>
      </c>
      <c r="DW11" s="9">
        <f t="array" ref="DW11">PRODUCT(1 + 預測IC!$C20:DV20) - 1</f>
        <v>914.14869255421752</v>
      </c>
      <c r="DX11" s="9">
        <f t="array" ref="DX11">PRODUCT(1 + 預測IC!$C20:DW20) - 1</f>
        <v>1017.4829800990287</v>
      </c>
      <c r="DY11" s="9">
        <f t="array" ref="DY11">PRODUCT(1 + 預測IC!$C20:DX20) - 1</f>
        <v>1016.9396194842133</v>
      </c>
      <c r="DZ11" s="9">
        <f t="array" ref="DZ11">PRODUCT(1 + 預測IC!$C20:DY20) - 1</f>
        <v>1007.0034587790942</v>
      </c>
      <c r="EA11" s="9">
        <f t="array" ref="EA11">PRODUCT(1 + 預測IC!$C20:DZ20) - 1</f>
        <v>1018.4438778462709</v>
      </c>
      <c r="EB11" s="9">
        <f t="array" ref="EB11">PRODUCT(1 + 預測IC!$C20:EA20) - 1</f>
        <v>1047.3791731959247</v>
      </c>
      <c r="EC11" s="9">
        <f t="array" ref="EC11">PRODUCT(1 + 預測IC!$C20:EB20) - 1</f>
        <v>1021.8673197322684</v>
      </c>
      <c r="ED11" s="9">
        <f t="array" ref="ED11">PRODUCT(1 + 預測IC!$C20:EC20) - 1</f>
        <v>1029.4398878216639</v>
      </c>
      <c r="EE11" s="9">
        <f t="array" ref="EE11">PRODUCT(1 + 預測IC!$C20:ED20) - 1</f>
        <v>1073.2554505541755</v>
      </c>
      <c r="EF11" s="9">
        <f t="array" ref="EF11">PRODUCT(1 + 預測IC!$C20:EE20) - 1</f>
        <v>1092.0783320776934</v>
      </c>
      <c r="EG11" s="9">
        <f t="array" ref="EG11">PRODUCT(1 + 預測IC!$C20:EF20) - 1</f>
        <v>1172.0169290311842</v>
      </c>
    </row>
    <row r="12" spans="3:137" ht="16" customHeight="1">
      <c r="C12" s="6">
        <v>160</v>
      </c>
      <c r="D12" s="9">
        <v>0.85469133748512671</v>
      </c>
      <c r="E12" s="9">
        <f t="array" ref="E12">PRODUCT(1 + 預測IC!$C21:D21) - 1</f>
        <v>2.4493788286419824</v>
      </c>
      <c r="F12" s="9">
        <f t="array" ref="F12">PRODUCT(1 + 預測IC!$C21:E21) - 1</f>
        <v>4.8203849192161243</v>
      </c>
      <c r="G12" s="9">
        <f t="array" ref="G12">PRODUCT(1 + 預測IC!$C21:F21) - 1</f>
        <v>11.312840016477358</v>
      </c>
      <c r="H12" s="9">
        <f t="array" ref="H12">PRODUCT(1 + 預測IC!$C21:G21) - 1</f>
        <v>20.872956028382841</v>
      </c>
      <c r="I12" s="9">
        <f t="array" ref="I12">PRODUCT(1 + 預測IC!$C21:H21) - 1</f>
        <v>35.737757405545501</v>
      </c>
      <c r="J12" s="9">
        <f t="array" ref="J12">PRODUCT(1 + 預測IC!$C21:I21) - 1</f>
        <v>59.381028696044645</v>
      </c>
      <c r="K12" s="9">
        <f t="array" ref="K12">PRODUCT(1 + 預測IC!$C21:J21) - 1</f>
        <v>108.45539289733917</v>
      </c>
      <c r="L12" s="9">
        <f t="array" ref="L12">PRODUCT(1 + 預測IC!$C21:K21) - 1</f>
        <v>202.34496783138567</v>
      </c>
      <c r="M12" s="9">
        <f t="array" ref="M12">PRODUCT(1 + 預測IC!$C21:L21) - 1</f>
        <v>363.49370582235582</v>
      </c>
      <c r="N12" s="9">
        <f t="array" ref="N12">PRODUCT(1 + 預測IC!$C21:M21) - 1</f>
        <v>763.0662951756193</v>
      </c>
      <c r="O12" s="9">
        <f t="array" ref="O12">PRODUCT(1 + 預測IC!$C21:N21) - 1</f>
        <v>1387.6664718633799</v>
      </c>
      <c r="P12" s="9">
        <f t="array" ref="P12">PRODUCT(1 + 預測IC!$C21:O21) - 1</f>
        <v>1536.9688213435661</v>
      </c>
      <c r="Q12" s="9">
        <f t="array" ref="Q12">PRODUCT(1 + 預測IC!$C21:P21) - 1</f>
        <v>1540.6847877853477</v>
      </c>
      <c r="R12" s="9">
        <f t="array" ref="R12">PRODUCT(1 + 預測IC!$C21:Q21) - 1</f>
        <v>1355.7396977384128</v>
      </c>
      <c r="S12" s="9">
        <f t="array" ref="S12">PRODUCT(1 + 預測IC!$C21:R21) - 1</f>
        <v>1274.6315753106803</v>
      </c>
      <c r="T12" s="9">
        <f t="array" ref="T12">PRODUCT(1 + 預測IC!$C21:S21) - 1</f>
        <v>985.25475145883058</v>
      </c>
      <c r="U12" s="9">
        <f t="array" ref="U12">PRODUCT(1 + 預測IC!$C21:T21) - 1</f>
        <v>1005.5136354359438</v>
      </c>
      <c r="V12" s="9">
        <f t="array" ref="V12">PRODUCT(1 + 預測IC!$C21:U21) - 1</f>
        <v>1041.0131219620841</v>
      </c>
      <c r="W12" s="9">
        <f t="array" ref="W12">PRODUCT(1 + 預測IC!$C21:V21) - 1</f>
        <v>1048.0111781873145</v>
      </c>
      <c r="X12" s="9">
        <f t="array" ref="X12">PRODUCT(1 + 預測IC!$C21:W21) - 1</f>
        <v>1055.0576764273064</v>
      </c>
      <c r="Y12" s="9">
        <f t="array" ref="Y12">PRODUCT(1 + 預測IC!$C21:X21) - 1</f>
        <v>1128.0436493092971</v>
      </c>
      <c r="Z12" s="9">
        <f t="array" ref="Z12">PRODUCT(1 + 預測IC!$C21:Y21) - 1</f>
        <v>1142.1449183631623</v>
      </c>
      <c r="AA12" s="9">
        <f t="array" ref="AA12">PRODUCT(1 + 預測IC!$C21:Z21) - 1</f>
        <v>1204.224466735609</v>
      </c>
      <c r="AB12" s="9">
        <f t="array" ref="AB12">PRODUCT(1 + 預測IC!$C21:AA21) - 1</f>
        <v>1033.9438024025762</v>
      </c>
      <c r="AC12" s="9">
        <f t="array" ref="AC12">PRODUCT(1 + 預測IC!$C21:AB21) - 1</f>
        <v>992.84429557950023</v>
      </c>
      <c r="AD12" s="9">
        <f t="array" ref="AD12">PRODUCT(1 + 預測IC!$C21:AC21) - 1</f>
        <v>1002.8757466720817</v>
      </c>
      <c r="AE12" s="9">
        <f t="array" ref="AE12">PRODUCT(1 + 預測IC!$C21:AD21) - 1</f>
        <v>1038.4673110616832</v>
      </c>
      <c r="AF12" s="9">
        <f t="array" ref="AF12">PRODUCT(1 + 預測IC!$C21:AE21) - 1</f>
        <v>1000.9251302698458</v>
      </c>
      <c r="AG12" s="9">
        <f t="array" ref="AG12">PRODUCT(1 + 預測IC!$C21:AF21) - 1</f>
        <v>1237.5268481726514</v>
      </c>
      <c r="AH12" s="9">
        <f t="array" ref="AH12">PRODUCT(1 + 預測IC!$C21:AG21) - 1</f>
        <v>1138.2470306809578</v>
      </c>
      <c r="AI12" s="9">
        <f t="array" ref="AI12">PRODUCT(1 + 預測IC!$C21:AH21) - 1</f>
        <v>1108.2203216599551</v>
      </c>
      <c r="AJ12" s="9">
        <f t="array" ref="AJ12">PRODUCT(1 + 預測IC!$C21:AI21) - 1</f>
        <v>1032.904737602913</v>
      </c>
      <c r="AK12" s="9">
        <f t="array" ref="AK12">PRODUCT(1 + 預測IC!$C21:AJ21) - 1</f>
        <v>992.40866254176228</v>
      </c>
      <c r="AL12" s="9">
        <f t="array" ref="AL12">PRODUCT(1 + 預測IC!$C21:AK21) - 1</f>
        <v>930.74942552807852</v>
      </c>
      <c r="AM12" s="9">
        <f t="array" ref="AM12">PRODUCT(1 + 預測IC!$C21:AL21) - 1</f>
        <v>905.38415863167518</v>
      </c>
      <c r="AN12" s="9">
        <f t="array" ref="AN12">PRODUCT(1 + 預測IC!$C21:AM21) - 1</f>
        <v>1121.7272338479358</v>
      </c>
      <c r="AO12" s="9">
        <f t="array" ref="AO12">PRODUCT(1 + 預測IC!$C21:AN21) - 1</f>
        <v>1115.6554128947519</v>
      </c>
      <c r="AP12" s="9">
        <f t="array" ref="AP12">PRODUCT(1 + 預測IC!$C21:AO21) - 1</f>
        <v>984.14974341651691</v>
      </c>
      <c r="AQ12" s="9">
        <f t="array" ref="AQ12">PRODUCT(1 + 預測IC!$C21:AP21) - 1</f>
        <v>919.07098590594819</v>
      </c>
      <c r="AR12" s="9">
        <f t="array" ref="AR12">PRODUCT(1 + 預測IC!$C21:AQ21) - 1</f>
        <v>1076.6823263618048</v>
      </c>
      <c r="AS12" s="9">
        <f t="array" ref="AS12">PRODUCT(1 + 預測IC!$C21:AR21) - 1</f>
        <v>1079.1010212421568</v>
      </c>
      <c r="AT12" s="9">
        <f t="array" ref="AT12">PRODUCT(1 + 預測IC!$C21:AS21) - 1</f>
        <v>998.72437318656546</v>
      </c>
      <c r="AU12" s="9">
        <f t="array" ref="AU12">PRODUCT(1 + 預測IC!$C21:AT21) - 1</f>
        <v>1002.702103036516</v>
      </c>
      <c r="AV12" s="9">
        <f t="array" ref="AV12">PRODUCT(1 + 預測IC!$C21:AU21) - 1</f>
        <v>1034.0380825243906</v>
      </c>
      <c r="AW12" s="9">
        <f t="array" ref="AW12">PRODUCT(1 + 預測IC!$C21:AV21) - 1</f>
        <v>1028.4467457648111</v>
      </c>
      <c r="AX12" s="9">
        <f t="array" ref="AX12">PRODUCT(1 + 預測IC!$C21:AW21) - 1</f>
        <v>978.16628244346123</v>
      </c>
      <c r="AY12" s="9">
        <f t="array" ref="AY12">PRODUCT(1 + 預測IC!$C21:AX21) - 1</f>
        <v>946.5488988741746</v>
      </c>
      <c r="AZ12" s="9">
        <f t="array" ref="AZ12">PRODUCT(1 + 預測IC!$C21:AY21) - 1</f>
        <v>1010.3024566869593</v>
      </c>
      <c r="BA12" s="9">
        <f t="array" ref="BA12">PRODUCT(1 + 預測IC!$C21:AZ21) - 1</f>
        <v>1013.6706687372011</v>
      </c>
      <c r="BB12" s="9">
        <f t="array" ref="BB12">PRODUCT(1 + 預測IC!$C21:BA21) - 1</f>
        <v>1013.9087959135805</v>
      </c>
      <c r="BC12" s="9">
        <f t="array" ref="BC12">PRODUCT(1 + 預測IC!$C21:BB21) - 1</f>
        <v>851.53404013950933</v>
      </c>
      <c r="BD12" s="9">
        <f t="array" ref="BD12">PRODUCT(1 + 預測IC!$C21:BC21) - 1</f>
        <v>843.60095555110615</v>
      </c>
      <c r="BE12" s="9">
        <f t="array" ref="BE12">PRODUCT(1 + 預測IC!$C21:BD21) - 1</f>
        <v>844.61026872379307</v>
      </c>
      <c r="BF12" s="9">
        <f t="array" ref="BF12">PRODUCT(1 + 預測IC!$C21:BE21) - 1</f>
        <v>830.83343671010448</v>
      </c>
      <c r="BG12" s="9">
        <f t="array" ref="BG12">PRODUCT(1 + 預測IC!$C21:BF21) - 1</f>
        <v>896.19738058457949</v>
      </c>
      <c r="BH12" s="9">
        <f t="array" ref="BH12">PRODUCT(1 + 預測IC!$C21:BG21) - 1</f>
        <v>999.98341868115244</v>
      </c>
      <c r="BI12" s="9">
        <f t="array" ref="BI12">PRODUCT(1 + 預測IC!$C21:BH21) - 1</f>
        <v>1159.3419366488308</v>
      </c>
      <c r="BJ12" s="9">
        <f t="array" ref="BJ12">PRODUCT(1 + 預測IC!$C21:BI21) - 1</f>
        <v>1108.278001999204</v>
      </c>
      <c r="BK12" s="9">
        <f t="array" ref="BK12">PRODUCT(1 + 預測IC!$C21:BJ21) - 1</f>
        <v>1207.116211984061</v>
      </c>
      <c r="BL12" s="9">
        <f t="array" ref="BL12">PRODUCT(1 + 預測IC!$C21:BK21) - 1</f>
        <v>1287.449953092304</v>
      </c>
      <c r="BM12" s="9">
        <f t="array" ref="BM12">PRODUCT(1 + 預測IC!$C21:BL21) - 1</f>
        <v>1415.3299905262197</v>
      </c>
      <c r="BN12" s="9">
        <f t="array" ref="BN12">PRODUCT(1 + 預測IC!$C21:BM21) - 1</f>
        <v>1461.5454836320387</v>
      </c>
      <c r="BO12" s="9">
        <f t="array" ref="BO12">PRODUCT(1 + 預測IC!$C21:BN21) - 1</f>
        <v>1593.8015726503868</v>
      </c>
      <c r="BP12" s="9">
        <f t="array" ref="BP12">PRODUCT(1 + 預測IC!$C21:BO21) - 1</f>
        <v>1472.5971924628627</v>
      </c>
      <c r="BQ12" s="9">
        <f t="array" ref="BQ12">PRODUCT(1 + 預測IC!$C21:BP21) - 1</f>
        <v>1694.023534746419</v>
      </c>
      <c r="BR12" s="9">
        <f t="array" ref="BR12">PRODUCT(1 + 預測IC!$C21:BQ21) - 1</f>
        <v>1776.8127370043949</v>
      </c>
      <c r="BS12" s="9">
        <f t="array" ref="BS12">PRODUCT(1 + 預測IC!$C21:BR21) - 1</f>
        <v>1541.5806737447826</v>
      </c>
      <c r="BT12" s="9">
        <f t="array" ref="BT12">PRODUCT(1 + 預測IC!$C21:BS21) - 1</f>
        <v>1451.5668809590638</v>
      </c>
      <c r="BU12" s="9">
        <f t="array" ref="BU12">PRODUCT(1 + 預測IC!$C21:BT21) - 1</f>
        <v>1636.2293271121064</v>
      </c>
      <c r="BV12" s="9">
        <f t="array" ref="BV12">PRODUCT(1 + 預測IC!$C21:BU21) - 1</f>
        <v>1704.4146545147955</v>
      </c>
      <c r="BW12" s="9">
        <f t="array" ref="BW12">PRODUCT(1 + 預測IC!$C21:BV21) - 1</f>
        <v>1845.7911558731905</v>
      </c>
      <c r="BX12" s="9">
        <f t="array" ref="BX12">PRODUCT(1 + 預測IC!$C21:BW21) - 1</f>
        <v>1538.6698220496817</v>
      </c>
      <c r="BY12" s="9">
        <f t="array" ref="BY12">PRODUCT(1 + 預測IC!$C21:BX21) - 1</f>
        <v>1575.4915718377479</v>
      </c>
      <c r="BZ12" s="9">
        <f t="array" ref="BZ12">PRODUCT(1 + 預測IC!$C21:BY21) - 1</f>
        <v>1530.9209766948454</v>
      </c>
      <c r="CA12" s="9">
        <f t="array" ref="CA12">PRODUCT(1 + 預測IC!$C21:BZ21) - 1</f>
        <v>1490.4227546534996</v>
      </c>
      <c r="CB12" s="9">
        <f t="array" ref="CB12">PRODUCT(1 + 預測IC!$C21:CA21) - 1</f>
        <v>1396.7668874237579</v>
      </c>
      <c r="CC12" s="9">
        <f t="array" ref="CC12">PRODUCT(1 + 預測IC!$C21:CB21) - 1</f>
        <v>1430.0859730004022</v>
      </c>
      <c r="CD12" s="9">
        <f t="array" ref="CD12">PRODUCT(1 + 預測IC!$C21:CC21) - 1</f>
        <v>1574.0482646869627</v>
      </c>
      <c r="CE12" s="9">
        <f t="array" ref="CE12">PRODUCT(1 + 預測IC!$C21:CD21) - 1</f>
        <v>1462.8660144582332</v>
      </c>
      <c r="CF12" s="9">
        <f t="array" ref="CF12">PRODUCT(1 + 預測IC!$C21:CE21) - 1</f>
        <v>1449.8896066287491</v>
      </c>
      <c r="CG12" s="9">
        <f t="array" ref="CG12">PRODUCT(1 + 預測IC!$C21:CF21) - 1</f>
        <v>1519.7037209819464</v>
      </c>
      <c r="CH12" s="9">
        <f t="array" ref="CH12">PRODUCT(1 + 預測IC!$C21:CG21) - 1</f>
        <v>1484.1366814360117</v>
      </c>
      <c r="CI12" s="9">
        <f t="array" ref="CI12">PRODUCT(1 + 預測IC!$C21:CH21) - 1</f>
        <v>1501.1428386930518</v>
      </c>
      <c r="CJ12" s="9">
        <f t="array" ref="CJ12">PRODUCT(1 + 預測IC!$C21:CI21) - 1</f>
        <v>1560.6534684239286</v>
      </c>
      <c r="CK12" s="9">
        <f t="array" ref="CK12">PRODUCT(1 + 預測IC!$C21:CJ21) - 1</f>
        <v>1566.3067741021971</v>
      </c>
      <c r="CL12" s="9">
        <f t="array" ref="CL12">PRODUCT(1 + 預測IC!$C21:CK21) - 1</f>
        <v>1490.2556817901025</v>
      </c>
      <c r="CM12" s="9">
        <f t="array" ref="CM12">PRODUCT(1 + 預測IC!$C21:CL21) - 1</f>
        <v>1260.9248488450182</v>
      </c>
      <c r="CN12" s="9">
        <f t="array" ref="CN12">PRODUCT(1 + 預測IC!$C21:CM21) - 1</f>
        <v>1379.5792034333172</v>
      </c>
      <c r="CO12" s="9">
        <f t="array" ref="CO12">PRODUCT(1 + 預測IC!$C21:CN21) - 1</f>
        <v>1586.0683301005765</v>
      </c>
      <c r="CP12" s="9">
        <f t="array" ref="CP12">PRODUCT(1 + 預測IC!$C21:CO21) - 1</f>
        <v>1764.6172897102801</v>
      </c>
      <c r="CQ12" s="9">
        <f t="array" ref="CQ12">PRODUCT(1 + 預測IC!$C21:CP21) - 1</f>
        <v>2114.298818795889</v>
      </c>
      <c r="CR12" s="9">
        <f t="array" ref="CR12">PRODUCT(1 + 預測IC!$C21:CQ21) - 1</f>
        <v>1646.257926136044</v>
      </c>
      <c r="CS12" s="9">
        <f t="array" ref="CS12">PRODUCT(1 + 預測IC!$C21:CR21) - 1</f>
        <v>1391.5914488951325</v>
      </c>
      <c r="CT12" s="9">
        <f t="array" ref="CT12">PRODUCT(1 + 預測IC!$C21:CS21) - 1</f>
        <v>1452.3445427035649</v>
      </c>
      <c r="CU12" s="9">
        <f t="array" ref="CU12">PRODUCT(1 + 預測IC!$C21:CT21) - 1</f>
        <v>1304.28757300027</v>
      </c>
      <c r="CV12" s="9">
        <f t="array" ref="CV12">PRODUCT(1 + 預測IC!$C21:CU21) - 1</f>
        <v>1208.085032550814</v>
      </c>
      <c r="CW12" s="9">
        <f t="array" ref="CW12">PRODUCT(1 + 預測IC!$C21:CV21) - 1</f>
        <v>1137.6388158210459</v>
      </c>
      <c r="CX12" s="9">
        <f t="array" ref="CX12">PRODUCT(1 + 預測IC!$C21:CW21) - 1</f>
        <v>1168.5542132969213</v>
      </c>
      <c r="CY12" s="9">
        <f t="array" ref="CY12">PRODUCT(1 + 預測IC!$C21:CX21) - 1</f>
        <v>1226.145692840563</v>
      </c>
      <c r="CZ12" s="9">
        <f t="array" ref="CZ12">PRODUCT(1 + 預測IC!$C21:CY21) - 1</f>
        <v>1126.6001960136618</v>
      </c>
      <c r="DA12" s="9">
        <f t="array" ref="DA12">PRODUCT(1 + 預測IC!$C21:CZ21) - 1</f>
        <v>1218.957750150764</v>
      </c>
      <c r="DB12" s="9">
        <f t="array" ref="DB12">PRODUCT(1 + 預測IC!$C21:DA21) - 1</f>
        <v>1196.148781124984</v>
      </c>
      <c r="DC12" s="9">
        <f t="array" ref="DC12">PRODUCT(1 + 預測IC!$C21:DB21) - 1</f>
        <v>1402.0917591433706</v>
      </c>
      <c r="DD12" s="9">
        <f t="array" ref="DD12">PRODUCT(1 + 預測IC!$C21:DC21) - 1</f>
        <v>1210.3851999887531</v>
      </c>
      <c r="DE12" s="9">
        <f t="array" ref="DE12">PRODUCT(1 + 預測IC!$C21:DD21) - 1</f>
        <v>1221.9876489905751</v>
      </c>
      <c r="DF12" s="9">
        <f t="array" ref="DF12">PRODUCT(1 + 預測IC!$C21:DE21) - 1</f>
        <v>1312.1960219090652</v>
      </c>
      <c r="DG12" s="9">
        <f t="array" ref="DG12">PRODUCT(1 + 預測IC!$C21:DF21) - 1</f>
        <v>1206.1441174850556</v>
      </c>
      <c r="DH12" s="9">
        <f t="array" ref="DH12">PRODUCT(1 + 預測IC!$C21:DG21) - 1</f>
        <v>1169.264143265385</v>
      </c>
      <c r="DI12" s="9">
        <f t="array" ref="DI12">PRODUCT(1 + 預測IC!$C21:DH21) - 1</f>
        <v>1154.8998361644253</v>
      </c>
      <c r="DJ12" s="9">
        <f t="array" ref="DJ12">PRODUCT(1 + 預測IC!$C21:DI21) - 1</f>
        <v>1246.1668189973636</v>
      </c>
      <c r="DK12" s="9">
        <f t="array" ref="DK12">PRODUCT(1 + 預測IC!$C21:DJ21) - 1</f>
        <v>1431.0875412616394</v>
      </c>
      <c r="DL12" s="9">
        <f t="array" ref="DL12">PRODUCT(1 + 預測IC!$C21:DK21) - 1</f>
        <v>1415.3476655624654</v>
      </c>
      <c r="DM12" s="9">
        <f t="array" ref="DM12">PRODUCT(1 + 預測IC!$C21:DL21) - 1</f>
        <v>1333.1756213115862</v>
      </c>
      <c r="DN12" s="9">
        <f t="array" ref="DN12">PRODUCT(1 + 預測IC!$C21:DM21) - 1</f>
        <v>1102.6334544955605</v>
      </c>
      <c r="DO12" s="9">
        <f t="array" ref="DO12">PRODUCT(1 + 預測IC!$C21:DN21) - 1</f>
        <v>1060.3320183147259</v>
      </c>
      <c r="DP12" s="9">
        <f t="array" ref="DP12">PRODUCT(1 + 預測IC!$C21:DO21) - 1</f>
        <v>1003.5416238573508</v>
      </c>
      <c r="DQ12" s="9">
        <f t="array" ref="DQ12">PRODUCT(1 + 預測IC!$C21:DP21) - 1</f>
        <v>950.29215693883691</v>
      </c>
      <c r="DR12" s="9">
        <f t="array" ref="DR12">PRODUCT(1 + 預測IC!$C21:DQ21) - 1</f>
        <v>875.53413832584249</v>
      </c>
      <c r="DS12" s="9">
        <f t="array" ref="DS12">PRODUCT(1 + 預測IC!$C21:DR21) - 1</f>
        <v>896.03447903113124</v>
      </c>
      <c r="DT12" s="9">
        <f t="array" ref="DT12">PRODUCT(1 + 預測IC!$C21:DS21) - 1</f>
        <v>947.66136160389453</v>
      </c>
      <c r="DU12" s="9">
        <f t="array" ref="DU12">PRODUCT(1 + 預測IC!$C21:DT21) - 1</f>
        <v>999.48408938711998</v>
      </c>
      <c r="DV12" s="9">
        <f t="array" ref="DV12">PRODUCT(1 + 預測IC!$C21:DU21) - 1</f>
        <v>1015.1495002566817</v>
      </c>
      <c r="DW12" s="9">
        <f t="array" ref="DW12">PRODUCT(1 + 預測IC!$C21:DV21) - 1</f>
        <v>990.00346727812928</v>
      </c>
      <c r="DX12" s="9">
        <f t="array" ref="DX12">PRODUCT(1 + 預測IC!$C21:DW21) - 1</f>
        <v>1118.3003746381978</v>
      </c>
      <c r="DY12" s="9">
        <f t="array" ref="DY12">PRODUCT(1 + 預測IC!$C21:DX21) - 1</f>
        <v>1119.5043625208361</v>
      </c>
      <c r="DZ12" s="9">
        <f t="array" ref="DZ12">PRODUCT(1 + 預測IC!$C21:DY21) - 1</f>
        <v>1143.4890280172294</v>
      </c>
      <c r="EA12" s="9">
        <f t="array" ref="EA12">PRODUCT(1 + 預測IC!$C21:DZ21) - 1</f>
        <v>1176.196220289648</v>
      </c>
      <c r="EB12" s="9">
        <f t="array" ref="EB12">PRODUCT(1 + 預測IC!$C21:EA21) - 1</f>
        <v>1227.0118263938541</v>
      </c>
      <c r="EC12" s="9">
        <f t="array" ref="EC12">PRODUCT(1 + 預測IC!$C21:EB21) - 1</f>
        <v>1243.0693828785968</v>
      </c>
      <c r="ED12" s="9">
        <f t="array" ref="ED12">PRODUCT(1 + 預測IC!$C21:EC21) - 1</f>
        <v>1258.9681614625511</v>
      </c>
      <c r="EE12" s="9">
        <f t="array" ref="EE12">PRODUCT(1 + 預測IC!$C21:ED21) - 1</f>
        <v>1352.8239676149019</v>
      </c>
      <c r="EF12" s="9">
        <f t="array" ref="EF12">PRODUCT(1 + 預測IC!$C21:EE21) - 1</f>
        <v>1387.5240823287265</v>
      </c>
      <c r="EG12" s="9">
        <f t="array" ref="EG12">PRODUCT(1 + 預測IC!$C21:EF21) - 1</f>
        <v>1528.0897916882102</v>
      </c>
    </row>
    <row r="13" spans="3:137" ht="16" customHeight="1">
      <c r="C13" s="6">
        <v>192</v>
      </c>
      <c r="D13" s="9">
        <v>0.89798478135778881</v>
      </c>
      <c r="E13" s="9">
        <f t="array" ref="E13">PRODUCT(1 + 預測IC!$C22:D22) - 1</f>
        <v>2.6924052967627361</v>
      </c>
      <c r="F13" s="9">
        <f t="array" ref="F13">PRODUCT(1 + 預測IC!$C22:E22) - 1</f>
        <v>5.4021504441162689</v>
      </c>
      <c r="G13" s="9">
        <f t="array" ref="G13">PRODUCT(1 + 預測IC!$C22:F22) - 1</f>
        <v>13.067712669677027</v>
      </c>
      <c r="H13" s="9">
        <f t="array" ref="H13">PRODUCT(1 + 預測IC!$C22:G22) - 1</f>
        <v>23.841198680614941</v>
      </c>
      <c r="I13" s="9">
        <f t="array" ref="I13">PRODUCT(1 + 預測IC!$C22:H22) - 1</f>
        <v>41.136687891357802</v>
      </c>
      <c r="J13" s="9">
        <f t="array" ref="J13">PRODUCT(1 + 預測IC!$C22:I22) - 1</f>
        <v>69.58132151065918</v>
      </c>
      <c r="K13" s="9">
        <f t="array" ref="K13">PRODUCT(1 + 預測IC!$C22:J22) - 1</f>
        <v>128.75577841952907</v>
      </c>
      <c r="L13" s="9">
        <f t="array" ref="L13">PRODUCT(1 + 預測IC!$C22:K22) - 1</f>
        <v>248.04468586018268</v>
      </c>
      <c r="M13" s="9">
        <f t="array" ref="M13">PRODUCT(1 + 預測IC!$C22:L22) - 1</f>
        <v>448.0169642737431</v>
      </c>
      <c r="N13" s="9">
        <f t="array" ref="N13">PRODUCT(1 + 預測IC!$C22:M22) - 1</f>
        <v>972.76676996806361</v>
      </c>
      <c r="O13" s="9">
        <f t="array" ref="O13">PRODUCT(1 + 預測IC!$C22:N22) - 1</f>
        <v>1844.5483738184164</v>
      </c>
      <c r="P13" s="9">
        <f t="array" ref="P13">PRODUCT(1 + 預測IC!$C22:O22) - 1</f>
        <v>2061.4570178372633</v>
      </c>
      <c r="Q13" s="9">
        <f t="array" ref="Q13">PRODUCT(1 + 預測IC!$C22:P22) - 1</f>
        <v>2107.5175093340563</v>
      </c>
      <c r="R13" s="9">
        <f t="array" ref="R13">PRODUCT(1 + 預測IC!$C22:Q22) - 1</f>
        <v>1866.0254272177294</v>
      </c>
      <c r="S13" s="9">
        <f t="array" ref="S13">PRODUCT(1 + 預測IC!$C22:R22) - 1</f>
        <v>1758.6144364851873</v>
      </c>
      <c r="T13" s="9">
        <f t="array" ref="T13">PRODUCT(1 + 預測IC!$C22:S22) - 1</f>
        <v>1263.0499225530305</v>
      </c>
      <c r="U13" s="9">
        <f t="array" ref="U13">PRODUCT(1 + 預測IC!$C22:T22) - 1</f>
        <v>1306.5064619180848</v>
      </c>
      <c r="V13" s="9">
        <f t="array" ref="V13">PRODUCT(1 + 預測IC!$C22:U22) - 1</f>
        <v>1333.7557020901015</v>
      </c>
      <c r="W13" s="9">
        <f t="array" ref="W13">PRODUCT(1 + 預測IC!$C22:V22) - 1</f>
        <v>1410.5498191586407</v>
      </c>
      <c r="X13" s="9">
        <f t="array" ref="X13">PRODUCT(1 + 預測IC!$C22:W22) - 1</f>
        <v>1462.1735404395863</v>
      </c>
      <c r="Y13" s="9">
        <f t="array" ref="Y13">PRODUCT(1 + 預測IC!$C22:X22) - 1</f>
        <v>1587.2567664503733</v>
      </c>
      <c r="Z13" s="9">
        <f t="array" ref="Z13">PRODUCT(1 + 預測IC!$C22:Y22) - 1</f>
        <v>1594.7901011820709</v>
      </c>
      <c r="AA13" s="9">
        <f t="array" ref="AA13">PRODUCT(1 + 預測IC!$C22:Z22) - 1</f>
        <v>1712.9219235066544</v>
      </c>
      <c r="AB13" s="9">
        <f t="array" ref="AB13">PRODUCT(1 + 預測IC!$C22:AA22) - 1</f>
        <v>1500.5567452176149</v>
      </c>
      <c r="AC13" s="9">
        <f t="array" ref="AC13">PRODUCT(1 + 預測IC!$C22:AB22) - 1</f>
        <v>1455.7524926803264</v>
      </c>
      <c r="AD13" s="9">
        <f t="array" ref="AD13">PRODUCT(1 + 預測IC!$C22:AC22) - 1</f>
        <v>1480.8402816003327</v>
      </c>
      <c r="AE13" s="9">
        <f t="array" ref="AE13">PRODUCT(1 + 預測IC!$C22:AD22) - 1</f>
        <v>1605.5403085128085</v>
      </c>
      <c r="AF13" s="9">
        <f t="array" ref="AF13">PRODUCT(1 + 預測IC!$C22:AE22) - 1</f>
        <v>1498.516069219819</v>
      </c>
      <c r="AG13" s="9">
        <f t="array" ref="AG13">PRODUCT(1 + 預測IC!$C22:AF22) - 1</f>
        <v>1818.0135401008786</v>
      </c>
      <c r="AH13" s="9">
        <f t="array" ref="AH13">PRODUCT(1 + 預測IC!$C22:AG22) - 1</f>
        <v>1753.3811936091545</v>
      </c>
      <c r="AI13" s="9">
        <f t="array" ref="AI13">PRODUCT(1 + 預測IC!$C22:AH22) - 1</f>
        <v>1703.9949344285569</v>
      </c>
      <c r="AJ13" s="9">
        <f t="array" ref="AJ13">PRODUCT(1 + 預測IC!$C22:AI22) - 1</f>
        <v>1631.8409147640566</v>
      </c>
      <c r="AK13" s="9">
        <f t="array" ref="AK13">PRODUCT(1 + 預測IC!$C22:AJ22) - 1</f>
        <v>1550.1430717762885</v>
      </c>
      <c r="AL13" s="9">
        <f t="array" ref="AL13">PRODUCT(1 + 預測IC!$C22:AK22) - 1</f>
        <v>1465.7861062390054</v>
      </c>
      <c r="AM13" s="9">
        <f t="array" ref="AM13">PRODUCT(1 + 預測IC!$C22:AL22) - 1</f>
        <v>1327.0634401332613</v>
      </c>
      <c r="AN13" s="9">
        <f t="array" ref="AN13">PRODUCT(1 + 預測IC!$C22:AM22) - 1</f>
        <v>1593.6098815349158</v>
      </c>
      <c r="AO13" s="9">
        <f t="array" ref="AO13">PRODUCT(1 + 預測IC!$C22:AN22) - 1</f>
        <v>1549.074783053039</v>
      </c>
      <c r="AP13" s="9">
        <f t="array" ref="AP13">PRODUCT(1 + 預測IC!$C22:AO22) - 1</f>
        <v>1309.4469830833909</v>
      </c>
      <c r="AQ13" s="9">
        <f t="array" ref="AQ13">PRODUCT(1 + 預測IC!$C22:AP22) - 1</f>
        <v>1177.9544880011067</v>
      </c>
      <c r="AR13" s="9">
        <f t="array" ref="AR13">PRODUCT(1 + 預測IC!$C22:AQ22) - 1</f>
        <v>1464.5620069471279</v>
      </c>
      <c r="AS13" s="9">
        <f t="array" ref="AS13">PRODUCT(1 + 預測IC!$C22:AR22) - 1</f>
        <v>1476.1448620430415</v>
      </c>
      <c r="AT13" s="9">
        <f t="array" ref="AT13">PRODUCT(1 + 預測IC!$C22:AS22) - 1</f>
        <v>1433.3503788698249</v>
      </c>
      <c r="AU13" s="9">
        <f t="array" ref="AU13">PRODUCT(1 + 預測IC!$C22:AT22) - 1</f>
        <v>1447.5988323820504</v>
      </c>
      <c r="AV13" s="9">
        <f t="array" ref="AV13">PRODUCT(1 + 預測IC!$C22:AU22) - 1</f>
        <v>1468.472671235161</v>
      </c>
      <c r="AW13" s="9">
        <f t="array" ref="AW13">PRODUCT(1 + 預測IC!$C22:AV22) - 1</f>
        <v>1460.8886220905513</v>
      </c>
      <c r="AX13" s="9">
        <f t="array" ref="AX13">PRODUCT(1 + 預測IC!$C22:AW22) - 1</f>
        <v>1353.5695544528458</v>
      </c>
      <c r="AY13" s="9">
        <f t="array" ref="AY13">PRODUCT(1 + 預測IC!$C22:AX22) - 1</f>
        <v>1309.3101040444135</v>
      </c>
      <c r="AZ13" s="9">
        <f t="array" ref="AZ13">PRODUCT(1 + 預測IC!$C22:AY22) - 1</f>
        <v>1324.4112958337178</v>
      </c>
      <c r="BA13" s="9">
        <f t="array" ref="BA13">PRODUCT(1 + 預測IC!$C22:AZ22) - 1</f>
        <v>1304.588870385687</v>
      </c>
      <c r="BB13" s="9">
        <f t="array" ref="BB13">PRODUCT(1 + 預測IC!$C22:BA22) - 1</f>
        <v>1293.9787231223099</v>
      </c>
      <c r="BC13" s="9">
        <f t="array" ref="BC13">PRODUCT(1 + 預測IC!$C22:BB22) - 1</f>
        <v>1102.0840801763861</v>
      </c>
      <c r="BD13" s="9">
        <f t="array" ref="BD13">PRODUCT(1 + 預測IC!$C22:BC22) - 1</f>
        <v>1084.010972124237</v>
      </c>
      <c r="BE13" s="9">
        <f t="array" ref="BE13">PRODUCT(1 + 預測IC!$C22:BD22) - 1</f>
        <v>1136.2365511400319</v>
      </c>
      <c r="BF13" s="9">
        <f t="array" ref="BF13">PRODUCT(1 + 預測IC!$C22:BE22) - 1</f>
        <v>1120.1886557395389</v>
      </c>
      <c r="BG13" s="9">
        <f t="array" ref="BG13">PRODUCT(1 + 預測IC!$C22:BF22) - 1</f>
        <v>1206.1882296416354</v>
      </c>
      <c r="BH13" s="9">
        <f t="array" ref="BH13">PRODUCT(1 + 預測IC!$C22:BG22) - 1</f>
        <v>1348.3925969450156</v>
      </c>
      <c r="BI13" s="9">
        <f t="array" ref="BI13">PRODUCT(1 + 預測IC!$C22:BH22) - 1</f>
        <v>1486.4159642174366</v>
      </c>
      <c r="BJ13" s="9">
        <f t="array" ref="BJ13">PRODUCT(1 + 預測IC!$C22:BI22) - 1</f>
        <v>1398.123226301977</v>
      </c>
      <c r="BK13" s="9">
        <f t="array" ref="BK13">PRODUCT(1 + 預測IC!$C22:BJ22) - 1</f>
        <v>1538.8721899248269</v>
      </c>
      <c r="BL13" s="9">
        <f t="array" ref="BL13">PRODUCT(1 + 預測IC!$C22:BK22) - 1</f>
        <v>1648.7028711759597</v>
      </c>
      <c r="BM13" s="9">
        <f t="array" ref="BM13">PRODUCT(1 + 預測IC!$C22:BL22) - 1</f>
        <v>1826.2195046289862</v>
      </c>
      <c r="BN13" s="9">
        <f t="array" ref="BN13">PRODUCT(1 + 預測IC!$C22:BM22) - 1</f>
        <v>1910.6353743308207</v>
      </c>
      <c r="BO13" s="9">
        <f t="array" ref="BO13">PRODUCT(1 + 預測IC!$C22:BN22) - 1</f>
        <v>1998.9009881184545</v>
      </c>
      <c r="BP13" s="9">
        <f t="array" ref="BP13">PRODUCT(1 + 預測IC!$C22:BO22) - 1</f>
        <v>1912.1689437598254</v>
      </c>
      <c r="BQ13" s="9">
        <f t="array" ref="BQ13">PRODUCT(1 + 預測IC!$C22:BP22) - 1</f>
        <v>2257.1419148436389</v>
      </c>
      <c r="BR13" s="9">
        <f t="array" ref="BR13">PRODUCT(1 + 預測IC!$C22:BQ22) - 1</f>
        <v>2222.7941223555949</v>
      </c>
      <c r="BS13" s="9">
        <f t="array" ref="BS13">PRODUCT(1 + 預測IC!$C22:BR22) - 1</f>
        <v>1864.540424312944</v>
      </c>
      <c r="BT13" s="9">
        <f t="array" ref="BT13">PRODUCT(1 + 預測IC!$C22:BS22) - 1</f>
        <v>1727.6301103069275</v>
      </c>
      <c r="BU13" s="9">
        <f t="array" ref="BU13">PRODUCT(1 + 預測IC!$C22:BT22) - 1</f>
        <v>1942.3942724808967</v>
      </c>
      <c r="BV13" s="9">
        <f t="array" ref="BV13">PRODUCT(1 + 預測IC!$C22:BU22) - 1</f>
        <v>1893.6228024066686</v>
      </c>
      <c r="BW13" s="9">
        <f t="array" ref="BW13">PRODUCT(1 + 預測IC!$C22:BV22) - 1</f>
        <v>2095.2951547071661</v>
      </c>
      <c r="BX13" s="9">
        <f t="array" ref="BX13">PRODUCT(1 + 預測IC!$C22:BW22) - 1</f>
        <v>1781.5665368378475</v>
      </c>
      <c r="BY13" s="9">
        <f t="array" ref="BY13">PRODUCT(1 + 預測IC!$C22:BX22) - 1</f>
        <v>1814.1373456834349</v>
      </c>
      <c r="BZ13" s="9">
        <f t="array" ref="BZ13">PRODUCT(1 + 預測IC!$C22:BY22) - 1</f>
        <v>1747.7519018207317</v>
      </c>
      <c r="CA13" s="9">
        <f t="array" ref="CA13">PRODUCT(1 + 預測IC!$C22:BZ22) - 1</f>
        <v>1786.125668861346</v>
      </c>
      <c r="CB13" s="9">
        <f t="array" ref="CB13">PRODUCT(1 + 預測IC!$C22:CA22) - 1</f>
        <v>1686.5822207220206</v>
      </c>
      <c r="CC13" s="9">
        <f t="array" ref="CC13">PRODUCT(1 + 預測IC!$C22:CB22) - 1</f>
        <v>1669.7596223459984</v>
      </c>
      <c r="CD13" s="9">
        <f t="array" ref="CD13">PRODUCT(1 + 預測IC!$C22:CC22) - 1</f>
        <v>1871.446779060434</v>
      </c>
      <c r="CE13" s="9">
        <f t="array" ref="CE13">PRODUCT(1 + 預測IC!$C22:CD22) - 1</f>
        <v>1749.0983511058034</v>
      </c>
      <c r="CF13" s="9">
        <f t="array" ref="CF13">PRODUCT(1 + 預測IC!$C22:CE22) - 1</f>
        <v>1747.7746327695027</v>
      </c>
      <c r="CG13" s="9">
        <f t="array" ref="CG13">PRODUCT(1 + 預測IC!$C22:CF22) - 1</f>
        <v>1783.9424639300228</v>
      </c>
      <c r="CH13" s="9">
        <f t="array" ref="CH13">PRODUCT(1 + 預測IC!$C22:CG22) - 1</f>
        <v>1750.1578586736753</v>
      </c>
      <c r="CI13" s="9">
        <f t="array" ref="CI13">PRODUCT(1 + 預測IC!$C22:CH22) - 1</f>
        <v>1790.5388788345047</v>
      </c>
      <c r="CJ13" s="9">
        <f t="array" ref="CJ13">PRODUCT(1 + 預測IC!$C22:CI22) - 1</f>
        <v>1910.0938401637386</v>
      </c>
      <c r="CK13" s="9">
        <f t="array" ref="CK13">PRODUCT(1 + 預測IC!$C22:CJ22) - 1</f>
        <v>1888.5171542457842</v>
      </c>
      <c r="CL13" s="9">
        <f t="array" ref="CL13">PRODUCT(1 + 預測IC!$C22:CK22) - 1</f>
        <v>1776.6548660333181</v>
      </c>
      <c r="CM13" s="9">
        <f t="array" ref="CM13">PRODUCT(1 + 預測IC!$C22:CL22) - 1</f>
        <v>1478.3903332926218</v>
      </c>
      <c r="CN13" s="9">
        <f t="array" ref="CN13">PRODUCT(1 + 預測IC!$C22:CM22) - 1</f>
        <v>1567.7850255764697</v>
      </c>
      <c r="CO13" s="9">
        <f t="array" ref="CO13">PRODUCT(1 + 預測IC!$C22:CN22) - 1</f>
        <v>1827.0498084351807</v>
      </c>
      <c r="CP13" s="9">
        <f t="array" ref="CP13">PRODUCT(1 + 預測IC!$C22:CO22) - 1</f>
        <v>2119.5586034194321</v>
      </c>
      <c r="CQ13" s="9">
        <f t="array" ref="CQ13">PRODUCT(1 + 預測IC!$C22:CP22) - 1</f>
        <v>2556.7510482370085</v>
      </c>
      <c r="CR13" s="9">
        <f t="array" ref="CR13">PRODUCT(1 + 預測IC!$C22:CQ22) - 1</f>
        <v>1792.4194558866006</v>
      </c>
      <c r="CS13" s="9">
        <f t="array" ref="CS13">PRODUCT(1 + 預測IC!$C22:CR22) - 1</f>
        <v>1451.5283098805153</v>
      </c>
      <c r="CT13" s="9">
        <f t="array" ref="CT13">PRODUCT(1 + 預測IC!$C22:CS22) - 1</f>
        <v>1541.8133202393963</v>
      </c>
      <c r="CU13" s="9">
        <f t="array" ref="CU13">PRODUCT(1 + 預測IC!$C22:CT22) - 1</f>
        <v>1260.3375527079907</v>
      </c>
      <c r="CV13" s="9">
        <f t="array" ref="CV13">PRODUCT(1 + 預測IC!$C22:CU22) - 1</f>
        <v>1185.0744443010885</v>
      </c>
      <c r="CW13" s="9">
        <f t="array" ref="CW13">PRODUCT(1 + 預測IC!$C22:CV22) - 1</f>
        <v>1083.6150653995867</v>
      </c>
      <c r="CX13" s="9">
        <f t="array" ref="CX13">PRODUCT(1 + 預測IC!$C22:CW22) - 1</f>
        <v>1076.2446129990255</v>
      </c>
      <c r="CY13" s="9">
        <f t="array" ref="CY13">PRODUCT(1 + 預測IC!$C22:CX22) - 1</f>
        <v>1086.7962913378988</v>
      </c>
      <c r="CZ13" s="9">
        <f t="array" ref="CZ13">PRODUCT(1 + 預測IC!$C22:CY22) - 1</f>
        <v>968.17340471549437</v>
      </c>
      <c r="DA13" s="9">
        <f t="array" ref="DA13">PRODUCT(1 + 預測IC!$C22:CZ22) - 1</f>
        <v>1074.2816472789145</v>
      </c>
      <c r="DB13" s="9">
        <f t="array" ref="DB13">PRODUCT(1 + 預測IC!$C22:DA22) - 1</f>
        <v>1015.9172621000438</v>
      </c>
      <c r="DC13" s="9">
        <f t="array" ref="DC13">PRODUCT(1 + 預測IC!$C22:DB22) - 1</f>
        <v>1054.5331633122601</v>
      </c>
      <c r="DD13" s="9">
        <f t="array" ref="DD13">PRODUCT(1 + 預測IC!$C22:DC22) - 1</f>
        <v>948.13767597675781</v>
      </c>
      <c r="DE13" s="9">
        <f t="array" ref="DE13">PRODUCT(1 + 預測IC!$C22:DD22) - 1</f>
        <v>957.65805316111948</v>
      </c>
      <c r="DF13" s="9">
        <f t="array" ref="DF13">PRODUCT(1 + 預測IC!$C22:DE22) - 1</f>
        <v>1014.701553405614</v>
      </c>
      <c r="DG13" s="9">
        <f t="array" ref="DG13">PRODUCT(1 + 預測IC!$C22:DF22) - 1</f>
        <v>963.93739559738572</v>
      </c>
      <c r="DH13" s="9">
        <f t="array" ref="DH13">PRODUCT(1 + 預測IC!$C22:DG22) - 1</f>
        <v>975.5115688452513</v>
      </c>
      <c r="DI13" s="9">
        <f t="array" ref="DI13">PRODUCT(1 + 預測IC!$C22:DH22) - 1</f>
        <v>939.03061092558994</v>
      </c>
      <c r="DJ13" s="9">
        <f t="array" ref="DJ13">PRODUCT(1 + 預測IC!$C22:DI22) - 1</f>
        <v>999.54100314657728</v>
      </c>
      <c r="DK13" s="9">
        <f t="array" ref="DK13">PRODUCT(1 + 預測IC!$C22:DJ22) - 1</f>
        <v>1172.0900096681059</v>
      </c>
      <c r="DL13" s="9">
        <f t="array" ref="DL13">PRODUCT(1 + 預測IC!$C22:DK22) - 1</f>
        <v>1205.4064206788266</v>
      </c>
      <c r="DM13" s="9">
        <f t="array" ref="DM13">PRODUCT(1 + 預測IC!$C22:DL22) - 1</f>
        <v>1150.9343895320746</v>
      </c>
      <c r="DN13" s="9">
        <f t="array" ref="DN13">PRODUCT(1 + 預測IC!$C22:DM22) - 1</f>
        <v>930.83421376477133</v>
      </c>
      <c r="DO13" s="9">
        <f t="array" ref="DO13">PRODUCT(1 + 預測IC!$C22:DN22) - 1</f>
        <v>858.38738658286002</v>
      </c>
      <c r="DP13" s="9">
        <f t="array" ref="DP13">PRODUCT(1 + 預測IC!$C22:DO22) - 1</f>
        <v>811.18943294707856</v>
      </c>
      <c r="DQ13" s="9">
        <f t="array" ref="DQ13">PRODUCT(1 + 預測IC!$C22:DP22) - 1</f>
        <v>755.07284623568933</v>
      </c>
      <c r="DR13" s="9">
        <f t="array" ref="DR13">PRODUCT(1 + 預測IC!$C22:DQ22) - 1</f>
        <v>750.35551659717589</v>
      </c>
      <c r="DS13" s="9">
        <f t="array" ref="DS13">PRODUCT(1 + 預測IC!$C22:DR22) - 1</f>
        <v>772.18297236223532</v>
      </c>
      <c r="DT13" s="9">
        <f t="array" ref="DT13">PRODUCT(1 + 預測IC!$C22:DS22) - 1</f>
        <v>820.41733619453987</v>
      </c>
      <c r="DU13" s="9">
        <f t="array" ref="DU13">PRODUCT(1 + 預測IC!$C22:DT22) - 1</f>
        <v>865.87687233082545</v>
      </c>
      <c r="DV13" s="9">
        <f t="array" ref="DV13">PRODUCT(1 + 預測IC!$C22:DU22) - 1</f>
        <v>896.08755642465371</v>
      </c>
      <c r="DW13" s="9">
        <f t="array" ref="DW13">PRODUCT(1 + 預測IC!$C22:DV22) - 1</f>
        <v>861.64535551831079</v>
      </c>
      <c r="DX13" s="9">
        <f t="array" ref="DX13">PRODUCT(1 + 預測IC!$C22:DW22) - 1</f>
        <v>903.78139024754933</v>
      </c>
      <c r="DY13" s="9">
        <f t="array" ref="DY13">PRODUCT(1 + 預測IC!$C22:DX22) - 1</f>
        <v>909.09038771598989</v>
      </c>
      <c r="DZ13" s="9">
        <f t="array" ref="DZ13">PRODUCT(1 + 預測IC!$C22:DY22) - 1</f>
        <v>926.13210300121398</v>
      </c>
      <c r="EA13" s="9">
        <f t="array" ref="EA13">PRODUCT(1 + 預測IC!$C22:DZ22) - 1</f>
        <v>970.31249875703475</v>
      </c>
      <c r="EB13" s="9">
        <f t="array" ref="EB13">PRODUCT(1 + 預測IC!$C22:EA22) - 1</f>
        <v>1014.133785346366</v>
      </c>
      <c r="EC13" s="9">
        <f t="array" ref="EC13">PRODUCT(1 + 預測IC!$C22:EB22) - 1</f>
        <v>1012.4317260829849</v>
      </c>
      <c r="ED13" s="9">
        <f t="array" ref="ED13">PRODUCT(1 + 預測IC!$C22:EC22) - 1</f>
        <v>1026.5111704705241</v>
      </c>
      <c r="EE13" s="9">
        <f t="array" ref="EE13">PRODUCT(1 + 預測IC!$C22:ED22) - 1</f>
        <v>1104.4456076161362</v>
      </c>
      <c r="EF13" s="9">
        <f t="array" ref="EF13">PRODUCT(1 + 預測IC!$C22:EE22) - 1</f>
        <v>1131.9353982338332</v>
      </c>
      <c r="EG13" s="9">
        <f t="array" ref="EG13">PRODUCT(1 + 預測IC!$C22:EF22) - 1</f>
        <v>1222.8309382839752</v>
      </c>
    </row>
    <row r="14" spans="3:137" ht="16" customHeight="1">
      <c r="C14" s="6">
        <v>241</v>
      </c>
      <c r="D14" s="9">
        <v>0.89783896967174559</v>
      </c>
      <c r="E14" s="9">
        <f t="array" ref="E14">PRODUCT(1 + 預測IC!$C23:D23) - 1</f>
        <v>2.799630880080318</v>
      </c>
      <c r="F14" s="9">
        <f t="array" ref="F14">PRODUCT(1 + 預測IC!$C23:E23) - 1</f>
        <v>5.7656407246702628</v>
      </c>
      <c r="G14" s="9">
        <f t="array" ref="G14">PRODUCT(1 + 預測IC!$C23:F23) - 1</f>
        <v>14.454674342528163</v>
      </c>
      <c r="H14" s="9">
        <f t="array" ref="H14">PRODUCT(1 + 預測IC!$C23:G23) - 1</f>
        <v>26.85913509644017</v>
      </c>
      <c r="I14" s="9">
        <f t="array" ref="I14">PRODUCT(1 + 預測IC!$C23:H23) - 1</f>
        <v>47.054605903111828</v>
      </c>
      <c r="J14" s="9">
        <f t="array" ref="J14">PRODUCT(1 + 預測IC!$C23:I23) - 1</f>
        <v>80.748314266381669</v>
      </c>
      <c r="K14" s="9">
        <f t="array" ref="K14">PRODUCT(1 + 預測IC!$C23:J23) - 1</f>
        <v>153.18465001384729</v>
      </c>
      <c r="L14" s="9">
        <f t="array" ref="L14">PRODUCT(1 + 預測IC!$C23:K23) - 1</f>
        <v>311.41611547056016</v>
      </c>
      <c r="M14" s="9">
        <f t="array" ref="M14">PRODUCT(1 + 預測IC!$C23:L23) - 1</f>
        <v>583.1425384938276</v>
      </c>
      <c r="N14" s="9">
        <f t="array" ref="N14">PRODUCT(1 + 預測IC!$C23:M23) - 1</f>
        <v>1316.9467087686035</v>
      </c>
      <c r="O14" s="9">
        <f t="array" ref="O14">PRODUCT(1 + 預測IC!$C23:N23) - 1</f>
        <v>2618.8681813612734</v>
      </c>
      <c r="P14" s="9">
        <f t="array" ref="P14">PRODUCT(1 + 預測IC!$C23:O23) - 1</f>
        <v>2896.7441080318895</v>
      </c>
      <c r="Q14" s="9">
        <f t="array" ref="Q14">PRODUCT(1 + 預測IC!$C23:P23) - 1</f>
        <v>2985.9006013295052</v>
      </c>
      <c r="R14" s="9">
        <f t="array" ref="R14">PRODUCT(1 + 預測IC!$C23:Q23) - 1</f>
        <v>2414.0005647815096</v>
      </c>
      <c r="S14" s="9">
        <f t="array" ref="S14">PRODUCT(1 + 預測IC!$C23:R23) - 1</f>
        <v>2207.7158676013719</v>
      </c>
      <c r="T14" s="9">
        <f t="array" ref="T14">PRODUCT(1 + 預測IC!$C23:S23) - 1</f>
        <v>2214.8524287117475</v>
      </c>
      <c r="U14" s="9">
        <f t="array" ref="U14">PRODUCT(1 + 預測IC!$C23:T23) - 1</f>
        <v>2412.7830474963348</v>
      </c>
      <c r="V14" s="9">
        <f t="array" ref="V14">PRODUCT(1 + 預測IC!$C23:U23) - 1</f>
        <v>2500.0403918557904</v>
      </c>
      <c r="W14" s="9">
        <f t="array" ref="W14">PRODUCT(1 + 預測IC!$C23:V23) - 1</f>
        <v>2533.0220644594547</v>
      </c>
      <c r="X14" s="9">
        <f t="array" ref="X14">PRODUCT(1 + 預測IC!$C23:W23) - 1</f>
        <v>2607.1730159279878</v>
      </c>
      <c r="Y14" s="9">
        <f t="array" ref="Y14">PRODUCT(1 + 預測IC!$C23:X23) - 1</f>
        <v>2814.6131541728209</v>
      </c>
      <c r="Z14" s="9">
        <f t="array" ref="Z14">PRODUCT(1 + 預測IC!$C23:Y23) - 1</f>
        <v>2808.6747267748856</v>
      </c>
      <c r="AA14" s="9">
        <f t="array" ref="AA14">PRODUCT(1 + 預測IC!$C23:Z23) - 1</f>
        <v>2941.920859831077</v>
      </c>
      <c r="AB14" s="9">
        <f t="array" ref="AB14">PRODUCT(1 + 預測IC!$C23:AA23) - 1</f>
        <v>2681.6639727681077</v>
      </c>
      <c r="AC14" s="9">
        <f t="array" ref="AC14">PRODUCT(1 + 預測IC!$C23:AB23) - 1</f>
        <v>2624.559179330357</v>
      </c>
      <c r="AD14" s="9">
        <f t="array" ref="AD14">PRODUCT(1 + 預測IC!$C23:AC23) - 1</f>
        <v>2682.2197615203818</v>
      </c>
      <c r="AE14" s="9">
        <f t="array" ref="AE14">PRODUCT(1 + 預測IC!$C23:AD23) - 1</f>
        <v>3024.6435688506081</v>
      </c>
      <c r="AF14" s="9">
        <f t="array" ref="AF14">PRODUCT(1 + 預測IC!$C23:AE23) - 1</f>
        <v>2777.0550397626544</v>
      </c>
      <c r="AG14" s="9">
        <f t="array" ref="AG14">PRODUCT(1 + 預測IC!$C23:AF23) - 1</f>
        <v>3465.5404509395885</v>
      </c>
      <c r="AH14" s="9">
        <f t="array" ref="AH14">PRODUCT(1 + 預測IC!$C23:AG23) - 1</f>
        <v>3366.7909396375949</v>
      </c>
      <c r="AI14" s="9">
        <f t="array" ref="AI14">PRODUCT(1 + 預測IC!$C23:AH23) - 1</f>
        <v>3327.7669164854765</v>
      </c>
      <c r="AJ14" s="9">
        <f t="array" ref="AJ14">PRODUCT(1 + 預測IC!$C23:AI23) - 1</f>
        <v>3201.2273889683947</v>
      </c>
      <c r="AK14" s="9">
        <f t="array" ref="AK14">PRODUCT(1 + 預測IC!$C23:AJ23) - 1</f>
        <v>3140.5344907555482</v>
      </c>
      <c r="AL14" s="9">
        <f t="array" ref="AL14">PRODUCT(1 + 預測IC!$C23:AK23) - 1</f>
        <v>3021.5754552773019</v>
      </c>
      <c r="AM14" s="9">
        <f t="array" ref="AM14">PRODUCT(1 + 預測IC!$C23:AL23) - 1</f>
        <v>2714.4260715220917</v>
      </c>
      <c r="AN14" s="9">
        <f t="array" ref="AN14">PRODUCT(1 + 預測IC!$C23:AM23) - 1</f>
        <v>3347.5331147469637</v>
      </c>
      <c r="AO14" s="9">
        <f t="array" ref="AO14">PRODUCT(1 + 預測IC!$C23:AN23) - 1</f>
        <v>3333.8418060290228</v>
      </c>
      <c r="AP14" s="9">
        <f t="array" ref="AP14">PRODUCT(1 + 預測IC!$C23:AO23) - 1</f>
        <v>3043.3940032261039</v>
      </c>
      <c r="AQ14" s="9">
        <f t="array" ref="AQ14">PRODUCT(1 + 預測IC!$C23:AP23) - 1</f>
        <v>2701.7324048609962</v>
      </c>
      <c r="AR14" s="9">
        <f t="array" ref="AR14">PRODUCT(1 + 預測IC!$C23:AQ23) - 1</f>
        <v>3249.5231100412516</v>
      </c>
      <c r="AS14" s="9">
        <f t="array" ref="AS14">PRODUCT(1 + 預測IC!$C23:AR23) - 1</f>
        <v>3245.4745595124441</v>
      </c>
      <c r="AT14" s="9">
        <f t="array" ref="AT14">PRODUCT(1 + 預測IC!$C23:AS23) - 1</f>
        <v>3188.6711545166395</v>
      </c>
      <c r="AU14" s="9">
        <f t="array" ref="AU14">PRODUCT(1 + 預測IC!$C23:AT23) - 1</f>
        <v>3243.1649561458967</v>
      </c>
      <c r="AV14" s="9">
        <f t="array" ref="AV14">PRODUCT(1 + 預測IC!$C23:AU23) - 1</f>
        <v>3265.7049274837241</v>
      </c>
      <c r="AW14" s="9">
        <f t="array" ref="AW14">PRODUCT(1 + 預測IC!$C23:AV23) - 1</f>
        <v>3224.0143730365412</v>
      </c>
      <c r="AX14" s="9">
        <f t="array" ref="AX14">PRODUCT(1 + 預測IC!$C23:AW23) - 1</f>
        <v>2876.5987735657213</v>
      </c>
      <c r="AY14" s="9">
        <f t="array" ref="AY14">PRODUCT(1 + 預測IC!$C23:AX23) - 1</f>
        <v>2722.4275163377333</v>
      </c>
      <c r="AZ14" s="9">
        <f t="array" ref="AZ14">PRODUCT(1 + 預測IC!$C23:AY23) - 1</f>
        <v>2814.1141470358325</v>
      </c>
      <c r="BA14" s="9">
        <f t="array" ref="BA14">PRODUCT(1 + 預測IC!$C23:AZ23) - 1</f>
        <v>2849.3194872530762</v>
      </c>
      <c r="BB14" s="9">
        <f t="array" ref="BB14">PRODUCT(1 + 預測IC!$C23:BA23) - 1</f>
        <v>2771.721930044996</v>
      </c>
      <c r="BC14" s="9">
        <f t="array" ref="BC14">PRODUCT(1 + 預測IC!$C23:BB23) - 1</f>
        <v>2498.0285126377462</v>
      </c>
      <c r="BD14" s="9">
        <f t="array" ref="BD14">PRODUCT(1 + 預測IC!$C23:BC23) - 1</f>
        <v>2561.5092477966027</v>
      </c>
      <c r="BE14" s="9">
        <f t="array" ref="BE14">PRODUCT(1 + 預測IC!$C23:BD23) - 1</f>
        <v>2507.5822060155556</v>
      </c>
      <c r="BF14" s="9">
        <f t="array" ref="BF14">PRODUCT(1 + 預測IC!$C23:BE23) - 1</f>
        <v>2352.9629778497151</v>
      </c>
      <c r="BG14" s="9">
        <f t="array" ref="BG14">PRODUCT(1 + 預測IC!$C23:BF23) - 1</f>
        <v>2558.7997710985887</v>
      </c>
      <c r="BH14" s="9">
        <f t="array" ref="BH14">PRODUCT(1 + 預測IC!$C23:BG23) - 1</f>
        <v>2856.2802483784531</v>
      </c>
      <c r="BI14" s="9">
        <f t="array" ref="BI14">PRODUCT(1 + 預測IC!$C23:BH23) - 1</f>
        <v>2997.8731898993724</v>
      </c>
      <c r="BJ14" s="9">
        <f t="array" ref="BJ14">PRODUCT(1 + 預測IC!$C23:BI23) - 1</f>
        <v>2819.2222652374053</v>
      </c>
      <c r="BK14" s="9">
        <f t="array" ref="BK14">PRODUCT(1 + 預測IC!$C23:BJ23) - 1</f>
        <v>3202.228838489586</v>
      </c>
      <c r="BL14" s="9">
        <f t="array" ref="BL14">PRODUCT(1 + 預測IC!$C23:BK23) - 1</f>
        <v>3564.8590236667937</v>
      </c>
      <c r="BM14" s="9">
        <f t="array" ref="BM14">PRODUCT(1 + 預測IC!$C23:BL23) - 1</f>
        <v>4026.2064855659905</v>
      </c>
      <c r="BN14" s="9">
        <f t="array" ref="BN14">PRODUCT(1 + 預測IC!$C23:BM23) - 1</f>
        <v>4163.5874333355659</v>
      </c>
      <c r="BO14" s="9">
        <f t="array" ref="BO14">PRODUCT(1 + 預測IC!$C23:BN23) - 1</f>
        <v>4327.1101378001413</v>
      </c>
      <c r="BP14" s="9">
        <f t="array" ref="BP14">PRODUCT(1 + 預測IC!$C23:BO23) - 1</f>
        <v>4373.1246905135413</v>
      </c>
      <c r="BQ14" s="9">
        <f t="array" ref="BQ14">PRODUCT(1 + 預測IC!$C23:BP23) - 1</f>
        <v>5383.0514833137195</v>
      </c>
      <c r="BR14" s="9">
        <f t="array" ref="BR14">PRODUCT(1 + 預測IC!$C23:BQ23) - 1</f>
        <v>5481.4736048256973</v>
      </c>
      <c r="BS14" s="9">
        <f t="array" ref="BS14">PRODUCT(1 + 預測IC!$C23:BR23) - 1</f>
        <v>4508.2694546502553</v>
      </c>
      <c r="BT14" s="9">
        <f t="array" ref="BT14">PRODUCT(1 + 預測IC!$C23:BS23) - 1</f>
        <v>4314.9436686865829</v>
      </c>
      <c r="BU14" s="9">
        <f t="array" ref="BU14">PRODUCT(1 + 預測IC!$C23:BT23) - 1</f>
        <v>5030.0300574069752</v>
      </c>
      <c r="BV14" s="9">
        <f t="array" ref="BV14">PRODUCT(1 + 預測IC!$C23:BU23) - 1</f>
        <v>4963.4961286226644</v>
      </c>
      <c r="BW14" s="9">
        <f t="array" ref="BW14">PRODUCT(1 + 預測IC!$C23:BV23) - 1</f>
        <v>5270.3708630545325</v>
      </c>
      <c r="BX14" s="9">
        <f t="array" ref="BX14">PRODUCT(1 + 預測IC!$C23:BW23) - 1</f>
        <v>4139.5194913950436</v>
      </c>
      <c r="BY14" s="9">
        <f t="array" ref="BY14">PRODUCT(1 + 預測IC!$C23:BX23) - 1</f>
        <v>4203.6327143282879</v>
      </c>
      <c r="BZ14" s="9">
        <f t="array" ref="BZ14">PRODUCT(1 + 預測IC!$C23:BY23) - 1</f>
        <v>4049.0338631763261</v>
      </c>
      <c r="CA14" s="9">
        <f t="array" ref="CA14">PRODUCT(1 + 預測IC!$C23:BZ23) - 1</f>
        <v>3572.8846954004239</v>
      </c>
      <c r="CB14" s="9">
        <f t="array" ref="CB14">PRODUCT(1 + 預測IC!$C23:CA23) - 1</f>
        <v>3379.7198544606072</v>
      </c>
      <c r="CC14" s="9">
        <f t="array" ref="CC14">PRODUCT(1 + 預測IC!$C23:CB23) - 1</f>
        <v>3384.0292670083368</v>
      </c>
      <c r="CD14" s="9">
        <f t="array" ref="CD14">PRODUCT(1 + 預測IC!$C23:CC23) - 1</f>
        <v>3639.716283469973</v>
      </c>
      <c r="CE14" s="9">
        <f t="array" ref="CE14">PRODUCT(1 + 預測IC!$C23:CD23) - 1</f>
        <v>3343.97300297949</v>
      </c>
      <c r="CF14" s="9">
        <f t="array" ref="CF14">PRODUCT(1 + 預測IC!$C23:CE23) - 1</f>
        <v>3356.7055455485884</v>
      </c>
      <c r="CG14" s="9">
        <f t="array" ref="CG14">PRODUCT(1 + 預測IC!$C23:CF23) - 1</f>
        <v>3439.9651021195414</v>
      </c>
      <c r="CH14" s="9">
        <f t="array" ref="CH14">PRODUCT(1 + 預測IC!$C23:CG23) - 1</f>
        <v>3621.5097705811231</v>
      </c>
      <c r="CI14" s="9">
        <f t="array" ref="CI14">PRODUCT(1 + 預測IC!$C23:CH23) - 1</f>
        <v>3804.8664272642786</v>
      </c>
      <c r="CJ14" s="9">
        <f t="array" ref="CJ14">PRODUCT(1 + 預測IC!$C23:CI23) - 1</f>
        <v>3994.1272195600686</v>
      </c>
      <c r="CK14" s="9">
        <f t="array" ref="CK14">PRODUCT(1 + 預測IC!$C23:CJ23) - 1</f>
        <v>3881.4623340644894</v>
      </c>
      <c r="CL14" s="9">
        <f t="array" ref="CL14">PRODUCT(1 + 預測IC!$C23:CK23) - 1</f>
        <v>3626.2289149606513</v>
      </c>
      <c r="CM14" s="9">
        <f t="array" ref="CM14">PRODUCT(1 + 預測IC!$C23:CL23) - 1</f>
        <v>2852.5551202241304</v>
      </c>
      <c r="CN14" s="9">
        <f t="array" ref="CN14">PRODUCT(1 + 預測IC!$C23:CM23) - 1</f>
        <v>2953.1321992271291</v>
      </c>
      <c r="CO14" s="9">
        <f t="array" ref="CO14">PRODUCT(1 + 預測IC!$C23:CN23) - 1</f>
        <v>3242.4382382527469</v>
      </c>
      <c r="CP14" s="9">
        <f t="array" ref="CP14">PRODUCT(1 + 預測IC!$C23:CO23) - 1</f>
        <v>3822.8558346605691</v>
      </c>
      <c r="CQ14" s="9">
        <f t="array" ref="CQ14">PRODUCT(1 + 預測IC!$C23:CP23) - 1</f>
        <v>4548.1713277187628</v>
      </c>
      <c r="CR14" s="9">
        <f t="array" ref="CR14">PRODUCT(1 + 預測IC!$C23:CQ23) - 1</f>
        <v>3203.183237028084</v>
      </c>
      <c r="CS14" s="9">
        <f t="array" ref="CS14">PRODUCT(1 + 預測IC!$C23:CR23) - 1</f>
        <v>2666.9074735289419</v>
      </c>
      <c r="CT14" s="9">
        <f t="array" ref="CT14">PRODUCT(1 + 預測IC!$C23:CS23) - 1</f>
        <v>2831.7151339195916</v>
      </c>
      <c r="CU14" s="9">
        <f t="array" ref="CU14">PRODUCT(1 + 預測IC!$C23:CT23) - 1</f>
        <v>2596.8284776912715</v>
      </c>
      <c r="CV14" s="9">
        <f t="array" ref="CV14">PRODUCT(1 + 預測IC!$C23:CU23) - 1</f>
        <v>2399.4020594600811</v>
      </c>
      <c r="CW14" s="9">
        <f t="array" ref="CW14">PRODUCT(1 + 預測IC!$C23:CV23) - 1</f>
        <v>2156.3807489774244</v>
      </c>
      <c r="CX14" s="9">
        <f t="array" ref="CX14">PRODUCT(1 + 預測IC!$C23:CW23) - 1</f>
        <v>2085.9859276261141</v>
      </c>
      <c r="CY14" s="9">
        <f t="array" ref="CY14">PRODUCT(1 + 預測IC!$C23:CX23) - 1</f>
        <v>2126.0354071390088</v>
      </c>
      <c r="CZ14" s="9">
        <f t="array" ref="CZ14">PRODUCT(1 + 預測IC!$C23:CY23) - 1</f>
        <v>1985.7590269255434</v>
      </c>
      <c r="DA14" s="9">
        <f t="array" ref="DA14">PRODUCT(1 + 預測IC!$C23:CZ23) - 1</f>
        <v>2286.1172364893796</v>
      </c>
      <c r="DB14" s="9">
        <f t="array" ref="DB14">PRODUCT(1 + 預測IC!$C23:DA23) - 1</f>
        <v>2108.5925626969315</v>
      </c>
      <c r="DC14" s="9">
        <f t="array" ref="DC14">PRODUCT(1 + 預測IC!$C23:DB23) - 1</f>
        <v>2214.364637767334</v>
      </c>
      <c r="DD14" s="9">
        <f t="array" ref="DD14">PRODUCT(1 + 預測IC!$C23:DC23) - 1</f>
        <v>1983.7490566109486</v>
      </c>
      <c r="DE14" s="9">
        <f t="array" ref="DE14">PRODUCT(1 + 預測IC!$C23:DD23) - 1</f>
        <v>2007.1423823772866</v>
      </c>
      <c r="DF14" s="9">
        <f t="array" ref="DF14">PRODUCT(1 + 預測IC!$C23:DE23) - 1</f>
        <v>2046.7834106648736</v>
      </c>
      <c r="DG14" s="9">
        <f t="array" ref="DG14">PRODUCT(1 + 預測IC!$C23:DF23) - 1</f>
        <v>1963.530963940962</v>
      </c>
      <c r="DH14" s="9">
        <f t="array" ref="DH14">PRODUCT(1 + 預測IC!$C23:DG23) - 1</f>
        <v>1934.6649088045522</v>
      </c>
      <c r="DI14" s="9">
        <f t="array" ref="DI14">PRODUCT(1 + 預測IC!$C23:DH23) - 1</f>
        <v>1838.0629717555562</v>
      </c>
      <c r="DJ14" s="9">
        <f t="array" ref="DJ14">PRODUCT(1 + 預測IC!$C23:DI23) - 1</f>
        <v>1944.7298904515014</v>
      </c>
      <c r="DK14" s="9">
        <f t="array" ref="DK14">PRODUCT(1 + 預測IC!$C23:DJ23) - 1</f>
        <v>2257.4657037452189</v>
      </c>
      <c r="DL14" s="9">
        <f t="array" ref="DL14">PRODUCT(1 + 預測IC!$C23:DK23) - 1</f>
        <v>2369.6408259413024</v>
      </c>
      <c r="DM14" s="9">
        <f t="array" ref="DM14">PRODUCT(1 + 預測IC!$C23:DL23) - 1</f>
        <v>2055.7740461610165</v>
      </c>
      <c r="DN14" s="9">
        <f t="array" ref="DN14">PRODUCT(1 + 預測IC!$C23:DM23) - 1</f>
        <v>1679.6360017066136</v>
      </c>
      <c r="DO14" s="9">
        <f t="array" ref="DO14">PRODUCT(1 + 預測IC!$C23:DN23) - 1</f>
        <v>1581.655028086594</v>
      </c>
      <c r="DP14" s="9">
        <f t="array" ref="DP14">PRODUCT(1 + 預測IC!$C23:DO23) - 1</f>
        <v>1478.8826335239132</v>
      </c>
      <c r="DQ14" s="9">
        <f t="array" ref="DQ14">PRODUCT(1 + 預測IC!$C23:DP23) - 1</f>
        <v>1349.8410446832017</v>
      </c>
      <c r="DR14" s="9">
        <f t="array" ref="DR14">PRODUCT(1 + 預測IC!$C23:DQ23) - 1</f>
        <v>1349.749590969541</v>
      </c>
      <c r="DS14" s="9">
        <f t="array" ref="DS14">PRODUCT(1 + 預測IC!$C23:DR23) - 1</f>
        <v>1367.706907048999</v>
      </c>
      <c r="DT14" s="9">
        <f t="array" ref="DT14">PRODUCT(1 + 預測IC!$C23:DS23) - 1</f>
        <v>1393.7691167293915</v>
      </c>
      <c r="DU14" s="9">
        <f t="array" ref="DU14">PRODUCT(1 + 預測IC!$C23:DT23) - 1</f>
        <v>1432.1332013626009</v>
      </c>
      <c r="DV14" s="9">
        <f t="array" ref="DV14">PRODUCT(1 + 預測IC!$C23:DU23) - 1</f>
        <v>1495.1816628525507</v>
      </c>
      <c r="DW14" s="9">
        <f t="array" ref="DW14">PRODUCT(1 + 預測IC!$C23:DV23) - 1</f>
        <v>1407.9315176681544</v>
      </c>
      <c r="DX14" s="9">
        <f t="array" ref="DX14">PRODUCT(1 + 預測IC!$C23:DW23) - 1</f>
        <v>1500.0088363104228</v>
      </c>
      <c r="DY14" s="9">
        <f t="array" ref="DY14">PRODUCT(1 + 預測IC!$C23:DX23) - 1</f>
        <v>1526.523508122054</v>
      </c>
      <c r="DZ14" s="9">
        <f t="array" ref="DZ14">PRODUCT(1 + 預測IC!$C23:DY23) - 1</f>
        <v>1458.8304318352868</v>
      </c>
      <c r="EA14" s="9">
        <f t="array" ref="EA14">PRODUCT(1 + 預測IC!$C23:DZ23) - 1</f>
        <v>1548.9173639154947</v>
      </c>
      <c r="EB14" s="9">
        <f t="array" ref="EB14">PRODUCT(1 + 預測IC!$C23:EA23) - 1</f>
        <v>1634.6015716229383</v>
      </c>
      <c r="EC14" s="9">
        <f t="array" ref="EC14">PRODUCT(1 + 預測IC!$C23:EB23) - 1</f>
        <v>1640.3423192029761</v>
      </c>
      <c r="ED14" s="9">
        <f t="array" ref="ED14">PRODUCT(1 + 預測IC!$C23:EC23) - 1</f>
        <v>1645.5713490961423</v>
      </c>
      <c r="EE14" s="9">
        <f t="array" ref="EE14">PRODUCT(1 + 預測IC!$C23:ED23) - 1</f>
        <v>1793.8098977624152</v>
      </c>
      <c r="EF14" s="9">
        <f t="array" ref="EF14">PRODUCT(1 + 預測IC!$C23:EE23) - 1</f>
        <v>1858.6656939818338</v>
      </c>
      <c r="EG14" s="9">
        <f t="array" ref="EG14">PRODUCT(1 + 預測IC!$C23:EF23) - 1</f>
        <v>2000.1611340373345</v>
      </c>
    </row>
    <row r="15" spans="3:137" ht="16" customHeight="1">
      <c r="C15" s="6">
        <v>321</v>
      </c>
      <c r="D15" s="9">
        <v>0.98736986204569799</v>
      </c>
      <c r="E15" s="9">
        <f t="array" ref="E15">PRODUCT(1 + 預測IC!$C24:D24) - 1</f>
        <v>3.1620917124423258</v>
      </c>
      <c r="F15" s="9">
        <f t="array" ref="F15">PRODUCT(1 + 預測IC!$C24:E24) - 1</f>
        <v>6.6059641357613801</v>
      </c>
      <c r="G15" s="9">
        <f t="array" ref="G15">PRODUCT(1 + 預測IC!$C24:F24) - 1</f>
        <v>16.887910147614246</v>
      </c>
      <c r="H15" s="9">
        <f t="array" ref="H15">PRODUCT(1 + 預測IC!$C24:G24) - 1</f>
        <v>31.659694190587167</v>
      </c>
      <c r="I15" s="9">
        <f t="array" ref="I15">PRODUCT(1 + 預測IC!$C24:H24) - 1</f>
        <v>54.3985273252949</v>
      </c>
      <c r="J15" s="9">
        <f t="array" ref="J15">PRODUCT(1 + 預測IC!$C24:I24) - 1</f>
        <v>93.350238952017449</v>
      </c>
      <c r="K15" s="9">
        <f t="array" ref="K15">PRODUCT(1 + 預測IC!$C24:J24) - 1</f>
        <v>182.56059560950092</v>
      </c>
      <c r="L15" s="9">
        <f t="array" ref="L15">PRODUCT(1 + 預測IC!$C24:K24) - 1</f>
        <v>400.52173977691035</v>
      </c>
      <c r="M15" s="9">
        <f t="array" ref="M15">PRODUCT(1 + 預測IC!$C24:L24) - 1</f>
        <v>803.03630525604763</v>
      </c>
      <c r="N15" s="9">
        <f t="array" ref="N15">PRODUCT(1 + 預測IC!$C24:M24) - 1</f>
        <v>1964.8841280575036</v>
      </c>
      <c r="O15" s="9">
        <f t="array" ref="O15">PRODUCT(1 + 預測IC!$C24:N24) - 1</f>
        <v>4136.8225910605361</v>
      </c>
      <c r="P15" s="9">
        <f t="array" ref="P15">PRODUCT(1 + 預測IC!$C24:O24) - 1</f>
        <v>4533.8519254140265</v>
      </c>
      <c r="Q15" s="9">
        <f t="array" ref="Q15">PRODUCT(1 + 預測IC!$C24:P24) - 1</f>
        <v>4623.8941764444444</v>
      </c>
      <c r="R15" s="9">
        <f t="array" ref="R15">PRODUCT(1 + 預測IC!$C24:Q24) - 1</f>
        <v>3008.1021708535541</v>
      </c>
      <c r="S15" s="9">
        <f t="array" ref="S15">PRODUCT(1 + 預測IC!$C24:R24) - 1</f>
        <v>2874.2900038971206</v>
      </c>
      <c r="T15" s="9">
        <f t="array" ref="T15">PRODUCT(1 + 預測IC!$C24:S24) - 1</f>
        <v>2791.5964706980026</v>
      </c>
      <c r="U15" s="9">
        <f t="array" ref="U15">PRODUCT(1 + 預測IC!$C24:T24) - 1</f>
        <v>3078.9445819783959</v>
      </c>
      <c r="V15" s="9">
        <f t="array" ref="V15">PRODUCT(1 + 預測IC!$C24:U24) - 1</f>
        <v>3012.0629762198832</v>
      </c>
      <c r="W15" s="9">
        <f t="array" ref="W15">PRODUCT(1 + 預測IC!$C24:V24) - 1</f>
        <v>3042.1421588353091</v>
      </c>
      <c r="X15" s="9">
        <f t="array" ref="X15">PRODUCT(1 + 預測IC!$C24:W24) - 1</f>
        <v>3294.7867458771088</v>
      </c>
      <c r="Y15" s="9">
        <f t="array" ref="Y15">PRODUCT(1 + 預測IC!$C24:X24) - 1</f>
        <v>3624.6457263687735</v>
      </c>
      <c r="Z15" s="9">
        <f t="array" ref="Z15">PRODUCT(1 + 預測IC!$C24:Y24) - 1</f>
        <v>3545.5709389116178</v>
      </c>
      <c r="AA15" s="9">
        <f t="array" ref="AA15">PRODUCT(1 + 預測IC!$C24:Z24) - 1</f>
        <v>3655.2636739176919</v>
      </c>
      <c r="AB15" s="9">
        <f t="array" ref="AB15">PRODUCT(1 + 預測IC!$C24:AA24) - 1</f>
        <v>3387.1201980136775</v>
      </c>
      <c r="AC15" s="9">
        <f t="array" ref="AC15">PRODUCT(1 + 預測IC!$C24:AB24) - 1</f>
        <v>3347.8639488290469</v>
      </c>
      <c r="AD15" s="9">
        <f t="array" ref="AD15">PRODUCT(1 + 預測IC!$C24:AC24) - 1</f>
        <v>3468.2279736749711</v>
      </c>
      <c r="AE15" s="9">
        <f t="array" ref="AE15">PRODUCT(1 + 預測IC!$C24:AD24) - 1</f>
        <v>3641.6892068006387</v>
      </c>
      <c r="AF15" s="9">
        <f t="array" ref="AF15">PRODUCT(1 + 預測IC!$C24:AE24) - 1</f>
        <v>3346.1838938232081</v>
      </c>
      <c r="AG15" s="9">
        <f t="array" ref="AG15">PRODUCT(1 + 預測IC!$C24:AF24) - 1</f>
        <v>4268.0799872037824</v>
      </c>
      <c r="AH15" s="9">
        <f t="array" ref="AH15">PRODUCT(1 + 預測IC!$C24:AG24) - 1</f>
        <v>4387.4949087194964</v>
      </c>
      <c r="AI15" s="9">
        <f t="array" ref="AI15">PRODUCT(1 + 預測IC!$C24:AH24) - 1</f>
        <v>4541.4675035892069</v>
      </c>
      <c r="AJ15" s="9">
        <f t="array" ref="AJ15">PRODUCT(1 + 預測IC!$C24:AI24) - 1</f>
        <v>3857.4294303158867</v>
      </c>
      <c r="AK15" s="9">
        <f t="array" ref="AK15">PRODUCT(1 + 預測IC!$C24:AJ24) - 1</f>
        <v>3858.5047219779703</v>
      </c>
      <c r="AL15" s="9">
        <f t="array" ref="AL15">PRODUCT(1 + 預測IC!$C24:AK24) - 1</f>
        <v>3616.3465396094457</v>
      </c>
      <c r="AM15" s="9">
        <f t="array" ref="AM15">PRODUCT(1 + 預測IC!$C24:AL24) - 1</f>
        <v>3427.7270672080426</v>
      </c>
      <c r="AN15" s="9">
        <f t="array" ref="AN15">PRODUCT(1 + 預測IC!$C24:AM24) - 1</f>
        <v>3926.7960427280327</v>
      </c>
      <c r="AO15" s="9">
        <f t="array" ref="AO15">PRODUCT(1 + 預測IC!$C24:AN24) - 1</f>
        <v>4244.7611696467866</v>
      </c>
      <c r="AP15" s="9">
        <f t="array" ref="AP15">PRODUCT(1 + 預測IC!$C24:AO24) - 1</f>
        <v>3848.8854242726866</v>
      </c>
      <c r="AQ15" s="9">
        <f t="array" ref="AQ15">PRODUCT(1 + 預測IC!$C24:AP24) - 1</f>
        <v>3208.1674648805783</v>
      </c>
      <c r="AR15" s="9">
        <f t="array" ref="AR15">PRODUCT(1 + 預測IC!$C24:AQ24) - 1</f>
        <v>4498.6833793363003</v>
      </c>
      <c r="AS15" s="9">
        <f t="array" ref="AS15">PRODUCT(1 + 預測IC!$C24:AR24) - 1</f>
        <v>4686.9216021339016</v>
      </c>
      <c r="AT15" s="9">
        <f t="array" ref="AT15">PRODUCT(1 + 預測IC!$C24:AS24) - 1</f>
        <v>4444.7207578612815</v>
      </c>
      <c r="AU15" s="9">
        <f t="array" ref="AU15">PRODUCT(1 + 預測IC!$C24:AT24) - 1</f>
        <v>4589.972508186007</v>
      </c>
      <c r="AV15" s="9">
        <f t="array" ref="AV15">PRODUCT(1 + 預測IC!$C24:AU24) - 1</f>
        <v>4365.7878037923247</v>
      </c>
      <c r="AW15" s="9">
        <f t="array" ref="AW15">PRODUCT(1 + 預測IC!$C24:AV24) - 1</f>
        <v>4346.6876376104346</v>
      </c>
      <c r="AX15" s="9">
        <f t="array" ref="AX15">PRODUCT(1 + 預測IC!$C24:AW24) - 1</f>
        <v>4074.8797709829064</v>
      </c>
      <c r="AY15" s="9">
        <f t="array" ref="AY15">PRODUCT(1 + 預測IC!$C24:AX24) - 1</f>
        <v>3830.2875971389471</v>
      </c>
      <c r="AZ15" s="9">
        <f t="array" ref="AZ15">PRODUCT(1 + 預測IC!$C24:AY24) - 1</f>
        <v>3440.5677817051887</v>
      </c>
      <c r="BA15" s="9">
        <f t="array" ref="BA15">PRODUCT(1 + 預測IC!$C24:AZ24) - 1</f>
        <v>3255.3051981290969</v>
      </c>
      <c r="BB15" s="9">
        <f t="array" ref="BB15">PRODUCT(1 + 預測IC!$C24:BA24) - 1</f>
        <v>3032.5430806177951</v>
      </c>
      <c r="BC15" s="9">
        <f t="array" ref="BC15">PRODUCT(1 + 預測IC!$C24:BB24) - 1</f>
        <v>2498.0978520297431</v>
      </c>
      <c r="BD15" s="9">
        <f t="array" ref="BD15">PRODUCT(1 + 預測IC!$C24:BC24) - 1</f>
        <v>2568.876240133558</v>
      </c>
      <c r="BE15" s="9">
        <f t="array" ref="BE15">PRODUCT(1 + 預測IC!$C24:BD24) - 1</f>
        <v>2386.187649574817</v>
      </c>
      <c r="BF15" s="9">
        <f t="array" ref="BF15">PRODUCT(1 + 預測IC!$C24:BE24) - 1</f>
        <v>2309.4191830854729</v>
      </c>
      <c r="BG15" s="9">
        <f t="array" ref="BG15">PRODUCT(1 + 預測IC!$C24:BF24) - 1</f>
        <v>2516.2194000095242</v>
      </c>
      <c r="BH15" s="9">
        <f t="array" ref="BH15">PRODUCT(1 + 預測IC!$C24:BG24) - 1</f>
        <v>2831.5059631803133</v>
      </c>
      <c r="BI15" s="9">
        <f t="array" ref="BI15">PRODUCT(1 + 預測IC!$C24:BH24) - 1</f>
        <v>3127.2649031661172</v>
      </c>
      <c r="BJ15" s="9">
        <f t="array" ref="BJ15">PRODUCT(1 + 預測IC!$C24:BI24) - 1</f>
        <v>2739.409812336216</v>
      </c>
      <c r="BK15" s="9">
        <f t="array" ref="BK15">PRODUCT(1 + 預測IC!$C24:BJ24) - 1</f>
        <v>3172.7788413346416</v>
      </c>
      <c r="BL15" s="9">
        <f t="array" ref="BL15">PRODUCT(1 + 預測IC!$C24:BK24) - 1</f>
        <v>3518.407249352726</v>
      </c>
      <c r="BM15" s="9">
        <f t="array" ref="BM15">PRODUCT(1 + 預測IC!$C24:BL24) - 1</f>
        <v>4116.4441510135066</v>
      </c>
      <c r="BN15" s="9">
        <f t="array" ref="BN15">PRODUCT(1 + 預測IC!$C24:BM24) - 1</f>
        <v>4261.0830389656439</v>
      </c>
      <c r="BO15" s="9">
        <f t="array" ref="BO15">PRODUCT(1 + 預測IC!$C24:BN24) - 1</f>
        <v>4608.6743924252241</v>
      </c>
      <c r="BP15" s="9">
        <f t="array" ref="BP15">PRODUCT(1 + 預測IC!$C24:BO24) - 1</f>
        <v>4414.1782751514138</v>
      </c>
      <c r="BQ15" s="9">
        <f t="array" ref="BQ15">PRODUCT(1 + 預測IC!$C24:BP24) - 1</f>
        <v>5570.3093162828918</v>
      </c>
      <c r="BR15" s="9">
        <f t="array" ref="BR15">PRODUCT(1 + 預測IC!$C24:BQ24) - 1</f>
        <v>5666.381865596135</v>
      </c>
      <c r="BS15" s="9">
        <f t="array" ref="BS15">PRODUCT(1 + 預測IC!$C24:BR24) - 1</f>
        <v>4736.6398843767729</v>
      </c>
      <c r="BT15" s="9">
        <f t="array" ref="BT15">PRODUCT(1 + 預測IC!$C24:BS24) - 1</f>
        <v>4658.9546939805714</v>
      </c>
      <c r="BU15" s="9">
        <f t="array" ref="BU15">PRODUCT(1 + 預測IC!$C24:BT24) - 1</f>
        <v>4886.3054832034732</v>
      </c>
      <c r="BV15" s="9">
        <f t="array" ref="BV15">PRODUCT(1 + 預測IC!$C24:BU24) - 1</f>
        <v>4806.9145152400115</v>
      </c>
      <c r="BW15" s="9">
        <f t="array" ref="BW15">PRODUCT(1 + 預測IC!$C24:BV24) - 1</f>
        <v>5328.1047360760076</v>
      </c>
      <c r="BX15" s="9">
        <f t="array" ref="BX15">PRODUCT(1 + 預測IC!$C24:BW24) - 1</f>
        <v>4413.1168313019825</v>
      </c>
      <c r="BY15" s="9">
        <f t="array" ref="BY15">PRODUCT(1 + 預測IC!$C24:BX24) - 1</f>
        <v>4325.1671764439297</v>
      </c>
      <c r="BZ15" s="9">
        <f t="array" ref="BZ15">PRODUCT(1 + 預測IC!$C24:BY24) - 1</f>
        <v>4604.0156935195846</v>
      </c>
      <c r="CA15" s="9">
        <f t="array" ref="CA15">PRODUCT(1 + 預測IC!$C24:BZ24) - 1</f>
        <v>4397.0558361839858</v>
      </c>
      <c r="CB15" s="9">
        <f t="array" ref="CB15">PRODUCT(1 + 預測IC!$C24:CA24) - 1</f>
        <v>4136.6024353329813</v>
      </c>
      <c r="CC15" s="9">
        <f t="array" ref="CC15">PRODUCT(1 + 預測IC!$C24:CB24) - 1</f>
        <v>4196.2798615203801</v>
      </c>
      <c r="CD15" s="9">
        <f t="array" ref="CD15">PRODUCT(1 + 預測IC!$C24:CC24) - 1</f>
        <v>4369.7936599199529</v>
      </c>
      <c r="CE15" s="9">
        <f t="array" ref="CE15">PRODUCT(1 + 預測IC!$C24:CD24) - 1</f>
        <v>4050.354595443614</v>
      </c>
      <c r="CF15" s="9">
        <f t="array" ref="CF15">PRODUCT(1 + 預測IC!$C24:CE24) - 1</f>
        <v>4290.3505574238998</v>
      </c>
      <c r="CG15" s="9">
        <f t="array" ref="CG15">PRODUCT(1 + 預測IC!$C24:CF24) - 1</f>
        <v>4315.560711319652</v>
      </c>
      <c r="CH15" s="9">
        <f t="array" ref="CH15">PRODUCT(1 + 預測IC!$C24:CG24) - 1</f>
        <v>4667.6516535250385</v>
      </c>
      <c r="CI15" s="9">
        <f t="array" ref="CI15">PRODUCT(1 + 預測IC!$C24:CH24) - 1</f>
        <v>4732.0015268222014</v>
      </c>
      <c r="CJ15" s="9">
        <f t="array" ref="CJ15">PRODUCT(1 + 預測IC!$C24:CI24) - 1</f>
        <v>4467.2043271518987</v>
      </c>
      <c r="CK15" s="9">
        <f t="array" ref="CK15">PRODUCT(1 + 預測IC!$C24:CJ24) - 1</f>
        <v>4351.3684627489947</v>
      </c>
      <c r="CL15" s="9">
        <f t="array" ref="CL15">PRODUCT(1 + 預測IC!$C24:CK24) - 1</f>
        <v>3860.7483896795743</v>
      </c>
      <c r="CM15" s="9">
        <f t="array" ref="CM15">PRODUCT(1 + 預測IC!$C24:CL24) - 1</f>
        <v>2960.3647661490759</v>
      </c>
      <c r="CN15" s="9">
        <f t="array" ref="CN15">PRODUCT(1 + 預測IC!$C24:CM24) - 1</f>
        <v>3303.8020671812765</v>
      </c>
      <c r="CO15" s="9">
        <f t="array" ref="CO15">PRODUCT(1 + 預測IC!$C24:CN24) - 1</f>
        <v>3675.4480337385944</v>
      </c>
      <c r="CP15" s="9">
        <f t="array" ref="CP15">PRODUCT(1 + 預測IC!$C24:CO24) - 1</f>
        <v>4466.0089266350815</v>
      </c>
      <c r="CQ15" s="9">
        <f t="array" ref="CQ15">PRODUCT(1 + 預測IC!$C24:CP24) - 1</f>
        <v>5514.1886843475995</v>
      </c>
      <c r="CR15" s="9">
        <f t="array" ref="CR15">PRODUCT(1 + 預測IC!$C24:CQ24) - 1</f>
        <v>3366.2626430622181</v>
      </c>
      <c r="CS15" s="9">
        <f t="array" ref="CS15">PRODUCT(1 + 預測IC!$C24:CR24) - 1</f>
        <v>2895.7130685967295</v>
      </c>
      <c r="CT15" s="9">
        <f t="array" ref="CT15">PRODUCT(1 + 預測IC!$C24:CS24) - 1</f>
        <v>3217.9468396204225</v>
      </c>
      <c r="CU15" s="9">
        <f t="array" ref="CU15">PRODUCT(1 + 預測IC!$C24:CT24) - 1</f>
        <v>2901.6241643777762</v>
      </c>
      <c r="CV15" s="9">
        <f t="array" ref="CV15">PRODUCT(1 + 預測IC!$C24:CU24) - 1</f>
        <v>2539.2837023892362</v>
      </c>
      <c r="CW15" s="9">
        <f t="array" ref="CW15">PRODUCT(1 + 預測IC!$C24:CV24) - 1</f>
        <v>2237.9453674766355</v>
      </c>
      <c r="CX15" s="9">
        <f t="array" ref="CX15">PRODUCT(1 + 預測IC!$C24:CW24) - 1</f>
        <v>2059.3857696835048</v>
      </c>
      <c r="CY15" s="9">
        <f t="array" ref="CY15">PRODUCT(1 + 預測IC!$C24:CX24) - 1</f>
        <v>2177.4498681777386</v>
      </c>
      <c r="CZ15" s="9">
        <f t="array" ref="CZ15">PRODUCT(1 + 預測IC!$C24:CY24) - 1</f>
        <v>1977.4043406904111</v>
      </c>
      <c r="DA15" s="9">
        <f t="array" ref="DA15">PRODUCT(1 + 預測IC!$C24:CZ24) - 1</f>
        <v>2242.8591437428299</v>
      </c>
      <c r="DB15" s="9">
        <f t="array" ref="DB15">PRODUCT(1 + 預測IC!$C24:DA24) - 1</f>
        <v>2108.5839136093418</v>
      </c>
      <c r="DC15" s="9">
        <f t="array" ref="DC15">PRODUCT(1 + 預測IC!$C24:DB24) - 1</f>
        <v>1927.8883679769501</v>
      </c>
      <c r="DD15" s="9">
        <f t="array" ref="DD15">PRODUCT(1 + 預測IC!$C24:DC24) - 1</f>
        <v>1635.5127220690133</v>
      </c>
      <c r="DE15" s="9">
        <f t="array" ref="DE15">PRODUCT(1 + 預測IC!$C24:DD24) - 1</f>
        <v>1771.375388280554</v>
      </c>
      <c r="DF15" s="9">
        <f t="array" ref="DF15">PRODUCT(1 + 預測IC!$C24:DE24) - 1</f>
        <v>1666.0917499745426</v>
      </c>
      <c r="DG15" s="9">
        <f t="array" ref="DG15">PRODUCT(1 + 預測IC!$C24:DF24) - 1</f>
        <v>1635.4236891642229</v>
      </c>
      <c r="DH15" s="9">
        <f t="array" ref="DH15">PRODUCT(1 + 預測IC!$C24:DG24) - 1</f>
        <v>1664.0454481476697</v>
      </c>
      <c r="DI15" s="9">
        <f t="array" ref="DI15">PRODUCT(1 + 預測IC!$C24:DH24) - 1</f>
        <v>1625.7691578192298</v>
      </c>
      <c r="DJ15" s="9">
        <f t="array" ref="DJ15">PRODUCT(1 + 預測IC!$C24:DI24) - 1</f>
        <v>1807.0354919777053</v>
      </c>
      <c r="DK15" s="9">
        <f t="array" ref="DK15">PRODUCT(1 + 預測IC!$C24:DJ24) - 1</f>
        <v>2007.8500826408836</v>
      </c>
      <c r="DL15" s="9">
        <f t="array" ref="DL15">PRODUCT(1 + 預測IC!$C24:DK24) - 1</f>
        <v>2346.4178039135891</v>
      </c>
      <c r="DM15" s="9">
        <f t="array" ref="DM15">PRODUCT(1 + 預測IC!$C24:DL24) - 1</f>
        <v>1944.6015737153725</v>
      </c>
      <c r="DN15" s="9">
        <f t="array" ref="DN15">PRODUCT(1 + 預測IC!$C24:DM24) - 1</f>
        <v>1565.9524748251222</v>
      </c>
      <c r="DO15" s="9">
        <f t="array" ref="DO15">PRODUCT(1 + 預測IC!$C24:DN24) - 1</f>
        <v>1443.6343423394646</v>
      </c>
      <c r="DP15" s="9">
        <f t="array" ref="DP15">PRODUCT(1 + 預測IC!$C24:DO24) - 1</f>
        <v>1352.0382554221233</v>
      </c>
      <c r="DQ15" s="9">
        <f t="array" ref="DQ15">PRODUCT(1 + 預測IC!$C24:DP24) - 1</f>
        <v>1270.7866507148105</v>
      </c>
      <c r="DR15" s="9">
        <f t="array" ref="DR15">PRODUCT(1 + 預測IC!$C24:DQ24) - 1</f>
        <v>1246.7863456025593</v>
      </c>
      <c r="DS15" s="9">
        <f t="array" ref="DS15">PRODUCT(1 + 預測IC!$C24:DR24) - 1</f>
        <v>1303.1266943670091</v>
      </c>
      <c r="DT15" s="9">
        <f t="array" ref="DT15">PRODUCT(1 + 預測IC!$C24:DS24) - 1</f>
        <v>1348.9641131268984</v>
      </c>
      <c r="DU15" s="9">
        <f t="array" ref="DU15">PRODUCT(1 + 預測IC!$C24:DT24) - 1</f>
        <v>1400.2981764977922</v>
      </c>
      <c r="DV15" s="9">
        <f t="array" ref="DV15">PRODUCT(1 + 預測IC!$C24:DU24) - 1</f>
        <v>1428.840349852142</v>
      </c>
      <c r="DW15" s="9">
        <f t="array" ref="DW15">PRODUCT(1 + 預測IC!$C24:DV24) - 1</f>
        <v>1342.0429140758624</v>
      </c>
      <c r="DX15" s="9">
        <f t="array" ref="DX15">PRODUCT(1 + 預測IC!$C24:DW24) - 1</f>
        <v>1419.3878720819214</v>
      </c>
      <c r="DY15" s="9">
        <f t="array" ref="DY15">PRODUCT(1 + 預測IC!$C24:DX24) - 1</f>
        <v>1411.2486860211334</v>
      </c>
      <c r="DZ15" s="9">
        <f t="array" ref="DZ15">PRODUCT(1 + 預測IC!$C24:DY24) - 1</f>
        <v>1333.434721954628</v>
      </c>
      <c r="EA15" s="9">
        <f t="array" ref="EA15">PRODUCT(1 + 預測IC!$C24:DZ24) - 1</f>
        <v>1411.1776747897463</v>
      </c>
      <c r="EB15" s="9">
        <f t="array" ref="EB15">PRODUCT(1 + 預測IC!$C24:EA24) - 1</f>
        <v>1472.1056642967785</v>
      </c>
      <c r="EC15" s="9">
        <f t="array" ref="EC15">PRODUCT(1 + 預測IC!$C24:EB24) - 1</f>
        <v>1457.6101536484432</v>
      </c>
      <c r="ED15" s="9">
        <f t="array" ref="ED15">PRODUCT(1 + 預測IC!$C24:EC24) - 1</f>
        <v>1457.4588094817227</v>
      </c>
      <c r="EE15" s="9">
        <f t="array" ref="EE15">PRODUCT(1 + 預測IC!$C24:ED24) - 1</f>
        <v>1567.6128455747769</v>
      </c>
      <c r="EF15" s="9">
        <f t="array" ref="EF15">PRODUCT(1 + 預測IC!$C24:EE24) - 1</f>
        <v>1574.5536295780332</v>
      </c>
      <c r="EG15" s="9">
        <f t="array" ref="EG15">PRODUCT(1 + 預測IC!$C24:EF24) - 1</f>
        <v>1710.8643671991836</v>
      </c>
    </row>
    <row r="16" spans="3:137" ht="16" customHeight="1">
      <c r="C16" s="6">
        <v>482</v>
      </c>
      <c r="D16" s="9">
        <v>1.1374397124464179</v>
      </c>
      <c r="E16" s="9">
        <f t="array" ref="E16">PRODUCT(1 + 預測IC!$C25:D25) - 1</f>
        <v>3.758208653807892</v>
      </c>
      <c r="F16" s="9">
        <f t="array" ref="F16">PRODUCT(1 + 預測IC!$C25:E25) - 1</f>
        <v>8.0886867250667436</v>
      </c>
      <c r="G16" s="9">
        <f t="array" ref="G16">PRODUCT(1 + 預測IC!$C25:F25) - 1</f>
        <v>22.036157239683071</v>
      </c>
      <c r="H16" s="9">
        <f t="array" ref="H16">PRODUCT(1 + 預測IC!$C25:G25) - 1</f>
        <v>41.75231694675567</v>
      </c>
      <c r="I16" s="9">
        <f t="array" ref="I16">PRODUCT(1 + 預測IC!$C25:H25) - 1</f>
        <v>73.452597173321749</v>
      </c>
      <c r="J16" s="9">
        <f t="array" ref="J16">PRODUCT(1 + 預測IC!$C25:I25) - 1</f>
        <v>127.07209905630052</v>
      </c>
      <c r="K16" s="9">
        <f t="array" ref="K16">PRODUCT(1 + 預測IC!$C25:J25) - 1</f>
        <v>255.66386942325232</v>
      </c>
      <c r="L16" s="9">
        <f t="array" ref="L16">PRODUCT(1 + 預測IC!$C25:K25) - 1</f>
        <v>645.14789339932031</v>
      </c>
      <c r="M16" s="9">
        <f t="array" ref="M16">PRODUCT(1 + 預測IC!$C25:L25) - 1</f>
        <v>1349.1915060404597</v>
      </c>
      <c r="N16" s="9">
        <f t="array" ref="N16">PRODUCT(1 + 預測IC!$C25:M25) - 1</f>
        <v>3687.4323754198076</v>
      </c>
      <c r="O16" s="9">
        <f t="array" ref="O16">PRODUCT(1 + 預測IC!$C25:N25) - 1</f>
        <v>8706.7152824668683</v>
      </c>
      <c r="P16" s="9">
        <f t="array" ref="P16">PRODUCT(1 + 預測IC!$C25:O25) - 1</f>
        <v>9227.2019273685983</v>
      </c>
      <c r="Q16" s="9">
        <f t="array" ref="Q16">PRODUCT(1 + 預測IC!$C25:P25) - 1</f>
        <v>9300.9442577254704</v>
      </c>
      <c r="R16" s="9">
        <f t="array" ref="R16">PRODUCT(1 + 預測IC!$C25:Q25) - 1</f>
        <v>5699.8089442977325</v>
      </c>
      <c r="S16" s="9">
        <f t="array" ref="S16">PRODUCT(1 + 預測IC!$C25:R25) - 1</f>
        <v>5136.9261594412046</v>
      </c>
      <c r="T16" s="9">
        <f t="array" ref="T16">PRODUCT(1 + 預測IC!$C25:S25) - 1</f>
        <v>5242.2192275843108</v>
      </c>
      <c r="U16" s="9">
        <f t="array" ref="U16">PRODUCT(1 + 預測IC!$C25:T25) - 1</f>
        <v>6476.5490808591849</v>
      </c>
      <c r="V16" s="9">
        <f t="array" ref="V16">PRODUCT(1 + 預測IC!$C25:U25) - 1</f>
        <v>6548.2714378290539</v>
      </c>
      <c r="W16" s="9">
        <f t="array" ref="W16">PRODUCT(1 + 預測IC!$C25:V25) - 1</f>
        <v>7369.2151130801522</v>
      </c>
      <c r="X16" s="9">
        <f t="array" ref="X16">PRODUCT(1 + 預測IC!$C25:W25) - 1</f>
        <v>8049.7720460870632</v>
      </c>
      <c r="Y16" s="9">
        <f t="array" ref="Y16">PRODUCT(1 + 預測IC!$C25:X25) - 1</f>
        <v>9421.2249988334643</v>
      </c>
      <c r="Z16" s="9">
        <f t="array" ref="Z16">PRODUCT(1 + 預測IC!$C25:Y25) - 1</f>
        <v>9189.5269149989235</v>
      </c>
      <c r="AA16" s="9">
        <f t="array" ref="AA16">PRODUCT(1 + 預測IC!$C25:Z25) - 1</f>
        <v>9675.3254745702452</v>
      </c>
      <c r="AB16" s="9">
        <f t="array" ref="AB16">PRODUCT(1 + 預測IC!$C25:AA25) - 1</f>
        <v>7004.3896329770168</v>
      </c>
      <c r="AC16" s="9">
        <f t="array" ref="AC16">PRODUCT(1 + 預測IC!$C25:AB25) - 1</f>
        <v>7631.0361253156807</v>
      </c>
      <c r="AD16" s="9">
        <f t="array" ref="AD16">PRODUCT(1 + 預測IC!$C25:AC25) - 1</f>
        <v>8099.5765342401692</v>
      </c>
      <c r="AE16" s="9">
        <f t="array" ref="AE16">PRODUCT(1 + 預測IC!$C25:AD25) - 1</f>
        <v>8150.2202822547142</v>
      </c>
      <c r="AF16" s="9">
        <f t="array" ref="AF16">PRODUCT(1 + 預測IC!$C25:AE25) - 1</f>
        <v>7472.3349244194778</v>
      </c>
      <c r="AG16" s="9">
        <f t="array" ref="AG16">PRODUCT(1 + 預測IC!$C25:AF25) - 1</f>
        <v>10268.07084091083</v>
      </c>
      <c r="AH16" s="9">
        <f t="array" ref="AH16">PRODUCT(1 + 預測IC!$C25:AG25) - 1</f>
        <v>9965.3927307887079</v>
      </c>
      <c r="AI16" s="9">
        <f t="array" ref="AI16">PRODUCT(1 + 預測IC!$C25:AH25) - 1</f>
        <v>10522.925042220728</v>
      </c>
      <c r="AJ16" s="9">
        <f t="array" ref="AJ16">PRODUCT(1 + 預測IC!$C25:AI25) - 1</f>
        <v>8254.8818324850508</v>
      </c>
      <c r="AK16" s="9">
        <f t="array" ref="AK16">PRODUCT(1 + 預測IC!$C25:AJ25) - 1</f>
        <v>8337.92205916483</v>
      </c>
      <c r="AL16" s="9">
        <f t="array" ref="AL16">PRODUCT(1 + 預測IC!$C25:AK25) - 1</f>
        <v>7847.2874052487623</v>
      </c>
      <c r="AM16" s="9">
        <f t="array" ref="AM16">PRODUCT(1 + 預測IC!$C25:AL25) - 1</f>
        <v>6610.5727138322845</v>
      </c>
      <c r="AN16" s="9">
        <f t="array" ref="AN16">PRODUCT(1 + 預測IC!$C25:AM25) - 1</f>
        <v>6593.5105258626836</v>
      </c>
      <c r="AO16" s="9">
        <f t="array" ref="AO16">PRODUCT(1 + 預測IC!$C25:AN25) - 1</f>
        <v>7543.8395076886618</v>
      </c>
      <c r="AP16" s="9">
        <f t="array" ref="AP16">PRODUCT(1 + 預測IC!$C25:AO25) - 1</f>
        <v>7556.9326150699471</v>
      </c>
      <c r="AQ16" s="9">
        <f t="array" ref="AQ16">PRODUCT(1 + 預測IC!$C25:AP25) - 1</f>
        <v>6899.0675006585416</v>
      </c>
      <c r="AR16" s="9">
        <f t="array" ref="AR16">PRODUCT(1 + 預測IC!$C25:AQ25) - 1</f>
        <v>10312.920564159744</v>
      </c>
      <c r="AS16" s="9">
        <f t="array" ref="AS16">PRODUCT(1 + 預測IC!$C25:AR25) - 1</f>
        <v>10435.815587751995</v>
      </c>
      <c r="AT16" s="9">
        <f t="array" ref="AT16">PRODUCT(1 + 預測IC!$C25:AS25) - 1</f>
        <v>8773.0021348796217</v>
      </c>
      <c r="AU16" s="9">
        <f t="array" ref="AU16">PRODUCT(1 + 預測IC!$C25:AT25) - 1</f>
        <v>9214.2356956344174</v>
      </c>
      <c r="AV16" s="9">
        <f t="array" ref="AV16">PRODUCT(1 + 預測IC!$C25:AU25) - 1</f>
        <v>8962.6812933386918</v>
      </c>
      <c r="AW16" s="9">
        <f t="array" ref="AW16">PRODUCT(1 + 預測IC!$C25:AV25) - 1</f>
        <v>9578.2233074694395</v>
      </c>
      <c r="AX16" s="9">
        <f t="array" ref="AX16">PRODUCT(1 + 預測IC!$C25:AW25) - 1</f>
        <v>8285.577474005966</v>
      </c>
      <c r="AY16" s="9">
        <f t="array" ref="AY16">PRODUCT(1 + 預測IC!$C25:AX25) - 1</f>
        <v>7435.8782722186725</v>
      </c>
      <c r="AZ16" s="9">
        <f t="array" ref="AZ16">PRODUCT(1 + 預測IC!$C25:AY25) - 1</f>
        <v>6690.0451873984002</v>
      </c>
      <c r="BA16" s="9">
        <f t="array" ref="BA16">PRODUCT(1 + 預測IC!$C25:AZ25) - 1</f>
        <v>6179.0581550100242</v>
      </c>
      <c r="BB16" s="9">
        <f t="array" ref="BB16">PRODUCT(1 + 預測IC!$C25:BA25) - 1</f>
        <v>5696.7309831088396</v>
      </c>
      <c r="BC16" s="9">
        <f t="array" ref="BC16">PRODUCT(1 + 預測IC!$C25:BB25) - 1</f>
        <v>4273.9888981824224</v>
      </c>
      <c r="BD16" s="9">
        <f t="array" ref="BD16">PRODUCT(1 + 預測IC!$C25:BC25) - 1</f>
        <v>4424.7791880143659</v>
      </c>
      <c r="BE16" s="9">
        <f t="array" ref="BE16">PRODUCT(1 + 預測IC!$C25:BD25) - 1</f>
        <v>4160.1825693001665</v>
      </c>
      <c r="BF16" s="9">
        <f t="array" ref="BF16">PRODUCT(1 + 預測IC!$C25:BE25) - 1</f>
        <v>4046.0756249313454</v>
      </c>
      <c r="BG16" s="9">
        <f t="array" ref="BG16">PRODUCT(1 + 預測IC!$C25:BF25) - 1</f>
        <v>4341.7956918866284</v>
      </c>
      <c r="BH16" s="9">
        <f t="array" ref="BH16">PRODUCT(1 + 預測IC!$C25:BG25) - 1</f>
        <v>4633.1953600433026</v>
      </c>
      <c r="BI16" s="9">
        <f t="array" ref="BI16">PRODUCT(1 + 預測IC!$C25:BH25) - 1</f>
        <v>5151.5324476663945</v>
      </c>
      <c r="BJ16" s="9">
        <f t="array" ref="BJ16">PRODUCT(1 + 預測IC!$C25:BI25) - 1</f>
        <v>4441.5877059290233</v>
      </c>
      <c r="BK16" s="9">
        <f t="array" ref="BK16">PRODUCT(1 + 預測IC!$C25:BJ25) - 1</f>
        <v>5143.0530053122502</v>
      </c>
      <c r="BL16" s="9">
        <f t="array" ref="BL16">PRODUCT(1 + 預測IC!$C25:BK25) - 1</f>
        <v>5945.1702408268638</v>
      </c>
      <c r="BM16" s="9">
        <f t="array" ref="BM16">PRODUCT(1 + 預測IC!$C25:BL25) - 1</f>
        <v>7053.6459235464044</v>
      </c>
      <c r="BN16" s="9">
        <f t="array" ref="BN16">PRODUCT(1 + 預測IC!$C25:BM25) - 1</f>
        <v>8243.6468117727582</v>
      </c>
      <c r="BO16" s="9">
        <f t="array" ref="BO16">PRODUCT(1 + 預測IC!$C25:BN25) - 1</f>
        <v>9836.0497447870239</v>
      </c>
      <c r="BP16" s="9">
        <f t="array" ref="BP16">PRODUCT(1 + 預測IC!$C25:BO25) - 1</f>
        <v>8624.7476010165046</v>
      </c>
      <c r="BQ16" s="9">
        <f t="array" ref="BQ16">PRODUCT(1 + 預測IC!$C25:BP25) - 1</f>
        <v>9610.5218887062383</v>
      </c>
      <c r="BR16" s="9">
        <f t="array" ref="BR16">PRODUCT(1 + 預測IC!$C25:BQ25) - 1</f>
        <v>10555.436267494408</v>
      </c>
      <c r="BS16" s="9">
        <f t="array" ref="BS16">PRODUCT(1 + 預測IC!$C25:BR25) - 1</f>
        <v>8827.0197962741804</v>
      </c>
      <c r="BT16" s="9">
        <f t="array" ref="BT16">PRODUCT(1 + 預測IC!$C25:BS25) - 1</f>
        <v>9526.4401127391957</v>
      </c>
      <c r="BU16" s="9">
        <f t="array" ref="BU16">PRODUCT(1 + 預測IC!$C25:BT25) - 1</f>
        <v>8918.3417329278218</v>
      </c>
      <c r="BV16" s="9">
        <f t="array" ref="BV16">PRODUCT(1 + 預測IC!$C25:BU25) - 1</f>
        <v>10186.50507953056</v>
      </c>
      <c r="BW16" s="9">
        <f t="array" ref="BW16">PRODUCT(1 + 預測IC!$C25:BV25) - 1</f>
        <v>13057.973779082866</v>
      </c>
      <c r="BX16" s="9">
        <f t="array" ref="BX16">PRODUCT(1 + 預測IC!$C25:BW25) - 1</f>
        <v>9600.0034761366987</v>
      </c>
      <c r="BY16" s="9">
        <f t="array" ref="BY16">PRODUCT(1 + 預測IC!$C25:BX25) - 1</f>
        <v>9460.8054478573304</v>
      </c>
      <c r="BZ16" s="9">
        <f t="array" ref="BZ16">PRODUCT(1 + 預測IC!$C25:BY25) - 1</f>
        <v>10291.060745599681</v>
      </c>
      <c r="CA16" s="9">
        <f t="array" ref="CA16">PRODUCT(1 + 預測IC!$C25:BZ25) - 1</f>
        <v>9734.1125065031865</v>
      </c>
      <c r="CB16" s="9">
        <f t="array" ref="CB16">PRODUCT(1 + 預測IC!$C25:CA25) - 1</f>
        <v>8531.0989442767786</v>
      </c>
      <c r="CC16" s="9">
        <f t="array" ref="CC16">PRODUCT(1 + 預測IC!$C25:CB25) - 1</f>
        <v>8009.7254761639542</v>
      </c>
      <c r="CD16" s="9">
        <f t="array" ref="CD16">PRODUCT(1 + 預測IC!$C25:CC25) - 1</f>
        <v>9425.3174875682671</v>
      </c>
      <c r="CE16" s="9">
        <f t="array" ref="CE16">PRODUCT(1 + 預測IC!$C25:CD25) - 1</f>
        <v>8490.4397238052588</v>
      </c>
      <c r="CF16" s="9">
        <f t="array" ref="CF16">PRODUCT(1 + 預測IC!$C25:CE25) - 1</f>
        <v>8801.183552964907</v>
      </c>
      <c r="CG16" s="9">
        <f t="array" ref="CG16">PRODUCT(1 + 預測IC!$C25:CF25) - 1</f>
        <v>8325.5557897452982</v>
      </c>
      <c r="CH16" s="9">
        <f t="array" ref="CH16">PRODUCT(1 + 預測IC!$C25:CG25) - 1</f>
        <v>8129.6011001947081</v>
      </c>
      <c r="CI16" s="9">
        <f t="array" ref="CI16">PRODUCT(1 + 預測IC!$C25:CH25) - 1</f>
        <v>8664.8907101460463</v>
      </c>
      <c r="CJ16" s="9">
        <f t="array" ref="CJ16">PRODUCT(1 + 預測IC!$C25:CI25) - 1</f>
        <v>8606.2883365066536</v>
      </c>
      <c r="CK16" s="9">
        <f t="array" ref="CK16">PRODUCT(1 + 預測IC!$C25:CJ25) - 1</f>
        <v>8214.0099594844978</v>
      </c>
      <c r="CL16" s="9">
        <f t="array" ref="CL16">PRODUCT(1 + 預測IC!$C25:CK25) - 1</f>
        <v>7403.1709563065906</v>
      </c>
      <c r="CM16" s="9">
        <f t="array" ref="CM16">PRODUCT(1 + 預測IC!$C25:CL25) - 1</f>
        <v>5303.2517887288896</v>
      </c>
      <c r="CN16" s="9">
        <f t="array" ref="CN16">PRODUCT(1 + 預測IC!$C25:CM25) - 1</f>
        <v>5824.9349422935247</v>
      </c>
      <c r="CO16" s="9">
        <f t="array" ref="CO16">PRODUCT(1 + 預測IC!$C25:CN25) - 1</f>
        <v>5732.5722706163851</v>
      </c>
      <c r="CP16" s="9">
        <f t="array" ref="CP16">PRODUCT(1 + 預測IC!$C25:CO25) - 1</f>
        <v>7410.5021271285459</v>
      </c>
      <c r="CQ16" s="9">
        <f t="array" ref="CQ16">PRODUCT(1 + 預測IC!$C25:CP25) - 1</f>
        <v>9445.455843904585</v>
      </c>
      <c r="CR16" s="9">
        <f t="array" ref="CR16">PRODUCT(1 + 預測IC!$C25:CQ25) - 1</f>
        <v>8980.5121037639801</v>
      </c>
      <c r="CS16" s="9">
        <f t="array" ref="CS16">PRODUCT(1 + 預測IC!$C25:CR25) - 1</f>
        <v>8057.8681966169961</v>
      </c>
      <c r="CT16" s="9">
        <f t="array" ref="CT16">PRODUCT(1 + 預測IC!$C25:CS25) - 1</f>
        <v>8866.4896024048303</v>
      </c>
      <c r="CU16" s="9">
        <f t="array" ref="CU16">PRODUCT(1 + 預測IC!$C25:CT25) - 1</f>
        <v>7706.2337914954178</v>
      </c>
      <c r="CV16" s="9">
        <f t="array" ref="CV16">PRODUCT(1 + 預測IC!$C25:CU25) - 1</f>
        <v>6408.4967331494427</v>
      </c>
      <c r="CW16" s="9">
        <f t="array" ref="CW16">PRODUCT(1 + 預測IC!$C25:CV25) - 1</f>
        <v>5189.7977606512786</v>
      </c>
      <c r="CX16" s="9">
        <f t="array" ref="CX16">PRODUCT(1 + 預測IC!$C25:CW25) - 1</f>
        <v>4973.6457905965362</v>
      </c>
      <c r="CY16" s="9">
        <f t="array" ref="CY16">PRODUCT(1 + 預測IC!$C25:CX25) - 1</f>
        <v>5042.5485723625325</v>
      </c>
      <c r="CZ16" s="9">
        <f t="array" ref="CZ16">PRODUCT(1 + 預測IC!$C25:CY25) - 1</f>
        <v>4433.2019052593123</v>
      </c>
      <c r="DA16" s="9">
        <f t="array" ref="DA16">PRODUCT(1 + 預測IC!$C25:CZ25) - 1</f>
        <v>5291.7333366572566</v>
      </c>
      <c r="DB16" s="9">
        <f t="array" ref="DB16">PRODUCT(1 + 預測IC!$C25:DA25) - 1</f>
        <v>4794.3405019030006</v>
      </c>
      <c r="DC16" s="9">
        <f t="array" ref="DC16">PRODUCT(1 + 預測IC!$C25:DB25) - 1</f>
        <v>4146.6688690515502</v>
      </c>
      <c r="DD16" s="9">
        <f t="array" ref="DD16">PRODUCT(1 + 預測IC!$C25:DC25) - 1</f>
        <v>3624.9823584364517</v>
      </c>
      <c r="DE16" s="9">
        <f t="array" ref="DE16">PRODUCT(1 + 預測IC!$C25:DD25) - 1</f>
        <v>4286.9868459963209</v>
      </c>
      <c r="DF16" s="9">
        <f t="array" ref="DF16">PRODUCT(1 + 預測IC!$C25:DE25) - 1</f>
        <v>4170.759677217713</v>
      </c>
      <c r="DG16" s="9">
        <f t="array" ref="DG16">PRODUCT(1 + 預測IC!$C25:DF25) - 1</f>
        <v>4264.399524952817</v>
      </c>
      <c r="DH16" s="9">
        <f t="array" ref="DH16">PRODUCT(1 + 預測IC!$C25:DG25) - 1</f>
        <v>4061.3523768762607</v>
      </c>
      <c r="DI16" s="9">
        <f t="array" ref="DI16">PRODUCT(1 + 預測IC!$C25:DH25) - 1</f>
        <v>3693.5431783063041</v>
      </c>
      <c r="DJ16" s="9">
        <f t="array" ref="DJ16">PRODUCT(1 + 預測IC!$C25:DI25) - 1</f>
        <v>4117.204606771922</v>
      </c>
      <c r="DK16" s="9">
        <f t="array" ref="DK16">PRODUCT(1 + 預測IC!$C25:DJ25) - 1</f>
        <v>4556.4572026139849</v>
      </c>
      <c r="DL16" s="9">
        <f t="array" ref="DL16">PRODUCT(1 + 預測IC!$C25:DK25) - 1</f>
        <v>5059.8384410672743</v>
      </c>
      <c r="DM16" s="9">
        <f t="array" ref="DM16">PRODUCT(1 + 預測IC!$C25:DL25) - 1</f>
        <v>4955.9339664988383</v>
      </c>
      <c r="DN16" s="9">
        <f t="array" ref="DN16">PRODUCT(1 + 預測IC!$C25:DM25) - 1</f>
        <v>3558.8484366953439</v>
      </c>
      <c r="DO16" s="9">
        <f t="array" ref="DO16">PRODUCT(1 + 預測IC!$C25:DN25) - 1</f>
        <v>3419.3140475179584</v>
      </c>
      <c r="DP16" s="9">
        <f t="array" ref="DP16">PRODUCT(1 + 預測IC!$C25:DO25) - 1</f>
        <v>3146.3669123787008</v>
      </c>
      <c r="DQ16" s="9">
        <f t="array" ref="DQ16">PRODUCT(1 + 預測IC!$C25:DP25) - 1</f>
        <v>2874.7265743967764</v>
      </c>
      <c r="DR16" s="9">
        <f t="array" ref="DR16">PRODUCT(1 + 預測IC!$C25:DQ25) - 1</f>
        <v>3011.9914507024541</v>
      </c>
      <c r="DS16" s="9">
        <f t="array" ref="DS16">PRODUCT(1 + 預測IC!$C25:DR25) - 1</f>
        <v>3261.2696493599137</v>
      </c>
      <c r="DT16" s="9">
        <f t="array" ref="DT16">PRODUCT(1 + 預測IC!$C25:DS25) - 1</f>
        <v>3606.669909310172</v>
      </c>
      <c r="DU16" s="9">
        <f t="array" ref="DU16">PRODUCT(1 + 預測IC!$C25:DT25) - 1</f>
        <v>3635.0190607471832</v>
      </c>
      <c r="DV16" s="9">
        <f t="array" ref="DV16">PRODUCT(1 + 預測IC!$C25:DU25) - 1</f>
        <v>3924.945404084448</v>
      </c>
      <c r="DW16" s="9">
        <f t="array" ref="DW16">PRODUCT(1 + 預測IC!$C25:DV25) - 1</f>
        <v>3574.6310026115434</v>
      </c>
      <c r="DX16" s="9">
        <f t="array" ref="DX16">PRODUCT(1 + 預測IC!$C25:DW25) - 1</f>
        <v>3580.6887577240204</v>
      </c>
      <c r="DY16" s="9">
        <f t="array" ref="DY16">PRODUCT(1 + 預測IC!$C25:DX25) - 1</f>
        <v>3489.666615641434</v>
      </c>
      <c r="DZ16" s="9">
        <f t="array" ref="DZ16">PRODUCT(1 + 預測IC!$C25:DY25) - 1</f>
        <v>3204.9314193904197</v>
      </c>
      <c r="EA16" s="9">
        <f t="array" ref="EA16">PRODUCT(1 + 預測IC!$C25:DZ25) - 1</f>
        <v>2984.0577589863142</v>
      </c>
      <c r="EB16" s="9">
        <f t="array" ref="EB16">PRODUCT(1 + 預測IC!$C25:EA25) - 1</f>
        <v>3134.726090376872</v>
      </c>
      <c r="EC16" s="9">
        <f t="array" ref="EC16">PRODUCT(1 + 預測IC!$C25:EB25) - 1</f>
        <v>3097.196177774676</v>
      </c>
      <c r="ED16" s="9">
        <f t="array" ref="ED16">PRODUCT(1 + 預測IC!$C25:EC25) - 1</f>
        <v>3357.6164566636685</v>
      </c>
      <c r="EE16" s="9">
        <f t="array" ref="EE16">PRODUCT(1 + 預測IC!$C25:ED25) - 1</f>
        <v>3742.4818642897535</v>
      </c>
      <c r="EF16" s="9">
        <f t="array" ref="EF16">PRODUCT(1 + 預測IC!$C25:EE25) - 1</f>
        <v>3865.8860384171812</v>
      </c>
      <c r="EG16" s="9">
        <f t="array" ref="EG16">PRODUCT(1 + 預測IC!$C25:EF25) - 1</f>
        <v>3959.7873717821772</v>
      </c>
    </row>
    <row r="17" spans="1:138" ht="16" customHeight="1">
      <c r="C17" s="6">
        <v>964</v>
      </c>
      <c r="D17" s="9">
        <v>1.274316755103944</v>
      </c>
      <c r="E17" s="9">
        <f t="array" ref="E17">PRODUCT(1 + 預測IC!$C26:D26) - 1</f>
        <v>4.7959821773410871</v>
      </c>
      <c r="F17" s="9">
        <f t="array" ref="F17">PRODUCT(1 + 預測IC!$C26:E26) - 1</f>
        <v>11.101116550448845</v>
      </c>
      <c r="G17" s="9">
        <f t="array" ref="G17">PRODUCT(1 + 預測IC!$C26:F26) - 1</f>
        <v>32.809330435262588</v>
      </c>
      <c r="H17" s="9">
        <f t="array" ref="H17">PRODUCT(1 + 預測IC!$C26:G26) - 1</f>
        <v>60.481366263413705</v>
      </c>
      <c r="I17" s="9">
        <f t="array" ref="I17">PRODUCT(1 + 預測IC!$C26:H26) - 1</f>
        <v>110.07797132277224</v>
      </c>
      <c r="J17" s="9">
        <f t="array" ref="J17">PRODUCT(1 + 預測IC!$C26:I26) - 1</f>
        <v>198.72982219508319</v>
      </c>
      <c r="K17" s="9">
        <f t="array" ref="K17">PRODUCT(1 + 預測IC!$C26:J26) - 1</f>
        <v>396.51060050686544</v>
      </c>
      <c r="L17" s="9">
        <f t="array" ref="L17">PRODUCT(1 + 預測IC!$C26:K26) - 1</f>
        <v>1354.3457368465888</v>
      </c>
      <c r="M17" s="9">
        <f t="array" ref="M17">PRODUCT(1 + 預測IC!$C26:L26) - 1</f>
        <v>3043.3020469145035</v>
      </c>
      <c r="N17" s="9">
        <f t="array" ref="N17">PRODUCT(1 + 預測IC!$C26:M26) - 1</f>
        <v>8936.6125872720113</v>
      </c>
      <c r="O17" s="9">
        <f t="array" ref="O17">PRODUCT(1 + 預測IC!$C26:N26) - 1</f>
        <v>25916.642864792313</v>
      </c>
      <c r="P17" s="9">
        <f t="array" ref="P17">PRODUCT(1 + 預測IC!$C26:O26) - 1</f>
        <v>31630.543815918332</v>
      </c>
      <c r="Q17" s="9">
        <f t="array" ref="Q17">PRODUCT(1 + 預測IC!$C26:P26) - 1</f>
        <v>31239.801317257028</v>
      </c>
      <c r="R17" s="9">
        <f t="array" ref="R17">PRODUCT(1 + 預測IC!$C26:Q26) - 1</f>
        <v>31138.502672901446</v>
      </c>
      <c r="S17" s="9">
        <f t="array" ref="S17">PRODUCT(1 + 預測IC!$C26:R26) - 1</f>
        <v>23701.265200356982</v>
      </c>
      <c r="T17" s="9">
        <f t="array" ref="T17">PRODUCT(1 + 預測IC!$C26:S26) - 1</f>
        <v>25302.293422488776</v>
      </c>
      <c r="U17" s="9">
        <f t="array" ref="U17">PRODUCT(1 + 預測IC!$C26:T26) - 1</f>
        <v>25962.466514534535</v>
      </c>
      <c r="V17" s="9">
        <f t="array" ref="V17">PRODUCT(1 + 預測IC!$C26:U26) - 1</f>
        <v>26418.808031548982</v>
      </c>
      <c r="W17" s="9">
        <f t="array" ref="W17">PRODUCT(1 + 預測IC!$C26:V26) - 1</f>
        <v>33695.05016497949</v>
      </c>
      <c r="X17" s="9">
        <f t="array" ref="X17">PRODUCT(1 + 預測IC!$C26:W26) - 1</f>
        <v>40808.480061296577</v>
      </c>
      <c r="Y17" s="9">
        <f t="array" ref="Y17">PRODUCT(1 + 預測IC!$C26:X26) - 1</f>
        <v>47370.554737171013</v>
      </c>
      <c r="Z17" s="9">
        <f t="array" ref="Z17">PRODUCT(1 + 預測IC!$C26:Y26) - 1</f>
        <v>44877.37626122724</v>
      </c>
      <c r="AA17" s="9">
        <f t="array" ref="AA17">PRODUCT(1 + 預測IC!$C26:Z26) - 1</f>
        <v>41177.004037696592</v>
      </c>
      <c r="AB17" s="9">
        <f t="array" ref="AB17">PRODUCT(1 + 預測IC!$C26:AA26) - 1</f>
        <v>33555.192244086662</v>
      </c>
      <c r="AC17" s="9">
        <f t="array" ref="AC17">PRODUCT(1 + 預測IC!$C26:AB26) - 1</f>
        <v>37646.828958489408</v>
      </c>
      <c r="AD17" s="9">
        <f t="array" ref="AD17">PRODUCT(1 + 預測IC!$C26:AC26) - 1</f>
        <v>39405.120117251827</v>
      </c>
      <c r="AE17" s="9">
        <f t="array" ref="AE17">PRODUCT(1 + 預測IC!$C26:AD26) - 1</f>
        <v>21210.829542736457</v>
      </c>
      <c r="AF17" s="9">
        <f t="array" ref="AF17">PRODUCT(1 + 預測IC!$C26:AE26) - 1</f>
        <v>17113.938821791595</v>
      </c>
      <c r="AG17" s="9">
        <f t="array" ref="AG17">PRODUCT(1 + 預測IC!$C26:AF26) - 1</f>
        <v>25592.498314898086</v>
      </c>
      <c r="AH17" s="9">
        <f t="array" ref="AH17">PRODUCT(1 + 預測IC!$C26:AG26) - 1</f>
        <v>29416.934976971505</v>
      </c>
      <c r="AI17" s="9">
        <f t="array" ref="AI17">PRODUCT(1 + 預測IC!$C26:AH26) - 1</f>
        <v>32835.212146862199</v>
      </c>
      <c r="AJ17" s="9">
        <f t="array" ref="AJ17">PRODUCT(1 + 預測IC!$C26:AI26) - 1</f>
        <v>20225.708045701249</v>
      </c>
      <c r="AK17" s="9">
        <f t="array" ref="AK17">PRODUCT(1 + 預測IC!$C26:AJ26) - 1</f>
        <v>18575.269451859505</v>
      </c>
      <c r="AL17" s="9">
        <f t="array" ref="AL17">PRODUCT(1 + 預測IC!$C26:AK26) - 1</f>
        <v>18653.02324768274</v>
      </c>
      <c r="AM17" s="9">
        <f t="array" ref="AM17">PRODUCT(1 + 預測IC!$C26:AL26) - 1</f>
        <v>15667.021027822289</v>
      </c>
      <c r="AN17" s="9">
        <f t="array" ref="AN17">PRODUCT(1 + 預測IC!$C26:AM26) - 1</f>
        <v>16374.007108966565</v>
      </c>
      <c r="AO17" s="9">
        <f t="array" ref="AO17">PRODUCT(1 + 預測IC!$C26:AN26) - 1</f>
        <v>18964.156610242808</v>
      </c>
      <c r="AP17" s="9">
        <f t="array" ref="AP17">PRODUCT(1 + 預測IC!$C26:AO26) - 1</f>
        <v>20373.119565951125</v>
      </c>
      <c r="AQ17" s="9">
        <f t="array" ref="AQ17">PRODUCT(1 + 預測IC!$C26:AP26) - 1</f>
        <v>21409.711668757649</v>
      </c>
      <c r="AR17" s="9">
        <f t="array" ref="AR17">PRODUCT(1 + 預測IC!$C26:AQ26) - 1</f>
        <v>32548.578241086816</v>
      </c>
      <c r="AS17" s="9">
        <f t="array" ref="AS17">PRODUCT(1 + 預測IC!$C26:AR26) - 1</f>
        <v>36952.86153391355</v>
      </c>
      <c r="AT17" s="9">
        <f t="array" ref="AT17">PRODUCT(1 + 預測IC!$C26:AS26) - 1</f>
        <v>31657.343864144274</v>
      </c>
      <c r="AU17" s="9">
        <f t="array" ref="AU17">PRODUCT(1 + 預測IC!$C26:AT26) - 1</f>
        <v>30792.4590532568</v>
      </c>
      <c r="AV17" s="9">
        <f t="array" ref="AV17">PRODUCT(1 + 預測IC!$C26:AU26) - 1</f>
        <v>28492.00305045296</v>
      </c>
      <c r="AW17" s="9">
        <f t="array" ref="AW17">PRODUCT(1 + 預測IC!$C26:AV26) - 1</f>
        <v>33125.27232237898</v>
      </c>
      <c r="AX17" s="9">
        <f t="array" ref="AX17">PRODUCT(1 + 預測IC!$C26:AW26) - 1</f>
        <v>24785.961419810807</v>
      </c>
      <c r="AY17" s="9">
        <f t="array" ref="AY17">PRODUCT(1 + 預測IC!$C26:AX26) - 1</f>
        <v>27310.933054930727</v>
      </c>
      <c r="AZ17" s="9">
        <f t="array" ref="AZ17">PRODUCT(1 + 預測IC!$C26:AY26) - 1</f>
        <v>30285.371745930974</v>
      </c>
      <c r="BA17" s="9">
        <f t="array" ref="BA17">PRODUCT(1 + 預測IC!$C26:AZ26) - 1</f>
        <v>29407.0625775136</v>
      </c>
      <c r="BB17" s="9">
        <f t="array" ref="BB17">PRODUCT(1 + 預測IC!$C26:BA26) - 1</f>
        <v>28465.581843997228</v>
      </c>
      <c r="BC17" s="9">
        <f t="array" ref="BC17">PRODUCT(1 + 預測IC!$C26:BB26) - 1</f>
        <v>17976.75987187391</v>
      </c>
      <c r="BD17" s="9">
        <f t="array" ref="BD17">PRODUCT(1 + 預測IC!$C26:BC26) - 1</f>
        <v>19015.631503481589</v>
      </c>
      <c r="BE17" s="9">
        <f t="array" ref="BE17">PRODUCT(1 + 預測IC!$C26:BD26) - 1</f>
        <v>15905.229295737881</v>
      </c>
      <c r="BF17" s="9">
        <f t="array" ref="BF17">PRODUCT(1 + 預測IC!$C26:BE26) - 1</f>
        <v>15725.232369117977</v>
      </c>
      <c r="BG17" s="9">
        <f t="array" ref="BG17">PRODUCT(1 + 預測IC!$C26:BF26) - 1</f>
        <v>18166.149718042361</v>
      </c>
      <c r="BH17" s="9">
        <f t="array" ref="BH17">PRODUCT(1 + 預測IC!$C26:BG26) - 1</f>
        <v>15970.472391030955</v>
      </c>
      <c r="BI17" s="9">
        <f t="array" ref="BI17">PRODUCT(1 + 預測IC!$C26:BH26) - 1</f>
        <v>21681.436750233897</v>
      </c>
      <c r="BJ17" s="9">
        <f t="array" ref="BJ17">PRODUCT(1 + 預測IC!$C26:BI26) - 1</f>
        <v>17752.882275934029</v>
      </c>
      <c r="BK17" s="9">
        <f t="array" ref="BK17">PRODUCT(1 + 預測IC!$C26:BJ26) - 1</f>
        <v>20758.337258751166</v>
      </c>
      <c r="BL17" s="9">
        <f t="array" ref="BL17">PRODUCT(1 + 預測IC!$C26:BK26) - 1</f>
        <v>23959.880795435703</v>
      </c>
      <c r="BM17" s="9">
        <f t="array" ref="BM17">PRODUCT(1 + 預測IC!$C26:BL26) - 1</f>
        <v>28677.993101590764</v>
      </c>
      <c r="BN17" s="9">
        <f t="array" ref="BN17">PRODUCT(1 + 預測IC!$C26:BM26) - 1</f>
        <v>39326.07792808181</v>
      </c>
      <c r="BO17" s="9">
        <f t="array" ref="BO17">PRODUCT(1 + 預測IC!$C26:BN26) - 1</f>
        <v>52839.932723331229</v>
      </c>
      <c r="BP17" s="9">
        <f t="array" ref="BP17">PRODUCT(1 + 預測IC!$C26:BO26) - 1</f>
        <v>41002.612098493897</v>
      </c>
      <c r="BQ17" s="9">
        <f t="array" ref="BQ17">PRODUCT(1 + 預測IC!$C26:BP26) - 1</f>
        <v>49932.34676978879</v>
      </c>
      <c r="BR17" s="9">
        <f t="array" ref="BR17">PRODUCT(1 + 預測IC!$C26:BQ26) - 1</f>
        <v>55838.955998281788</v>
      </c>
      <c r="BS17" s="9">
        <f t="array" ref="BS17">PRODUCT(1 + 預測IC!$C26:BR26) - 1</f>
        <v>44249.152468590393</v>
      </c>
      <c r="BT17" s="9">
        <f t="array" ref="BT17">PRODUCT(1 + 預測IC!$C26:BS26) - 1</f>
        <v>47676.683390987404</v>
      </c>
      <c r="BU17" s="9">
        <f t="array" ref="BU17">PRODUCT(1 + 預測IC!$C26:BT26) - 1</f>
        <v>47107.50604706187</v>
      </c>
      <c r="BV17" s="9">
        <f t="array" ref="BV17">PRODUCT(1 + 預測IC!$C26:BU26) - 1</f>
        <v>68541.13588845772</v>
      </c>
      <c r="BW17" s="9">
        <f t="array" ref="BW17">PRODUCT(1 + 預測IC!$C26:BV26) - 1</f>
        <v>66631.275457957527</v>
      </c>
      <c r="BX17" s="9">
        <f t="array" ref="BX17">PRODUCT(1 + 預測IC!$C26:BW26) - 1</f>
        <v>53209.550132581448</v>
      </c>
      <c r="BY17" s="9">
        <f t="array" ref="BY17">PRODUCT(1 + 預測IC!$C26:BX26) - 1</f>
        <v>50067.576931141528</v>
      </c>
      <c r="BZ17" s="9">
        <f t="array" ref="BZ17">PRODUCT(1 + 預測IC!$C26:BY26) - 1</f>
        <v>58151.904536773633</v>
      </c>
      <c r="CA17" s="9">
        <f t="array" ref="CA17">PRODUCT(1 + 預測IC!$C26:BZ26) - 1</f>
        <v>48813.071255510295</v>
      </c>
      <c r="CB17" s="9">
        <f t="array" ref="CB17">PRODUCT(1 + 預測IC!$C26:CA26) - 1</f>
        <v>38011.852674742047</v>
      </c>
      <c r="CC17" s="9">
        <f t="array" ref="CC17">PRODUCT(1 + 預測IC!$C26:CB26) - 1</f>
        <v>36507.63887233592</v>
      </c>
      <c r="CD17" s="9">
        <f t="array" ref="CD17">PRODUCT(1 + 預測IC!$C26:CC26) - 1</f>
        <v>44992.238667824349</v>
      </c>
      <c r="CE17" s="9">
        <f t="array" ref="CE17">PRODUCT(1 + 預測IC!$C26:CD26) - 1</f>
        <v>49407.272284859508</v>
      </c>
      <c r="CF17" s="9">
        <f t="array" ref="CF17">PRODUCT(1 + 預測IC!$C26:CE26) - 1</f>
        <v>52960.008371373515</v>
      </c>
      <c r="CG17" s="9">
        <f t="array" ref="CG17">PRODUCT(1 + 預測IC!$C26:CF26) - 1</f>
        <v>47190.8488854721</v>
      </c>
      <c r="CH17" s="9">
        <f t="array" ref="CH17">PRODUCT(1 + 預測IC!$C26:CG26) - 1</f>
        <v>64399.774725100899</v>
      </c>
      <c r="CI17" s="9">
        <f t="array" ref="CI17">PRODUCT(1 + 預測IC!$C26:CH26) - 1</f>
        <v>80671.080272575695</v>
      </c>
      <c r="CJ17" s="9">
        <f t="array" ref="CJ17">PRODUCT(1 + 預測IC!$C26:CI26) - 1</f>
        <v>90378.503344299897</v>
      </c>
      <c r="CK17" s="9">
        <f t="array" ref="CK17">PRODUCT(1 + 預測IC!$C26:CJ26) - 1</f>
        <v>87039.045612364265</v>
      </c>
      <c r="CL17" s="9">
        <f t="array" ref="CL17">PRODUCT(1 + 預測IC!$C26:CK26) - 1</f>
        <v>99166.89013361471</v>
      </c>
      <c r="CM17" s="9">
        <f t="array" ref="CM17">PRODUCT(1 + 預測IC!$C26:CL26) - 1</f>
        <v>49727.157558683801</v>
      </c>
      <c r="CN17" s="9">
        <f t="array" ref="CN17">PRODUCT(1 + 預測IC!$C26:CM26) - 1</f>
        <v>45103.631575168743</v>
      </c>
      <c r="CO17" s="9">
        <f t="array" ref="CO17">PRODUCT(1 + 預測IC!$C26:CN26) - 1</f>
        <v>42466.895979673573</v>
      </c>
      <c r="CP17" s="9">
        <f t="array" ref="CP17">PRODUCT(1 + 預測IC!$C26:CO26) - 1</f>
        <v>53137.007889445689</v>
      </c>
      <c r="CQ17" s="9">
        <f t="array" ref="CQ17">PRODUCT(1 + 預測IC!$C26:CP26) - 1</f>
        <v>65110.05483278662</v>
      </c>
      <c r="CR17" s="9">
        <f t="array" ref="CR17">PRODUCT(1 + 預測IC!$C26:CQ26) - 1</f>
        <v>55000.854820260385</v>
      </c>
      <c r="CS17" s="9">
        <f t="array" ref="CS17">PRODUCT(1 + 預測IC!$C26:CR26) - 1</f>
        <v>55983.178481103889</v>
      </c>
      <c r="CT17" s="9">
        <f t="array" ref="CT17">PRODUCT(1 + 預測IC!$C26:CS26) - 1</f>
        <v>61626.048805067723</v>
      </c>
      <c r="CU17" s="9">
        <f t="array" ref="CU17">PRODUCT(1 + 預測IC!$C26:CT26) - 1</f>
        <v>46068.578449770503</v>
      </c>
      <c r="CV17" s="9">
        <f t="array" ref="CV17">PRODUCT(1 + 預測IC!$C26:CU26) - 1</f>
        <v>35860.535966217896</v>
      </c>
      <c r="CW17" s="9">
        <f t="array" ref="CW17">PRODUCT(1 + 預測IC!$C26:CV26) - 1</f>
        <v>31856.542009425561</v>
      </c>
      <c r="CX17" s="9">
        <f t="array" ref="CX17">PRODUCT(1 + 預測IC!$C26:CW26) - 1</f>
        <v>29117.392557479277</v>
      </c>
      <c r="CY17" s="9">
        <f t="array" ref="CY17">PRODUCT(1 + 預測IC!$C26:CX26) - 1</f>
        <v>30190.268849840224</v>
      </c>
      <c r="CZ17" s="9">
        <f t="array" ref="CZ17">PRODUCT(1 + 預測IC!$C26:CY26) - 1</f>
        <v>28244.253578363554</v>
      </c>
      <c r="DA17" s="9">
        <f t="array" ref="DA17">PRODUCT(1 + 預測IC!$C26:CZ26) - 1</f>
        <v>38332.991662309032</v>
      </c>
      <c r="DB17" s="9">
        <f t="array" ref="DB17">PRODUCT(1 + 預測IC!$C26:DA26) - 1</f>
        <v>35526.974902568589</v>
      </c>
      <c r="DC17" s="9">
        <f t="array" ref="DC17">PRODUCT(1 + 預測IC!$C26:DB26) - 1</f>
        <v>26653.575535223437</v>
      </c>
      <c r="DD17" s="9">
        <f t="array" ref="DD17">PRODUCT(1 + 預測IC!$C26:DC26) - 1</f>
        <v>17578.166179733453</v>
      </c>
      <c r="DE17" s="9">
        <f t="array" ref="DE17">PRODUCT(1 + 預測IC!$C26:DD26) - 1</f>
        <v>20077.396728118594</v>
      </c>
      <c r="DF17" s="9">
        <f t="array" ref="DF17">PRODUCT(1 + 預測IC!$C26:DE26) - 1</f>
        <v>17387.625221177866</v>
      </c>
      <c r="DG17" s="9">
        <f t="array" ref="DG17">PRODUCT(1 + 預測IC!$C26:DF26) - 1</f>
        <v>18066.099012160998</v>
      </c>
      <c r="DH17" s="9">
        <f t="array" ref="DH17">PRODUCT(1 + 預測IC!$C26:DG26) - 1</f>
        <v>16599.124852386965</v>
      </c>
      <c r="DI17" s="9">
        <f t="array" ref="DI17">PRODUCT(1 + 預測IC!$C26:DH26) - 1</f>
        <v>15922.24425031385</v>
      </c>
      <c r="DJ17" s="9">
        <f t="array" ref="DJ17">PRODUCT(1 + 預測IC!$C26:DI26) - 1</f>
        <v>21911.757313375172</v>
      </c>
      <c r="DK17" s="9">
        <f t="array" ref="DK17">PRODUCT(1 + 預測IC!$C26:DJ26) - 1</f>
        <v>25072.375847032676</v>
      </c>
      <c r="DL17" s="9">
        <f t="array" ref="DL17">PRODUCT(1 + 預測IC!$C26:DK26) - 1</f>
        <v>23044.82004846874</v>
      </c>
      <c r="DM17" s="9">
        <f t="array" ref="DM17">PRODUCT(1 + 預測IC!$C26:DL26) - 1</f>
        <v>26056.447536451928</v>
      </c>
      <c r="DN17" s="9">
        <f t="array" ref="DN17">PRODUCT(1 + 預測IC!$C26:DM26) - 1</f>
        <v>23552.726205608149</v>
      </c>
      <c r="DO17" s="9">
        <f t="array" ref="DO17">PRODUCT(1 + 預測IC!$C26:DN26) - 1</f>
        <v>21184.924152637504</v>
      </c>
      <c r="DP17" s="9">
        <f t="array" ref="DP17">PRODUCT(1 + 預測IC!$C26:DO26) - 1</f>
        <v>20925.408203984774</v>
      </c>
      <c r="DQ17" s="9">
        <f t="array" ref="DQ17">PRODUCT(1 + 預測IC!$C26:DP26) - 1</f>
        <v>20197.154875313088</v>
      </c>
      <c r="DR17" s="9">
        <f t="array" ref="DR17">PRODUCT(1 + 預測IC!$C26:DQ26) - 1</f>
        <v>21903.105201172286</v>
      </c>
      <c r="DS17" s="9">
        <f t="array" ref="DS17">PRODUCT(1 + 預測IC!$C26:DR26) - 1</f>
        <v>25838.459975115289</v>
      </c>
      <c r="DT17" s="9">
        <f t="array" ref="DT17">PRODUCT(1 + 預測IC!$C26:DS26) - 1</f>
        <v>29217.357511752387</v>
      </c>
      <c r="DU17" s="9">
        <f t="array" ref="DU17">PRODUCT(1 + 預測IC!$C26:DT26) - 1</f>
        <v>29132.081823259712</v>
      </c>
      <c r="DV17" s="9">
        <f t="array" ref="DV17">PRODUCT(1 + 預測IC!$C26:DU26) - 1</f>
        <v>31069.62105499809</v>
      </c>
      <c r="DW17" s="9">
        <f t="array" ref="DW17">PRODUCT(1 + 預測IC!$C26:DV26) - 1</f>
        <v>28896.460664696497</v>
      </c>
      <c r="DX17" s="9">
        <f t="array" ref="DX17">PRODUCT(1 + 預測IC!$C26:DW26) - 1</f>
        <v>20076.386588754118</v>
      </c>
      <c r="DY17" s="9">
        <f t="array" ref="DY17">PRODUCT(1 + 預測IC!$C26:DX26) - 1</f>
        <v>19332.257393460743</v>
      </c>
      <c r="DZ17" s="9">
        <f t="array" ref="DZ17">PRODUCT(1 + 預測IC!$C26:DY26) - 1</f>
        <v>17029.383739778412</v>
      </c>
      <c r="EA17" s="9">
        <f t="array" ref="EA17">PRODUCT(1 + 預測IC!$C26:DZ26) - 1</f>
        <v>13812.009111662133</v>
      </c>
      <c r="EB17" s="9">
        <f t="array" ref="EB17">PRODUCT(1 + 預測IC!$C26:EA26) - 1</f>
        <v>14800.932895471464</v>
      </c>
      <c r="EC17" s="9">
        <f t="array" ref="EC17">PRODUCT(1 + 預測IC!$C26:EB26) - 1</f>
        <v>14801.537259508234</v>
      </c>
      <c r="ED17" s="9">
        <f t="array" ref="ED17">PRODUCT(1 + 預測IC!$C26:EC26) - 1</f>
        <v>17678.577438874592</v>
      </c>
      <c r="EE17" s="9">
        <f t="array" ref="EE17">PRODUCT(1 + 預測IC!$C26:ED26) - 1</f>
        <v>22059.828656879305</v>
      </c>
      <c r="EF17" s="9">
        <f t="array" ref="EF17">PRODUCT(1 + 預測IC!$C26:EE26) - 1</f>
        <v>22435.271724268274</v>
      </c>
      <c r="EG17" s="9">
        <f t="array" ref="EG17">PRODUCT(1 + 預測IC!$C26:EF26) - 1</f>
        <v>22832.034881448264</v>
      </c>
    </row>
    <row r="18" spans="1:138" ht="16" customHeight="1">
      <c r="C18" s="34" t="s">
        <v>147</v>
      </c>
      <c r="D18" s="20">
        <v>-1.7446770539390338E-2</v>
      </c>
      <c r="E18" s="27">
        <f t="array" ref="E18">PRODUCT(1 + 預測IC!$C27:D27) - 1</f>
        <v>2.893123339404724E-3</v>
      </c>
      <c r="F18" s="27">
        <f t="array" ref="F18">PRODUCT(1 + 預測IC!$C27:E27) - 1</f>
        <v>2.6944635852046872E-2</v>
      </c>
      <c r="G18" s="27">
        <f t="array" ref="G18">PRODUCT(1 + 預測IC!$C27:F27) - 1</f>
        <v>2.0210365301730038E-2</v>
      </c>
      <c r="H18" s="27">
        <f t="array" ref="H18">PRODUCT(1 + 預測IC!$C27:G27) - 1</f>
        <v>5.269909680859941E-2</v>
      </c>
      <c r="I18" s="27">
        <f t="array" ref="I18">PRODUCT(1 + 預測IC!$C27:H27) - 1</f>
        <v>8.8857766197530053E-2</v>
      </c>
      <c r="J18" s="27">
        <f t="array" ref="J18">PRODUCT(1 + 預測IC!$C27:I27) - 1</f>
        <v>7.9869318529145472E-2</v>
      </c>
      <c r="K18" s="27">
        <f t="array" ref="K18">PRODUCT(1 + 預測IC!$C27:J27) - 1</f>
        <v>9.3738646464063713E-2</v>
      </c>
      <c r="L18" s="27">
        <f t="array" ref="L18">PRODUCT(1 + 預測IC!$C27:K27) - 1</f>
        <v>3.7937714394164157E-2</v>
      </c>
      <c r="M18" s="27">
        <f t="array" ref="M18">PRODUCT(1 + 預測IC!$C27:L27) - 1</f>
        <v>3.8844812525307137E-2</v>
      </c>
      <c r="N18" s="27">
        <f t="array" ref="N18">PRODUCT(1 + 預測IC!$C27:M27) - 1</f>
        <v>6.3142951706360639E-2</v>
      </c>
      <c r="O18" s="27">
        <f t="array" ref="O18">PRODUCT(1 + 預測IC!$C27:N27) - 1</f>
        <v>7.6952085951054405E-2</v>
      </c>
      <c r="P18" s="27">
        <f t="array" ref="P18">PRODUCT(1 + 預測IC!$C27:O27) - 1</f>
        <v>8.3257197491512391E-2</v>
      </c>
      <c r="Q18" s="27">
        <f t="array" ref="Q18">PRODUCT(1 + 預測IC!$C27:P27) - 1</f>
        <v>0.11295275081672607</v>
      </c>
      <c r="R18" s="27">
        <f t="array" ref="R18">PRODUCT(1 + 預測IC!$C27:Q27) - 1</f>
        <v>0.10882042835093308</v>
      </c>
      <c r="S18" s="27">
        <f t="array" ref="S18">PRODUCT(1 + 預測IC!$C27:R27) - 1</f>
        <v>0.13551706985268064</v>
      </c>
      <c r="T18" s="27">
        <f t="array" ref="T18">PRODUCT(1 + 預測IC!$C27:S27) - 1</f>
        <v>0.12167508804368476</v>
      </c>
      <c r="U18" s="27">
        <f t="array" ref="U18">PRODUCT(1 + 預測IC!$C27:T27) - 1</f>
        <v>7.7088976461827885E-2</v>
      </c>
      <c r="V18" s="27">
        <f t="array" ref="V18">PRODUCT(1 + 預測IC!$C27:U27) - 1</f>
        <v>-1.7059521199481731E-3</v>
      </c>
      <c r="W18" s="27">
        <f t="array" ref="W18">PRODUCT(1 + 預測IC!$C27:V27) - 1</f>
        <v>-5.9866792867339091E-2</v>
      </c>
      <c r="X18" s="27">
        <f t="array" ref="X18">PRODUCT(1 + 預測IC!$C27:W27) - 1</f>
        <v>-5.9140260213613516E-2</v>
      </c>
      <c r="Y18" s="27">
        <f t="array" ref="Y18">PRODUCT(1 + 預測IC!$C27:X27) - 1</f>
        <v>-1.7185893241652206E-2</v>
      </c>
      <c r="Z18" s="27">
        <f t="array" ref="Z18">PRODUCT(1 + 預測IC!$C27:Y27) - 1</f>
        <v>-4.4409529547694393E-2</v>
      </c>
      <c r="AA18" s="27">
        <f t="array" ref="AA18">PRODUCT(1 + 預測IC!$C27:Z27) - 1</f>
        <v>-4.2407561826578566E-2</v>
      </c>
      <c r="AB18" s="27">
        <f t="array" ref="AB18">PRODUCT(1 + 預測IC!$C27:AA27) - 1</f>
        <v>-6.481575250614946E-2</v>
      </c>
      <c r="AC18" s="27">
        <f t="array" ref="AC18">PRODUCT(1 + 預測IC!$C27:AB27) - 1</f>
        <v>-3.4768870774049443E-2</v>
      </c>
      <c r="AD18" s="27">
        <f t="array" ref="AD18">PRODUCT(1 + 預測IC!$C27:AC27) - 1</f>
        <v>2.7817794451217015E-3</v>
      </c>
      <c r="AE18" s="27">
        <f t="array" ref="AE18">PRODUCT(1 + 預測IC!$C27:AD27) - 1</f>
        <v>-4.0202844765013457E-2</v>
      </c>
      <c r="AF18" s="27">
        <f t="array" ref="AF18">PRODUCT(1 + 預測IC!$C27:AE27) - 1</f>
        <v>-2.2305320482664204E-2</v>
      </c>
      <c r="AG18" s="27">
        <f t="array" ref="AG18">PRODUCT(1 + 預測IC!$C27:AF27) - 1</f>
        <v>-7.4152570234460313E-3</v>
      </c>
      <c r="AH18" s="27">
        <f t="array" ref="AH18">PRODUCT(1 + 預測IC!$C27:AG27) - 1</f>
        <v>2.8334274381314417E-2</v>
      </c>
      <c r="AI18" s="27">
        <f t="array" ref="AI18">PRODUCT(1 + 預測IC!$C27:AH27) - 1</f>
        <v>3.7953941892352683E-2</v>
      </c>
      <c r="AJ18" s="27">
        <f t="array" ref="AJ18">PRODUCT(1 + 預測IC!$C27:AI27) - 1</f>
        <v>4.9110131735873752E-2</v>
      </c>
      <c r="AK18" s="27">
        <f t="array" ref="AK18">PRODUCT(1 + 預測IC!$C27:AJ27) - 1</f>
        <v>6.3123886850196875E-2</v>
      </c>
      <c r="AL18" s="27">
        <f t="array" ref="AL18">PRODUCT(1 + 預測IC!$C27:AK27) - 1</f>
        <v>5.7454515782098925E-2</v>
      </c>
      <c r="AM18" s="27">
        <f t="array" ref="AM18">PRODUCT(1 + 預測IC!$C27:AL27) - 1</f>
        <v>5.8917118987427575E-2</v>
      </c>
      <c r="AN18" s="27">
        <f t="array" ref="AN18">PRODUCT(1 + 預測IC!$C27:AM27) - 1</f>
        <v>8.0938283596681648E-2</v>
      </c>
      <c r="AO18" s="27">
        <f t="array" ref="AO18">PRODUCT(1 + 預測IC!$C27:AN27) - 1</f>
        <v>0.11500697453770203</v>
      </c>
      <c r="AP18" s="27">
        <f t="array" ref="AP18">PRODUCT(1 + 預測IC!$C27:AO27) - 1</f>
        <v>0.12196653200545171</v>
      </c>
      <c r="AQ18" s="27">
        <f t="array" ref="AQ18">PRODUCT(1 + 預測IC!$C27:AP27) - 1</f>
        <v>0.12886130991117528</v>
      </c>
      <c r="AR18" s="27">
        <f t="array" ref="AR18">PRODUCT(1 + 預測IC!$C27:AQ27) - 1</f>
        <v>0.14799139743631429</v>
      </c>
      <c r="AS18" s="27">
        <f t="array" ref="AS18">PRODUCT(1 + 預測IC!$C27:AR27) - 1</f>
        <v>0.18780698843660248</v>
      </c>
      <c r="AT18" s="27">
        <f t="array" ref="AT18">PRODUCT(1 + 預測IC!$C27:AS27) - 1</f>
        <v>0.19148751365039929</v>
      </c>
      <c r="AU18" s="27">
        <f t="array" ref="AU18">PRODUCT(1 + 預測IC!$C27:AT27) - 1</f>
        <v>0.20945675046088996</v>
      </c>
      <c r="AV18" s="27">
        <f t="array" ref="AV18">PRODUCT(1 + 預測IC!$C27:AU27) - 1</f>
        <v>0.18617324550329584</v>
      </c>
      <c r="AW18" s="27">
        <f t="array" ref="AW18">PRODUCT(1 + 預測IC!$C27:AV27) - 1</f>
        <v>0.23209180697664689</v>
      </c>
      <c r="AX18" s="27">
        <f t="array" ref="AX18">PRODUCT(1 + 預測IC!$C27:AW27) - 1</f>
        <v>0.20516203655681697</v>
      </c>
      <c r="AY18" s="27">
        <f t="array" ref="AY18">PRODUCT(1 + 預測IC!$C27:AX27) - 1</f>
        <v>0.21453132863303215</v>
      </c>
      <c r="AZ18" s="27">
        <f t="array" ref="AZ18">PRODUCT(1 + 預測IC!$C27:AY27) - 1</f>
        <v>0.2660241129922889</v>
      </c>
      <c r="BA18" s="27">
        <f t="array" ref="BA18">PRODUCT(1 + 預測IC!$C27:AZ27) - 1</f>
        <v>0.23271631642995261</v>
      </c>
      <c r="BB18" s="27">
        <f t="array" ref="BB18">PRODUCT(1 + 預測IC!$C27:BA27) - 1</f>
        <v>0.24451556797958407</v>
      </c>
      <c r="BC18" s="27">
        <f t="array" ref="BC18">PRODUCT(1 + 預測IC!$C27:BB27) - 1</f>
        <v>0.21433638745422812</v>
      </c>
      <c r="BD18" s="27">
        <f t="array" ref="BD18">PRODUCT(1 + 預測IC!$C27:BC27) - 1</f>
        <v>0.23882150637103883</v>
      </c>
      <c r="BE18" s="27">
        <f t="array" ref="BE18">PRODUCT(1 + 預測IC!$C27:BD27) - 1</f>
        <v>0.23447943849994912</v>
      </c>
      <c r="BF18" s="27">
        <f t="array" ref="BF18">PRODUCT(1 + 預測IC!$C27:BE27) - 1</f>
        <v>0.25935658802508499</v>
      </c>
      <c r="BG18" s="27">
        <f t="array" ref="BG18">PRODUCT(1 + 預測IC!$C27:BF27) - 1</f>
        <v>0.26008869763716325</v>
      </c>
      <c r="BH18" s="27">
        <f t="array" ref="BH18">PRODUCT(1 + 預測IC!$C27:BG27) - 1</f>
        <v>0.2535114114609236</v>
      </c>
      <c r="BI18" s="27">
        <f t="array" ref="BI18">PRODUCT(1 + 預測IC!$C27:BH27) - 1</f>
        <v>0.10826483627727623</v>
      </c>
      <c r="BJ18" s="27">
        <f t="array" ref="BJ18">PRODUCT(1 + 預測IC!$C27:BI27) - 1</f>
        <v>0.11793469710078752</v>
      </c>
      <c r="BK18" s="27">
        <f t="array" ref="BK18">PRODUCT(1 + 預測IC!$C27:BJ27) - 1</f>
        <v>9.9625988810205346E-2</v>
      </c>
      <c r="BL18" s="27">
        <f t="array" ref="BL18">PRODUCT(1 + 預測IC!$C27:BK27) - 1</f>
        <v>0.12254260303831388</v>
      </c>
      <c r="BM18" s="27">
        <f t="array" ref="BM18">PRODUCT(1 + 預測IC!$C27:BL27) - 1</f>
        <v>0.17302993558173996</v>
      </c>
      <c r="BN18" s="27">
        <f t="array" ref="BN18">PRODUCT(1 + 預測IC!$C27:BM27) - 1</f>
        <v>0.20112905370185397</v>
      </c>
      <c r="BO18" s="27">
        <f t="array" ref="BO18">PRODUCT(1 + 預測IC!$C27:BN27) - 1</f>
        <v>0.23745011694095197</v>
      </c>
      <c r="BP18" s="27">
        <f t="array" ref="BP18">PRODUCT(1 + 預測IC!$C27:BO27) - 1</f>
        <v>0.18334151222801376</v>
      </c>
      <c r="BQ18" s="27">
        <f t="array" ref="BQ18">PRODUCT(1 + 預測IC!$C27:BP27) - 1</f>
        <v>0.20924423024871497</v>
      </c>
      <c r="BR18" s="27">
        <f t="array" ref="BR18">PRODUCT(1 + 預測IC!$C27:BQ27) - 1</f>
        <v>0.21967690051673561</v>
      </c>
      <c r="BS18" s="27">
        <f t="array" ref="BS18">PRODUCT(1 + 預測IC!$C27:BR27) - 1</f>
        <v>0.1962676978767699</v>
      </c>
      <c r="BT18" s="27">
        <f t="array" ref="BT18">PRODUCT(1 + 預測IC!$C27:BS27) - 1</f>
        <v>0.21987619627534571</v>
      </c>
      <c r="BU18" s="27">
        <f t="array" ref="BU18">PRODUCT(1 + 預測IC!$C27:BT27) - 1</f>
        <v>0.27805738326883356</v>
      </c>
      <c r="BV18" s="27">
        <f t="array" ref="BV18">PRODUCT(1 + 預測IC!$C27:BU27) - 1</f>
        <v>0.29269729646247922</v>
      </c>
      <c r="BW18" s="27">
        <f t="array" ref="BW18">PRODUCT(1 + 預測IC!$C27:BV27) - 1</f>
        <v>0.34857881761669129</v>
      </c>
      <c r="BX18" s="27">
        <f t="array" ref="BX18">PRODUCT(1 + 預測IC!$C27:BW27) - 1</f>
        <v>0.2909305384219143</v>
      </c>
      <c r="BY18" s="27">
        <f t="array" ref="BY18">PRODUCT(1 + 預測IC!$C27:BX27) - 1</f>
        <v>0.26793739709811137</v>
      </c>
      <c r="BZ18" s="27">
        <f t="array" ref="BZ18">PRODUCT(1 + 預測IC!$C27:BY27) - 1</f>
        <v>7.628473289061688E-2</v>
      </c>
      <c r="CA18" s="27">
        <f t="array" ref="CA18">PRODUCT(1 + 預測IC!$C27:BZ27) - 1</f>
        <v>0.20998513144491437</v>
      </c>
      <c r="CB18" s="27">
        <f t="array" ref="CB18">PRODUCT(1 + 預測IC!$C27:CA27) - 1</f>
        <v>0.20447092205281336</v>
      </c>
      <c r="CC18" s="27">
        <f t="array" ref="CC18">PRODUCT(1 + 預測IC!$C27:CB27) - 1</f>
        <v>0.27699361006036605</v>
      </c>
      <c r="CD18" s="27">
        <f t="array" ref="CD18">PRODUCT(1 + 預測IC!$C27:CC27) - 1</f>
        <v>0.38680488733361829</v>
      </c>
      <c r="CE18" s="27">
        <f t="array" ref="CE18">PRODUCT(1 + 預測IC!$C27:CD27) - 1</f>
        <v>0.37874965946081551</v>
      </c>
      <c r="CF18" s="27">
        <f t="array" ref="CF18">PRODUCT(1 + 預測IC!$C27:CE27) - 1</f>
        <v>0.37042015435709108</v>
      </c>
      <c r="CG18" s="27">
        <f t="array" ref="CG18">PRODUCT(1 + 預測IC!$C27:CF27) - 1</f>
        <v>0.37378086910184649</v>
      </c>
      <c r="CH18" s="27">
        <f t="array" ref="CH18">PRODUCT(1 + 預測IC!$C27:CG27) - 1</f>
        <v>0.49692143719092186</v>
      </c>
      <c r="CI18" s="27">
        <f t="array" ref="CI18">PRODUCT(1 + 預測IC!$C27:CH27) - 1</f>
        <v>0.603191980394987</v>
      </c>
      <c r="CJ18" s="27">
        <f t="array" ref="CJ18">PRODUCT(1 + 預測IC!$C27:CI27) - 1</f>
        <v>0.64675173719730239</v>
      </c>
      <c r="CK18" s="27">
        <f t="array" ref="CK18">PRODUCT(1 + 預測IC!$C27:CJ27) - 1</f>
        <v>0.73315421285472704</v>
      </c>
      <c r="CL18" s="27">
        <f t="array" ref="CL18">PRODUCT(1 + 預測IC!$C27:CK27) - 1</f>
        <v>0.7842487445659152</v>
      </c>
      <c r="CM18" s="27">
        <f t="array" ref="CM18">PRODUCT(1 + 預測IC!$C27:CL27) - 1</f>
        <v>0.90348131155309508</v>
      </c>
      <c r="CN18" s="27">
        <f t="array" ref="CN18">PRODUCT(1 + 預測IC!$C27:CM27) - 1</f>
        <v>0.8487139113221478</v>
      </c>
      <c r="CO18" s="27">
        <f t="array" ref="CO18">PRODUCT(1 + 預測IC!$C27:CN27) - 1</f>
        <v>0.92166881344527685</v>
      </c>
      <c r="CP18" s="27">
        <f t="array" ref="CP18">PRODUCT(1 + 預測IC!$C27:CO27) - 1</f>
        <v>0.86588067898046694</v>
      </c>
      <c r="CQ18" s="27">
        <f t="array" ref="CQ18">PRODUCT(1 + 預測IC!$C27:CP27) - 1</f>
        <v>0.89197293519067467</v>
      </c>
      <c r="CR18" s="27">
        <f t="array" ref="CR18">PRODUCT(1 + 預測IC!$C27:CQ27) - 1</f>
        <v>0.83090579105751727</v>
      </c>
      <c r="CS18" s="27">
        <f t="array" ref="CS18">PRODUCT(1 + 預測IC!$C27:CR27) - 1</f>
        <v>0.83658814745105547</v>
      </c>
      <c r="CT18" s="27">
        <f t="array" ref="CT18">PRODUCT(1 + 預測IC!$C27:CS27) - 1</f>
        <v>0.88358984642415717</v>
      </c>
      <c r="CU18" s="27">
        <f t="array" ref="CU18">PRODUCT(1 + 預測IC!$C27:CT27) - 1</f>
        <v>0.9672059526983301</v>
      </c>
      <c r="CV18" s="27">
        <f t="array" ref="CV18">PRODUCT(1 + 預測IC!$C27:CU27) - 1</f>
        <v>0.90752297284093331</v>
      </c>
      <c r="CW18" s="27">
        <f t="array" ref="CW18">PRODUCT(1 + 預測IC!$C27:CV27) - 1</f>
        <v>0.90512335385454468</v>
      </c>
      <c r="CX18" s="27">
        <f t="array" ref="CX18">PRODUCT(1 + 預測IC!$C27:CW27) - 1</f>
        <v>0.90957440110152876</v>
      </c>
      <c r="CY18" s="27">
        <f t="array" ref="CY18">PRODUCT(1 + 預測IC!$C27:CX27) - 1</f>
        <v>0.78685723504233995</v>
      </c>
      <c r="CZ18" s="27">
        <f t="array" ref="CZ18">PRODUCT(1 + 預測IC!$C27:CY27) - 1</f>
        <v>0.80992516787144164</v>
      </c>
      <c r="DA18" s="27">
        <f t="array" ref="DA18">PRODUCT(1 + 預測IC!$C27:CZ27) - 1</f>
        <v>0.58282101623526672</v>
      </c>
      <c r="DB18" s="27">
        <f t="array" ref="DB18">PRODUCT(1 + 預測IC!$C27:DA27) - 1</f>
        <v>0.60132527488651344</v>
      </c>
      <c r="DC18" s="27">
        <f t="array" ref="DC18">PRODUCT(1 + 預測IC!$C27:DB27) - 1</f>
        <v>0.61147422419279152</v>
      </c>
      <c r="DD18" s="27">
        <f t="array" ref="DD18">PRODUCT(1 + 預測IC!$C27:DC27) - 1</f>
        <v>0.42243966588262949</v>
      </c>
      <c r="DE18" s="27">
        <f t="array" ref="DE18">PRODUCT(1 + 預測IC!$C27:DD27) - 1</f>
        <v>0.37121637307647259</v>
      </c>
      <c r="DF18" s="27">
        <f t="array" ref="DF18">PRODUCT(1 + 預測IC!$C27:DE27) - 1</f>
        <v>0.5616938276257708</v>
      </c>
      <c r="DG18" s="27">
        <f t="array" ref="DG18">PRODUCT(1 + 預測IC!$C27:DF27) - 1</f>
        <v>0.48182332962932128</v>
      </c>
      <c r="DH18" s="27">
        <f t="array" ref="DH18">PRODUCT(1 + 預測IC!$C27:DG27) - 1</f>
        <v>0.59552577817978314</v>
      </c>
      <c r="DI18" s="27">
        <f t="array" ref="DI18">PRODUCT(1 + 預測IC!$C27:DH27) - 1</f>
        <v>0.62027043996328524</v>
      </c>
      <c r="DJ18" s="27">
        <f t="array" ref="DJ18">PRODUCT(1 + 預測IC!$C27:DI27) - 1</f>
        <v>0.65789923395288952</v>
      </c>
      <c r="DK18" s="27">
        <f t="array" ref="DK18">PRODUCT(1 + 預測IC!$C27:DJ27) - 1</f>
        <v>0.62743885630809859</v>
      </c>
      <c r="DL18" s="27">
        <f t="array" ref="DL18">PRODUCT(1 + 預測IC!$C27:DK27) - 1</f>
        <v>0.72866394865424411</v>
      </c>
      <c r="DM18" s="27">
        <f t="array" ref="DM18">PRODUCT(1 + 預測IC!$C27:DL27) - 1</f>
        <v>0.76340716304992284</v>
      </c>
      <c r="DN18" s="27">
        <f t="array" ref="DN18">PRODUCT(1 + 預測IC!$C27:DM27) - 1</f>
        <v>0.78721129009524526</v>
      </c>
      <c r="DO18" s="27">
        <f t="array" ref="DO18">PRODUCT(1 + 預測IC!$C27:DN27) - 1</f>
        <v>0.73314419395664854</v>
      </c>
      <c r="DP18" s="27">
        <f t="array" ref="DP18">PRODUCT(1 + 預測IC!$C27:DO27) - 1</f>
        <v>0.7036411650845571</v>
      </c>
      <c r="DQ18" s="27">
        <f t="array" ref="DQ18">PRODUCT(1 + 預測IC!$C27:DP27) - 1</f>
        <v>0.666521339911188</v>
      </c>
      <c r="DR18" s="27">
        <f t="array" ref="DR18">PRODUCT(1 + 預測IC!$C27:DQ27) - 1</f>
        <v>0.80941825308633253</v>
      </c>
      <c r="DS18" s="27">
        <f t="array" ref="DS18">PRODUCT(1 + 預測IC!$C27:DR27) - 1</f>
        <v>0.86027510799998974</v>
      </c>
      <c r="DT18" s="27">
        <f t="array" ref="DT18">PRODUCT(1 + 預測IC!$C27:DS27) - 1</f>
        <v>0.85599059714061299</v>
      </c>
      <c r="DU18" s="27">
        <f t="array" ref="DU18">PRODUCT(1 + 預測IC!$C27:DT27) - 1</f>
        <v>0.9645125910761998</v>
      </c>
      <c r="DV18" s="27">
        <f t="array" ref="DV18">PRODUCT(1 + 預測IC!$C27:DU27) - 1</f>
        <v>1.0974294483812512</v>
      </c>
      <c r="DW18" s="27">
        <f t="array" ref="DW18">PRODUCT(1 + 預測IC!$C27:DV27) - 1</f>
        <v>1.1079601605760616</v>
      </c>
      <c r="DX18" s="27">
        <f t="array" ref="DX18">PRODUCT(1 + 預測IC!$C27:DW27) - 1</f>
        <v>1.1868319851241949</v>
      </c>
      <c r="DY18" s="27">
        <f t="array" ref="DY18">PRODUCT(1 + 預測IC!$C27:DX27) - 1</f>
        <v>1.3707686184169408</v>
      </c>
      <c r="DZ18" s="27">
        <f t="array" ref="DZ18">PRODUCT(1 + 預測IC!$C27:DY27) - 1</f>
        <v>1.2834475238077694</v>
      </c>
      <c r="EA18" s="27">
        <f t="array" ref="EA18">PRODUCT(1 + 預測IC!$C27:DZ27) - 1</f>
        <v>1.2905072649494538</v>
      </c>
      <c r="EB18" s="27">
        <f t="array" ref="EB18">PRODUCT(1 + 預測IC!$C27:EA27) - 1</f>
        <v>1.2860233033025419</v>
      </c>
      <c r="EC18" s="27">
        <f t="array" ref="EC18">PRODUCT(1 + 預測IC!$C27:EB27) - 1</f>
        <v>1.3465094307246845</v>
      </c>
      <c r="ED18" s="27">
        <f t="array" ref="ED18">PRODUCT(1 + 預測IC!$C27:EC27) - 1</f>
        <v>1.2884273650883467</v>
      </c>
      <c r="EE18" s="27">
        <f t="array" ref="EE18">PRODUCT(1 + 預測IC!$C27:ED27) - 1</f>
        <v>1.3664981882262612</v>
      </c>
      <c r="EF18" s="27">
        <f t="array" ref="EF18">PRODUCT(1 + 預測IC!$C27:EE27) - 1</f>
        <v>1.4163413115117764</v>
      </c>
      <c r="EG18" s="27">
        <f t="array" ref="EG18">PRODUCT(1 + 預測IC!$C27:EF27) - 1</f>
        <v>1.367344209826507</v>
      </c>
    </row>
    <row r="22" spans="1:138" s="1" customFormat="1" ht="16" customHeight="1">
      <c r="C22" s="6" t="s">
        <v>144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135</v>
      </c>
      <c r="EG22" s="1" t="s">
        <v>146</v>
      </c>
      <c r="EH22" s="35"/>
    </row>
    <row r="23" spans="1:138" s="1" customFormat="1" ht="16" customHeight="1">
      <c r="C23" s="6">
        <v>10</v>
      </c>
      <c r="D23" s="1">
        <v>0.29562126567416419</v>
      </c>
      <c r="E23" s="1">
        <v>0.67886454739873292</v>
      </c>
      <c r="F23" s="1">
        <v>1.2030566626568584</v>
      </c>
      <c r="G23" s="1">
        <v>1.899643608980369</v>
      </c>
      <c r="H23" s="1">
        <v>2.7392556506184573</v>
      </c>
      <c r="I23" s="1">
        <v>3.8684484665847858</v>
      </c>
      <c r="J23" s="1">
        <v>5.2353288345664168</v>
      </c>
      <c r="K23" s="1">
        <v>7.1564964266887188</v>
      </c>
      <c r="L23" s="1">
        <v>9.2406079028457206</v>
      </c>
      <c r="M23" s="1">
        <v>12.160435838511621</v>
      </c>
      <c r="N23" s="1">
        <v>16.015616692935122</v>
      </c>
      <c r="O23" s="1">
        <v>20.606200247296396</v>
      </c>
      <c r="P23" s="1">
        <v>21.33768720516704</v>
      </c>
      <c r="Q23" s="1">
        <v>21.542921696982557</v>
      </c>
      <c r="R23" s="1">
        <v>21.626156760624845</v>
      </c>
      <c r="S23" s="1">
        <v>22.052826050712145</v>
      </c>
      <c r="T23" s="1">
        <v>21.81307374050126</v>
      </c>
      <c r="U23" s="1">
        <v>22.706300572832014</v>
      </c>
      <c r="V23" s="1">
        <v>23.513520047833047</v>
      </c>
      <c r="W23" s="1">
        <v>23.826677483370709</v>
      </c>
      <c r="X23" s="1">
        <v>23.433584615950945</v>
      </c>
      <c r="Y23" s="1">
        <v>23.886260926305741</v>
      </c>
      <c r="Z23" s="1">
        <v>23.682340059047146</v>
      </c>
      <c r="AA23" s="1">
        <v>24.098094304540854</v>
      </c>
      <c r="AB23" s="1">
        <v>23.221529120988226</v>
      </c>
      <c r="AC23" s="1">
        <v>23.505728764244491</v>
      </c>
      <c r="AD23" s="1">
        <v>23.565836742334376</v>
      </c>
      <c r="AE23" s="1">
        <v>23.924657270888883</v>
      </c>
      <c r="AF23" s="1">
        <v>22.745457859527786</v>
      </c>
      <c r="AG23" s="1">
        <v>23.629412278515765</v>
      </c>
      <c r="AH23" s="1">
        <v>23.3672284479272</v>
      </c>
      <c r="AI23" s="1">
        <v>23.3469687399853</v>
      </c>
      <c r="AJ23" s="1">
        <v>23.131898770126966</v>
      </c>
      <c r="AK23" s="1">
        <v>23.488875589825653</v>
      </c>
      <c r="AL23" s="1">
        <v>23.574592691783735</v>
      </c>
      <c r="AM23" s="1">
        <v>22.882265884515547</v>
      </c>
      <c r="AN23" s="1">
        <v>23.125540666877409</v>
      </c>
      <c r="AO23" s="1">
        <v>22.44040288169937</v>
      </c>
      <c r="AP23" s="1">
        <v>21.617772613532459</v>
      </c>
      <c r="AQ23" s="1">
        <v>21.615150386117381</v>
      </c>
      <c r="AR23" s="1">
        <v>21.769316614687646</v>
      </c>
      <c r="AS23" s="1">
        <v>21.596161733108378</v>
      </c>
      <c r="AT23" s="1">
        <v>21.354523626139752</v>
      </c>
      <c r="AU23" s="1">
        <v>20.787700552936748</v>
      </c>
      <c r="AV23" s="1">
        <v>20.978251697150682</v>
      </c>
      <c r="AW23" s="1">
        <v>20.937968637544003</v>
      </c>
      <c r="AX23" s="1">
        <v>20.936325547188702</v>
      </c>
      <c r="AY23" s="1">
        <v>21.01842843999956</v>
      </c>
      <c r="AZ23" s="1">
        <v>21.172406279057494</v>
      </c>
      <c r="BA23" s="1">
        <v>21.075802184575931</v>
      </c>
      <c r="BB23" s="1">
        <v>20.913019131282876</v>
      </c>
      <c r="BC23" s="1">
        <v>20.839992144868745</v>
      </c>
      <c r="BD23" s="1">
        <v>20.947746120034601</v>
      </c>
      <c r="BE23" s="1">
        <v>20.793076313531348</v>
      </c>
      <c r="BF23" s="1">
        <v>20.357823826655011</v>
      </c>
      <c r="BG23" s="1">
        <v>20.492031310977389</v>
      </c>
      <c r="BH23" s="1">
        <v>20.568781786562305</v>
      </c>
      <c r="BI23" s="1">
        <v>22.373370275890359</v>
      </c>
      <c r="BJ23" s="1">
        <v>20.524203789679628</v>
      </c>
      <c r="BK23" s="1">
        <v>20.347267455451199</v>
      </c>
      <c r="BL23" s="1">
        <v>20.688475132316935</v>
      </c>
      <c r="BM23" s="1">
        <v>20.872446176052723</v>
      </c>
      <c r="BN23" s="1">
        <v>21.078660870437254</v>
      </c>
      <c r="BO23" s="1">
        <v>21.595970449931329</v>
      </c>
      <c r="BP23" s="1">
        <v>21.432249027523984</v>
      </c>
      <c r="BQ23" s="1">
        <v>22.041472961040384</v>
      </c>
      <c r="BR23" s="1">
        <v>22.688120430800247</v>
      </c>
      <c r="BS23" s="1">
        <v>21.346132241354365</v>
      </c>
      <c r="BT23" s="1">
        <v>21.661881714674895</v>
      </c>
      <c r="BU23" s="1">
        <v>20.730603622275602</v>
      </c>
      <c r="BV23" s="1">
        <v>21.027658045514844</v>
      </c>
      <c r="BW23" s="1">
        <v>20.899706854779442</v>
      </c>
      <c r="BX23" s="1">
        <v>20.620835379526294</v>
      </c>
      <c r="BY23" s="1">
        <v>21.37400818520679</v>
      </c>
      <c r="BZ23" s="1">
        <v>21.501779452238619</v>
      </c>
      <c r="CA23" s="1">
        <v>21.109610746734806</v>
      </c>
      <c r="CB23" s="1">
        <v>21.361004975662247</v>
      </c>
      <c r="CC23" s="1">
        <v>21.4762453627105</v>
      </c>
      <c r="CD23" s="1">
        <v>21.032794057556345</v>
      </c>
      <c r="CE23" s="1">
        <v>20.556937111353232</v>
      </c>
      <c r="CF23" s="1">
        <v>20.481688317800536</v>
      </c>
      <c r="CG23" s="1">
        <v>19.679709189840437</v>
      </c>
      <c r="CH23" s="1">
        <v>20.385956693422372</v>
      </c>
      <c r="CI23" s="1">
        <v>20.553753071668655</v>
      </c>
      <c r="CJ23" s="1">
        <v>20.7926160798335</v>
      </c>
      <c r="CK23" s="1">
        <v>20.680322706373357</v>
      </c>
      <c r="CL23" s="1">
        <v>20.34119246874269</v>
      </c>
      <c r="CM23" s="1">
        <v>18.611360964772469</v>
      </c>
      <c r="CN23" s="1">
        <v>18.450265689817154</v>
      </c>
      <c r="CO23" s="1">
        <v>19.597223446622518</v>
      </c>
      <c r="CP23" s="1">
        <v>19.595251935488744</v>
      </c>
      <c r="CQ23" s="1">
        <v>20.456594793945694</v>
      </c>
      <c r="CR23" s="1">
        <v>19.59661677042434</v>
      </c>
      <c r="CS23" s="1">
        <v>19.134458900989987</v>
      </c>
      <c r="CT23" s="1">
        <v>19.440071652401848</v>
      </c>
      <c r="CU23" s="1">
        <v>19.659182188620711</v>
      </c>
      <c r="CV23" s="1">
        <v>19.452032987304676</v>
      </c>
      <c r="CW23" s="1">
        <v>19.230530764678704</v>
      </c>
      <c r="CX23" s="1">
        <v>19.67113122857738</v>
      </c>
      <c r="CY23" s="1">
        <v>19.955811515860148</v>
      </c>
      <c r="CZ23" s="1">
        <v>19.995798294450779</v>
      </c>
      <c r="DA23" s="1">
        <v>21.041784501006912</v>
      </c>
      <c r="DB23" s="1">
        <v>20.977310001755654</v>
      </c>
      <c r="DC23" s="1">
        <v>21.209045485797738</v>
      </c>
      <c r="DD23" s="1">
        <v>21.999472364578374</v>
      </c>
      <c r="DE23" s="1">
        <v>21.999806595190133</v>
      </c>
      <c r="DF23" s="1">
        <v>21.00931520808302</v>
      </c>
      <c r="DG23" s="1">
        <v>20.88801167039588</v>
      </c>
      <c r="DH23" s="1">
        <v>20.167852471856765</v>
      </c>
      <c r="DI23" s="1">
        <v>20.066508151526595</v>
      </c>
      <c r="DJ23" s="1">
        <v>19.692210233046683</v>
      </c>
      <c r="DK23" s="1">
        <v>20.100545908345264</v>
      </c>
      <c r="DL23" s="1">
        <v>19.693881227509902</v>
      </c>
      <c r="DM23" s="1">
        <v>19.138863566785233</v>
      </c>
      <c r="DN23" s="1">
        <v>18.788819035150599</v>
      </c>
      <c r="DO23" s="1">
        <v>18.450380709890602</v>
      </c>
      <c r="DP23" s="1">
        <v>18.051490647886066</v>
      </c>
      <c r="DQ23" s="1">
        <v>18.039089433117987</v>
      </c>
      <c r="DR23" s="1">
        <v>17.930088041227979</v>
      </c>
      <c r="DS23" s="1">
        <v>18.197295567116544</v>
      </c>
      <c r="DT23" s="1">
        <v>18.137823386814265</v>
      </c>
      <c r="DU23" s="1">
        <v>18.040448429252926</v>
      </c>
      <c r="DV23" s="1">
        <v>18.156601279005216</v>
      </c>
      <c r="DW23" s="1">
        <v>18.009929324394175</v>
      </c>
      <c r="DX23" s="1">
        <v>17.994149814432308</v>
      </c>
      <c r="DY23" s="1">
        <v>18.105329062696036</v>
      </c>
      <c r="DZ23" s="1">
        <v>17.74455049930225</v>
      </c>
      <c r="EA23" s="1">
        <v>17.177689303585989</v>
      </c>
      <c r="EB23" s="1">
        <v>17.36413678579915</v>
      </c>
      <c r="EC23" s="1">
        <v>17.593628451613149</v>
      </c>
      <c r="ED23" s="1">
        <v>17.621268939424564</v>
      </c>
      <c r="EE23" s="1">
        <v>17.956646803173086</v>
      </c>
      <c r="EF23" s="1">
        <v>17.932174914959578</v>
      </c>
      <c r="EG23" s="1">
        <v>18.213111133940206</v>
      </c>
      <c r="EH23" s="35"/>
    </row>
    <row r="24" spans="1:138" s="1" customFormat="1" ht="16" customHeight="1">
      <c r="C24" s="6">
        <v>20</v>
      </c>
      <c r="D24" s="1">
        <v>0.39331188340051321</v>
      </c>
      <c r="E24" s="1">
        <v>0.94555788230504167</v>
      </c>
      <c r="F24" s="1">
        <v>1.7321788081566547</v>
      </c>
      <c r="G24" s="1">
        <v>2.9619839543824846</v>
      </c>
      <c r="H24" s="1">
        <v>4.5228865738875115</v>
      </c>
      <c r="I24" s="1">
        <v>6.689727165010785</v>
      </c>
      <c r="J24" s="1">
        <v>9.5868880243469707</v>
      </c>
      <c r="K24" s="1">
        <v>14.04408318730405</v>
      </c>
      <c r="L24" s="1">
        <v>19.387525214802839</v>
      </c>
      <c r="M24" s="1">
        <v>27.136627742155763</v>
      </c>
      <c r="N24" s="1">
        <v>38.946014747521062</v>
      </c>
      <c r="O24" s="1">
        <v>53.872854271702543</v>
      </c>
      <c r="P24" s="1">
        <v>55.821695116187307</v>
      </c>
      <c r="Q24" s="1">
        <v>56.425642866708415</v>
      </c>
      <c r="R24" s="1">
        <v>57.385397152452342</v>
      </c>
      <c r="S24" s="1">
        <v>59.066053716076887</v>
      </c>
      <c r="T24" s="1">
        <v>57.235068951642113</v>
      </c>
      <c r="U24" s="1">
        <v>60.347892977129163</v>
      </c>
      <c r="V24" s="1">
        <v>61.711557760682382</v>
      </c>
      <c r="W24" s="1">
        <v>63.126844056066076</v>
      </c>
      <c r="X24" s="1">
        <v>62.210727755229996</v>
      </c>
      <c r="Y24" s="1">
        <v>63.207506193636164</v>
      </c>
      <c r="Z24" s="1">
        <v>63.091184813590516</v>
      </c>
      <c r="AA24" s="1">
        <v>65.376718712703905</v>
      </c>
      <c r="AB24" s="1">
        <v>61.915926486517293</v>
      </c>
      <c r="AC24" s="1">
        <v>61.710970628630776</v>
      </c>
      <c r="AD24" s="1">
        <v>61.434925830445529</v>
      </c>
      <c r="AE24" s="1">
        <v>62.925311986142489</v>
      </c>
      <c r="AF24" s="1">
        <v>59.994537852885479</v>
      </c>
      <c r="AG24" s="1">
        <v>64.015130011648736</v>
      </c>
      <c r="AH24" s="1">
        <v>63.446821470466418</v>
      </c>
      <c r="AI24" s="1">
        <v>64.724122605483288</v>
      </c>
      <c r="AJ24" s="1">
        <v>63.093840011412482</v>
      </c>
      <c r="AK24" s="1">
        <v>64.021457031036633</v>
      </c>
      <c r="AL24" s="1">
        <v>63.088887371154783</v>
      </c>
      <c r="AM24" s="1">
        <v>61.584641266004589</v>
      </c>
      <c r="AN24" s="1">
        <v>63.72904262230648</v>
      </c>
      <c r="AO24" s="1">
        <v>62.541957840713806</v>
      </c>
      <c r="AP24" s="1">
        <v>61.789764375145261</v>
      </c>
      <c r="AQ24" s="1">
        <v>61.516637261094196</v>
      </c>
      <c r="AR24" s="1">
        <v>62.719238469540933</v>
      </c>
      <c r="AS24" s="1">
        <v>62.95448363274231</v>
      </c>
      <c r="AT24" s="1">
        <v>60.899104191328554</v>
      </c>
      <c r="AU24" s="1">
        <v>59.739883854715238</v>
      </c>
      <c r="AV24" s="1">
        <v>61.089566970091205</v>
      </c>
      <c r="AW24" s="1">
        <v>61.504936065775809</v>
      </c>
      <c r="AX24" s="1">
        <v>60.19770830958425</v>
      </c>
      <c r="AY24" s="1">
        <v>60.270560882444009</v>
      </c>
      <c r="AZ24" s="1">
        <v>62.356240230951279</v>
      </c>
      <c r="BA24" s="1">
        <v>60.945017809301731</v>
      </c>
      <c r="BB24" s="1">
        <v>60.407306956171439</v>
      </c>
      <c r="BC24" s="1">
        <v>58.093328859636017</v>
      </c>
      <c r="BD24" s="1">
        <v>57.993696062668064</v>
      </c>
      <c r="BE24" s="1">
        <v>58.371089142610579</v>
      </c>
      <c r="BF24" s="1">
        <v>57.500319794377923</v>
      </c>
      <c r="BG24" s="1">
        <v>57.056235178390828</v>
      </c>
      <c r="BH24" s="1">
        <v>57.54324832643416</v>
      </c>
      <c r="BI24" s="1">
        <v>62.617766498550466</v>
      </c>
      <c r="BJ24" s="1">
        <v>56.672557037702674</v>
      </c>
      <c r="BK24" s="1">
        <v>54.689587501802144</v>
      </c>
      <c r="BL24" s="1">
        <v>55.856408031344642</v>
      </c>
      <c r="BM24" s="1">
        <v>56.851305361712384</v>
      </c>
      <c r="BN24" s="1">
        <v>58.011785322256799</v>
      </c>
      <c r="BO24" s="1">
        <v>59.11052543850473</v>
      </c>
      <c r="BP24" s="1">
        <v>58.770272516389099</v>
      </c>
      <c r="BQ24" s="1">
        <v>61.22257263961373</v>
      </c>
      <c r="BR24" s="1">
        <v>61.951085160404638</v>
      </c>
      <c r="BS24" s="1">
        <v>57.286730214164074</v>
      </c>
      <c r="BT24" s="1">
        <v>57.433491589367392</v>
      </c>
      <c r="BU24" s="1">
        <v>56.398326517819051</v>
      </c>
      <c r="BV24" s="1">
        <v>57.311368393573538</v>
      </c>
      <c r="BW24" s="1">
        <v>59.885372412036915</v>
      </c>
      <c r="BX24" s="1">
        <v>58.416474599580376</v>
      </c>
      <c r="BY24" s="1">
        <v>59.825121984960894</v>
      </c>
      <c r="BZ24" s="1">
        <v>61.598417367212541</v>
      </c>
      <c r="CA24" s="1">
        <v>60.290645954458441</v>
      </c>
      <c r="CB24" s="1">
        <v>62.037046085102233</v>
      </c>
      <c r="CC24" s="1">
        <v>63.613293438698676</v>
      </c>
      <c r="CD24" s="1">
        <v>61.725770339928694</v>
      </c>
      <c r="CE24" s="1">
        <v>59.91289348064322</v>
      </c>
      <c r="CF24" s="1">
        <v>61.034066361328343</v>
      </c>
      <c r="CG24" s="1">
        <v>61.328089316845542</v>
      </c>
      <c r="CH24" s="1">
        <v>63.884808514035186</v>
      </c>
      <c r="CI24" s="1">
        <v>64.996855760719413</v>
      </c>
      <c r="CJ24" s="1">
        <v>65.48567031965743</v>
      </c>
      <c r="CK24" s="1">
        <v>66.364104953773534</v>
      </c>
      <c r="CL24" s="1">
        <v>67.269799661030333</v>
      </c>
      <c r="CM24" s="1">
        <v>60.214684997200763</v>
      </c>
      <c r="CN24" s="1">
        <v>58.243069717624813</v>
      </c>
      <c r="CO24" s="1">
        <v>64.340393693236109</v>
      </c>
      <c r="CP24" s="1">
        <v>63.597467786287041</v>
      </c>
      <c r="CQ24" s="1">
        <v>66.771026112190413</v>
      </c>
      <c r="CR24" s="1">
        <v>62.464674858484763</v>
      </c>
      <c r="CS24" s="1">
        <v>59.084319725437958</v>
      </c>
      <c r="CT24" s="1">
        <v>57.773249563018894</v>
      </c>
      <c r="CU24" s="1">
        <v>58.47120976116657</v>
      </c>
      <c r="CV24" s="1">
        <v>57.759096406390313</v>
      </c>
      <c r="CW24" s="1">
        <v>55.939044547529036</v>
      </c>
      <c r="CX24" s="1">
        <v>57.121956039979203</v>
      </c>
      <c r="CY24" s="1">
        <v>57.323851709441477</v>
      </c>
      <c r="CZ24" s="1">
        <v>56.262059647857434</v>
      </c>
      <c r="DA24" s="1">
        <v>59.074930097945355</v>
      </c>
      <c r="DB24" s="1">
        <v>59.955912795115978</v>
      </c>
      <c r="DC24" s="1">
        <v>61.758342719381091</v>
      </c>
      <c r="DD24" s="1">
        <v>61.980852177146865</v>
      </c>
      <c r="DE24" s="1">
        <v>62.444186253545524</v>
      </c>
      <c r="DF24" s="1">
        <v>60.750983479237867</v>
      </c>
      <c r="DG24" s="1">
        <v>58.949780430390874</v>
      </c>
      <c r="DH24" s="1">
        <v>54.957279159359352</v>
      </c>
      <c r="DI24" s="1">
        <v>54.009319501187349</v>
      </c>
      <c r="DJ24" s="1">
        <v>56.19098822191831</v>
      </c>
      <c r="DK24" s="1">
        <v>58.399208567721672</v>
      </c>
      <c r="DL24" s="1">
        <v>56.601053117779479</v>
      </c>
      <c r="DM24" s="1">
        <v>54.121091358853093</v>
      </c>
      <c r="DN24" s="1">
        <v>52.480075071223972</v>
      </c>
      <c r="DO24" s="1">
        <v>52.398423790167321</v>
      </c>
      <c r="DP24" s="1">
        <v>51.020986745299787</v>
      </c>
      <c r="DQ24" s="1">
        <v>50.623676556248292</v>
      </c>
      <c r="DR24" s="1">
        <v>50.647391442823462</v>
      </c>
      <c r="DS24" s="1">
        <v>50.519943088236467</v>
      </c>
      <c r="DT24" s="1">
        <v>51.509508981834067</v>
      </c>
      <c r="DU24" s="1">
        <v>51.808311709712022</v>
      </c>
      <c r="DV24" s="1">
        <v>51.392660495367167</v>
      </c>
      <c r="DW24" s="1">
        <v>51.066288406236069</v>
      </c>
      <c r="DX24" s="1">
        <v>51.287422613129166</v>
      </c>
      <c r="DY24" s="1">
        <v>51.097525591578652</v>
      </c>
      <c r="DZ24" s="1">
        <v>49.360831989557752</v>
      </c>
      <c r="EA24" s="1">
        <v>47.876839757944573</v>
      </c>
      <c r="EB24" s="1">
        <v>48.788546468134598</v>
      </c>
      <c r="EC24" s="1">
        <v>49.056075446420031</v>
      </c>
      <c r="ED24" s="1">
        <v>48.453409658707535</v>
      </c>
      <c r="EE24" s="1">
        <v>49.425941908199029</v>
      </c>
      <c r="EF24" s="1">
        <v>49.660332141914843</v>
      </c>
      <c r="EG24" s="1">
        <v>49.638911437986842</v>
      </c>
      <c r="EH24" s="35"/>
    </row>
    <row r="25" spans="1:138" s="1" customFormat="1" ht="16" customHeight="1">
      <c r="C25" s="6">
        <v>50</v>
      </c>
      <c r="D25" s="1">
        <v>0.56869310141554197</v>
      </c>
      <c r="E25" s="1">
        <v>1.4833153247607833</v>
      </c>
      <c r="F25" s="1">
        <v>2.7467267370508579</v>
      </c>
      <c r="G25" s="1">
        <v>5.3739566370048477</v>
      </c>
      <c r="H25" s="1">
        <v>8.9921013595512775</v>
      </c>
      <c r="I25" s="1">
        <v>14.123398073341559</v>
      </c>
      <c r="J25" s="1">
        <v>22.057099061963189</v>
      </c>
      <c r="K25" s="1">
        <v>35.304009207235246</v>
      </c>
      <c r="L25" s="1">
        <v>54.673398415912388</v>
      </c>
      <c r="M25" s="1">
        <v>83.837342477306692</v>
      </c>
      <c r="N25" s="1">
        <v>140.01823402060199</v>
      </c>
      <c r="O25" s="1">
        <v>214.71370697600676</v>
      </c>
      <c r="P25" s="1">
        <v>229.4853898144965</v>
      </c>
      <c r="Q25" s="1">
        <v>234.03662208827254</v>
      </c>
      <c r="R25" s="1">
        <v>239.85660728107078</v>
      </c>
      <c r="S25" s="1">
        <v>232.84013040330004</v>
      </c>
      <c r="T25" s="1">
        <v>212.92446934135771</v>
      </c>
      <c r="U25" s="1">
        <v>215.77526998319894</v>
      </c>
      <c r="V25" s="1">
        <v>221.72464328498643</v>
      </c>
      <c r="W25" s="1">
        <v>217.03587572670276</v>
      </c>
      <c r="X25" s="1">
        <v>213.98108006061597</v>
      </c>
      <c r="Y25" s="1">
        <v>212.51358331451337</v>
      </c>
      <c r="Z25" s="1">
        <v>208.76568123982875</v>
      </c>
      <c r="AA25" s="1">
        <v>225.0235634175379</v>
      </c>
      <c r="AB25" s="1">
        <v>203.95681346408369</v>
      </c>
      <c r="AC25" s="1">
        <v>197.49226061822972</v>
      </c>
      <c r="AD25" s="1">
        <v>200.25578760416485</v>
      </c>
      <c r="AE25" s="1">
        <v>204.12353934317579</v>
      </c>
      <c r="AF25" s="1">
        <v>194.73576416201635</v>
      </c>
      <c r="AG25" s="1">
        <v>215.74876855468563</v>
      </c>
      <c r="AH25" s="1">
        <v>214.84798844561533</v>
      </c>
      <c r="AI25" s="1">
        <v>214.64397120566099</v>
      </c>
      <c r="AJ25" s="1">
        <v>200.4386575595083</v>
      </c>
      <c r="AK25" s="1">
        <v>203.41383024563771</v>
      </c>
      <c r="AL25" s="1">
        <v>193.51191109952097</v>
      </c>
      <c r="AM25" s="1">
        <v>189.05511539505289</v>
      </c>
      <c r="AN25" s="1">
        <v>198.05432612923659</v>
      </c>
      <c r="AO25" s="1">
        <v>197.52778447458934</v>
      </c>
      <c r="AP25" s="1">
        <v>190.48938641668354</v>
      </c>
      <c r="AQ25" s="1">
        <v>184.525783448433</v>
      </c>
      <c r="AR25" s="1">
        <v>197.05967486739709</v>
      </c>
      <c r="AS25" s="1">
        <v>204.76929242788327</v>
      </c>
      <c r="AT25" s="1">
        <v>194.53527416506984</v>
      </c>
      <c r="AU25" s="1">
        <v>193.85463248001273</v>
      </c>
      <c r="AV25" s="1">
        <v>205.36765916753845</v>
      </c>
      <c r="AW25" s="1">
        <v>207.46958979610577</v>
      </c>
      <c r="AX25" s="1">
        <v>200.76142904015799</v>
      </c>
      <c r="AY25" s="1">
        <v>210.61238475250732</v>
      </c>
      <c r="AZ25" s="1">
        <v>214.58862125443321</v>
      </c>
      <c r="BA25" s="1">
        <v>208.99224219421686</v>
      </c>
      <c r="BB25" s="1">
        <v>211.84299725017044</v>
      </c>
      <c r="BC25" s="1">
        <v>203.79389708461878</v>
      </c>
      <c r="BD25" s="1">
        <v>192.04380149076277</v>
      </c>
      <c r="BE25" s="1">
        <v>187.74686739114685</v>
      </c>
      <c r="BF25" s="1">
        <v>186.68553111584978</v>
      </c>
      <c r="BG25" s="1">
        <v>185.6503648542546</v>
      </c>
      <c r="BH25" s="1">
        <v>183.549715255591</v>
      </c>
      <c r="BI25" s="1">
        <v>200.80324948135501</v>
      </c>
      <c r="BJ25" s="1">
        <v>193.89898245274705</v>
      </c>
      <c r="BK25" s="1">
        <v>196.11357080975009</v>
      </c>
      <c r="BL25" s="1">
        <v>202.96093542617203</v>
      </c>
      <c r="BM25" s="1">
        <v>210.92861705680789</v>
      </c>
      <c r="BN25" s="1">
        <v>221.5784318095981</v>
      </c>
      <c r="BO25" s="1">
        <v>226.50429655024288</v>
      </c>
      <c r="BP25" s="1">
        <v>220.26495724982465</v>
      </c>
      <c r="BQ25" s="1">
        <v>242.04140265763198</v>
      </c>
      <c r="BR25" s="1">
        <v>245.34152189090329</v>
      </c>
      <c r="BS25" s="1">
        <v>217.61589568963223</v>
      </c>
      <c r="BT25" s="1">
        <v>217.85427433604255</v>
      </c>
      <c r="BU25" s="1">
        <v>231.2768150911206</v>
      </c>
      <c r="BV25" s="1">
        <v>232.05898125000397</v>
      </c>
      <c r="BW25" s="1">
        <v>248.91715672159313</v>
      </c>
      <c r="BX25" s="1">
        <v>236.30196599234662</v>
      </c>
      <c r="BY25" s="1">
        <v>235.69874718829806</v>
      </c>
      <c r="BZ25" s="1">
        <v>233.88632912593411</v>
      </c>
      <c r="CA25" s="1">
        <v>235.48730562203701</v>
      </c>
      <c r="CB25" s="1">
        <v>240.61025250175143</v>
      </c>
      <c r="CC25" s="1">
        <v>250.14246135160255</v>
      </c>
      <c r="CD25" s="1">
        <v>252.4192891803167</v>
      </c>
      <c r="CE25" s="1">
        <v>260.37203694449613</v>
      </c>
      <c r="CF25" s="1">
        <v>271.04600722589845</v>
      </c>
      <c r="CG25" s="1">
        <v>278.99041925845199</v>
      </c>
      <c r="CH25" s="1">
        <v>279.19647384792046</v>
      </c>
      <c r="CI25" s="1">
        <v>278.42568497966823</v>
      </c>
      <c r="CJ25" s="1">
        <v>289.49674608213581</v>
      </c>
      <c r="CK25" s="1">
        <v>296.89662168349849</v>
      </c>
      <c r="CL25" s="1">
        <v>295.61409775361898</v>
      </c>
      <c r="CM25" s="1">
        <v>267.66425338313849</v>
      </c>
      <c r="CN25" s="1">
        <v>255.38096485579405</v>
      </c>
      <c r="CO25" s="1">
        <v>276.92204088853663</v>
      </c>
      <c r="CP25" s="1">
        <v>274.39859217039515</v>
      </c>
      <c r="CQ25" s="1">
        <v>293.69190787871111</v>
      </c>
      <c r="CR25" s="1">
        <v>269.54787085191771</v>
      </c>
      <c r="CS25" s="1">
        <v>233.54939719723325</v>
      </c>
      <c r="CT25" s="1">
        <v>222.23431378834758</v>
      </c>
      <c r="CU25" s="1">
        <v>228.90887173811626</v>
      </c>
      <c r="CV25" s="1">
        <v>204.54215519322457</v>
      </c>
      <c r="CW25" s="1">
        <v>200.63034100568871</v>
      </c>
      <c r="CX25" s="1">
        <v>208.55159105366349</v>
      </c>
      <c r="CY25" s="1">
        <v>217.95427922237377</v>
      </c>
      <c r="CZ25" s="1">
        <v>212.1641339116274</v>
      </c>
      <c r="DA25" s="1">
        <v>219.29298869064522</v>
      </c>
      <c r="DB25" s="1">
        <v>229.08656632466105</v>
      </c>
      <c r="DC25" s="1">
        <v>259.79677222420588</v>
      </c>
      <c r="DD25" s="1">
        <v>232.09791653738117</v>
      </c>
      <c r="DE25" s="1">
        <v>231.52536760305819</v>
      </c>
      <c r="DF25" s="1">
        <v>235.21501259916678</v>
      </c>
      <c r="DG25" s="1">
        <v>224.3578466618379</v>
      </c>
      <c r="DH25" s="1">
        <v>209.33803971935086</v>
      </c>
      <c r="DI25" s="1">
        <v>209.54977540759839</v>
      </c>
      <c r="DJ25" s="1">
        <v>213.26334869393838</v>
      </c>
      <c r="DK25" s="1">
        <v>237.14912795970096</v>
      </c>
      <c r="DL25" s="1">
        <v>223.18326847365589</v>
      </c>
      <c r="DM25" s="1">
        <v>211.00812797015107</v>
      </c>
      <c r="DN25" s="1">
        <v>188.58405814631058</v>
      </c>
      <c r="DO25" s="1">
        <v>191.79659514803427</v>
      </c>
      <c r="DP25" s="1">
        <v>181.61777486080797</v>
      </c>
      <c r="DQ25" s="1">
        <v>180.39889757144675</v>
      </c>
      <c r="DR25" s="1">
        <v>176.39161375929055</v>
      </c>
      <c r="DS25" s="1">
        <v>178.2051962903837</v>
      </c>
      <c r="DT25" s="1">
        <v>185.19468111569756</v>
      </c>
      <c r="DU25" s="1">
        <v>190.04462544910419</v>
      </c>
      <c r="DV25" s="1">
        <v>191.68368526523497</v>
      </c>
      <c r="DW25" s="1">
        <v>185.52534076640535</v>
      </c>
      <c r="DX25" s="1">
        <v>189.28579240809955</v>
      </c>
      <c r="DY25" s="1">
        <v>178.64123726297194</v>
      </c>
      <c r="DZ25" s="1">
        <v>170.59976942482589</v>
      </c>
      <c r="EA25" s="1">
        <v>166.52762101857527</v>
      </c>
      <c r="EB25" s="1">
        <v>171.52743407810465</v>
      </c>
      <c r="EC25" s="1">
        <v>167.71101680144815</v>
      </c>
      <c r="ED25" s="1">
        <v>166.20961744705542</v>
      </c>
      <c r="EE25" s="1">
        <v>167.37109621733595</v>
      </c>
      <c r="EF25" s="1">
        <v>164.54503363793762</v>
      </c>
      <c r="EG25" s="1">
        <v>167.70780571997011</v>
      </c>
      <c r="EH25" s="35"/>
    </row>
    <row r="26" spans="1:138" s="1" customFormat="1" ht="16" customHeight="1">
      <c r="C26" s="6">
        <v>100</v>
      </c>
      <c r="D26" s="1">
        <v>0.70578592605259094</v>
      </c>
      <c r="E26" s="1">
        <v>1.9306433022499072</v>
      </c>
      <c r="F26" s="1">
        <v>3.6591218833806662</v>
      </c>
      <c r="G26" s="1">
        <v>7.9341868475675028</v>
      </c>
      <c r="H26" s="1">
        <v>14.052263887222734</v>
      </c>
      <c r="I26" s="1">
        <v>22.957552752258163</v>
      </c>
      <c r="J26" s="1">
        <v>36.454001802129689</v>
      </c>
      <c r="K26" s="1">
        <v>62.738177635759008</v>
      </c>
      <c r="L26" s="1">
        <v>106.99999975647333</v>
      </c>
      <c r="M26" s="1">
        <v>176.28412122545492</v>
      </c>
      <c r="N26" s="1">
        <v>336.85647015767</v>
      </c>
      <c r="O26" s="1">
        <v>570.15654271453616</v>
      </c>
      <c r="P26" s="1">
        <v>632.72374239991984</v>
      </c>
      <c r="Q26" s="1">
        <v>641.89253667724756</v>
      </c>
      <c r="R26" s="1">
        <v>597.06024985953798</v>
      </c>
      <c r="S26" s="1">
        <v>572.56605016485287</v>
      </c>
      <c r="T26" s="1">
        <v>530.53165284268732</v>
      </c>
      <c r="U26" s="1">
        <v>508.96168999841865</v>
      </c>
      <c r="V26" s="1">
        <v>533.0092275511962</v>
      </c>
      <c r="W26" s="1">
        <v>532.53530972262672</v>
      </c>
      <c r="X26" s="1">
        <v>514.82288870993352</v>
      </c>
      <c r="Y26" s="1">
        <v>525.69755754532116</v>
      </c>
      <c r="Z26" s="1">
        <v>519.01804926283864</v>
      </c>
      <c r="AA26" s="1">
        <v>556.9492118306473</v>
      </c>
      <c r="AB26" s="1">
        <v>465.787051189723</v>
      </c>
      <c r="AC26" s="1">
        <v>454.01628202300327</v>
      </c>
      <c r="AD26" s="1">
        <v>464.98159639692807</v>
      </c>
      <c r="AE26" s="1">
        <v>482.59821941852954</v>
      </c>
      <c r="AF26" s="1">
        <v>467.55120931546992</v>
      </c>
      <c r="AG26" s="1">
        <v>548.74990987755075</v>
      </c>
      <c r="AH26" s="1">
        <v>538.76510620395959</v>
      </c>
      <c r="AI26" s="1">
        <v>528.22435010139054</v>
      </c>
      <c r="AJ26" s="1">
        <v>502.85988546514022</v>
      </c>
      <c r="AK26" s="1">
        <v>487.74376724553639</v>
      </c>
      <c r="AL26" s="1">
        <v>445.88108264168903</v>
      </c>
      <c r="AM26" s="1">
        <v>418.52165313623954</v>
      </c>
      <c r="AN26" s="1">
        <v>485.06228601205464</v>
      </c>
      <c r="AO26" s="1">
        <v>498.5154632547999</v>
      </c>
      <c r="AP26" s="1">
        <v>488.1060093045453</v>
      </c>
      <c r="AQ26" s="1">
        <v>450.35906523719007</v>
      </c>
      <c r="AR26" s="1">
        <v>503.02511483129985</v>
      </c>
      <c r="AS26" s="1">
        <v>518.02156234213396</v>
      </c>
      <c r="AT26" s="1">
        <v>493.36483663652365</v>
      </c>
      <c r="AU26" s="1">
        <v>487.46762256219108</v>
      </c>
      <c r="AV26" s="1">
        <v>481.4555253939443</v>
      </c>
      <c r="AW26" s="1">
        <v>496.39524331412434</v>
      </c>
      <c r="AX26" s="1">
        <v>455.99954272286868</v>
      </c>
      <c r="AY26" s="1">
        <v>460.60347587078269</v>
      </c>
      <c r="AZ26" s="1">
        <v>481.86490721161539</v>
      </c>
      <c r="BA26" s="1">
        <v>484.87198690957683</v>
      </c>
      <c r="BB26" s="1">
        <v>513.52334994463752</v>
      </c>
      <c r="BC26" s="1">
        <v>483.09902489697583</v>
      </c>
      <c r="BD26" s="1">
        <v>474.60572287012548</v>
      </c>
      <c r="BE26" s="1">
        <v>438.08171173820779</v>
      </c>
      <c r="BF26" s="1">
        <v>426.37874842517931</v>
      </c>
      <c r="BG26" s="1">
        <v>442.45110677088627</v>
      </c>
      <c r="BH26" s="1">
        <v>463.13597199124575</v>
      </c>
      <c r="BI26" s="1">
        <v>538.82776119597645</v>
      </c>
      <c r="BJ26" s="1">
        <v>516.67453719605442</v>
      </c>
      <c r="BK26" s="1">
        <v>545.21873912348588</v>
      </c>
      <c r="BL26" s="1">
        <v>567.52068923148556</v>
      </c>
      <c r="BM26" s="1">
        <v>615.4373789614823</v>
      </c>
      <c r="BN26" s="1">
        <v>631.01179929969771</v>
      </c>
      <c r="BO26" s="1">
        <v>639.46847375814889</v>
      </c>
      <c r="BP26" s="1">
        <v>629.95245561970466</v>
      </c>
      <c r="BQ26" s="1">
        <v>679.95801187996096</v>
      </c>
      <c r="BR26" s="1">
        <v>682.73099207806854</v>
      </c>
      <c r="BS26" s="1">
        <v>607.74737676369989</v>
      </c>
      <c r="BT26" s="1">
        <v>603.94268415448573</v>
      </c>
      <c r="BU26" s="1">
        <v>636.87633428851541</v>
      </c>
      <c r="BV26" s="1">
        <v>634.021790427734</v>
      </c>
      <c r="BW26" s="1">
        <v>692.95705885960683</v>
      </c>
      <c r="BX26" s="1">
        <v>591.39992866908312</v>
      </c>
      <c r="BY26" s="1">
        <v>596.92582756614877</v>
      </c>
      <c r="BZ26" s="1">
        <v>574.14798312227492</v>
      </c>
      <c r="CA26" s="1">
        <v>591.91150500804554</v>
      </c>
      <c r="CB26" s="1">
        <v>581.2333676890122</v>
      </c>
      <c r="CC26" s="1">
        <v>627.49387289566505</v>
      </c>
      <c r="CD26" s="1">
        <v>662.5456650426263</v>
      </c>
      <c r="CE26" s="1">
        <v>667.820396382426</v>
      </c>
      <c r="CF26" s="1">
        <v>703.28440018809556</v>
      </c>
      <c r="CG26" s="1">
        <v>705.28149826873187</v>
      </c>
      <c r="CH26" s="1">
        <v>709.77760345686988</v>
      </c>
      <c r="CI26" s="1">
        <v>716.99750406838689</v>
      </c>
      <c r="CJ26" s="1">
        <v>754.35123783383597</v>
      </c>
      <c r="CK26" s="1">
        <v>770.34988730298437</v>
      </c>
      <c r="CL26" s="1">
        <v>716.68769170831092</v>
      </c>
      <c r="CM26" s="1">
        <v>691.42215924597087</v>
      </c>
      <c r="CN26" s="1">
        <v>734.8379616381186</v>
      </c>
      <c r="CO26" s="1">
        <v>813.72295747517546</v>
      </c>
      <c r="CP26" s="1">
        <v>844.11640758617773</v>
      </c>
      <c r="CQ26" s="1">
        <v>973.81866659382797</v>
      </c>
      <c r="CR26" s="1">
        <v>850.23404567046862</v>
      </c>
      <c r="CS26" s="1">
        <v>598.16432298506049</v>
      </c>
      <c r="CT26" s="1">
        <v>581.65922304345281</v>
      </c>
      <c r="CU26" s="1">
        <v>580.80439958042064</v>
      </c>
      <c r="CV26" s="1">
        <v>537.93742797970617</v>
      </c>
      <c r="CW26" s="1">
        <v>518.22467000777954</v>
      </c>
      <c r="CX26" s="1">
        <v>551.39737927177782</v>
      </c>
      <c r="CY26" s="1">
        <v>567.79101234056645</v>
      </c>
      <c r="CZ26" s="1">
        <v>554.74857356730013</v>
      </c>
      <c r="DA26" s="1">
        <v>570.8162388665553</v>
      </c>
      <c r="DB26" s="1">
        <v>583.81394708654011</v>
      </c>
      <c r="DC26" s="1">
        <v>651.88010471154473</v>
      </c>
      <c r="DD26" s="1">
        <v>577.21546663748961</v>
      </c>
      <c r="DE26" s="1">
        <v>571.07656974168401</v>
      </c>
      <c r="DF26" s="1">
        <v>582.20667489490484</v>
      </c>
      <c r="DG26" s="1">
        <v>564.29777611619011</v>
      </c>
      <c r="DH26" s="1">
        <v>536.70433906515666</v>
      </c>
      <c r="DI26" s="1">
        <v>522.61463943453089</v>
      </c>
      <c r="DJ26" s="1">
        <v>577.39216771000781</v>
      </c>
      <c r="DK26" s="1">
        <v>642.37784853766607</v>
      </c>
      <c r="DL26" s="1">
        <v>578.98133135758712</v>
      </c>
      <c r="DM26" s="1">
        <v>546.86820545268108</v>
      </c>
      <c r="DN26" s="1">
        <v>497.48675268260064</v>
      </c>
      <c r="DO26" s="1">
        <v>495.57135187069406</v>
      </c>
      <c r="DP26" s="1">
        <v>470.82766417340281</v>
      </c>
      <c r="DQ26" s="1">
        <v>459.89278728084366</v>
      </c>
      <c r="DR26" s="1">
        <v>429.16744695319562</v>
      </c>
      <c r="DS26" s="1">
        <v>426.12381733317483</v>
      </c>
      <c r="DT26" s="1">
        <v>454.89531001508652</v>
      </c>
      <c r="DU26" s="1">
        <v>464.10008737824757</v>
      </c>
      <c r="DV26" s="1">
        <v>467.7672827687901</v>
      </c>
      <c r="DW26" s="1">
        <v>464.17746252679689</v>
      </c>
      <c r="DX26" s="1">
        <v>500.04806661131761</v>
      </c>
      <c r="DY26" s="1">
        <v>473.41546514113986</v>
      </c>
      <c r="DZ26" s="1">
        <v>471.74986714526273</v>
      </c>
      <c r="EA26" s="1">
        <v>475.86420352875206</v>
      </c>
      <c r="EB26" s="1">
        <v>485.0159345680359</v>
      </c>
      <c r="EC26" s="1">
        <v>499.70016438029626</v>
      </c>
      <c r="ED26" s="1">
        <v>477.4597097219177</v>
      </c>
      <c r="EE26" s="1">
        <v>482.8827392141701</v>
      </c>
      <c r="EF26" s="1">
        <v>467.97830648473132</v>
      </c>
      <c r="EG26" s="1">
        <v>477.47722542423105</v>
      </c>
      <c r="EH26" s="35"/>
    </row>
    <row r="27" spans="1:138" ht="16" customHeight="1">
      <c r="A27" s="1"/>
      <c r="B27" s="1"/>
      <c r="C27" s="6">
        <v>192</v>
      </c>
      <c r="D27" s="1">
        <v>0.89798478135778881</v>
      </c>
      <c r="E27" s="1">
        <v>2.6924052967627361</v>
      </c>
      <c r="F27" s="1">
        <v>5.4021504441162689</v>
      </c>
      <c r="G27" s="1">
        <v>13.067712669677027</v>
      </c>
      <c r="H27" s="1">
        <v>23.841198680614941</v>
      </c>
      <c r="I27" s="1">
        <v>41.136687891357802</v>
      </c>
      <c r="J27" s="1">
        <v>69.58132151065918</v>
      </c>
      <c r="K27" s="1">
        <v>128.75577841952907</v>
      </c>
      <c r="L27" s="1">
        <v>248.04468586018268</v>
      </c>
      <c r="M27" s="1">
        <v>448.0169642737431</v>
      </c>
      <c r="N27" s="1">
        <v>972.76676996806361</v>
      </c>
      <c r="O27" s="1">
        <v>1844.5483738184164</v>
      </c>
      <c r="P27" s="1">
        <v>2061.4570178372633</v>
      </c>
      <c r="Q27" s="1">
        <v>2107.5175093340563</v>
      </c>
      <c r="R27" s="1">
        <v>1866.0254272177294</v>
      </c>
      <c r="S27" s="1">
        <v>1758.6144364851873</v>
      </c>
      <c r="T27" s="1">
        <v>1263.0499225530305</v>
      </c>
      <c r="U27" s="1">
        <v>1306.5064619180848</v>
      </c>
      <c r="V27" s="1">
        <v>1333.7557020901015</v>
      </c>
      <c r="W27" s="1">
        <v>1410.5498191586407</v>
      </c>
      <c r="X27" s="1">
        <v>1462.1735404395863</v>
      </c>
      <c r="Y27" s="1">
        <v>1587.2567664503733</v>
      </c>
      <c r="Z27" s="1">
        <v>1594.7901011820709</v>
      </c>
      <c r="AA27" s="1">
        <v>1712.9219235066544</v>
      </c>
      <c r="AB27" s="1">
        <v>1500.5567452176149</v>
      </c>
      <c r="AC27" s="1">
        <v>1455.7524926803264</v>
      </c>
      <c r="AD27" s="1">
        <v>1480.8402816003327</v>
      </c>
      <c r="AE27" s="1">
        <v>1605.5403085128085</v>
      </c>
      <c r="AF27" s="1">
        <v>1498.516069219819</v>
      </c>
      <c r="AG27" s="1">
        <v>1818.0135401008786</v>
      </c>
      <c r="AH27" s="1">
        <v>1753.3811936091545</v>
      </c>
      <c r="AI27" s="1">
        <v>1703.9949344285569</v>
      </c>
      <c r="AJ27" s="1">
        <v>1631.8409147640566</v>
      </c>
      <c r="AK27" s="1">
        <v>1550.1430717762885</v>
      </c>
      <c r="AL27" s="1">
        <v>1465.7861062390054</v>
      </c>
      <c r="AM27" s="1">
        <v>1327.0634401332613</v>
      </c>
      <c r="AN27" s="1">
        <v>1593.6098815349158</v>
      </c>
      <c r="AO27" s="1">
        <v>1549.074783053039</v>
      </c>
      <c r="AP27" s="1">
        <v>1309.4469830833909</v>
      </c>
      <c r="AQ27" s="1">
        <v>1177.9544880011067</v>
      </c>
      <c r="AR27" s="1">
        <v>1464.5620069471279</v>
      </c>
      <c r="AS27" s="1">
        <v>1476.1448620430415</v>
      </c>
      <c r="AT27" s="1">
        <v>1433.3503788698249</v>
      </c>
      <c r="AU27" s="1">
        <v>1447.5988323820504</v>
      </c>
      <c r="AV27" s="1">
        <v>1468.472671235161</v>
      </c>
      <c r="AW27" s="1">
        <v>1460.8886220905513</v>
      </c>
      <c r="AX27" s="1">
        <v>1353.5695544528458</v>
      </c>
      <c r="AY27" s="1">
        <v>1309.3101040444135</v>
      </c>
      <c r="AZ27" s="1">
        <v>1324.4112958337178</v>
      </c>
      <c r="BA27" s="1">
        <v>1304.588870385687</v>
      </c>
      <c r="BB27" s="1">
        <v>1293.9787231223099</v>
      </c>
      <c r="BC27" s="1">
        <v>1102.0840801763861</v>
      </c>
      <c r="BD27" s="1">
        <v>1084.010972124237</v>
      </c>
      <c r="BE27" s="1">
        <v>1136.2365511400319</v>
      </c>
      <c r="BF27" s="1">
        <v>1120.1886557395389</v>
      </c>
      <c r="BG27" s="1">
        <v>1206.1882296416354</v>
      </c>
      <c r="BH27" s="1">
        <v>1348.3925969450156</v>
      </c>
      <c r="BI27" s="1">
        <v>1486.4159642174366</v>
      </c>
      <c r="BJ27" s="1">
        <v>1398.123226301977</v>
      </c>
      <c r="BK27" s="1">
        <v>1538.8721899248269</v>
      </c>
      <c r="BL27" s="1">
        <v>1648.7028711759597</v>
      </c>
      <c r="BM27" s="1">
        <v>1826.2195046289862</v>
      </c>
      <c r="BN27" s="1">
        <v>1910.6353743308207</v>
      </c>
      <c r="BO27" s="1">
        <v>1998.9009881184545</v>
      </c>
      <c r="BP27" s="1">
        <v>1912.1689437598254</v>
      </c>
      <c r="BQ27" s="1">
        <v>2257.1419148436389</v>
      </c>
      <c r="BR27" s="1">
        <v>2222.7941223555949</v>
      </c>
      <c r="BS27" s="1">
        <v>1864.540424312944</v>
      </c>
      <c r="BT27" s="1">
        <v>1727.6301103069275</v>
      </c>
      <c r="BU27" s="1">
        <v>1942.3942724808967</v>
      </c>
      <c r="BV27" s="1">
        <v>1893.6228024066686</v>
      </c>
      <c r="BW27" s="1">
        <v>2095.2951547071661</v>
      </c>
      <c r="BX27" s="1">
        <v>1781.5665368378475</v>
      </c>
      <c r="BY27" s="1">
        <v>1814.1373456834349</v>
      </c>
      <c r="BZ27" s="1">
        <v>1747.7519018207317</v>
      </c>
      <c r="CA27" s="1">
        <v>1786.125668861346</v>
      </c>
      <c r="CB27" s="1">
        <v>1686.5822207220206</v>
      </c>
      <c r="CC27" s="1">
        <v>1669.7596223459984</v>
      </c>
      <c r="CD27" s="1">
        <v>1871.446779060434</v>
      </c>
      <c r="CE27" s="1">
        <v>1749.0983511058034</v>
      </c>
      <c r="CF27" s="1">
        <v>1747.7746327695027</v>
      </c>
      <c r="CG27" s="1">
        <v>1783.9424639300228</v>
      </c>
      <c r="CH27" s="1">
        <v>1750.1578586736753</v>
      </c>
      <c r="CI27" s="1">
        <v>1790.5388788345047</v>
      </c>
      <c r="CJ27" s="1">
        <v>1910.0938401637386</v>
      </c>
      <c r="CK27" s="1">
        <v>1888.5171542457842</v>
      </c>
      <c r="CL27" s="1">
        <v>1776.6548660333181</v>
      </c>
      <c r="CM27" s="1">
        <v>1478.3903332926218</v>
      </c>
      <c r="CN27" s="1">
        <v>1567.7850255764697</v>
      </c>
      <c r="CO27" s="1">
        <v>1827.0498084351807</v>
      </c>
      <c r="CP27" s="1">
        <v>2119.5586034194321</v>
      </c>
      <c r="CQ27" s="1">
        <v>2556.7510482370085</v>
      </c>
      <c r="CR27" s="1">
        <v>1792.4194558866006</v>
      </c>
      <c r="CS27" s="1">
        <v>1451.5283098805153</v>
      </c>
      <c r="CT27" s="1">
        <v>1541.8133202393963</v>
      </c>
      <c r="CU27" s="1">
        <v>1260.3375527079907</v>
      </c>
      <c r="CV27" s="1">
        <v>1185.0744443010885</v>
      </c>
      <c r="CW27" s="1">
        <v>1083.6150653995867</v>
      </c>
      <c r="CX27" s="1">
        <v>1076.2446129990255</v>
      </c>
      <c r="CY27" s="1">
        <v>1086.7962913378988</v>
      </c>
      <c r="CZ27" s="1">
        <v>968.17340471549437</v>
      </c>
      <c r="DA27" s="1">
        <v>1074.2816472789145</v>
      </c>
      <c r="DB27" s="1">
        <v>1015.9172621000438</v>
      </c>
      <c r="DC27" s="1">
        <v>1054.5331633122601</v>
      </c>
      <c r="DD27" s="1">
        <v>948.13767597675781</v>
      </c>
      <c r="DE27" s="1">
        <v>957.65805316111948</v>
      </c>
      <c r="DF27" s="1">
        <v>1014.701553405614</v>
      </c>
      <c r="DG27" s="1">
        <v>963.93739559738572</v>
      </c>
      <c r="DH27" s="1">
        <v>975.5115688452513</v>
      </c>
      <c r="DI27" s="1">
        <v>939.03061092558994</v>
      </c>
      <c r="DJ27" s="1">
        <v>999.54100314657728</v>
      </c>
      <c r="DK27" s="1">
        <v>1172.0900096681059</v>
      </c>
      <c r="DL27" s="1">
        <v>1205.4064206788266</v>
      </c>
      <c r="DM27" s="1">
        <v>1150.9343895320746</v>
      </c>
      <c r="DN27" s="1">
        <v>930.83421376477133</v>
      </c>
      <c r="DO27" s="1">
        <v>858.38738658286002</v>
      </c>
      <c r="DP27" s="1">
        <v>811.18943294707856</v>
      </c>
      <c r="DQ27" s="1">
        <v>755.07284623568933</v>
      </c>
      <c r="DR27" s="1">
        <v>750.35551659717589</v>
      </c>
      <c r="DS27" s="1">
        <v>772.18297236223532</v>
      </c>
      <c r="DT27" s="1">
        <v>820.41733619453987</v>
      </c>
      <c r="DU27" s="1">
        <v>865.87687233082545</v>
      </c>
      <c r="DV27" s="1">
        <v>896.08755642465371</v>
      </c>
      <c r="DW27" s="1">
        <v>861.64535551831079</v>
      </c>
      <c r="DX27" s="1">
        <v>903.78139024754933</v>
      </c>
      <c r="DY27" s="1">
        <v>909.09038771598989</v>
      </c>
      <c r="DZ27" s="1">
        <v>926.13210300121398</v>
      </c>
      <c r="EA27" s="1">
        <v>970.31249875703475</v>
      </c>
      <c r="EB27" s="1">
        <v>1014.133785346366</v>
      </c>
      <c r="EC27" s="1">
        <v>1012.4317260829849</v>
      </c>
      <c r="ED27" s="1">
        <v>1026.5111704705241</v>
      </c>
      <c r="EE27" s="1">
        <v>1104.4456076161362</v>
      </c>
      <c r="EF27" s="1">
        <v>1131.9353982338332</v>
      </c>
      <c r="EG27" s="1">
        <v>1222.8309382839752</v>
      </c>
    </row>
    <row r="28" spans="1:138" ht="16" customHeight="1">
      <c r="A28" s="37"/>
      <c r="B28" s="37"/>
      <c r="C28" s="18">
        <v>964</v>
      </c>
      <c r="D28" s="37">
        <v>1.274316755103944</v>
      </c>
      <c r="E28" s="37">
        <v>4.7959821773410871</v>
      </c>
      <c r="F28" s="37">
        <v>11.101116550448845</v>
      </c>
      <c r="G28" s="37">
        <v>32.809330435262588</v>
      </c>
      <c r="H28" s="37">
        <v>60.481366263413705</v>
      </c>
      <c r="I28" s="37">
        <v>110.07797132277224</v>
      </c>
      <c r="J28" s="37">
        <v>198.72982219508319</v>
      </c>
      <c r="K28" s="37">
        <v>396.51060050686544</v>
      </c>
      <c r="L28" s="37">
        <v>1354.3457368465888</v>
      </c>
      <c r="M28" s="37">
        <v>3043.3020469145035</v>
      </c>
      <c r="N28" s="37">
        <v>8936.6125872720113</v>
      </c>
      <c r="O28" s="37">
        <v>25916.642864792313</v>
      </c>
      <c r="P28" s="37">
        <v>31630.543815918332</v>
      </c>
      <c r="Q28" s="37">
        <v>31239.801317257028</v>
      </c>
      <c r="R28" s="37">
        <v>31138.502672901446</v>
      </c>
      <c r="S28" s="37">
        <v>23701.265200356982</v>
      </c>
      <c r="T28" s="37">
        <v>25302.293422488776</v>
      </c>
      <c r="U28" s="37">
        <v>25962.466514534535</v>
      </c>
      <c r="V28" s="37">
        <v>26418.808031548982</v>
      </c>
      <c r="W28" s="37">
        <v>33695.05016497949</v>
      </c>
      <c r="X28" s="37">
        <v>40808.480061296577</v>
      </c>
      <c r="Y28" s="37">
        <v>47370.554737171013</v>
      </c>
      <c r="Z28" s="37">
        <v>44877.37626122724</v>
      </c>
      <c r="AA28" s="37">
        <v>41177.004037696592</v>
      </c>
      <c r="AB28" s="37">
        <v>33555.192244086662</v>
      </c>
      <c r="AC28" s="37">
        <v>37646.828958489408</v>
      </c>
      <c r="AD28" s="37">
        <v>39405.120117251827</v>
      </c>
      <c r="AE28" s="37">
        <v>21210.829542736457</v>
      </c>
      <c r="AF28" s="37">
        <v>17113.938821791595</v>
      </c>
      <c r="AG28" s="37">
        <v>25592.498314898086</v>
      </c>
      <c r="AH28" s="37">
        <v>29416.934976971505</v>
      </c>
      <c r="AI28" s="37">
        <v>32835.212146862199</v>
      </c>
      <c r="AJ28" s="37">
        <v>20225.708045701249</v>
      </c>
      <c r="AK28" s="37">
        <v>18575.269451859505</v>
      </c>
      <c r="AL28" s="37">
        <v>18653.02324768274</v>
      </c>
      <c r="AM28" s="37">
        <v>15667.021027822289</v>
      </c>
      <c r="AN28" s="37">
        <v>16374.007108966565</v>
      </c>
      <c r="AO28" s="37">
        <v>18964.156610242808</v>
      </c>
      <c r="AP28" s="37">
        <v>20373.119565951125</v>
      </c>
      <c r="AQ28" s="37">
        <v>21409.711668757649</v>
      </c>
      <c r="AR28" s="37">
        <v>32548.578241086816</v>
      </c>
      <c r="AS28" s="37">
        <v>36952.86153391355</v>
      </c>
      <c r="AT28" s="37">
        <v>31657.343864144274</v>
      </c>
      <c r="AU28" s="37">
        <v>30792.4590532568</v>
      </c>
      <c r="AV28" s="37">
        <v>28492.00305045296</v>
      </c>
      <c r="AW28" s="37">
        <v>33125.27232237898</v>
      </c>
      <c r="AX28" s="37">
        <v>24785.961419810807</v>
      </c>
      <c r="AY28" s="37">
        <v>27310.933054930727</v>
      </c>
      <c r="AZ28" s="37">
        <v>30285.371745930974</v>
      </c>
      <c r="BA28" s="37">
        <v>29407.0625775136</v>
      </c>
      <c r="BB28" s="37">
        <v>28465.581843997228</v>
      </c>
      <c r="BC28" s="37">
        <v>17976.75987187391</v>
      </c>
      <c r="BD28" s="37">
        <v>19015.631503481589</v>
      </c>
      <c r="BE28" s="37">
        <v>15905.229295737881</v>
      </c>
      <c r="BF28" s="37">
        <v>15725.232369117977</v>
      </c>
      <c r="BG28" s="37">
        <v>18166.149718042361</v>
      </c>
      <c r="BH28" s="37">
        <v>15970.472391030955</v>
      </c>
      <c r="BI28" s="37">
        <v>21681.436750233897</v>
      </c>
      <c r="BJ28" s="37">
        <v>17752.882275934029</v>
      </c>
      <c r="BK28" s="37">
        <v>20758.337258751166</v>
      </c>
      <c r="BL28" s="37">
        <v>23959.880795435703</v>
      </c>
      <c r="BM28" s="37">
        <v>28677.993101590764</v>
      </c>
      <c r="BN28" s="37">
        <v>39326.07792808181</v>
      </c>
      <c r="BO28" s="37">
        <v>52839.932723331229</v>
      </c>
      <c r="BP28" s="37">
        <v>41002.612098493897</v>
      </c>
      <c r="BQ28" s="37">
        <v>49932.34676978879</v>
      </c>
      <c r="BR28" s="37">
        <v>55838.955998281788</v>
      </c>
      <c r="BS28" s="37">
        <v>44249.152468590393</v>
      </c>
      <c r="BT28" s="37">
        <v>47676.683390987404</v>
      </c>
      <c r="BU28" s="37">
        <v>47107.50604706187</v>
      </c>
      <c r="BV28" s="37">
        <v>68541.13588845772</v>
      </c>
      <c r="BW28" s="37">
        <v>66631.275457957527</v>
      </c>
      <c r="BX28" s="37">
        <v>53209.550132581448</v>
      </c>
      <c r="BY28" s="37">
        <v>50067.576931141528</v>
      </c>
      <c r="BZ28" s="37">
        <v>58151.904536773633</v>
      </c>
      <c r="CA28" s="37">
        <v>48813.071255510295</v>
      </c>
      <c r="CB28" s="37">
        <v>38011.852674742047</v>
      </c>
      <c r="CC28" s="37">
        <v>36507.63887233592</v>
      </c>
      <c r="CD28" s="37">
        <v>44992.238667824349</v>
      </c>
      <c r="CE28" s="37">
        <v>49407.272284859508</v>
      </c>
      <c r="CF28" s="37">
        <v>52960.008371373515</v>
      </c>
      <c r="CG28" s="37">
        <v>47190.8488854721</v>
      </c>
      <c r="CH28" s="37">
        <v>64399.774725100899</v>
      </c>
      <c r="CI28" s="37">
        <v>80671.080272575695</v>
      </c>
      <c r="CJ28" s="37">
        <v>90378.503344299897</v>
      </c>
      <c r="CK28" s="37">
        <v>87039.045612364265</v>
      </c>
      <c r="CL28" s="37">
        <v>99166.89013361471</v>
      </c>
      <c r="CM28" s="37">
        <v>49727.157558683801</v>
      </c>
      <c r="CN28" s="37">
        <v>45103.631575168743</v>
      </c>
      <c r="CO28" s="37">
        <v>42466.895979673573</v>
      </c>
      <c r="CP28" s="37">
        <v>53137.007889445689</v>
      </c>
      <c r="CQ28" s="37">
        <v>65110.05483278662</v>
      </c>
      <c r="CR28" s="37">
        <v>55000.854820260385</v>
      </c>
      <c r="CS28" s="37">
        <v>55983.178481103889</v>
      </c>
      <c r="CT28" s="37">
        <v>61626.048805067723</v>
      </c>
      <c r="CU28" s="37">
        <v>46068.578449770503</v>
      </c>
      <c r="CV28" s="37">
        <v>35860.535966217896</v>
      </c>
      <c r="CW28" s="37">
        <v>31856.542009425561</v>
      </c>
      <c r="CX28" s="37">
        <v>29117.392557479277</v>
      </c>
      <c r="CY28" s="37">
        <v>30190.268849840224</v>
      </c>
      <c r="CZ28" s="37">
        <v>28244.253578363554</v>
      </c>
      <c r="DA28" s="37">
        <v>38332.991662309032</v>
      </c>
      <c r="DB28" s="37">
        <v>35526.974902568589</v>
      </c>
      <c r="DC28" s="37">
        <v>26653.575535223437</v>
      </c>
      <c r="DD28" s="37">
        <v>17578.166179733453</v>
      </c>
      <c r="DE28" s="37">
        <v>20077.396728118594</v>
      </c>
      <c r="DF28" s="37">
        <v>17387.625221177866</v>
      </c>
      <c r="DG28" s="37">
        <v>18066.099012160998</v>
      </c>
      <c r="DH28" s="37">
        <v>16599.124852386965</v>
      </c>
      <c r="DI28" s="37">
        <v>15922.24425031385</v>
      </c>
      <c r="DJ28" s="37">
        <v>21911.757313375172</v>
      </c>
      <c r="DK28" s="37">
        <v>25072.375847032676</v>
      </c>
      <c r="DL28" s="37">
        <v>23044.82004846874</v>
      </c>
      <c r="DM28" s="37">
        <v>26056.447536451928</v>
      </c>
      <c r="DN28" s="37">
        <v>23552.726205608149</v>
      </c>
      <c r="DO28" s="37">
        <v>21184.924152637504</v>
      </c>
      <c r="DP28" s="37">
        <v>20925.408203984774</v>
      </c>
      <c r="DQ28" s="37">
        <v>20197.154875313088</v>
      </c>
      <c r="DR28" s="37">
        <v>21903.105201172286</v>
      </c>
      <c r="DS28" s="37">
        <v>25838.459975115289</v>
      </c>
      <c r="DT28" s="37">
        <v>29217.357511752387</v>
      </c>
      <c r="DU28" s="37">
        <v>29132.081823259712</v>
      </c>
      <c r="DV28" s="37">
        <v>31069.62105499809</v>
      </c>
      <c r="DW28" s="37">
        <v>28896.460664696497</v>
      </c>
      <c r="DX28" s="37">
        <v>20076.386588754118</v>
      </c>
      <c r="DY28" s="37">
        <v>19332.257393460743</v>
      </c>
      <c r="DZ28" s="37">
        <v>17029.383739778412</v>
      </c>
      <c r="EA28" s="37">
        <v>13812.009111662133</v>
      </c>
      <c r="EB28" s="37">
        <v>14800.932895471464</v>
      </c>
      <c r="EC28" s="37">
        <v>14801.537259508234</v>
      </c>
      <c r="ED28" s="37">
        <v>17678.577438874592</v>
      </c>
      <c r="EE28" s="37">
        <v>22059.828656879305</v>
      </c>
      <c r="EF28" s="37">
        <v>22435.271724268274</v>
      </c>
      <c r="EG28" s="37">
        <v>22832.034881448264</v>
      </c>
    </row>
    <row r="29" spans="1:138" s="1" customFormat="1" ht="16" customHeight="1">
      <c r="C29" s="6" t="s">
        <v>147</v>
      </c>
      <c r="D29" s="36">
        <v>-1.744677053939037E-2</v>
      </c>
      <c r="E29" s="36">
        <v>2.893123339404724E-3</v>
      </c>
      <c r="F29" s="36">
        <v>2.6944635852046869E-2</v>
      </c>
      <c r="G29" s="36">
        <v>2.0210365301730041E-2</v>
      </c>
      <c r="H29" s="36">
        <v>5.269909680859941E-2</v>
      </c>
      <c r="I29" s="36">
        <v>8.8857766197530053E-2</v>
      </c>
      <c r="J29" s="36">
        <v>7.9869318529145472E-2</v>
      </c>
      <c r="K29" s="36">
        <v>9.3738646464063713E-2</v>
      </c>
      <c r="L29" s="36">
        <v>3.7937714394164157E-2</v>
      </c>
      <c r="M29" s="36">
        <v>3.8844812525307137E-2</v>
      </c>
      <c r="N29" s="36">
        <v>6.3142951706360639E-2</v>
      </c>
      <c r="O29" s="36">
        <v>7.6952085951054405E-2</v>
      </c>
      <c r="P29" s="36">
        <v>8.3257197491512391E-2</v>
      </c>
      <c r="Q29" s="36">
        <v>0.11295275081672609</v>
      </c>
      <c r="R29" s="36">
        <v>0.1088204283509331</v>
      </c>
      <c r="S29" s="36">
        <v>0.13551706985268061</v>
      </c>
      <c r="T29" s="36">
        <v>0.12167508804368481</v>
      </c>
      <c r="U29" s="36">
        <v>7.7088976461827885E-2</v>
      </c>
      <c r="V29" s="36">
        <v>-1.7059521199481731E-3</v>
      </c>
      <c r="W29" s="36">
        <v>-5.9866792867339091E-2</v>
      </c>
      <c r="X29" s="36">
        <v>-5.9140260213613523E-2</v>
      </c>
      <c r="Y29" s="36">
        <v>-1.7185893241652209E-2</v>
      </c>
      <c r="Z29" s="36">
        <v>-4.4409529547694393E-2</v>
      </c>
      <c r="AA29" s="36">
        <v>-4.2407561826578573E-2</v>
      </c>
      <c r="AB29" s="36">
        <v>-6.481575250614946E-2</v>
      </c>
      <c r="AC29" s="36">
        <v>-3.4768870774049443E-2</v>
      </c>
      <c r="AD29" s="36">
        <v>2.7817794451217011E-3</v>
      </c>
      <c r="AE29" s="36">
        <v>-4.0202844765013457E-2</v>
      </c>
      <c r="AF29" s="36">
        <v>-2.23053204826642E-2</v>
      </c>
      <c r="AG29" s="36">
        <v>-7.4152570234460313E-3</v>
      </c>
      <c r="AH29" s="36">
        <v>2.8334274381314421E-2</v>
      </c>
      <c r="AI29" s="36">
        <v>3.7953941892352683E-2</v>
      </c>
      <c r="AJ29" s="36">
        <v>4.9110131735873752E-2</v>
      </c>
      <c r="AK29" s="36">
        <v>6.3123886850196875E-2</v>
      </c>
      <c r="AL29" s="36">
        <v>5.7454515782098918E-2</v>
      </c>
      <c r="AM29" s="36">
        <v>5.8917118987427568E-2</v>
      </c>
      <c r="AN29" s="36">
        <v>8.0938283596681648E-2</v>
      </c>
      <c r="AO29" s="36">
        <v>0.11500697453770201</v>
      </c>
      <c r="AP29" s="36">
        <v>0.1219665320054517</v>
      </c>
      <c r="AQ29" s="36">
        <v>0.12886130991117531</v>
      </c>
      <c r="AR29" s="36">
        <v>0.14799139743631429</v>
      </c>
      <c r="AS29" s="36">
        <v>0.18780698843660251</v>
      </c>
      <c r="AT29" s="36">
        <v>0.19148751365039929</v>
      </c>
      <c r="AU29" s="36">
        <v>0.20945675046088999</v>
      </c>
      <c r="AV29" s="36">
        <v>0.18617324550329581</v>
      </c>
      <c r="AW29" s="36">
        <v>0.23209180697664691</v>
      </c>
      <c r="AX29" s="36">
        <v>0.205162036556817</v>
      </c>
      <c r="AY29" s="36">
        <v>0.21453132863303209</v>
      </c>
      <c r="AZ29" s="36">
        <v>0.2660241129922889</v>
      </c>
      <c r="BA29" s="36">
        <v>0.23271631642995261</v>
      </c>
      <c r="BB29" s="36">
        <v>0.2445155679795841</v>
      </c>
      <c r="BC29" s="36">
        <v>0.21433638745422809</v>
      </c>
      <c r="BD29" s="36">
        <v>0.2388215063710388</v>
      </c>
      <c r="BE29" s="36">
        <v>0.23447943849994909</v>
      </c>
      <c r="BF29" s="36">
        <v>0.25935658802508499</v>
      </c>
      <c r="BG29" s="36">
        <v>0.26008869763716319</v>
      </c>
      <c r="BH29" s="36">
        <v>0.2535114114609236</v>
      </c>
      <c r="BI29" s="36">
        <v>0.10826483627727621</v>
      </c>
      <c r="BJ29" s="36">
        <v>0.11793469710078749</v>
      </c>
      <c r="BK29" s="36">
        <v>9.9625988810205346E-2</v>
      </c>
      <c r="BL29" s="36">
        <v>0.12254260303831389</v>
      </c>
      <c r="BM29" s="36">
        <v>0.17302993558174001</v>
      </c>
      <c r="BN29" s="36">
        <v>0.20112905370185399</v>
      </c>
      <c r="BO29" s="36">
        <v>0.237450116940952</v>
      </c>
      <c r="BP29" s="36">
        <v>0.18334151222801379</v>
      </c>
      <c r="BQ29" s="36">
        <v>0.209244230248715</v>
      </c>
      <c r="BR29" s="36">
        <v>0.21967690051673561</v>
      </c>
      <c r="BS29" s="36">
        <v>0.1962676978767699</v>
      </c>
      <c r="BT29" s="36">
        <v>0.21987619627534569</v>
      </c>
      <c r="BU29" s="36">
        <v>0.27805738326883361</v>
      </c>
      <c r="BV29" s="36">
        <v>0.29269729646247922</v>
      </c>
      <c r="BW29" s="36">
        <v>0.34857881761669129</v>
      </c>
      <c r="BX29" s="36">
        <v>0.2909305384219143</v>
      </c>
      <c r="BY29" s="36">
        <v>0.26793739709811137</v>
      </c>
      <c r="BZ29" s="36">
        <v>7.628473289061688E-2</v>
      </c>
      <c r="CA29" s="36">
        <v>0.2099851314449144</v>
      </c>
      <c r="CB29" s="36">
        <v>0.20447092205281339</v>
      </c>
      <c r="CC29" s="36">
        <v>0.27699361006036599</v>
      </c>
      <c r="CD29" s="36">
        <v>0.38680488733361829</v>
      </c>
      <c r="CE29" s="36">
        <v>0.37874965946081551</v>
      </c>
      <c r="CF29" s="36">
        <v>0.37042015435709108</v>
      </c>
      <c r="CG29" s="36">
        <v>0.37378086910184649</v>
      </c>
      <c r="CH29" s="36">
        <v>0.49692143719092191</v>
      </c>
      <c r="CI29" s="36">
        <v>0.603191980394987</v>
      </c>
      <c r="CJ29" s="36">
        <v>0.64675173719730239</v>
      </c>
      <c r="CK29" s="36">
        <v>0.73315421285472704</v>
      </c>
      <c r="CL29" s="36">
        <v>0.7842487445659152</v>
      </c>
      <c r="CM29" s="36">
        <v>0.90348131155309508</v>
      </c>
      <c r="CN29" s="36">
        <v>0.8487139113221478</v>
      </c>
      <c r="CO29" s="36">
        <v>0.92166881344527685</v>
      </c>
      <c r="CP29" s="36">
        <v>0.86588067898046694</v>
      </c>
      <c r="CQ29" s="36">
        <v>0.89197293519067467</v>
      </c>
      <c r="CR29" s="36">
        <v>0.83090579105751727</v>
      </c>
      <c r="CS29" s="36">
        <v>0.83658814745105547</v>
      </c>
      <c r="CT29" s="36">
        <v>0.88358984642415717</v>
      </c>
      <c r="CU29" s="36">
        <v>0.9672059526983301</v>
      </c>
      <c r="CV29" s="36">
        <v>0.90752297284093331</v>
      </c>
      <c r="CW29" s="36">
        <v>0.90512335385454468</v>
      </c>
      <c r="CX29" s="36">
        <v>0.90957440110152876</v>
      </c>
      <c r="CY29" s="36">
        <v>0.78685723504233995</v>
      </c>
      <c r="CZ29" s="36">
        <v>0.80992516787144164</v>
      </c>
      <c r="DA29" s="36">
        <v>0.58282101623526672</v>
      </c>
      <c r="DB29" s="36">
        <v>0.60132527488651344</v>
      </c>
      <c r="DC29" s="36">
        <v>0.61147422419279152</v>
      </c>
      <c r="DD29" s="36">
        <v>0.42243966588262949</v>
      </c>
      <c r="DE29" s="36">
        <v>0.37121637307647259</v>
      </c>
      <c r="DF29" s="36">
        <v>0.5616938276257708</v>
      </c>
      <c r="DG29" s="36">
        <v>0.48182332962932128</v>
      </c>
      <c r="DH29" s="36">
        <v>0.59552577817978314</v>
      </c>
      <c r="DI29" s="36">
        <v>0.62027043996328524</v>
      </c>
      <c r="DJ29" s="36">
        <v>0.65789923395288952</v>
      </c>
      <c r="DK29" s="36">
        <v>0.62743885630809859</v>
      </c>
      <c r="DL29" s="36">
        <v>0.72866394865424411</v>
      </c>
      <c r="DM29" s="36">
        <v>0.76340716304992284</v>
      </c>
      <c r="DN29" s="36">
        <v>0.78721129009524526</v>
      </c>
      <c r="DO29" s="36">
        <v>0.73314419395664854</v>
      </c>
      <c r="DP29" s="36">
        <v>0.7036411650845571</v>
      </c>
      <c r="DQ29" s="36">
        <v>0.666521339911188</v>
      </c>
      <c r="DR29" s="36">
        <v>0.80941825308633253</v>
      </c>
      <c r="DS29" s="36">
        <v>0.86027510799998974</v>
      </c>
      <c r="DT29" s="36">
        <v>0.85599059714061299</v>
      </c>
      <c r="DU29" s="36">
        <v>0.9645125910761998</v>
      </c>
      <c r="DV29" s="36">
        <v>1.097429448381251</v>
      </c>
      <c r="DW29" s="36">
        <v>1.1079601605760621</v>
      </c>
      <c r="DX29" s="36">
        <v>1.1868319851241951</v>
      </c>
      <c r="DY29" s="36">
        <v>1.370768618416941</v>
      </c>
      <c r="DZ29" s="36">
        <v>1.2834475238077689</v>
      </c>
      <c r="EA29" s="36">
        <v>1.290507264949454</v>
      </c>
      <c r="EB29" s="36">
        <v>1.2860233033025421</v>
      </c>
      <c r="EC29" s="36">
        <v>1.346509430724685</v>
      </c>
      <c r="ED29" s="36">
        <v>1.2884273650883471</v>
      </c>
      <c r="EE29" s="36">
        <v>1.366498188226261</v>
      </c>
      <c r="EF29" s="36">
        <v>1.416341311511776</v>
      </c>
      <c r="EG29" s="36">
        <v>1.367344209826507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2:EI30"/>
  <sheetViews>
    <sheetView zoomScaleNormal="83" workbookViewId="0">
      <selection activeCell="EL14" sqref="EL14"/>
    </sheetView>
  </sheetViews>
  <sheetFormatPr baseColWidth="10" defaultColWidth="8.83203125" defaultRowHeight="15"/>
  <cols>
    <col min="1" max="1" width="8.33203125" style="21" customWidth="1"/>
    <col min="2" max="3" width="9.33203125" style="21" customWidth="1"/>
    <col min="11" max="11" width="8.1640625" style="21" customWidth="1"/>
    <col min="64" max="64" width="8.33203125" style="21" customWidth="1"/>
    <col min="139" max="139" width="9.5" style="21" customWidth="1"/>
  </cols>
  <sheetData>
    <row r="12" spans="1:139" ht="16" customHeight="1">
      <c r="A12" s="50" t="s">
        <v>142</v>
      </c>
      <c r="B12" s="51"/>
      <c r="C12" s="10" t="s">
        <v>143</v>
      </c>
      <c r="D12" s="10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</row>
    <row r="13" spans="1:139" ht="18" customHeight="1">
      <c r="A13" s="6" t="s">
        <v>144</v>
      </c>
      <c r="B13" s="6" t="s">
        <v>145</v>
      </c>
      <c r="C13" s="12" t="s">
        <v>3</v>
      </c>
      <c r="D13" s="12" t="s">
        <v>4</v>
      </c>
      <c r="E13" s="12" t="s">
        <v>5</v>
      </c>
      <c r="F13" s="12" t="s">
        <v>6</v>
      </c>
      <c r="G13" s="12" t="s">
        <v>7</v>
      </c>
      <c r="H13" s="12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  <c r="O13" s="12" t="s">
        <v>15</v>
      </c>
      <c r="P13" s="12" t="s">
        <v>16</v>
      </c>
      <c r="Q13" s="12" t="s">
        <v>17</v>
      </c>
      <c r="R13" s="12" t="s">
        <v>18</v>
      </c>
      <c r="S13" s="12" t="s">
        <v>19</v>
      </c>
      <c r="T13" s="12" t="s">
        <v>20</v>
      </c>
      <c r="U13" s="12" t="s">
        <v>21</v>
      </c>
      <c r="V13" s="12" t="s">
        <v>22</v>
      </c>
      <c r="W13" s="12" t="s">
        <v>23</v>
      </c>
      <c r="X13" s="12" t="s">
        <v>24</v>
      </c>
      <c r="Y13" s="12" t="s">
        <v>25</v>
      </c>
      <c r="Z13" s="12" t="s">
        <v>26</v>
      </c>
      <c r="AA13" s="12" t="s">
        <v>27</v>
      </c>
      <c r="AB13" s="12" t="s">
        <v>28</v>
      </c>
      <c r="AC13" s="12" t="s">
        <v>29</v>
      </c>
      <c r="AD13" s="12" t="s">
        <v>30</v>
      </c>
      <c r="AE13" s="12" t="s">
        <v>31</v>
      </c>
      <c r="AF13" s="12" t="s">
        <v>32</v>
      </c>
      <c r="AG13" s="12" t="s">
        <v>33</v>
      </c>
      <c r="AH13" s="12" t="s">
        <v>34</v>
      </c>
      <c r="AI13" s="12" t="s">
        <v>35</v>
      </c>
      <c r="AJ13" s="12" t="s">
        <v>36</v>
      </c>
      <c r="AK13" s="12" t="s">
        <v>37</v>
      </c>
      <c r="AL13" s="12" t="s">
        <v>38</v>
      </c>
      <c r="AM13" s="12" t="s">
        <v>39</v>
      </c>
      <c r="AN13" s="12" t="s">
        <v>40</v>
      </c>
      <c r="AO13" s="12" t="s">
        <v>41</v>
      </c>
      <c r="AP13" s="12" t="s">
        <v>42</v>
      </c>
      <c r="AQ13" s="12" t="s">
        <v>43</v>
      </c>
      <c r="AR13" s="12" t="s">
        <v>44</v>
      </c>
      <c r="AS13" s="12" t="s">
        <v>45</v>
      </c>
      <c r="AT13" s="12" t="s">
        <v>46</v>
      </c>
      <c r="AU13" s="12" t="s">
        <v>47</v>
      </c>
      <c r="AV13" s="12" t="s">
        <v>48</v>
      </c>
      <c r="AW13" s="12" t="s">
        <v>49</v>
      </c>
      <c r="AX13" s="12" t="s">
        <v>50</v>
      </c>
      <c r="AY13" s="12" t="s">
        <v>51</v>
      </c>
      <c r="AZ13" s="12" t="s">
        <v>52</v>
      </c>
      <c r="BA13" s="12" t="s">
        <v>53</v>
      </c>
      <c r="BB13" s="12" t="s">
        <v>54</v>
      </c>
      <c r="BC13" s="12" t="s">
        <v>55</v>
      </c>
      <c r="BD13" s="12" t="s">
        <v>56</v>
      </c>
      <c r="BE13" s="12" t="s">
        <v>57</v>
      </c>
      <c r="BF13" s="12" t="s">
        <v>58</v>
      </c>
      <c r="BG13" s="12" t="s">
        <v>59</v>
      </c>
      <c r="BH13" s="12" t="s">
        <v>60</v>
      </c>
      <c r="BI13" s="12" t="s">
        <v>61</v>
      </c>
      <c r="BJ13" s="12" t="s">
        <v>62</v>
      </c>
      <c r="BK13" s="12" t="s">
        <v>63</v>
      </c>
      <c r="BL13" s="12" t="s">
        <v>64</v>
      </c>
      <c r="BM13" s="12" t="s">
        <v>65</v>
      </c>
      <c r="BN13" s="12" t="s">
        <v>66</v>
      </c>
      <c r="BO13" s="12" t="s">
        <v>67</v>
      </c>
      <c r="BP13" s="12" t="s">
        <v>68</v>
      </c>
      <c r="BQ13" s="12" t="s">
        <v>69</v>
      </c>
      <c r="BR13" s="12" t="s">
        <v>70</v>
      </c>
      <c r="BS13" s="12" t="s">
        <v>71</v>
      </c>
      <c r="BT13" s="12" t="s">
        <v>72</v>
      </c>
      <c r="BU13" s="12" t="s">
        <v>73</v>
      </c>
      <c r="BV13" s="12" t="s">
        <v>74</v>
      </c>
      <c r="BW13" s="12" t="s">
        <v>75</v>
      </c>
      <c r="BX13" s="12" t="s">
        <v>76</v>
      </c>
      <c r="BY13" s="12" t="s">
        <v>77</v>
      </c>
      <c r="BZ13" s="12" t="s">
        <v>78</v>
      </c>
      <c r="CA13" s="12" t="s">
        <v>79</v>
      </c>
      <c r="CB13" s="12" t="s">
        <v>80</v>
      </c>
      <c r="CC13" s="12" t="s">
        <v>81</v>
      </c>
      <c r="CD13" s="12" t="s">
        <v>82</v>
      </c>
      <c r="CE13" s="12" t="s">
        <v>83</v>
      </c>
      <c r="CF13" s="12" t="s">
        <v>84</v>
      </c>
      <c r="CG13" s="12" t="s">
        <v>85</v>
      </c>
      <c r="CH13" s="12" t="s">
        <v>86</v>
      </c>
      <c r="CI13" s="12" t="s">
        <v>87</v>
      </c>
      <c r="CJ13" s="12" t="s">
        <v>88</v>
      </c>
      <c r="CK13" s="12" t="s">
        <v>89</v>
      </c>
      <c r="CL13" s="12" t="s">
        <v>90</v>
      </c>
      <c r="CM13" s="12" t="s">
        <v>91</v>
      </c>
      <c r="CN13" s="12" t="s">
        <v>92</v>
      </c>
      <c r="CO13" s="12" t="s">
        <v>93</v>
      </c>
      <c r="CP13" s="12" t="s">
        <v>94</v>
      </c>
      <c r="CQ13" s="12" t="s">
        <v>95</v>
      </c>
      <c r="CR13" s="12" t="s">
        <v>96</v>
      </c>
      <c r="CS13" s="12" t="s">
        <v>97</v>
      </c>
      <c r="CT13" s="12" t="s">
        <v>98</v>
      </c>
      <c r="CU13" s="12" t="s">
        <v>99</v>
      </c>
      <c r="CV13" s="12" t="s">
        <v>100</v>
      </c>
      <c r="CW13" s="12" t="s">
        <v>101</v>
      </c>
      <c r="CX13" s="12" t="s">
        <v>102</v>
      </c>
      <c r="CY13" s="12" t="s">
        <v>103</v>
      </c>
      <c r="CZ13" s="12" t="s">
        <v>104</v>
      </c>
      <c r="DA13" s="12" t="s">
        <v>105</v>
      </c>
      <c r="DB13" s="12" t="s">
        <v>106</v>
      </c>
      <c r="DC13" s="12" t="s">
        <v>107</v>
      </c>
      <c r="DD13" s="12" t="s">
        <v>108</v>
      </c>
      <c r="DE13" s="12" t="s">
        <v>109</v>
      </c>
      <c r="DF13" s="12" t="s">
        <v>110</v>
      </c>
      <c r="DG13" s="12" t="s">
        <v>111</v>
      </c>
      <c r="DH13" s="12" t="s">
        <v>112</v>
      </c>
      <c r="DI13" s="12" t="s">
        <v>113</v>
      </c>
      <c r="DJ13" s="12" t="s">
        <v>114</v>
      </c>
      <c r="DK13" s="12" t="s">
        <v>115</v>
      </c>
      <c r="DL13" s="12" t="s">
        <v>116</v>
      </c>
      <c r="DM13" s="12" t="s">
        <v>117</v>
      </c>
      <c r="DN13" s="12" t="s">
        <v>118</v>
      </c>
      <c r="DO13" s="12" t="s">
        <v>119</v>
      </c>
      <c r="DP13" s="12" t="s">
        <v>120</v>
      </c>
      <c r="DQ13" s="12" t="s">
        <v>121</v>
      </c>
      <c r="DR13" s="12" t="s">
        <v>122</v>
      </c>
      <c r="DS13" s="12" t="s">
        <v>123</v>
      </c>
      <c r="DT13" s="12" t="s">
        <v>124</v>
      </c>
      <c r="DU13" s="12" t="s">
        <v>125</v>
      </c>
      <c r="DV13" s="12" t="s">
        <v>126</v>
      </c>
      <c r="DW13" s="12" t="s">
        <v>127</v>
      </c>
      <c r="DX13" s="12" t="s">
        <v>128</v>
      </c>
      <c r="DY13" s="12" t="s">
        <v>129</v>
      </c>
      <c r="DZ13" s="12" t="s">
        <v>130</v>
      </c>
      <c r="EA13" s="12" t="s">
        <v>131</v>
      </c>
      <c r="EB13" s="12" t="s">
        <v>132</v>
      </c>
      <c r="EC13" s="12" t="s">
        <v>133</v>
      </c>
      <c r="ED13" s="12" t="s">
        <v>134</v>
      </c>
      <c r="EE13" s="12" t="s">
        <v>135</v>
      </c>
      <c r="EF13" s="12" t="s">
        <v>146</v>
      </c>
      <c r="EG13" s="24" t="s">
        <v>253</v>
      </c>
      <c r="EH13" s="24" t="s">
        <v>254</v>
      </c>
      <c r="EI13" s="24" t="s">
        <v>255</v>
      </c>
    </row>
    <row r="14" spans="1:139" ht="16" customHeight="1">
      <c r="A14" s="6">
        <v>10</v>
      </c>
      <c r="B14" s="6">
        <v>96</v>
      </c>
      <c r="C14" s="9">
        <v>0.29562126567416419</v>
      </c>
      <c r="D14" s="9">
        <v>0.29579885100539149</v>
      </c>
      <c r="E14" s="9">
        <v>0.31223014153841039</v>
      </c>
      <c r="F14" s="9">
        <v>0.31619111670211669</v>
      </c>
      <c r="G14" s="9">
        <v>0.28955697832580513</v>
      </c>
      <c r="H14" s="9">
        <v>0.30198331472189249</v>
      </c>
      <c r="I14" s="9">
        <v>0.28076303515655721</v>
      </c>
      <c r="J14" s="9">
        <v>0.30811006814460867</v>
      </c>
      <c r="K14" s="9">
        <v>0.25551552616851758</v>
      </c>
      <c r="L14" s="2">
        <v>0.28512252039788771</v>
      </c>
      <c r="M14" s="2">
        <v>0.29293717181782208</v>
      </c>
      <c r="N14" s="2">
        <v>0.26978649303185609</v>
      </c>
      <c r="O14" s="1">
        <v>3.3855418791750663E-2</v>
      </c>
      <c r="P14" s="1">
        <v>9.1878129517384399E-3</v>
      </c>
      <c r="Q14" s="1">
        <v>3.6922926300822809E-3</v>
      </c>
      <c r="R14" s="1">
        <v>1.8857347034287979E-2</v>
      </c>
      <c r="S14" s="1">
        <v>-1.040012663451635E-2</v>
      </c>
      <c r="T14" s="1">
        <v>3.9154164076757467E-2</v>
      </c>
      <c r="U14" s="1">
        <v>3.4050841147527169E-2</v>
      </c>
      <c r="V14" s="1">
        <v>1.2774886467818439E-2</v>
      </c>
      <c r="W14" s="1">
        <v>-1.5833486687175959E-2</v>
      </c>
      <c r="X14" s="1">
        <v>1.8526807157852581E-2</v>
      </c>
      <c r="Y14" s="1">
        <v>-8.1941143292860417E-3</v>
      </c>
      <c r="Z14" s="1">
        <v>1.6844198908981301E-2</v>
      </c>
      <c r="AA14" s="1">
        <v>-3.4925567372421473E-2</v>
      </c>
      <c r="AB14" s="1">
        <v>1.17333485361996E-2</v>
      </c>
      <c r="AC14" s="1">
        <v>2.4528133265550311E-3</v>
      </c>
      <c r="AD14" s="1">
        <v>1.4606485108490099E-2</v>
      </c>
      <c r="AE14" s="1">
        <v>-4.7310556712784127E-2</v>
      </c>
      <c r="AF14" s="1">
        <v>3.7226252878223447E-2</v>
      </c>
      <c r="AG14" s="1">
        <v>-1.064515172443913E-2</v>
      </c>
      <c r="AH14" s="1">
        <v>-8.3143259337820291E-4</v>
      </c>
      <c r="AI14" s="1">
        <v>-8.8335419556819089E-3</v>
      </c>
      <c r="AJ14" s="1">
        <v>1.479273649782563E-2</v>
      </c>
      <c r="AK14" s="1">
        <v>3.5002465361739519E-3</v>
      </c>
      <c r="AL14" s="1">
        <v>-2.8172463159467229E-2</v>
      </c>
      <c r="AM14" s="1">
        <v>1.018641964452751E-2</v>
      </c>
      <c r="AN14" s="1">
        <v>-2.8398857237578321E-2</v>
      </c>
      <c r="AO14" s="1">
        <v>-3.5094544761820848E-2</v>
      </c>
      <c r="AP14" s="1">
        <v>-1.15936589330963E-4</v>
      </c>
      <c r="AQ14" s="1">
        <v>6.8169446560434766E-3</v>
      </c>
      <c r="AR14" s="1">
        <v>-7.6047465327779579E-3</v>
      </c>
      <c r="AS14" s="1">
        <v>-1.069376780989191E-2</v>
      </c>
      <c r="AT14" s="1">
        <v>-2.5356079274272809E-2</v>
      </c>
      <c r="AU14" s="1">
        <v>8.7458125170646519E-3</v>
      </c>
      <c r="AV14" s="1">
        <v>-1.8328600546468139E-3</v>
      </c>
      <c r="AW14" s="1">
        <v>-7.4897105673170719E-5</v>
      </c>
      <c r="AX14" s="1">
        <v>3.742782383231961E-3</v>
      </c>
      <c r="AY14" s="1">
        <v>6.993134840550844E-3</v>
      </c>
      <c r="AZ14" s="1">
        <v>-4.3569513054074159E-3</v>
      </c>
      <c r="BA14" s="1">
        <v>-7.3738227916712992E-3</v>
      </c>
      <c r="BB14" s="1">
        <v>-3.3325844319589061E-3</v>
      </c>
      <c r="BC14" s="1">
        <v>4.9337918462196914E-3</v>
      </c>
      <c r="BD14" s="1">
        <v>-7.0471840551347541E-3</v>
      </c>
      <c r="BE14" s="1">
        <v>-1.9972053537301158E-2</v>
      </c>
      <c r="BF14" s="1">
        <v>6.2837621197568728E-3</v>
      </c>
      <c r="BG14" s="1">
        <v>3.5711131476770732E-3</v>
      </c>
      <c r="BH14" s="1">
        <v>8.3666685823320014E-2</v>
      </c>
      <c r="BI14" s="1">
        <v>-7.9114242592483397E-2</v>
      </c>
      <c r="BJ14" s="1">
        <v>-8.2203428269559311E-3</v>
      </c>
      <c r="BK14" s="1">
        <v>1.5983669927675141E-2</v>
      </c>
      <c r="BL14" s="1">
        <v>8.4824333021762885E-3</v>
      </c>
      <c r="BM14" s="1">
        <v>9.4280581478951089E-3</v>
      </c>
      <c r="BN14" s="1">
        <v>2.343029690658174E-2</v>
      </c>
      <c r="BO14" s="1">
        <v>-7.2456026073374974E-3</v>
      </c>
      <c r="BP14" s="1">
        <v>2.7158397393364061E-2</v>
      </c>
      <c r="BQ14" s="1">
        <v>2.8064502250062111E-2</v>
      </c>
      <c r="BR14" s="1">
        <v>-5.665237110585504E-2</v>
      </c>
      <c r="BS14" s="1">
        <v>1.412993845691982E-2</v>
      </c>
      <c r="BT14" s="1">
        <v>-4.1094473271221642E-2</v>
      </c>
      <c r="BU14" s="1">
        <v>1.366986524639085E-2</v>
      </c>
      <c r="BV14" s="1">
        <v>-5.8086606606577024E-3</v>
      </c>
      <c r="BW14" s="1">
        <v>-1.2734027770435089E-2</v>
      </c>
      <c r="BX14" s="1">
        <v>3.4835509010614357E-2</v>
      </c>
      <c r="BY14" s="1">
        <v>5.7107008263413139E-3</v>
      </c>
      <c r="BZ14" s="1">
        <v>-1.742834189341402E-2</v>
      </c>
      <c r="CA14" s="1">
        <v>1.137035978639149E-2</v>
      </c>
      <c r="CB14" s="1">
        <v>5.1536318324547636E-3</v>
      </c>
      <c r="CC14" s="1">
        <v>-1.9729776837632822E-2</v>
      </c>
      <c r="CD14" s="1">
        <v>-2.159766686694534E-2</v>
      </c>
      <c r="CE14" s="1">
        <v>-3.4906996835402208E-3</v>
      </c>
      <c r="CF14" s="1">
        <v>-3.7333151663668233E-2</v>
      </c>
      <c r="CG14" s="1">
        <v>3.4151713503249012E-2</v>
      </c>
      <c r="CH14" s="1">
        <v>7.8461010957668886E-3</v>
      </c>
      <c r="CI14" s="1">
        <v>1.108220027252799E-2</v>
      </c>
      <c r="CJ14" s="1">
        <v>-5.1528174978523467E-3</v>
      </c>
      <c r="CK14" s="1">
        <v>-1.5642305800686811E-2</v>
      </c>
      <c r="CL14" s="1">
        <v>-8.1055990966943894E-2</v>
      </c>
      <c r="CM14" s="1">
        <v>-8.2143852864003802E-3</v>
      </c>
      <c r="CN14" s="1">
        <v>5.896874495682778E-2</v>
      </c>
      <c r="CO14" s="1">
        <v>-9.5717325147375541E-5</v>
      </c>
      <c r="CP14" s="1">
        <v>4.1822399704308788E-2</v>
      </c>
      <c r="CQ14" s="1">
        <v>-4.0079893001661551E-2</v>
      </c>
      <c r="CR14" s="1">
        <v>-2.2438533210851808E-2</v>
      </c>
      <c r="CS14" s="1">
        <v>1.517859272576904E-2</v>
      </c>
      <c r="CT14" s="1">
        <v>1.0719655975037551E-2</v>
      </c>
      <c r="CU14" s="1">
        <v>-1.0026979743183459E-2</v>
      </c>
      <c r="CV14" s="1">
        <v>-1.083032785852963E-2</v>
      </c>
      <c r="CW14" s="1">
        <v>2.177898687007955E-2</v>
      </c>
      <c r="CX14" s="1">
        <v>1.3771877510467609E-2</v>
      </c>
      <c r="CY14" s="1">
        <v>1.9081474635504591E-3</v>
      </c>
      <c r="CZ14" s="1">
        <v>4.9818834791939617E-2</v>
      </c>
      <c r="DA14" s="1">
        <v>-2.9251034211096728E-3</v>
      </c>
      <c r="DB14" s="1">
        <v>1.054430610586882E-2</v>
      </c>
      <c r="DC14" s="1">
        <v>3.5590312932903823E-2</v>
      </c>
      <c r="DD14" s="1">
        <v>1.4532099104673509E-5</v>
      </c>
      <c r="DE14" s="1">
        <v>-4.3065205048909108E-2</v>
      </c>
      <c r="DF14" s="1">
        <v>-5.5114635117131071E-3</v>
      </c>
      <c r="DG14" s="1">
        <v>-3.2901992624261397E-2</v>
      </c>
      <c r="DH14" s="1">
        <v>-4.7876524302552376E-3</v>
      </c>
      <c r="DI14" s="1">
        <v>-1.7767439947222009E-2</v>
      </c>
      <c r="DJ14" s="1">
        <v>1.9733787289984241E-2</v>
      </c>
      <c r="DK14" s="1">
        <v>-1.9272708990648771E-2</v>
      </c>
      <c r="DL14" s="1">
        <v>-2.682037528981487E-2</v>
      </c>
      <c r="DM14" s="1">
        <v>-1.7381543425913901E-2</v>
      </c>
      <c r="DN14" s="1">
        <v>-1.7102502411024751E-2</v>
      </c>
      <c r="DO14" s="1">
        <v>-2.0508085057774642E-2</v>
      </c>
      <c r="DP14" s="1">
        <v>-6.5093146763584714E-4</v>
      </c>
      <c r="DQ14" s="1">
        <v>-5.7251368177514417E-3</v>
      </c>
      <c r="DR14" s="1">
        <v>1.411549303450732E-2</v>
      </c>
      <c r="DS14" s="1">
        <v>-3.0979457546171981E-3</v>
      </c>
      <c r="DT14" s="1">
        <v>-5.0880894652016798E-3</v>
      </c>
      <c r="DU14" s="1">
        <v>6.1003211234162032E-3</v>
      </c>
      <c r="DV14" s="1">
        <v>-7.6564706063901693E-3</v>
      </c>
      <c r="DW14" s="1">
        <v>-8.3006673473619286E-4</v>
      </c>
      <c r="DX14" s="1">
        <v>5.8533416525571903E-3</v>
      </c>
      <c r="DY14" s="1">
        <v>-1.888366131825598E-2</v>
      </c>
      <c r="DZ14" s="1">
        <v>-3.024138646255406E-2</v>
      </c>
      <c r="EA14" s="1">
        <v>1.025694075299112E-2</v>
      </c>
      <c r="EB14" s="1">
        <v>1.2496730365865129E-2</v>
      </c>
      <c r="EC14" s="1">
        <v>1.4865569613453191E-3</v>
      </c>
      <c r="ED14" s="1">
        <v>1.8010473122938801E-2</v>
      </c>
      <c r="EE14" s="1">
        <v>-1.2909397145814091E-3</v>
      </c>
      <c r="EF14" s="1">
        <v>1.4839088495777541E-2</v>
      </c>
      <c r="EG14" s="46">
        <f t="shared" ref="EG14:EG27" si="0">AVERAGE(C14:EF14)</f>
        <v>2.5533010059544375E-2</v>
      </c>
      <c r="EH14" s="49">
        <f t="shared" ref="EH14:EH27" si="1">STDEV(C14:EF14)</f>
        <v>8.7098033412566223E-2</v>
      </c>
      <c r="EI14" s="46">
        <f t="shared" ref="EI14:EI27" si="2">EG14/EH14</f>
        <v>0.29315254385365441</v>
      </c>
    </row>
    <row r="15" spans="1:139" ht="16" customHeight="1">
      <c r="A15" s="6">
        <v>20</v>
      </c>
      <c r="B15" s="6">
        <v>48</v>
      </c>
      <c r="C15" s="9">
        <v>0.39331188340051321</v>
      </c>
      <c r="D15" s="9">
        <v>0.3963549048018728</v>
      </c>
      <c r="E15" s="9">
        <v>0.40431638297990241</v>
      </c>
      <c r="F15" s="9">
        <v>0.45011883649575418</v>
      </c>
      <c r="G15" s="9">
        <v>0.39396994977187122</v>
      </c>
      <c r="H15" s="9">
        <v>0.39233841979811901</v>
      </c>
      <c r="I15" s="9">
        <v>0.37675730193895912</v>
      </c>
      <c r="J15" s="9">
        <v>0.42101089127482411</v>
      </c>
      <c r="K15" s="9">
        <v>0.35518562088304639</v>
      </c>
      <c r="L15" s="2">
        <v>0.38009039575467962</v>
      </c>
      <c r="M15" s="2">
        <v>0.41971579229702272</v>
      </c>
      <c r="N15" s="2">
        <v>0.37367531200613191</v>
      </c>
      <c r="O15" s="1">
        <v>3.5515572688001353E-2</v>
      </c>
      <c r="P15" s="1">
        <v>1.0628823186041461E-2</v>
      </c>
      <c r="Q15" s="1">
        <v>1.6712991580636431E-2</v>
      </c>
      <c r="R15" s="1">
        <v>2.8785563609957401E-2</v>
      </c>
      <c r="S15" s="1">
        <v>-3.0482854310515589E-2</v>
      </c>
      <c r="T15" s="1">
        <v>5.345274044531332E-2</v>
      </c>
      <c r="U15" s="1">
        <v>2.2228388252251739E-2</v>
      </c>
      <c r="V15" s="1">
        <v>2.2568189117302209E-2</v>
      </c>
      <c r="W15" s="1">
        <v>-1.4286003222536901E-2</v>
      </c>
      <c r="X15" s="1">
        <v>1.5769134034747698E-2</v>
      </c>
      <c r="Y15" s="1">
        <v>-1.811647686406757E-3</v>
      </c>
      <c r="Z15" s="1">
        <v>3.566065919612614E-2</v>
      </c>
      <c r="AA15" s="1">
        <v>-5.2138645797871391E-2</v>
      </c>
      <c r="AB15" s="1">
        <v>-3.257614873245863E-3</v>
      </c>
      <c r="AC15" s="1">
        <v>-4.4018581664118407E-3</v>
      </c>
      <c r="AD15" s="1">
        <v>2.3871032693214E-2</v>
      </c>
      <c r="AE15" s="1">
        <v>-4.5846849114984892E-2</v>
      </c>
      <c r="AF15" s="1">
        <v>6.5917249319285637E-2</v>
      </c>
      <c r="AG15" s="1">
        <v>-8.7411736480492511E-3</v>
      </c>
      <c r="AH15" s="1">
        <v>1.9819458987627669E-2</v>
      </c>
      <c r="AI15" s="1">
        <v>-2.4804935074702491E-2</v>
      </c>
      <c r="AJ15" s="1">
        <v>1.4472795193094671E-2</v>
      </c>
      <c r="AK15" s="1">
        <v>-1.4342490963201679E-2</v>
      </c>
      <c r="AL15" s="1">
        <v>-2.347124699542253E-2</v>
      </c>
      <c r="AM15" s="1">
        <v>3.4264019301277288E-2</v>
      </c>
      <c r="AN15" s="1">
        <v>-1.8339291506585451E-2</v>
      </c>
      <c r="AO15" s="1">
        <v>-1.1837744556976599E-2</v>
      </c>
      <c r="AP15" s="1">
        <v>-4.3498668416595623E-3</v>
      </c>
      <c r="AQ15" s="1">
        <v>1.923649865273783E-2</v>
      </c>
      <c r="AR15" s="1">
        <v>3.6919016744657129E-3</v>
      </c>
      <c r="AS15" s="1">
        <v>-3.213816021432904E-2</v>
      </c>
      <c r="AT15" s="1">
        <v>-1.872757856123735E-2</v>
      </c>
      <c r="AU15" s="1">
        <v>2.2220706226641782E-2</v>
      </c>
      <c r="AV15" s="1">
        <v>6.6898372134676304E-3</v>
      </c>
      <c r="AW15" s="1">
        <v>-2.0913992373593E-2</v>
      </c>
      <c r="AX15" s="1">
        <v>1.190446094667692E-3</v>
      </c>
      <c r="AY15" s="1">
        <v>3.4040480754026971E-2</v>
      </c>
      <c r="AZ15" s="1">
        <v>-2.2274402908146789E-2</v>
      </c>
      <c r="BA15" s="1">
        <v>-8.6804536046086039E-3</v>
      </c>
      <c r="BB15" s="1">
        <v>-3.7682455252222469E-2</v>
      </c>
      <c r="BC15" s="1">
        <v>-1.6860244445631169E-3</v>
      </c>
      <c r="BD15" s="1">
        <v>6.3971763956204419E-3</v>
      </c>
      <c r="BE15" s="1">
        <v>-1.466655506590162E-2</v>
      </c>
      <c r="BF15" s="1">
        <v>-7.5911485193243707E-3</v>
      </c>
      <c r="BG15" s="1">
        <v>8.3886450188661033E-3</v>
      </c>
      <c r="BH15" s="1">
        <v>8.6679819059937574E-2</v>
      </c>
      <c r="BI15" s="1">
        <v>-9.345203058933621E-2</v>
      </c>
      <c r="BJ15" s="1">
        <v>-3.4383242875882639E-2</v>
      </c>
      <c r="BK15" s="1">
        <v>2.0952220727164329E-2</v>
      </c>
      <c r="BL15" s="1">
        <v>1.7498420403541048E-2</v>
      </c>
      <c r="BM15" s="1">
        <v>2.005970225371002E-2</v>
      </c>
      <c r="BN15" s="1">
        <v>1.861899466772321E-2</v>
      </c>
      <c r="BO15" s="1">
        <v>-5.6604549641429899E-3</v>
      </c>
      <c r="BP15" s="1">
        <v>4.1028759280831592E-2</v>
      </c>
      <c r="BQ15" s="1">
        <v>1.170817100428133E-2</v>
      </c>
      <c r="BR15" s="1">
        <v>-7.4094909314992713E-2</v>
      </c>
      <c r="BS15" s="1">
        <v>2.5179208829190919E-3</v>
      </c>
      <c r="BT15" s="1">
        <v>-1.771526984597813E-2</v>
      </c>
      <c r="BU15" s="1">
        <v>1.5907116655588121E-2</v>
      </c>
      <c r="BV15" s="1">
        <v>4.4142404635235083E-2</v>
      </c>
      <c r="BW15" s="1">
        <v>-2.4125627458035231E-2</v>
      </c>
      <c r="BX15" s="1">
        <v>2.3708027022364981E-2</v>
      </c>
      <c r="BY15" s="1">
        <v>2.9153996315701421E-2</v>
      </c>
      <c r="BZ15" s="1">
        <v>-2.0891445307354931E-2</v>
      </c>
      <c r="CA15" s="1">
        <v>2.849374653256943E-2</v>
      </c>
      <c r="CB15" s="1">
        <v>2.5005095439726909E-2</v>
      </c>
      <c r="CC15" s="1">
        <v>-2.9212612425657491E-2</v>
      </c>
      <c r="CD15" s="1">
        <v>-2.8901627663733481E-2</v>
      </c>
      <c r="CE15" s="1">
        <v>1.8406166849411109E-2</v>
      </c>
      <c r="CF15" s="1">
        <v>4.7397014699086621E-3</v>
      </c>
      <c r="CG15" s="1">
        <v>4.1020336500169681E-2</v>
      </c>
      <c r="CH15" s="1">
        <v>1.7138792147990588E-2</v>
      </c>
      <c r="CI15" s="1">
        <v>7.4066340479959081E-3</v>
      </c>
      <c r="CJ15" s="1">
        <v>1.3212390427781801E-2</v>
      </c>
      <c r="CK15" s="1">
        <v>1.344476717798442E-2</v>
      </c>
      <c r="CL15" s="1">
        <v>-0.10334166350068789</v>
      </c>
      <c r="CM15" s="1">
        <v>-3.220820755127804E-2</v>
      </c>
      <c r="CN15" s="1">
        <v>0.102920459805231</v>
      </c>
      <c r="CO15" s="1">
        <v>-1.137008617421266E-2</v>
      </c>
      <c r="CP15" s="1">
        <v>4.9128215619886437E-2</v>
      </c>
      <c r="CQ15" s="1">
        <v>-6.3542659758121067E-2</v>
      </c>
      <c r="CR15" s="1">
        <v>-5.3263569703688042E-2</v>
      </c>
      <c r="CS15" s="1">
        <v>-2.1820504391331121E-2</v>
      </c>
      <c r="CT15" s="1">
        <v>1.1875474018146511E-2</v>
      </c>
      <c r="CU15" s="1">
        <v>-1.197408557243192E-2</v>
      </c>
      <c r="CV15" s="1">
        <v>-3.097481020255001E-2</v>
      </c>
      <c r="CW15" s="1">
        <v>2.077504991259126E-2</v>
      </c>
      <c r="CX15" s="1">
        <v>3.4736557958133518E-3</v>
      </c>
      <c r="CY15" s="1">
        <v>-1.8205108724192159E-2</v>
      </c>
      <c r="CZ15" s="1">
        <v>4.9122760644415051E-2</v>
      </c>
      <c r="DA15" s="1">
        <v>1.466473112385284E-2</v>
      </c>
      <c r="DB15" s="1">
        <v>2.9569402566793069E-2</v>
      </c>
      <c r="DC15" s="1">
        <v>3.54549607469265E-3</v>
      </c>
      <c r="DD15" s="1">
        <v>7.3567451119181879E-3</v>
      </c>
      <c r="DE15" s="1">
        <v>-2.66880682737583E-2</v>
      </c>
      <c r="DF15" s="1">
        <v>-2.916881557769202E-2</v>
      </c>
      <c r="DG15" s="1">
        <v>-6.6597429421235477E-2</v>
      </c>
      <c r="DH15" s="1">
        <v>-1.6940774684064561E-2</v>
      </c>
      <c r="DI15" s="1">
        <v>3.9659983808450358E-2</v>
      </c>
      <c r="DJ15" s="1">
        <v>3.8611333961126967E-2</v>
      </c>
      <c r="DK15" s="1">
        <v>-3.0272380614164179E-2</v>
      </c>
      <c r="DL15" s="1">
        <v>-4.3054104477143702E-2</v>
      </c>
      <c r="DM15" s="1">
        <v>-2.9771113872649271E-2</v>
      </c>
      <c r="DN15" s="1">
        <v>-1.5267607786247639E-3</v>
      </c>
      <c r="DO15" s="1">
        <v>-2.5795462620399931E-2</v>
      </c>
      <c r="DP15" s="1">
        <v>-7.637498131220926E-3</v>
      </c>
      <c r="DQ15" s="1">
        <v>4.5938003949265449E-4</v>
      </c>
      <c r="DR15" s="1">
        <v>-2.4676629550223622E-3</v>
      </c>
      <c r="DS15" s="1">
        <v>1.920743374857389E-2</v>
      </c>
      <c r="DT15" s="1">
        <v>5.6904498570215373E-3</v>
      </c>
      <c r="DU15" s="1">
        <v>-7.8709430558903913E-3</v>
      </c>
      <c r="DV15" s="1">
        <v>-6.2293475087022206E-3</v>
      </c>
      <c r="DW15" s="1">
        <v>4.2471667111693076E-3</v>
      </c>
      <c r="DX15" s="1">
        <v>-3.6317915869663771E-3</v>
      </c>
      <c r="DY15" s="1">
        <v>-3.333543354123579E-2</v>
      </c>
      <c r="DZ15" s="1">
        <v>-2.946719053253305E-2</v>
      </c>
      <c r="EA15" s="1">
        <v>1.8653143589174841E-2</v>
      </c>
      <c r="EB15" s="1">
        <v>5.3733036463849172E-3</v>
      </c>
      <c r="EC15" s="1">
        <v>-1.2039812996478119E-2</v>
      </c>
      <c r="ED15" s="1">
        <v>1.9665625812319461E-2</v>
      </c>
      <c r="EE15" s="1">
        <v>4.6482073481646409E-3</v>
      </c>
      <c r="EF15" s="1">
        <v>-4.2282991489264732E-4</v>
      </c>
      <c r="EG15" s="46">
        <f t="shared" si="0"/>
        <v>3.5353215473634618E-2</v>
      </c>
      <c r="EH15" s="25">
        <f t="shared" si="1"/>
        <v>0.11781146264417115</v>
      </c>
      <c r="EI15" s="46">
        <f t="shared" si="2"/>
        <v>0.30008298581618326</v>
      </c>
    </row>
    <row r="16" spans="1:139" ht="16" customHeight="1">
      <c r="A16" s="6">
        <v>50</v>
      </c>
      <c r="B16" s="6">
        <v>19</v>
      </c>
      <c r="C16" s="9">
        <v>0.56869310141554197</v>
      </c>
      <c r="D16" s="9">
        <v>0.58304726559957054</v>
      </c>
      <c r="E16" s="9">
        <v>0.50875996281776192</v>
      </c>
      <c r="F16" s="9">
        <v>0.70120670236600913</v>
      </c>
      <c r="G16" s="9">
        <v>0.56764501683943247</v>
      </c>
      <c r="H16" s="9">
        <v>0.51353529444388213</v>
      </c>
      <c r="I16" s="9">
        <v>0.5245977755889788</v>
      </c>
      <c r="J16" s="9">
        <v>0.57452631441937141</v>
      </c>
      <c r="K16" s="9">
        <v>0.53353306237088816</v>
      </c>
      <c r="L16" s="2">
        <v>0.52383983897521069</v>
      </c>
      <c r="M16" s="2">
        <v>0.6622188991636937</v>
      </c>
      <c r="N16" s="2">
        <v>0.52968662864188309</v>
      </c>
      <c r="O16" s="1">
        <v>6.8478183633146478E-2</v>
      </c>
      <c r="P16" s="1">
        <v>1.9746294016462461E-2</v>
      </c>
      <c r="Q16" s="1">
        <v>2.4762035554665409E-2</v>
      </c>
      <c r="R16" s="1">
        <v>-2.913134481539369E-2</v>
      </c>
      <c r="S16" s="1">
        <v>-8.5167849622706515E-2</v>
      </c>
      <c r="T16" s="1">
        <v>1.3326201769336771E-2</v>
      </c>
      <c r="U16" s="1">
        <v>2.7444889365141011E-2</v>
      </c>
      <c r="V16" s="1">
        <v>-2.1051857976416941E-2</v>
      </c>
      <c r="W16" s="1">
        <v>-1.4010518479609459E-2</v>
      </c>
      <c r="X16" s="1">
        <v>-6.8261669617103102E-3</v>
      </c>
      <c r="Y16" s="1">
        <v>-1.755345967457167E-2</v>
      </c>
      <c r="Z16" s="1">
        <v>7.7504966883125359E-2</v>
      </c>
      <c r="AA16" s="1">
        <v>-9.3205989830968047E-2</v>
      </c>
      <c r="AB16" s="1">
        <v>-3.1541048753603987E-2</v>
      </c>
      <c r="AC16" s="1">
        <v>1.392259313954E-2</v>
      </c>
      <c r="AD16" s="1">
        <v>1.921808950219183E-2</v>
      </c>
      <c r="AE16" s="1">
        <v>-4.5766444998072628E-2</v>
      </c>
      <c r="AF16" s="1">
        <v>0.1073539344362034</v>
      </c>
      <c r="AG16" s="1">
        <v>-4.1558718652790899E-3</v>
      </c>
      <c r="AH16" s="1">
        <v>-9.4518944292012672E-4</v>
      </c>
      <c r="AI16" s="1">
        <v>-6.5873919714662388E-2</v>
      </c>
      <c r="AJ16" s="1">
        <v>1.476962129401853E-2</v>
      </c>
      <c r="AK16" s="1">
        <v>-4.8440553822693397E-2</v>
      </c>
      <c r="AL16" s="1">
        <v>-2.2912713567385411E-2</v>
      </c>
      <c r="AM16" s="1">
        <v>4.7350531531223143E-2</v>
      </c>
      <c r="AN16" s="1">
        <v>-2.6452158307043519E-3</v>
      </c>
      <c r="AO16" s="1">
        <v>-3.5452962297107038E-2</v>
      </c>
      <c r="AP16" s="1">
        <v>-3.1143255925806981E-2</v>
      </c>
      <c r="AQ16" s="1">
        <v>6.7558757526809621E-2</v>
      </c>
      <c r="AR16" s="1">
        <v>3.8925730670050993E-2</v>
      </c>
      <c r="AS16" s="1">
        <v>-4.9735400953474042E-2</v>
      </c>
      <c r="AT16" s="1">
        <v>-3.4809150827820011E-3</v>
      </c>
      <c r="AU16" s="1">
        <v>5.9085209014503148E-2</v>
      </c>
      <c r="AV16" s="1">
        <v>1.018536837141165E-2</v>
      </c>
      <c r="AW16" s="1">
        <v>-3.2178126135848917E-2</v>
      </c>
      <c r="AX16" s="1">
        <v>4.8824771707919531E-2</v>
      </c>
      <c r="AY16" s="1">
        <v>1.8790188043938481E-2</v>
      </c>
      <c r="AZ16" s="1">
        <v>-2.595860128263271E-2</v>
      </c>
      <c r="BA16" s="1">
        <v>1.357552558211636E-2</v>
      </c>
      <c r="BB16" s="1">
        <v>-3.7817077703011973E-2</v>
      </c>
      <c r="BC16" s="1">
        <v>-5.7375223388619723E-2</v>
      </c>
      <c r="BD16" s="1">
        <v>-2.22588555883859E-2</v>
      </c>
      <c r="BE16" s="1">
        <v>-5.623066967769149E-3</v>
      </c>
      <c r="BF16" s="1">
        <v>-5.5154292152453082E-3</v>
      </c>
      <c r="BG16" s="1">
        <v>-1.1254462857888749E-2</v>
      </c>
      <c r="BH16" s="1">
        <v>9.3489898924356774E-2</v>
      </c>
      <c r="BI16" s="1">
        <v>-3.4212863501218528E-2</v>
      </c>
      <c r="BJ16" s="1">
        <v>1.136274971338023E-2</v>
      </c>
      <c r="BK16" s="1">
        <v>3.4738169413159707E-2</v>
      </c>
      <c r="BL16" s="1">
        <v>3.9064743520554959E-2</v>
      </c>
      <c r="BM16" s="1">
        <v>5.0251895665112067E-2</v>
      </c>
      <c r="BN16" s="1">
        <v>2.2130916731673899E-2</v>
      </c>
      <c r="BO16" s="1">
        <v>-2.7425149304994879E-2</v>
      </c>
      <c r="BP16" s="1">
        <v>9.8417958625143145E-2</v>
      </c>
      <c r="BQ16" s="1">
        <v>1.35784240758359E-2</v>
      </c>
      <c r="BR16" s="1">
        <v>-0.1125495449912412</v>
      </c>
      <c r="BS16" s="1">
        <v>1.0903994225047241E-3</v>
      </c>
      <c r="BT16" s="1">
        <v>6.1330950906941177E-2</v>
      </c>
      <c r="BU16" s="1">
        <v>3.367387995984667E-3</v>
      </c>
      <c r="BV16" s="1">
        <v>7.2334373818897249E-2</v>
      </c>
      <c r="BW16" s="1">
        <v>-5.0477489799949177E-2</v>
      </c>
      <c r="BX16" s="1">
        <v>-2.5419882280622269E-3</v>
      </c>
      <c r="BY16" s="1">
        <v>-7.6570665620048217E-3</v>
      </c>
      <c r="BZ16" s="1">
        <v>6.8159628619532953E-3</v>
      </c>
      <c r="CA16" s="1">
        <v>2.1662671771067871E-2</v>
      </c>
      <c r="CB16" s="1">
        <v>3.9452832614303102E-2</v>
      </c>
      <c r="CC16" s="1">
        <v>9.0658816373011854E-3</v>
      </c>
      <c r="CD16" s="1">
        <v>3.1381777566745331E-2</v>
      </c>
      <c r="CE16" s="1">
        <v>4.0838225872146403E-2</v>
      </c>
      <c r="CF16" s="1">
        <v>2.9202457751775501E-2</v>
      </c>
      <c r="CG16" s="1">
        <v>7.3593442952146759E-4</v>
      </c>
      <c r="CH16" s="1">
        <v>-2.7508871102731279E-3</v>
      </c>
      <c r="CI16" s="1">
        <v>3.9620771094372023E-2</v>
      </c>
      <c r="CJ16" s="1">
        <v>2.5473178963837429E-2</v>
      </c>
      <c r="CK16" s="1">
        <v>-4.3052651038189352E-3</v>
      </c>
      <c r="CL16" s="1">
        <v>-9.4229655913714863E-2</v>
      </c>
      <c r="CM16" s="1">
        <v>-4.5719846882001973E-2</v>
      </c>
      <c r="CN16" s="1">
        <v>8.4019794702226452E-2</v>
      </c>
      <c r="CO16" s="1">
        <v>-9.0796998686172234E-3</v>
      </c>
      <c r="CP16" s="1">
        <v>7.0055970715996937E-2</v>
      </c>
      <c r="CQ16" s="1">
        <v>-8.1929759118905071E-2</v>
      </c>
      <c r="CR16" s="1">
        <v>-0.13305768602550919</v>
      </c>
      <c r="CS16" s="1">
        <v>-4.8241792748547493E-2</v>
      </c>
      <c r="CT16" s="1">
        <v>2.9899336873886479E-2</v>
      </c>
      <c r="CU16" s="1">
        <v>-0.10598423784466759</v>
      </c>
      <c r="CV16" s="1">
        <v>-1.9031688092685749E-2</v>
      </c>
      <c r="CW16" s="1">
        <v>3.9286002337075257E-2</v>
      </c>
      <c r="CX16" s="1">
        <v>4.4870516713482619E-2</v>
      </c>
      <c r="CY16" s="1">
        <v>-2.6444540528325591E-2</v>
      </c>
      <c r="CZ16" s="1">
        <v>3.3443031190102779E-2</v>
      </c>
      <c r="DA16" s="1">
        <v>4.4457055543282969E-2</v>
      </c>
      <c r="DB16" s="1">
        <v>0.13347239862848659</v>
      </c>
      <c r="DC16" s="1">
        <v>-0.1062085832220812</v>
      </c>
      <c r="DD16" s="1">
        <v>-2.456259338685068E-3</v>
      </c>
      <c r="DE16" s="1">
        <v>1.5867709549898121E-2</v>
      </c>
      <c r="DF16" s="1">
        <v>-4.5963064827519662E-2</v>
      </c>
      <c r="DG16" s="1">
        <v>-6.6648697460377687E-2</v>
      </c>
      <c r="DH16" s="1">
        <v>1.0066447730045359E-3</v>
      </c>
      <c r="DI16" s="1">
        <v>1.763750770643659E-2</v>
      </c>
      <c r="DJ16" s="1">
        <v>0.1114786052367822</v>
      </c>
      <c r="DK16" s="1">
        <v>-5.8643336659239653E-2</v>
      </c>
      <c r="DL16" s="1">
        <v>-5.4308872318611673E-2</v>
      </c>
      <c r="DM16" s="1">
        <v>-0.10576985910180579</v>
      </c>
      <c r="DN16" s="1">
        <v>1.694518533433036E-2</v>
      </c>
      <c r="DO16" s="1">
        <v>-5.2795643405479931E-2</v>
      </c>
      <c r="DP16" s="1">
        <v>-6.6744723523777597E-3</v>
      </c>
      <c r="DQ16" s="1">
        <v>-2.2091004222216309E-2</v>
      </c>
      <c r="DR16" s="1">
        <v>1.0223609181176161E-2</v>
      </c>
      <c r="DS16" s="1">
        <v>3.9002690602721782E-2</v>
      </c>
      <c r="DT16" s="1">
        <v>2.6047706112469239E-2</v>
      </c>
      <c r="DU16" s="1">
        <v>8.5794604913784142E-3</v>
      </c>
      <c r="DV16" s="1">
        <v>-3.1960902607568918E-2</v>
      </c>
      <c r="DW16" s="1">
        <v>2.016054025819267E-2</v>
      </c>
      <c r="DX16" s="1">
        <v>-5.5939831400016508E-2</v>
      </c>
      <c r="DY16" s="1">
        <v>-4.4764041712618337E-2</v>
      </c>
      <c r="DZ16" s="1">
        <v>-2.37305004540494E-2</v>
      </c>
      <c r="EA16" s="1">
        <v>2.984470876581603E-2</v>
      </c>
      <c r="EB16" s="1">
        <v>-2.2120640100221859E-2</v>
      </c>
      <c r="EC16" s="1">
        <v>-8.89923718591344E-3</v>
      </c>
      <c r="ED16" s="1">
        <v>6.9462438106964348E-3</v>
      </c>
      <c r="EE16" s="1">
        <v>-1.6784725186741099E-2</v>
      </c>
      <c r="EF16" s="1">
        <v>1.9105206677173789E-2</v>
      </c>
      <c r="EG16" s="46">
        <f t="shared" si="0"/>
        <v>4.9936193189028984E-2</v>
      </c>
      <c r="EH16" s="25">
        <f t="shared" si="1"/>
        <v>0.16988564775340342</v>
      </c>
      <c r="EI16" s="46">
        <f t="shared" si="2"/>
        <v>0.29394003466092433</v>
      </c>
    </row>
    <row r="17" spans="1:139" ht="16" customHeight="1">
      <c r="A17" s="6">
        <v>100</v>
      </c>
      <c r="B17" s="6">
        <v>10</v>
      </c>
      <c r="C17" s="9">
        <v>0.70578592605259094</v>
      </c>
      <c r="D17" s="9">
        <v>0.71806043037990963</v>
      </c>
      <c r="E17" s="9">
        <v>0.58979493676483086</v>
      </c>
      <c r="F17" s="9">
        <v>0.91756881901635134</v>
      </c>
      <c r="G17" s="9">
        <v>0.68479394309074582</v>
      </c>
      <c r="H17" s="9">
        <v>0.59162455108130108</v>
      </c>
      <c r="I17" s="9">
        <v>0.56334840162668065</v>
      </c>
      <c r="J17" s="9">
        <v>0.70177216235768869</v>
      </c>
      <c r="K17" s="9">
        <v>0.69443187368259696</v>
      </c>
      <c r="L17" s="2">
        <v>0.6415196446778586</v>
      </c>
      <c r="M17" s="2">
        <v>0.90573452276649613</v>
      </c>
      <c r="N17" s="2">
        <v>0.69053013088069704</v>
      </c>
      <c r="O17" s="1">
        <v>0.1095447482541661</v>
      </c>
      <c r="P17" s="1">
        <v>1.446812493185964E-2</v>
      </c>
      <c r="Q17" s="1">
        <v>-6.9735273408869522E-2</v>
      </c>
      <c r="R17" s="1">
        <v>-4.0956073740794373E-2</v>
      </c>
      <c r="S17" s="1">
        <v>-7.3286062363844676E-2</v>
      </c>
      <c r="T17" s="1">
        <v>-4.058076829274461E-2</v>
      </c>
      <c r="U17" s="1">
        <v>4.7155576633319568E-2</v>
      </c>
      <c r="V17" s="1">
        <v>-8.8747123480015233E-4</v>
      </c>
      <c r="W17" s="1">
        <v>-3.3198217043781987E-2</v>
      </c>
      <c r="X17" s="1">
        <v>2.1082175827026661E-2</v>
      </c>
      <c r="Y17" s="1">
        <v>-1.268186682621499E-2</v>
      </c>
      <c r="Z17" s="1">
        <v>7.29420115735957E-2</v>
      </c>
      <c r="AA17" s="1">
        <v>-0.16338791902190999</v>
      </c>
      <c r="AB17" s="1">
        <v>-2.5216571746621921E-2</v>
      </c>
      <c r="AC17" s="1">
        <v>2.409872966561322E-2</v>
      </c>
      <c r="AD17" s="1">
        <v>3.7805405101439732E-2</v>
      </c>
      <c r="AE17" s="1">
        <v>-3.1114692939010171E-2</v>
      </c>
      <c r="AF17" s="1">
        <v>0.1732973876659247</v>
      </c>
      <c r="AG17" s="1">
        <v>-1.8162447131305891E-2</v>
      </c>
      <c r="AH17" s="1">
        <v>-1.9528413343907411E-2</v>
      </c>
      <c r="AI17" s="1">
        <v>-4.7927622059323077E-2</v>
      </c>
      <c r="AJ17" s="1">
        <v>-3.000063838312771E-2</v>
      </c>
      <c r="AK17" s="1">
        <v>-8.5653643911977023E-2</v>
      </c>
      <c r="AL17" s="1">
        <v>-6.1223064855905632E-2</v>
      </c>
      <c r="AM17" s="1">
        <v>0.15861072337595419</v>
      </c>
      <c r="AN17" s="1">
        <v>2.7677887443445098E-2</v>
      </c>
      <c r="AO17" s="1">
        <v>-2.0839102522327391E-2</v>
      </c>
      <c r="AP17" s="1">
        <v>-7.7175383964362326E-2</v>
      </c>
      <c r="AQ17" s="1">
        <v>0.1166832653874663</v>
      </c>
      <c r="AR17" s="1">
        <v>2.975337353150256E-2</v>
      </c>
      <c r="AS17" s="1">
        <v>-4.7506168326310959E-2</v>
      </c>
      <c r="AT17" s="1">
        <v>-1.1928870415733929E-2</v>
      </c>
      <c r="AU17" s="1">
        <v>-1.230807711821537E-2</v>
      </c>
      <c r="AV17" s="1">
        <v>3.096600025045039E-2</v>
      </c>
      <c r="AW17" s="1">
        <v>-8.1214489149716698E-2</v>
      </c>
      <c r="AX17" s="1">
        <v>1.007426204517215E-2</v>
      </c>
      <c r="AY17" s="1">
        <v>4.6059946365708197E-2</v>
      </c>
      <c r="AZ17" s="1">
        <v>6.2275797082175441E-3</v>
      </c>
      <c r="BA17" s="1">
        <v>5.8968954389199801E-2</v>
      </c>
      <c r="BB17" s="1">
        <v>-5.9131087152673172E-2</v>
      </c>
      <c r="BC17" s="1">
        <v>-1.7544555122080439E-2</v>
      </c>
      <c r="BD17" s="1">
        <v>-7.6794725916053241E-2</v>
      </c>
      <c r="BE17" s="1">
        <v>-2.6653269767714871E-2</v>
      </c>
      <c r="BF17" s="1">
        <v>3.7606826275127021E-2</v>
      </c>
      <c r="BG17" s="1">
        <v>4.6645199221583153E-2</v>
      </c>
      <c r="BH17" s="1">
        <v>0.16308106626598279</v>
      </c>
      <c r="BI17" s="1">
        <v>-4.1037578265412017E-2</v>
      </c>
      <c r="BJ17" s="1">
        <v>5.5139281298321158E-2</v>
      </c>
      <c r="BK17" s="1">
        <v>4.0829705227227182E-2</v>
      </c>
      <c r="BL17" s="1">
        <v>8.4283106380472275E-2</v>
      </c>
      <c r="BM17" s="1">
        <v>2.5265210822312138E-2</v>
      </c>
      <c r="BN17" s="1">
        <v>1.3380564204373349E-2</v>
      </c>
      <c r="BO17" s="1">
        <v>-1.4857902501595461E-2</v>
      </c>
      <c r="BP17" s="1">
        <v>7.9254079788218121E-2</v>
      </c>
      <c r="BQ17" s="1">
        <v>4.0721750089288758E-3</v>
      </c>
      <c r="BR17" s="1">
        <v>-0.10966829964292001</v>
      </c>
      <c r="BS17" s="1">
        <v>-6.2500353257228108E-3</v>
      </c>
      <c r="BT17" s="1">
        <v>5.4440942913559297E-2</v>
      </c>
      <c r="BU17" s="1">
        <v>-4.4750740971843221E-3</v>
      </c>
      <c r="BV17" s="1">
        <v>9.2808261575048623E-2</v>
      </c>
      <c r="BW17" s="1">
        <v>-0.14634497753710379</v>
      </c>
      <c r="BX17" s="1">
        <v>9.3279871074265427E-3</v>
      </c>
      <c r="BY17" s="1">
        <v>-3.8094765928728742E-2</v>
      </c>
      <c r="BZ17" s="1">
        <v>3.0885132882391E-2</v>
      </c>
      <c r="CA17" s="1">
        <v>-1.8009664560124271E-2</v>
      </c>
      <c r="CB17" s="1">
        <v>7.9453545217219285E-2</v>
      </c>
      <c r="CC17" s="1">
        <v>5.577109604182276E-2</v>
      </c>
      <c r="CD17" s="1">
        <v>7.9493117319375459E-3</v>
      </c>
      <c r="CE17" s="1">
        <v>5.3024704386245222E-2</v>
      </c>
      <c r="CF17" s="1">
        <v>2.8356415108768112E-3</v>
      </c>
      <c r="CG17" s="1">
        <v>6.3658827240399701E-3</v>
      </c>
      <c r="CH17" s="1">
        <v>1.015774916992742E-2</v>
      </c>
      <c r="CI17" s="1">
        <v>5.2024879688009638E-2</v>
      </c>
      <c r="CJ17" s="1">
        <v>2.118041073849113E-2</v>
      </c>
      <c r="CK17" s="1">
        <v>-6.9569201315764245E-2</v>
      </c>
      <c r="CL17" s="1">
        <v>-3.5204076584064783E-2</v>
      </c>
      <c r="CM17" s="1">
        <v>6.2701347454602457E-2</v>
      </c>
      <c r="CN17" s="1">
        <v>0.1072043030525954</v>
      </c>
      <c r="CO17" s="1">
        <v>3.730525798019918E-2</v>
      </c>
      <c r="CP17" s="1">
        <v>0.15347265517907291</v>
      </c>
      <c r="CQ17" s="1">
        <v>-0.12677703572827939</v>
      </c>
      <c r="CR17" s="1">
        <v>-0.29612269853100992</v>
      </c>
      <c r="CS17" s="1">
        <v>-2.7546867042047261E-2</v>
      </c>
      <c r="CT17" s="1">
        <v>-1.467107065716927E-3</v>
      </c>
      <c r="CU17" s="1">
        <v>-7.3679352771530718E-2</v>
      </c>
      <c r="CV17" s="1">
        <v>-3.6577081027426607E-2</v>
      </c>
      <c r="CW17" s="1">
        <v>6.3888931285759801E-2</v>
      </c>
      <c r="CX17" s="1">
        <v>2.967724627948146E-2</v>
      </c>
      <c r="CY17" s="1">
        <v>-2.2930106999400159E-2</v>
      </c>
      <c r="CZ17" s="1">
        <v>2.8911752658433789E-2</v>
      </c>
      <c r="DA17" s="1">
        <v>2.273056855773915E-2</v>
      </c>
      <c r="DB17" s="1">
        <v>0.11638942259174991</v>
      </c>
      <c r="DC17" s="1">
        <v>-0.1143619441536565</v>
      </c>
      <c r="DD17" s="1">
        <v>-1.061697109471189E-2</v>
      </c>
      <c r="DE17" s="1">
        <v>1.945562140090178E-2</v>
      </c>
      <c r="DF17" s="1">
        <v>-3.070763684579219E-2</v>
      </c>
      <c r="DG17" s="1">
        <v>-4.8812215821209842E-2</v>
      </c>
      <c r="DH17" s="1">
        <v>-2.620343301510614E-2</v>
      </c>
      <c r="DI17" s="1">
        <v>0.1046142031755129</v>
      </c>
      <c r="DJ17" s="1">
        <v>0.1123557414080348</v>
      </c>
      <c r="DK17" s="1">
        <v>-9.8536990858751047E-2</v>
      </c>
      <c r="DL17" s="1">
        <v>-5.5369240643897068E-2</v>
      </c>
      <c r="DM17" s="1">
        <v>-9.0133817364485724E-2</v>
      </c>
      <c r="DN17" s="1">
        <v>-3.8424307197710769E-3</v>
      </c>
      <c r="DO17" s="1">
        <v>-4.982906807667474E-2</v>
      </c>
      <c r="DP17" s="1">
        <v>-2.3175573886105218E-2</v>
      </c>
      <c r="DQ17" s="1">
        <v>-6.6664832202994906E-2</v>
      </c>
      <c r="DR17" s="1">
        <v>-7.0754531556916217E-3</v>
      </c>
      <c r="DS17" s="1">
        <v>6.7361012227207945E-2</v>
      </c>
      <c r="DT17" s="1">
        <v>2.0190550683349712E-2</v>
      </c>
      <c r="DU17" s="1">
        <v>7.8847445744729891E-3</v>
      </c>
      <c r="DV17" s="1">
        <v>-7.6580008331421688E-3</v>
      </c>
      <c r="DW17" s="1">
        <v>7.7111655172791838E-2</v>
      </c>
      <c r="DX17" s="1">
        <v>-5.3153785524608567E-2</v>
      </c>
      <c r="DY17" s="1">
        <v>-3.510842538368017E-3</v>
      </c>
      <c r="DZ17" s="1">
        <v>8.7029879211475113E-3</v>
      </c>
      <c r="EA17" s="1">
        <v>1.9191482546942779E-2</v>
      </c>
      <c r="EB17" s="1">
        <v>3.0213474019759282E-2</v>
      </c>
      <c r="EC17" s="1">
        <v>-4.441870852170577E-2</v>
      </c>
      <c r="ED17" s="1">
        <v>1.1334349334041651E-2</v>
      </c>
      <c r="EE17" s="1">
        <v>-3.0801744971609708E-2</v>
      </c>
      <c r="EF17" s="1">
        <v>2.0254495374636281E-2</v>
      </c>
      <c r="EG17" s="46">
        <f t="shared" si="0"/>
        <v>6.3574590049807048E-2</v>
      </c>
      <c r="EH17" s="25">
        <f t="shared" si="1"/>
        <v>0.21321096049152397</v>
      </c>
      <c r="EI17" s="46">
        <f t="shared" si="2"/>
        <v>0.29817693191403455</v>
      </c>
    </row>
    <row r="18" spans="1:139" ht="16" customHeight="1">
      <c r="A18" s="6">
        <v>107</v>
      </c>
      <c r="B18" s="6">
        <v>9</v>
      </c>
      <c r="C18" s="9">
        <v>0.73827782114429374</v>
      </c>
      <c r="D18" s="9">
        <v>0.74848648054192801</v>
      </c>
      <c r="E18" s="9">
        <v>0.60288716869125669</v>
      </c>
      <c r="F18" s="9">
        <v>0.97134856728456997</v>
      </c>
      <c r="G18" s="9">
        <v>0.70186700489557619</v>
      </c>
      <c r="H18" s="9">
        <v>0.60640991551011991</v>
      </c>
      <c r="I18" s="9">
        <v>0.58066627311731311</v>
      </c>
      <c r="J18" s="9">
        <v>0.72245849332066836</v>
      </c>
      <c r="K18" s="9">
        <v>0.71974645134205839</v>
      </c>
      <c r="L18" s="2">
        <v>0.66351567388300681</v>
      </c>
      <c r="M18" s="2">
        <v>0.94250078207760191</v>
      </c>
      <c r="N18" s="2">
        <v>0.71815271351089283</v>
      </c>
      <c r="O18" s="1">
        <v>9.6541358464802107E-2</v>
      </c>
      <c r="P18" s="1">
        <v>6.7810462504839034E-3</v>
      </c>
      <c r="Q18" s="1">
        <v>-8.8476964660399851E-2</v>
      </c>
      <c r="R18" s="1">
        <v>-2.4058413960802449E-2</v>
      </c>
      <c r="S18" s="1">
        <v>-0.1234710403448273</v>
      </c>
      <c r="T18" s="1">
        <v>7.9330934953952825E-3</v>
      </c>
      <c r="U18" s="1">
        <v>3.256883994783151E-2</v>
      </c>
      <c r="V18" s="1">
        <v>1.327787774589689E-2</v>
      </c>
      <c r="W18" s="1">
        <v>-3.576898155668589E-2</v>
      </c>
      <c r="X18" s="1">
        <v>4.4956628854569247E-2</v>
      </c>
      <c r="Y18" s="1">
        <v>-6.1081102394734132E-3</v>
      </c>
      <c r="Z18" s="1">
        <v>5.8014635574299631E-2</v>
      </c>
      <c r="AA18" s="1">
        <v>-0.17131288841016001</v>
      </c>
      <c r="AB18" s="1">
        <v>-8.9193648023553063E-3</v>
      </c>
      <c r="AC18" s="1">
        <v>1.9996469232003409E-2</v>
      </c>
      <c r="AD18" s="1">
        <v>4.7722018176767501E-2</v>
      </c>
      <c r="AE18" s="1">
        <v>-3.2171097527054743E-2</v>
      </c>
      <c r="AF18" s="1">
        <v>0.18870238004401499</v>
      </c>
      <c r="AG18" s="1">
        <v>-1.2906272629949211E-2</v>
      </c>
      <c r="AH18" s="1">
        <v>-1.160698783358979E-2</v>
      </c>
      <c r="AI18" s="1">
        <v>-4.7503493171799818E-2</v>
      </c>
      <c r="AJ18" s="1">
        <v>-3.2237718481909913E-2</v>
      </c>
      <c r="AK18" s="1">
        <v>-6.5937888325422411E-2</v>
      </c>
      <c r="AL18" s="1">
        <v>-6.3904816446511525E-2</v>
      </c>
      <c r="AM18" s="1">
        <v>0.17121244888335141</v>
      </c>
      <c r="AN18" s="1">
        <v>1.474524233781792E-2</v>
      </c>
      <c r="AO18" s="1">
        <v>-2.2695897131866271E-2</v>
      </c>
      <c r="AP18" s="1">
        <v>-7.1761369218539553E-2</v>
      </c>
      <c r="AQ18" s="1">
        <v>0.12895767664963359</v>
      </c>
      <c r="AR18" s="1">
        <v>3.9961837777884868E-2</v>
      </c>
      <c r="AS18" s="1">
        <v>-6.4984088443200194E-2</v>
      </c>
      <c r="AT18" s="1">
        <v>-8.8140587511292383E-3</v>
      </c>
      <c r="AU18" s="1">
        <v>-1.7882078085450989E-2</v>
      </c>
      <c r="AV18" s="1">
        <v>2.5993572901097609E-2</v>
      </c>
      <c r="AW18" s="1">
        <v>-7.2537594783226439E-2</v>
      </c>
      <c r="AX18" s="1">
        <v>3.1017119635327879E-3</v>
      </c>
      <c r="AY18" s="1">
        <v>7.5021252106779152E-2</v>
      </c>
      <c r="AZ18" s="1">
        <v>-1.539893164041331E-2</v>
      </c>
      <c r="BA18" s="1">
        <v>1.08374772766478E-2</v>
      </c>
      <c r="BB18" s="1">
        <v>-7.9484835577412288E-2</v>
      </c>
      <c r="BC18" s="1">
        <v>2.2581636337870338E-3</v>
      </c>
      <c r="BD18" s="1">
        <v>-7.9974316458943651E-2</v>
      </c>
      <c r="BE18" s="1">
        <v>-2.03067734937495E-2</v>
      </c>
      <c r="BF18" s="1">
        <v>4.4868441303095773E-2</v>
      </c>
      <c r="BG18" s="1">
        <v>6.6086220454733308E-2</v>
      </c>
      <c r="BH18" s="1">
        <v>0.1380496088145477</v>
      </c>
      <c r="BI18" s="1">
        <v>-4.6760786946823923E-2</v>
      </c>
      <c r="BJ18" s="1">
        <v>7.259863816673004E-2</v>
      </c>
      <c r="BK18" s="1">
        <v>4.6965087747152412E-2</v>
      </c>
      <c r="BL18" s="1">
        <v>7.4173113939945523E-2</v>
      </c>
      <c r="BM18" s="1">
        <v>1.5268057528980699E-2</v>
      </c>
      <c r="BN18" s="1">
        <v>8.7436612001485503E-3</v>
      </c>
      <c r="BO18" s="1">
        <v>-2.9603539010388761E-2</v>
      </c>
      <c r="BP18" s="1">
        <v>8.6689113658407979E-2</v>
      </c>
      <c r="BQ18" s="1">
        <v>7.7743507530677533E-3</v>
      </c>
      <c r="BR18" s="1">
        <v>-9.148177269939034E-2</v>
      </c>
      <c r="BS18" s="1">
        <v>-6.1396827991339739E-3</v>
      </c>
      <c r="BT18" s="1">
        <v>5.9012778708962252E-2</v>
      </c>
      <c r="BU18" s="1">
        <v>1.042295487789081E-2</v>
      </c>
      <c r="BV18" s="1">
        <v>0.11634363387299131</v>
      </c>
      <c r="BW18" s="1">
        <v>-0.14464116717832551</v>
      </c>
      <c r="BX18" s="1">
        <v>1.2206870070302229E-2</v>
      </c>
      <c r="BY18" s="1">
        <v>-5.7959566574509708E-2</v>
      </c>
      <c r="BZ18" s="1">
        <v>2.0879199871978889E-2</v>
      </c>
      <c r="CA18" s="1">
        <v>-2.3746814563868721E-2</v>
      </c>
      <c r="CB18" s="1">
        <v>7.7410214589608617E-2</v>
      </c>
      <c r="CC18" s="1">
        <v>6.9763549302565314E-2</v>
      </c>
      <c r="CD18" s="1">
        <v>-2.1611862693398841E-2</v>
      </c>
      <c r="CE18" s="1">
        <v>-8.7924930863261738E-3</v>
      </c>
      <c r="CF18" s="1">
        <v>4.3310548217368929E-3</v>
      </c>
      <c r="CG18" s="1">
        <v>5.8015312216141007E-3</v>
      </c>
      <c r="CH18" s="1">
        <v>-7.3778631686863688E-3</v>
      </c>
      <c r="CI18" s="1">
        <v>3.1852736333270758E-2</v>
      </c>
      <c r="CJ18" s="1">
        <v>2.7137879412079281E-2</v>
      </c>
      <c r="CK18" s="1">
        <v>-4.2457433689516752E-2</v>
      </c>
      <c r="CL18" s="1">
        <v>-7.4558367446278612E-2</v>
      </c>
      <c r="CM18" s="1">
        <v>9.772032941679526E-2</v>
      </c>
      <c r="CN18" s="1">
        <v>8.5183844286422783E-2</v>
      </c>
      <c r="CO18" s="1">
        <v>4.5654139617511219E-2</v>
      </c>
      <c r="CP18" s="1">
        <v>0.1692799522201747</v>
      </c>
      <c r="CQ18" s="1">
        <v>-0.1163558373689261</v>
      </c>
      <c r="CR18" s="1">
        <v>-0.13513727054118979</v>
      </c>
      <c r="CS18" s="1">
        <v>-3.18089826014692E-2</v>
      </c>
      <c r="CT18" s="1">
        <v>-5.016243072067092E-3</v>
      </c>
      <c r="CU18" s="1">
        <v>-7.7250391641215013E-2</v>
      </c>
      <c r="CV18" s="1">
        <v>-4.2556163362870769E-2</v>
      </c>
      <c r="CW18" s="1">
        <v>7.2360085196432597E-2</v>
      </c>
      <c r="CX18" s="1">
        <v>3.943263273079417E-2</v>
      </c>
      <c r="CY18" s="1">
        <v>-4.3988665855013293E-2</v>
      </c>
      <c r="CZ18" s="1">
        <v>1.252075302936999E-2</v>
      </c>
      <c r="DA18" s="1">
        <v>8.1307726248815333E-3</v>
      </c>
      <c r="DB18" s="1">
        <v>0.13048380377127311</v>
      </c>
      <c r="DC18" s="1">
        <v>-9.936052837469167E-2</v>
      </c>
      <c r="DD18" s="1">
        <v>-1.4563111631241551E-3</v>
      </c>
      <c r="DE18" s="1">
        <v>7.3854978814141548E-3</v>
      </c>
      <c r="DF18" s="1">
        <v>-2.128334597441461E-2</v>
      </c>
      <c r="DG18" s="1">
        <v>-4.9363147456635913E-2</v>
      </c>
      <c r="DH18" s="1">
        <v>-2.525506756247959E-2</v>
      </c>
      <c r="DI18" s="1">
        <v>9.4352085058109977E-2</v>
      </c>
      <c r="DJ18" s="1">
        <v>0.12949551365540879</v>
      </c>
      <c r="DK18" s="1">
        <v>-0.1180139016281761</v>
      </c>
      <c r="DL18" s="1">
        <v>-8.4843516507273634E-2</v>
      </c>
      <c r="DM18" s="1">
        <v>-0.1181002671859238</v>
      </c>
      <c r="DN18" s="1">
        <v>-5.6521013606438339E-3</v>
      </c>
      <c r="DO18" s="1">
        <v>-4.9457220012624467E-2</v>
      </c>
      <c r="DP18" s="1">
        <v>-1.399498022656389E-2</v>
      </c>
      <c r="DQ18" s="1">
        <v>-7.0219750090692368E-2</v>
      </c>
      <c r="DR18" s="1">
        <v>-2.733797422374425E-2</v>
      </c>
      <c r="DS18" s="1">
        <v>4.7322196827105298E-2</v>
      </c>
      <c r="DT18" s="1">
        <v>-3.6484705716585551E-3</v>
      </c>
      <c r="DU18" s="1">
        <v>-7.9667563042402009E-3</v>
      </c>
      <c r="DV18" s="1">
        <v>1.0855973638437761E-2</v>
      </c>
      <c r="DW18" s="1">
        <v>8.2175676039265316E-2</v>
      </c>
      <c r="DX18" s="1">
        <v>-5.4797165384324491E-2</v>
      </c>
      <c r="DY18" s="1">
        <v>8.0457128433494146E-4</v>
      </c>
      <c r="DZ18" s="1">
        <v>7.7419072933151319E-3</v>
      </c>
      <c r="EA18" s="1">
        <v>1.4997464465881389E-2</v>
      </c>
      <c r="EB18" s="1">
        <v>-1.790248229893537E-2</v>
      </c>
      <c r="EC18" s="1">
        <v>-1.9342095158439279E-2</v>
      </c>
      <c r="ED18" s="1">
        <v>2.085756052706704E-2</v>
      </c>
      <c r="EE18" s="1">
        <v>-2.9271983823033171E-2</v>
      </c>
      <c r="EF18" s="1">
        <v>5.1983526638043939E-2</v>
      </c>
      <c r="EG18" s="46">
        <f t="shared" si="0"/>
        <v>6.5875239611237604E-2</v>
      </c>
      <c r="EH18" s="25">
        <f t="shared" si="1"/>
        <v>0.22025778366705503</v>
      </c>
      <c r="EI18" s="46">
        <f t="shared" si="2"/>
        <v>0.29908245926425742</v>
      </c>
    </row>
    <row r="19" spans="1:139" ht="16" customHeight="1">
      <c r="A19" s="6">
        <v>120</v>
      </c>
      <c r="B19" s="6">
        <v>8</v>
      </c>
      <c r="C19" s="9">
        <v>0.77539547410376009</v>
      </c>
      <c r="D19" s="9">
        <v>0.77891924967292547</v>
      </c>
      <c r="E19" s="9">
        <v>0.61873716081496144</v>
      </c>
      <c r="F19" s="9">
        <v>0.99392065510498828</v>
      </c>
      <c r="G19" s="9">
        <v>0.72949195097937347</v>
      </c>
      <c r="H19" s="9">
        <v>0.63393238129785301</v>
      </c>
      <c r="I19" s="9">
        <v>0.59856353648130445</v>
      </c>
      <c r="J19" s="9">
        <v>0.75563694637455814</v>
      </c>
      <c r="K19" s="9">
        <v>0.7556556132400547</v>
      </c>
      <c r="L19" s="2">
        <v>0.68751196104413759</v>
      </c>
      <c r="M19" s="2">
        <v>1.0030481848028741</v>
      </c>
      <c r="N19" s="2">
        <v>0.73723944617467296</v>
      </c>
      <c r="O19" s="1">
        <v>0.10593459182260451</v>
      </c>
      <c r="P19" s="1">
        <v>3.756431466247703E-3</v>
      </c>
      <c r="Q19" s="1">
        <v>-8.8957238526182522E-2</v>
      </c>
      <c r="R19" s="1">
        <v>-3.255106712591771E-2</v>
      </c>
      <c r="S19" s="1">
        <v>-0.1713494000561514</v>
      </c>
      <c r="T19" s="1">
        <v>1.6146216736360661E-2</v>
      </c>
      <c r="U19" s="1">
        <v>5.3096627166350753E-2</v>
      </c>
      <c r="V19" s="1">
        <v>1.321921118095123E-2</v>
      </c>
      <c r="W19" s="1">
        <v>-4.7560919545694913E-2</v>
      </c>
      <c r="X19" s="1">
        <v>4.9941200785698518E-2</v>
      </c>
      <c r="Y19" s="1">
        <v>-8.3184169337262373E-3</v>
      </c>
      <c r="Z19" s="1">
        <v>4.7536170178119022E-2</v>
      </c>
      <c r="AA19" s="1">
        <v>-0.1809247243898848</v>
      </c>
      <c r="AB19" s="1">
        <v>-1.490097650552993E-2</v>
      </c>
      <c r="AC19" s="1">
        <v>2.344759780631055E-2</v>
      </c>
      <c r="AD19" s="1">
        <v>4.2639600287062283E-2</v>
      </c>
      <c r="AE19" s="1">
        <v>-9.8710655310480892E-3</v>
      </c>
      <c r="AF19" s="1">
        <v>0.16905095129484321</v>
      </c>
      <c r="AG19" s="1">
        <v>-4.0367724866794408E-2</v>
      </c>
      <c r="AH19" s="1">
        <v>9.1634577055258945E-3</v>
      </c>
      <c r="AI19" s="1">
        <v>-3.7380121728580427E-2</v>
      </c>
      <c r="AJ19" s="1">
        <v>-2.2024589705642281E-2</v>
      </c>
      <c r="AK19" s="1">
        <v>-7.8022998035219199E-2</v>
      </c>
      <c r="AL19" s="1">
        <v>-4.6198396528610491E-2</v>
      </c>
      <c r="AM19" s="1">
        <v>0.17537507769396429</v>
      </c>
      <c r="AN19" s="1">
        <v>3.6767490748290671E-4</v>
      </c>
      <c r="AO19" s="1">
        <v>-1.8434318904156841E-2</v>
      </c>
      <c r="AP19" s="1">
        <v>-5.5217286915115057E-2</v>
      </c>
      <c r="AQ19" s="1">
        <v>0.13074597389270581</v>
      </c>
      <c r="AR19" s="1">
        <v>3.5467097097953967E-2</v>
      </c>
      <c r="AS19" s="1">
        <v>-3.1277059196441942E-2</v>
      </c>
      <c r="AT19" s="1">
        <v>-9.4443398170639091E-3</v>
      </c>
      <c r="AU19" s="1">
        <v>-7.0224684349986279E-3</v>
      </c>
      <c r="AV19" s="1">
        <v>1.370642212041292E-2</v>
      </c>
      <c r="AW19" s="1">
        <v>-5.9530197399838558E-2</v>
      </c>
      <c r="AX19" s="1">
        <v>1.819499792723264E-3</v>
      </c>
      <c r="AY19" s="1">
        <v>0.1002402398602711</v>
      </c>
      <c r="AZ19" s="1">
        <v>-1.8352182361688941E-2</v>
      </c>
      <c r="BA19" s="1">
        <v>5.5056887611146348E-3</v>
      </c>
      <c r="BB19" s="1">
        <v>-9.7082647853896753E-2</v>
      </c>
      <c r="BC19" s="1">
        <v>1.345978239879878E-2</v>
      </c>
      <c r="BD19" s="1">
        <v>-3.4166222853361433E-2</v>
      </c>
      <c r="BE19" s="1">
        <v>-3.3127500012426293E-2</v>
      </c>
      <c r="BF19" s="1">
        <v>5.0654932439089452E-2</v>
      </c>
      <c r="BG19" s="1">
        <v>5.2510647580712597E-2</v>
      </c>
      <c r="BH19" s="1">
        <v>0.1415995470916617</v>
      </c>
      <c r="BI19" s="1">
        <v>-4.3402025934689392E-2</v>
      </c>
      <c r="BJ19" s="1">
        <v>8.1266045543276169E-2</v>
      </c>
      <c r="BK19" s="1">
        <v>5.7218960928779497E-2</v>
      </c>
      <c r="BL19" s="1">
        <v>7.7488342310048391E-2</v>
      </c>
      <c r="BM19" s="1">
        <v>1.4828701597521759E-2</v>
      </c>
      <c r="BN19" s="1">
        <v>3.9163432326084283E-2</v>
      </c>
      <c r="BO19" s="1">
        <v>-3.787573936453216E-2</v>
      </c>
      <c r="BP19" s="1">
        <v>0.1093263622785275</v>
      </c>
      <c r="BQ19" s="1">
        <v>3.7061816001585347E-2</v>
      </c>
      <c r="BR19" s="1">
        <v>-0.1049550065647849</v>
      </c>
      <c r="BS19" s="1">
        <v>-2.3301685429338859E-2</v>
      </c>
      <c r="BT19" s="1">
        <v>4.9060124330678502E-2</v>
      </c>
      <c r="BU19" s="1">
        <v>2.7544578205770359E-2</v>
      </c>
      <c r="BV19" s="1">
        <v>0.1165151396332836</v>
      </c>
      <c r="BW19" s="1">
        <v>-0.15895738170096349</v>
      </c>
      <c r="BX19" s="1">
        <v>1.261533603149962E-2</v>
      </c>
      <c r="BY19" s="1">
        <v>-4.3176705802567772E-2</v>
      </c>
      <c r="BZ19" s="1">
        <v>3.65573936425645E-3</v>
      </c>
      <c r="CA19" s="1">
        <v>-4.4612534032420478E-2</v>
      </c>
      <c r="CB19" s="1">
        <v>1.873946172954059E-2</v>
      </c>
      <c r="CC19" s="1">
        <v>5.9035548792163647E-2</v>
      </c>
      <c r="CD19" s="1">
        <v>-4.6066662573730537E-2</v>
      </c>
      <c r="CE19" s="1">
        <v>-9.2478856663955541E-3</v>
      </c>
      <c r="CF19" s="1">
        <v>3.6529415731831591E-2</v>
      </c>
      <c r="CG19" s="1">
        <v>5.3694517534478292E-3</v>
      </c>
      <c r="CH19" s="1">
        <v>1.046104883701866E-2</v>
      </c>
      <c r="CI19" s="1">
        <v>3.8984935662836201E-2</v>
      </c>
      <c r="CJ19" s="1">
        <v>1.036776328314924E-2</v>
      </c>
      <c r="CK19" s="1">
        <v>-3.8136562618427752E-2</v>
      </c>
      <c r="CL19" s="1">
        <v>-8.273079413967932E-2</v>
      </c>
      <c r="CM19" s="1">
        <v>0.1056676864166668</v>
      </c>
      <c r="CN19" s="1">
        <v>0.1099824842644098</v>
      </c>
      <c r="CO19" s="1">
        <v>7.3230865883735979E-2</v>
      </c>
      <c r="CP19" s="1">
        <v>0.16047954658963229</v>
      </c>
      <c r="CQ19" s="1">
        <v>-0.13498191472397619</v>
      </c>
      <c r="CR19" s="1">
        <v>-0.10140671643600679</v>
      </c>
      <c r="CS19" s="1">
        <v>-2.2363405252839381E-2</v>
      </c>
      <c r="CT19" s="1">
        <v>-5.9171097327973828E-2</v>
      </c>
      <c r="CU19" s="1">
        <v>-8.7396345200356954E-2</v>
      </c>
      <c r="CV19" s="1">
        <v>-2.6596483150229801E-2</v>
      </c>
      <c r="CW19" s="1">
        <v>7.4606037924757701E-2</v>
      </c>
      <c r="CX19" s="1">
        <v>6.3264389347224281E-2</v>
      </c>
      <c r="CY19" s="1">
        <v>-4.4859378896312349E-2</v>
      </c>
      <c r="CZ19" s="1">
        <v>1.4107505305890611E-2</v>
      </c>
      <c r="DA19" s="1">
        <v>-1.489384856121454E-2</v>
      </c>
      <c r="DB19" s="1">
        <v>0.15141240774176071</v>
      </c>
      <c r="DC19" s="1">
        <v>-0.118609668873882</v>
      </c>
      <c r="DD19" s="1">
        <v>-4.8420354012716216E-3</v>
      </c>
      <c r="DE19" s="1">
        <v>3.3841574218816312E-2</v>
      </c>
      <c r="DF19" s="1">
        <v>-2.0409892988983269E-2</v>
      </c>
      <c r="DG19" s="1">
        <v>-6.1429783154265047E-2</v>
      </c>
      <c r="DH19" s="1">
        <v>-1.8883961449864831E-2</v>
      </c>
      <c r="DI19" s="1">
        <v>0.1021129040996735</v>
      </c>
      <c r="DJ19" s="1">
        <v>0.13083846502163729</v>
      </c>
      <c r="DK19" s="1">
        <v>-9.8276066449960536E-2</v>
      </c>
      <c r="DL19" s="1">
        <v>-0.1059381822708453</v>
      </c>
      <c r="DM19" s="1">
        <v>-0.13338111507939529</v>
      </c>
      <c r="DN19" s="1">
        <v>9.1614927497053744E-3</v>
      </c>
      <c r="DO19" s="1">
        <v>-5.9615163146334568E-2</v>
      </c>
      <c r="DP19" s="1">
        <v>-5.232789547016968E-3</v>
      </c>
      <c r="DQ19" s="1">
        <v>-8.4455165330947907E-2</v>
      </c>
      <c r="DR19" s="1">
        <v>-5.0224850665946848E-3</v>
      </c>
      <c r="DS19" s="1">
        <v>3.1569521365376281E-2</v>
      </c>
      <c r="DT19" s="1">
        <v>7.7237401195411753E-3</v>
      </c>
      <c r="DU19" s="1">
        <v>5.4295703831555636E-3</v>
      </c>
      <c r="DV19" s="1">
        <v>4.2263963049575179E-3</v>
      </c>
      <c r="DW19" s="1">
        <v>9.1952263151660329E-2</v>
      </c>
      <c r="DX19" s="1">
        <v>-1.39382374829576E-2</v>
      </c>
      <c r="DY19" s="1">
        <v>1.6347593033091301E-2</v>
      </c>
      <c r="DZ19" s="1">
        <v>6.6202956211471389E-4</v>
      </c>
      <c r="EA19" s="1">
        <v>1.8648376345698169E-2</v>
      </c>
      <c r="EB19" s="1">
        <v>-1.468762224094446E-2</v>
      </c>
      <c r="EC19" s="1">
        <v>5.8054595131810209E-3</v>
      </c>
      <c r="ED19" s="1">
        <v>4.0186140340970837E-2</v>
      </c>
      <c r="EE19" s="1">
        <v>-7.6452589868736126E-3</v>
      </c>
      <c r="EF19" s="1">
        <v>6.7478446217897864E-2</v>
      </c>
      <c r="EG19" s="46">
        <f t="shared" si="0"/>
        <v>7.0364349524826383E-2</v>
      </c>
      <c r="EH19" s="25">
        <f t="shared" si="1"/>
        <v>0.2288530237941816</v>
      </c>
      <c r="EI19" s="46">
        <f t="shared" si="2"/>
        <v>0.30746523842354118</v>
      </c>
    </row>
    <row r="20" spans="1:139" ht="16" customHeight="1">
      <c r="A20" s="6">
        <v>137</v>
      </c>
      <c r="B20" s="6">
        <v>7</v>
      </c>
      <c r="C20" s="9">
        <v>0.8094712492495254</v>
      </c>
      <c r="D20" s="9">
        <v>0.80651590108885263</v>
      </c>
      <c r="E20" s="9">
        <v>0.63963193106975247</v>
      </c>
      <c r="F20" s="9">
        <v>1.0414337238479749</v>
      </c>
      <c r="G20" s="9">
        <v>0.73968599431018278</v>
      </c>
      <c r="H20" s="9">
        <v>0.6520754497921244</v>
      </c>
      <c r="I20" s="9">
        <v>0.62490493161996163</v>
      </c>
      <c r="J20" s="9">
        <v>0.77185517490788413</v>
      </c>
      <c r="K20" s="9">
        <v>0.80515134513514153</v>
      </c>
      <c r="L20" s="2">
        <v>0.7306041909342551</v>
      </c>
      <c r="M20" s="2">
        <v>1.061213916587594</v>
      </c>
      <c r="N20" s="2">
        <v>0.76118820192783088</v>
      </c>
      <c r="O20" s="1">
        <v>0.1127026041716961</v>
      </c>
      <c r="P20" s="1">
        <v>-4.9267242010842208E-3</v>
      </c>
      <c r="Q20" s="1">
        <v>-9.9682786433911846E-2</v>
      </c>
      <c r="R20" s="1">
        <v>-6.5338911436648092E-2</v>
      </c>
      <c r="S20" s="1">
        <v>-0.18969059918307721</v>
      </c>
      <c r="T20" s="1">
        <v>3.5205464400358537E-2</v>
      </c>
      <c r="U20" s="1">
        <v>2.1064649535518589E-2</v>
      </c>
      <c r="V20" s="1">
        <v>-7.790016050760129E-3</v>
      </c>
      <c r="W20" s="1">
        <v>-5.3341979197644301E-4</v>
      </c>
      <c r="X20" s="1">
        <v>4.6942316984117632E-2</v>
      </c>
      <c r="Y20" s="1">
        <v>1.13373499561017E-2</v>
      </c>
      <c r="Z20" s="1">
        <v>6.7055956541293607E-2</v>
      </c>
      <c r="AA20" s="1">
        <v>-0.14720008418056049</v>
      </c>
      <c r="AB20" s="1">
        <v>-2.0276580445970801E-2</v>
      </c>
      <c r="AC20" s="1">
        <v>1.5671660548568719E-2</v>
      </c>
      <c r="AD20" s="1">
        <v>4.3879702084594012E-2</v>
      </c>
      <c r="AE20" s="1">
        <v>-1.5940902694046341E-2</v>
      </c>
      <c r="AF20" s="1">
        <v>0.19976679127988009</v>
      </c>
      <c r="AG20" s="1">
        <v>-6.4698394613040278E-2</v>
      </c>
      <c r="AH20" s="1">
        <v>2.0615553569459721E-2</v>
      </c>
      <c r="AI20" s="1">
        <v>-5.4902140231891133E-2</v>
      </c>
      <c r="AJ20" s="1">
        <v>-9.7395299274884856E-3</v>
      </c>
      <c r="AK20" s="1">
        <v>-8.8275991827045472E-2</v>
      </c>
      <c r="AL20" s="1">
        <v>-2.21467012336868E-2</v>
      </c>
      <c r="AM20" s="1">
        <v>0.21669138974774421</v>
      </c>
      <c r="AN20" s="1">
        <v>1.307588618053307E-2</v>
      </c>
      <c r="AO20" s="1">
        <v>-2.232048586478513E-2</v>
      </c>
      <c r="AP20" s="1">
        <v>-5.3549332329106698E-2</v>
      </c>
      <c r="AQ20" s="1">
        <v>0.18243070996610089</v>
      </c>
      <c r="AR20" s="1">
        <v>1.6382652190782849E-2</v>
      </c>
      <c r="AS20" s="1">
        <v>-7.7212012322928292E-2</v>
      </c>
      <c r="AT20" s="1">
        <v>-3.0489700319154822E-3</v>
      </c>
      <c r="AU20" s="1">
        <v>-7.3761624243418901E-3</v>
      </c>
      <c r="AV20" s="1">
        <v>-3.6281825511236271E-4</v>
      </c>
      <c r="AW20" s="1">
        <v>-5.7441449533586812E-2</v>
      </c>
      <c r="AX20" s="1">
        <v>-5.1604281640876618E-3</v>
      </c>
      <c r="AY20" s="1">
        <v>9.1423829943649809E-2</v>
      </c>
      <c r="AZ20" s="1">
        <v>-4.1269185455792029E-2</v>
      </c>
      <c r="BA20" s="1">
        <v>1.133494948147909E-2</v>
      </c>
      <c r="BB20" s="1">
        <v>-0.13234266764422031</v>
      </c>
      <c r="BC20" s="1">
        <v>-7.9480079930966605E-3</v>
      </c>
      <c r="BD20" s="1">
        <v>1.1628947639743621E-3</v>
      </c>
      <c r="BE20" s="1">
        <v>-2.324240367431946E-2</v>
      </c>
      <c r="BF20" s="1">
        <v>7.2855184281682722E-2</v>
      </c>
      <c r="BG20" s="1">
        <v>6.9370030812895236E-2</v>
      </c>
      <c r="BH20" s="1">
        <v>0.16010373903132041</v>
      </c>
      <c r="BI20" s="1">
        <v>-6.1305254108716643E-2</v>
      </c>
      <c r="BJ20" s="1">
        <v>8.8339952290232754E-2</v>
      </c>
      <c r="BK20" s="1">
        <v>4.6174065431614633E-2</v>
      </c>
      <c r="BL20" s="1">
        <v>8.3537379494858899E-2</v>
      </c>
      <c r="BM20" s="1">
        <v>4.0543590104480831E-2</v>
      </c>
      <c r="BN20" s="1">
        <v>3.1164470116798682E-2</v>
      </c>
      <c r="BO20" s="1">
        <v>-4.0855667763527698E-2</v>
      </c>
      <c r="BP20" s="1">
        <v>0.13361783024833629</v>
      </c>
      <c r="BQ20" s="1">
        <v>4.5470403337354498E-2</v>
      </c>
      <c r="BR20" s="1">
        <v>-0.1032614909529453</v>
      </c>
      <c r="BS20" s="1">
        <v>-4.1540018268954711E-2</v>
      </c>
      <c r="BT20" s="1">
        <v>8.5286707595160299E-2</v>
      </c>
      <c r="BU20" s="1">
        <v>4.1687941375472541E-2</v>
      </c>
      <c r="BV20" s="1">
        <v>0.137817267729473</v>
      </c>
      <c r="BW20" s="1">
        <v>-0.14652590974858021</v>
      </c>
      <c r="BX20" s="1">
        <v>3.0524630392684549E-2</v>
      </c>
      <c r="BY20" s="1">
        <v>-5.9704275928974038E-2</v>
      </c>
      <c r="BZ20" s="1">
        <v>6.7561337070963512E-4</v>
      </c>
      <c r="CA20" s="1">
        <v>-5.9561569275205492E-2</v>
      </c>
      <c r="CB20" s="1">
        <v>3.9704266528972632E-4</v>
      </c>
      <c r="CC20" s="1">
        <v>4.5556890236297193E-2</v>
      </c>
      <c r="CD20" s="1">
        <v>-5.6154177563105298E-2</v>
      </c>
      <c r="CE20" s="1">
        <v>-1.507066219933826E-2</v>
      </c>
      <c r="CF20" s="1">
        <v>5.5791710551210898E-2</v>
      </c>
      <c r="CG20" s="1">
        <v>-1.9650045351375951E-2</v>
      </c>
      <c r="CH20" s="1">
        <v>1.374544833688039E-2</v>
      </c>
      <c r="CI20" s="1">
        <v>4.5865634878327829E-2</v>
      </c>
      <c r="CJ20" s="1">
        <v>6.426606963493918E-3</v>
      </c>
      <c r="CK20" s="1">
        <v>-5.8303085025168552E-2</v>
      </c>
      <c r="CL20" s="1">
        <v>-0.1182938122638813</v>
      </c>
      <c r="CM20" s="1">
        <v>9.1881074370877142E-2</v>
      </c>
      <c r="CN20" s="1">
        <v>0.10824838495389651</v>
      </c>
      <c r="CO20" s="1">
        <v>8.239969455576733E-2</v>
      </c>
      <c r="CP20" s="1">
        <v>0.18631142826852959</v>
      </c>
      <c r="CQ20" s="1">
        <v>-0.13656788642552911</v>
      </c>
      <c r="CR20" s="1">
        <v>-0.1215687260972441</v>
      </c>
      <c r="CS20" s="1">
        <v>-4.2068597044648886E-3</v>
      </c>
      <c r="CT20" s="1">
        <v>-7.3692119194985306E-2</v>
      </c>
      <c r="CU20" s="1">
        <v>-9.2843794454866443E-2</v>
      </c>
      <c r="CV20" s="1">
        <v>-3.3425020302713417E-2</v>
      </c>
      <c r="CW20" s="1">
        <v>3.8854032560040143E-2</v>
      </c>
      <c r="CX20" s="1">
        <v>5.0298119195106947E-2</v>
      </c>
      <c r="CY20" s="1">
        <v>-6.0497960673074773E-2</v>
      </c>
      <c r="CZ20" s="1">
        <v>4.944116587523973E-2</v>
      </c>
      <c r="DA20" s="1">
        <v>-1.464119242318155E-2</v>
      </c>
      <c r="DB20" s="1">
        <v>0.1454406476846824</v>
      </c>
      <c r="DC20" s="1">
        <v>-0.1235441591368409</v>
      </c>
      <c r="DD20" s="1">
        <v>-3.3944577975415502E-3</v>
      </c>
      <c r="DE20" s="1">
        <v>6.2054030050624043E-2</v>
      </c>
      <c r="DF20" s="1">
        <v>-2.1973055558276059E-2</v>
      </c>
      <c r="DG20" s="1">
        <v>-6.3698564624627946E-2</v>
      </c>
      <c r="DH20" s="1">
        <v>-6.6318002357024439E-3</v>
      </c>
      <c r="DI20" s="1">
        <v>9.3933971164937416E-2</v>
      </c>
      <c r="DJ20" s="1">
        <v>0.13447215620279229</v>
      </c>
      <c r="DK20" s="1">
        <v>-7.1929497896336902E-2</v>
      </c>
      <c r="DL20" s="1">
        <v>-9.249621375435764E-2</v>
      </c>
      <c r="DM20" s="1">
        <v>-0.12095348984646211</v>
      </c>
      <c r="DN20" s="1">
        <v>-7.4241299552451068E-3</v>
      </c>
      <c r="DO20" s="1">
        <v>-4.3407539140237518E-2</v>
      </c>
      <c r="DP20" s="1">
        <v>-3.3456320941182227E-2</v>
      </c>
      <c r="DQ20" s="1">
        <v>-8.0702745761300515E-2</v>
      </c>
      <c r="DR20" s="1">
        <v>-1.330289304329641E-2</v>
      </c>
      <c r="DS20" s="1">
        <v>4.4926074823498537E-2</v>
      </c>
      <c r="DT20" s="1">
        <v>7.4398147120513514E-3</v>
      </c>
      <c r="DU20" s="1">
        <v>1.905852613018157E-2</v>
      </c>
      <c r="DV20" s="1">
        <v>-9.4277441550671449E-3</v>
      </c>
      <c r="DW20" s="1">
        <v>0.1129152982302811</v>
      </c>
      <c r="DX20" s="1">
        <v>-5.3349994593197272E-4</v>
      </c>
      <c r="DY20" s="1">
        <v>-9.7610511615155368E-3</v>
      </c>
      <c r="DZ20" s="1">
        <v>1.134958314630535E-2</v>
      </c>
      <c r="EA20" s="1">
        <v>2.8383411758559889E-2</v>
      </c>
      <c r="EB20" s="1">
        <v>-2.4334567221404261E-2</v>
      </c>
      <c r="EC20" s="1">
        <v>7.4032750321691883E-3</v>
      </c>
      <c r="ED20" s="1">
        <v>4.2521221519420331E-2</v>
      </c>
      <c r="EE20" s="1">
        <v>1.752179289740426E-2</v>
      </c>
      <c r="EF20" s="1">
        <v>7.3131627082521647E-2</v>
      </c>
      <c r="EG20" s="46">
        <f t="shared" si="0"/>
        <v>7.4077282667393676E-2</v>
      </c>
      <c r="EH20" s="25">
        <f t="shared" si="1"/>
        <v>0.23933016609324897</v>
      </c>
      <c r="EI20" s="46">
        <f t="shared" si="2"/>
        <v>0.30951920468952221</v>
      </c>
    </row>
    <row r="21" spans="1:139" ht="16" customHeight="1">
      <c r="A21" s="6">
        <v>160</v>
      </c>
      <c r="B21" s="6">
        <v>6</v>
      </c>
      <c r="C21" s="9">
        <v>0.85469133748512671</v>
      </c>
      <c r="D21" s="9">
        <v>0.85981287501950387</v>
      </c>
      <c r="E21" s="9">
        <v>0.68737190327906239</v>
      </c>
      <c r="F21" s="9">
        <v>1.1154683388423769</v>
      </c>
      <c r="G21" s="9">
        <v>0.77643468112246183</v>
      </c>
      <c r="H21" s="9">
        <v>0.67959727792959301</v>
      </c>
      <c r="I21" s="9">
        <v>0.64356871404813165</v>
      </c>
      <c r="J21" s="9">
        <v>0.81274475213618236</v>
      </c>
      <c r="K21" s="9">
        <v>0.8577884784727583</v>
      </c>
      <c r="L21" s="2">
        <v>0.79248943167649566</v>
      </c>
      <c r="M21" s="2">
        <v>1.0962400254670079</v>
      </c>
      <c r="N21" s="2">
        <v>0.81746856343689023</v>
      </c>
      <c r="O21" s="1">
        <v>0.1075149090910541</v>
      </c>
      <c r="P21" s="1">
        <v>2.4161519988001971E-3</v>
      </c>
      <c r="Q21" s="1">
        <v>-0.1199629726596778</v>
      </c>
      <c r="R21" s="1">
        <v>-5.978163870559236E-2</v>
      </c>
      <c r="S21" s="1">
        <v>-0.22684984399306041</v>
      </c>
      <c r="T21" s="1">
        <v>2.0541228264956E-2</v>
      </c>
      <c r="U21" s="1">
        <v>3.5269752218274358E-2</v>
      </c>
      <c r="V21" s="1">
        <v>6.7159002873717899E-3</v>
      </c>
      <c r="W21" s="1">
        <v>6.7172765996337666E-3</v>
      </c>
      <c r="X21" s="1">
        <v>6.911172989045973E-2</v>
      </c>
      <c r="Y21" s="1">
        <v>1.2489569435594461E-2</v>
      </c>
      <c r="Z21" s="1">
        <v>5.4305930398865478E-2</v>
      </c>
      <c r="AA21" s="1">
        <v>-0.14128543606009231</v>
      </c>
      <c r="AB21" s="1">
        <v>-3.9711824668803658E-2</v>
      </c>
      <c r="AC21" s="1">
        <v>1.0093584213543521E-2</v>
      </c>
      <c r="AD21" s="1">
        <v>3.5454153073814207E-2</v>
      </c>
      <c r="AE21" s="1">
        <v>-3.6116749793211701E-2</v>
      </c>
      <c r="AF21" s="1">
        <v>0.23614710396482641</v>
      </c>
      <c r="AG21" s="1">
        <v>-8.0159600607910317E-2</v>
      </c>
      <c r="AH21" s="1">
        <v>-2.6356626975849919E-2</v>
      </c>
      <c r="AI21" s="1">
        <v>-6.7899571064774358E-2</v>
      </c>
      <c r="AJ21" s="1">
        <v>-3.9168091206391108E-2</v>
      </c>
      <c r="AK21" s="1">
        <v>-6.2068350457022192E-2</v>
      </c>
      <c r="AL21" s="1">
        <v>-2.7223270765128E-2</v>
      </c>
      <c r="AM21" s="1">
        <v>0.23868805865149209</v>
      </c>
      <c r="AN21" s="1">
        <v>-5.4080998216939208E-3</v>
      </c>
      <c r="AO21" s="1">
        <v>-0.1177674580355343</v>
      </c>
      <c r="AP21" s="1">
        <v>-6.6059761924998683E-2</v>
      </c>
      <c r="AQ21" s="1">
        <v>0.17130345687475909</v>
      </c>
      <c r="AR21" s="1">
        <v>2.244348655616808E-3</v>
      </c>
      <c r="AS21" s="1">
        <v>-7.4415861548908724E-2</v>
      </c>
      <c r="AT21" s="1">
        <v>3.9788265212258103E-3</v>
      </c>
      <c r="AU21" s="1">
        <v>3.1220398356318371E-2</v>
      </c>
      <c r="AV21" s="1">
        <v>-5.402058971533362E-3</v>
      </c>
      <c r="AW21" s="1">
        <v>-4.8842218918274262E-2</v>
      </c>
      <c r="AX21" s="1">
        <v>-3.229010652857349E-2</v>
      </c>
      <c r="AY21" s="1">
        <v>6.7282604505723265E-2</v>
      </c>
      <c r="AZ21" s="1">
        <v>3.3305684446531402E-3</v>
      </c>
      <c r="BA21" s="1">
        <v>2.3468420219116551E-4</v>
      </c>
      <c r="BB21" s="1">
        <v>-0.1599895048972434</v>
      </c>
      <c r="BC21" s="1">
        <v>-9.3052995128559031E-3</v>
      </c>
      <c r="BD21" s="1">
        <v>1.195017796337063E-3</v>
      </c>
      <c r="BE21" s="1">
        <v>-1.6292176813889381E-2</v>
      </c>
      <c r="BF21" s="1">
        <v>7.857816359605474E-2</v>
      </c>
      <c r="BG21" s="1">
        <v>0.11567804403190519</v>
      </c>
      <c r="BH21" s="1">
        <v>0.15920195579027821</v>
      </c>
      <c r="BI21" s="1">
        <v>-4.4007661049555717E-2</v>
      </c>
      <c r="BJ21" s="1">
        <v>8.9101388296464246E-2</v>
      </c>
      <c r="BK21" s="1">
        <v>6.6495044360271094E-2</v>
      </c>
      <c r="BL21" s="1">
        <v>9.925107073581034E-2</v>
      </c>
      <c r="BM21" s="1">
        <v>3.2630455765925111E-2</v>
      </c>
      <c r="BN21" s="1">
        <v>9.0428701533375552E-2</v>
      </c>
      <c r="BO21" s="1">
        <v>-7.5999661817548594E-2</v>
      </c>
      <c r="BP21" s="1">
        <v>0.15026246210029801</v>
      </c>
      <c r="BQ21" s="1">
        <v>4.8842509004077841E-2</v>
      </c>
      <c r="BR21" s="1">
        <v>-0.13231543365808979</v>
      </c>
      <c r="BS21" s="1">
        <v>-5.8352729499197342E-2</v>
      </c>
      <c r="BT21" s="1">
        <v>0.1271283605413876</v>
      </c>
      <c r="BU21" s="1">
        <v>4.1646778660482817E-2</v>
      </c>
      <c r="BV21" s="1">
        <v>8.2898608255842582E-2</v>
      </c>
      <c r="BW21" s="1">
        <v>-0.16629998083259021</v>
      </c>
      <c r="BX21" s="1">
        <v>2.391535461742542E-2</v>
      </c>
      <c r="BY21" s="1">
        <v>-2.8272016126889649E-2</v>
      </c>
      <c r="BZ21" s="1">
        <v>-2.6436234412509699E-2</v>
      </c>
      <c r="CA21" s="1">
        <v>-6.2796324474411358E-2</v>
      </c>
      <c r="CB21" s="1">
        <v>2.3837369361392701E-2</v>
      </c>
      <c r="CC21" s="1">
        <v>0.1005965360590674</v>
      </c>
      <c r="CD21" s="1">
        <v>-7.0589741737740949E-2</v>
      </c>
      <c r="CE21" s="1">
        <v>-8.8644778287899524E-3</v>
      </c>
      <c r="CF21" s="1">
        <v>4.8118143540510597E-2</v>
      </c>
      <c r="CG21" s="1">
        <v>-2.3388539828763221E-2</v>
      </c>
      <c r="CH21" s="1">
        <v>1.1450903791963601E-2</v>
      </c>
      <c r="CI21" s="1">
        <v>3.9617157701629928E-2</v>
      </c>
      <c r="CJ21" s="1">
        <v>3.620076920121187E-3</v>
      </c>
      <c r="CK21" s="1">
        <v>-4.8523424749222492E-2</v>
      </c>
      <c r="CL21" s="1">
        <v>-0.15378371110029609</v>
      </c>
      <c r="CM21" s="1">
        <v>9.4026482398613498E-2</v>
      </c>
      <c r="CN21" s="1">
        <v>0.14956702676220851</v>
      </c>
      <c r="CO21" s="1">
        <v>0.112502377007541</v>
      </c>
      <c r="CP21" s="1">
        <v>0.1980505804533596</v>
      </c>
      <c r="CQ21" s="1">
        <v>-0.2212646688500835</v>
      </c>
      <c r="CR21" s="1">
        <v>-0.15460024395710761</v>
      </c>
      <c r="CS21" s="1">
        <v>4.3625927659281027E-2</v>
      </c>
      <c r="CT21" s="1">
        <v>-0.10187327598717499</v>
      </c>
      <c r="CU21" s="1">
        <v>-7.3702180607089857E-2</v>
      </c>
      <c r="CV21" s="1">
        <v>-5.8264071453392637E-2</v>
      </c>
      <c r="CW21" s="1">
        <v>2.71511888109865E-2</v>
      </c>
      <c r="CX21" s="1">
        <v>4.9242248789215098E-2</v>
      </c>
      <c r="CY21" s="1">
        <v>-8.1119542208941769E-2</v>
      </c>
      <c r="CZ21" s="1">
        <v>8.1906294858415468E-2</v>
      </c>
      <c r="DA21" s="1">
        <v>-1.869652373040075E-2</v>
      </c>
      <c r="DB21" s="1">
        <v>0.1720278893195363</v>
      </c>
      <c r="DC21" s="1">
        <v>-0.13663151957478539</v>
      </c>
      <c r="DD21" s="1">
        <v>9.5778361845015314E-3</v>
      </c>
      <c r="DE21" s="1">
        <v>7.3760657348376182E-2</v>
      </c>
      <c r="DF21" s="1">
        <v>-8.0758624496772444E-2</v>
      </c>
      <c r="DG21" s="1">
        <v>-3.0551426035613529E-2</v>
      </c>
      <c r="DH21" s="1">
        <v>-1.22744144419217E-2</v>
      </c>
      <c r="DI21" s="1">
        <v>7.8957518616652608E-2</v>
      </c>
      <c r="DJ21" s="1">
        <v>0.14827264440288709</v>
      </c>
      <c r="DK21" s="1">
        <v>-1.099086141431517E-2</v>
      </c>
      <c r="DL21" s="1">
        <v>-5.8016860018791083E-2</v>
      </c>
      <c r="DM21" s="1">
        <v>-0.17279746619068559</v>
      </c>
      <c r="DN21" s="1">
        <v>-3.8329244196542843E-2</v>
      </c>
      <c r="DO21" s="1">
        <v>-5.3508603789747013E-2</v>
      </c>
      <c r="DP21" s="1">
        <v>-5.3008721245457843E-2</v>
      </c>
      <c r="DQ21" s="1">
        <v>-7.8585761553588679E-2</v>
      </c>
      <c r="DR21" s="1">
        <v>2.338795468302448E-2</v>
      </c>
      <c r="DS21" s="1">
        <v>5.7552840810003593E-2</v>
      </c>
      <c r="DT21" s="1">
        <v>5.4627214600170011E-2</v>
      </c>
      <c r="DU21" s="1">
        <v>1.56578310797106E-2</v>
      </c>
      <c r="DV21" s="1">
        <v>-2.474639112866801E-2</v>
      </c>
      <c r="DW21" s="1">
        <v>0.12946161299762771</v>
      </c>
      <c r="DX21" s="1">
        <v>1.075661109313428E-3</v>
      </c>
      <c r="DY21" s="1">
        <v>2.1405240620780999E-2</v>
      </c>
      <c r="DZ21" s="1">
        <v>2.8577986744951229E-2</v>
      </c>
      <c r="EA21" s="1">
        <v>4.3166640555219397E-2</v>
      </c>
      <c r="EB21" s="1">
        <v>1.3076060132007791E-2</v>
      </c>
      <c r="EC21" s="1">
        <v>1.2779655863860829E-2</v>
      </c>
      <c r="ED21" s="1">
        <v>7.4490617321158886E-2</v>
      </c>
      <c r="EE21" s="1">
        <v>2.5631186582519679E-2</v>
      </c>
      <c r="EF21" s="1">
        <v>0.101233900908465</v>
      </c>
      <c r="EG21" s="46">
        <f t="shared" si="0"/>
        <v>7.8823260684463173E-2</v>
      </c>
      <c r="EH21" s="25">
        <f t="shared" si="1"/>
        <v>0.25531935169565656</v>
      </c>
      <c r="EI21" s="46">
        <f t="shared" si="2"/>
        <v>0.30872419251017585</v>
      </c>
    </row>
    <row r="22" spans="1:139" ht="16" customHeight="1">
      <c r="A22" s="6">
        <v>192</v>
      </c>
      <c r="B22" s="6">
        <v>5</v>
      </c>
      <c r="C22" s="9">
        <v>0.89798478135778881</v>
      </c>
      <c r="D22" s="9">
        <v>0.94543461730038048</v>
      </c>
      <c r="E22" s="9">
        <v>0.73386991122812639</v>
      </c>
      <c r="F22" s="9">
        <v>1.197341782651421</v>
      </c>
      <c r="G22" s="9">
        <v>0.76583068363062146</v>
      </c>
      <c r="H22" s="9">
        <v>0.69624213521707223</v>
      </c>
      <c r="I22" s="9">
        <v>0.67505622873446913</v>
      </c>
      <c r="J22" s="9">
        <v>0.83838692223881606</v>
      </c>
      <c r="K22" s="9">
        <v>0.91933406661063111</v>
      </c>
      <c r="L22" s="2">
        <v>0.80295741996208558</v>
      </c>
      <c r="M22" s="2">
        <v>1.1686636529269461</v>
      </c>
      <c r="N22" s="2">
        <v>0.89526735840343419</v>
      </c>
      <c r="O22" s="1">
        <v>0.1175307280459226</v>
      </c>
      <c r="P22" s="1">
        <v>2.2332824926016241E-2</v>
      </c>
      <c r="Q22" s="1">
        <v>-0.11453169397326871</v>
      </c>
      <c r="R22" s="1">
        <v>-5.753054520130859E-2</v>
      </c>
      <c r="S22" s="1">
        <v>-0.28163244382220581</v>
      </c>
      <c r="T22" s="1">
        <v>3.4378815733230067E-2</v>
      </c>
      <c r="U22" s="1">
        <v>2.0840616062457181E-2</v>
      </c>
      <c r="V22" s="1">
        <v>5.7534211652579381E-2</v>
      </c>
      <c r="W22" s="1">
        <v>3.6572369306607913E-2</v>
      </c>
      <c r="X22" s="1">
        <v>8.5487621634552008E-2</v>
      </c>
      <c r="Y22" s="1">
        <v>4.7431466314694221E-3</v>
      </c>
      <c r="Z22" s="1">
        <v>7.4027168257954579E-2</v>
      </c>
      <c r="AA22" s="1">
        <v>-0.12390598158318911</v>
      </c>
      <c r="AB22" s="1">
        <v>-2.9838534361080721E-2</v>
      </c>
      <c r="AC22" s="1">
        <v>1.7221723694356761E-2</v>
      </c>
      <c r="AD22" s="1">
        <v>8.4152137353024584E-2</v>
      </c>
      <c r="AE22" s="1">
        <v>-6.6617836306928982E-2</v>
      </c>
      <c r="AF22" s="1">
        <v>0.21306705372439949</v>
      </c>
      <c r="AG22" s="1">
        <v>-3.5531536773574367E-2</v>
      </c>
      <c r="AH22" s="1">
        <v>-2.8150244291549369E-2</v>
      </c>
      <c r="AI22" s="1">
        <v>-4.2319198847756971E-2</v>
      </c>
      <c r="AJ22" s="1">
        <v>-5.003417188353184E-2</v>
      </c>
      <c r="AK22" s="1">
        <v>-5.4383742590992441E-2</v>
      </c>
      <c r="AL22" s="1">
        <v>-9.4575934088606595E-2</v>
      </c>
      <c r="AM22" s="1">
        <v>0.20070309395378619</v>
      </c>
      <c r="AN22" s="1">
        <v>-2.7928522830304281E-2</v>
      </c>
      <c r="AO22" s="1">
        <v>-0.15459112204746361</v>
      </c>
      <c r="AP22" s="1">
        <v>-0.1003417130030637</v>
      </c>
      <c r="AQ22" s="1">
        <v>0.24310312388051411</v>
      </c>
      <c r="AR22" s="1">
        <v>7.9033538267286804E-3</v>
      </c>
      <c r="AS22" s="1">
        <v>-2.897108081466538E-2</v>
      </c>
      <c r="AT22" s="1">
        <v>9.9337328745661771E-3</v>
      </c>
      <c r="AU22" s="1">
        <v>1.440967532659536E-2</v>
      </c>
      <c r="AV22" s="1">
        <v>-5.1610685200664738E-3</v>
      </c>
      <c r="AW22" s="1">
        <v>-7.3411247625852327E-2</v>
      </c>
      <c r="AX22" s="1">
        <v>-3.2674180711458597E-2</v>
      </c>
      <c r="AY22" s="1">
        <v>1.152489913852661E-2</v>
      </c>
      <c r="AZ22" s="1">
        <v>-1.495567867147375E-2</v>
      </c>
      <c r="BA22" s="1">
        <v>-8.1267139327273353E-3</v>
      </c>
      <c r="BB22" s="1">
        <v>-0.14818362612417951</v>
      </c>
      <c r="BC22" s="1">
        <v>-1.6384161803204639E-2</v>
      </c>
      <c r="BD22" s="1">
        <v>4.8133687453452589E-2</v>
      </c>
      <c r="BE22" s="1">
        <v>-1.411130813937133E-2</v>
      </c>
      <c r="BF22" s="1">
        <v>7.6703927980230041E-2</v>
      </c>
      <c r="BG22" s="1">
        <v>0.1177980068158839</v>
      </c>
      <c r="BH22" s="1">
        <v>0.1022855524662737</v>
      </c>
      <c r="BI22" s="1">
        <v>-5.9359815975830607E-2</v>
      </c>
      <c r="BJ22" s="1">
        <v>0.10059797520112911</v>
      </c>
      <c r="BK22" s="1">
        <v>7.132454366650684E-2</v>
      </c>
      <c r="BL22" s="1">
        <v>0.1076052157965192</v>
      </c>
      <c r="BM22" s="1">
        <v>4.6199085270258629E-2</v>
      </c>
      <c r="BN22" s="1">
        <v>4.6172829281594482E-2</v>
      </c>
      <c r="BO22" s="1">
        <v>-4.3368169161328421E-2</v>
      </c>
      <c r="BP22" s="1">
        <v>0.18031495452035759</v>
      </c>
      <c r="BQ22" s="1">
        <v>-1.5210643875950751E-2</v>
      </c>
      <c r="BR22" s="1">
        <v>-0.16110020907113651</v>
      </c>
      <c r="BS22" s="1">
        <v>-7.338908995040351E-2</v>
      </c>
      <c r="BT22" s="1">
        <v>0.1242395124864721</v>
      </c>
      <c r="BU22" s="1">
        <v>-2.5096024396515058E-2</v>
      </c>
      <c r="BV22" s="1">
        <v>0.106444592582925</v>
      </c>
      <c r="BW22" s="1">
        <v>-0.1496586094590977</v>
      </c>
      <c r="BX22" s="1">
        <v>1.8271861483143241E-2</v>
      </c>
      <c r="BY22" s="1">
        <v>-3.6573234538187373E-2</v>
      </c>
      <c r="BZ22" s="1">
        <v>2.1943516973826141E-2</v>
      </c>
      <c r="CA22" s="1">
        <v>-5.5700306852370818E-2</v>
      </c>
      <c r="CB22" s="1">
        <v>-9.96846148854591E-3</v>
      </c>
      <c r="CC22" s="1">
        <v>0.1207158432708809</v>
      </c>
      <c r="CD22" s="1">
        <v>-6.5341471556282837E-2</v>
      </c>
      <c r="CE22" s="1">
        <v>-7.563679695284254E-4</v>
      </c>
      <c r="CF22" s="1">
        <v>2.0681813701312609E-2</v>
      </c>
      <c r="CG22" s="1">
        <v>-1.8927559817228989E-2</v>
      </c>
      <c r="CH22" s="1">
        <v>2.3059611651124291E-2</v>
      </c>
      <c r="CI22" s="1">
        <v>6.6733110144397673E-2</v>
      </c>
      <c r="CJ22" s="1">
        <v>-1.129022838360756E-2</v>
      </c>
      <c r="CK22" s="1">
        <v>-5.9201520325501862E-2</v>
      </c>
      <c r="CL22" s="1">
        <v>-0.1677853999895085</v>
      </c>
      <c r="CM22" s="1">
        <v>6.042671110665275E-2</v>
      </c>
      <c r="CN22" s="1">
        <v>0.16526469760472179</v>
      </c>
      <c r="CO22" s="1">
        <v>0.16001139226870439</v>
      </c>
      <c r="CP22" s="1">
        <v>0.20616852753448889</v>
      </c>
      <c r="CQ22" s="1">
        <v>-0.29882954905921821</v>
      </c>
      <c r="CR22" s="1">
        <v>-0.19007887133551879</v>
      </c>
      <c r="CS22" s="1">
        <v>6.2157143337404498E-2</v>
      </c>
      <c r="CT22" s="1">
        <v>-0.18244317950776401</v>
      </c>
      <c r="CU22" s="1">
        <v>-5.9669283805368643E-2</v>
      </c>
      <c r="CV22" s="1">
        <v>-8.5542167600861085E-2</v>
      </c>
      <c r="CW22" s="1">
        <v>-6.7954545678800566E-3</v>
      </c>
      <c r="CX22" s="1">
        <v>9.7950625248405948E-3</v>
      </c>
      <c r="CY22" s="1">
        <v>-0.10904880589040079</v>
      </c>
      <c r="CZ22" s="1">
        <v>0.10948323803269119</v>
      </c>
      <c r="DA22" s="1">
        <v>-5.4278230570163961E-2</v>
      </c>
      <c r="DB22" s="1">
        <v>3.7973493666997413E-2</v>
      </c>
      <c r="DC22" s="1">
        <v>-0.10079786314021009</v>
      </c>
      <c r="DD22" s="1">
        <v>1.003055449733792E-2</v>
      </c>
      <c r="DE22" s="1">
        <v>5.9503490380534568E-2</v>
      </c>
      <c r="DF22" s="1">
        <v>-4.997940353445144E-2</v>
      </c>
      <c r="DG22" s="1">
        <v>1.199474007399212E-2</v>
      </c>
      <c r="DH22" s="1">
        <v>-3.7358449283709863E-2</v>
      </c>
      <c r="DI22" s="1">
        <v>6.4370661463254389E-2</v>
      </c>
      <c r="DJ22" s="1">
        <v>0.17245570744115779</v>
      </c>
      <c r="DK22" s="1">
        <v>2.8400558129505121E-2</v>
      </c>
      <c r="DL22" s="1">
        <v>-4.5152305403100723E-2</v>
      </c>
      <c r="DM22" s="1">
        <v>-0.1910700624683232</v>
      </c>
      <c r="DN22" s="1">
        <v>-7.7746476907317771E-2</v>
      </c>
      <c r="DO22" s="1">
        <v>-5.4920463544912347E-2</v>
      </c>
      <c r="DP22" s="1">
        <v>-6.9092978109511788E-2</v>
      </c>
      <c r="DQ22" s="1">
        <v>-6.2392528206771103E-3</v>
      </c>
      <c r="DR22" s="1">
        <v>2.9050769286840559E-2</v>
      </c>
      <c r="DS22" s="1">
        <v>6.2384151690431738E-2</v>
      </c>
      <c r="DT22" s="1">
        <v>5.5342800952912038E-2</v>
      </c>
      <c r="DU22" s="1">
        <v>3.4850028946554978E-2</v>
      </c>
      <c r="DV22" s="1">
        <v>-3.8393354873422228E-2</v>
      </c>
      <c r="DW22" s="1">
        <v>4.8845141818356752E-2</v>
      </c>
      <c r="DX22" s="1">
        <v>5.8677129366995883E-3</v>
      </c>
      <c r="DY22" s="1">
        <v>1.8725299723242769E-2</v>
      </c>
      <c r="DZ22" s="1">
        <v>4.7652751547276509E-2</v>
      </c>
      <c r="EA22" s="1">
        <v>4.5115538660738301E-2</v>
      </c>
      <c r="EB22" s="1">
        <v>-1.676684677380164E-3</v>
      </c>
      <c r="EC22" s="1">
        <v>1.389283957189465E-2</v>
      </c>
      <c r="ED22" s="1">
        <v>7.5847776048919971E-2</v>
      </c>
      <c r="EE22" s="1">
        <v>2.4867610335870101E-2</v>
      </c>
      <c r="EF22" s="1">
        <v>8.0230117438153961E-2</v>
      </c>
      <c r="EG22" s="46">
        <f t="shared" si="0"/>
        <v>7.9671923702929151E-2</v>
      </c>
      <c r="EH22" s="25">
        <f t="shared" si="1"/>
        <v>0.27110829366570549</v>
      </c>
      <c r="EI22" s="46">
        <f t="shared" si="2"/>
        <v>0.29387490373558955</v>
      </c>
    </row>
    <row r="23" spans="1:139" ht="16" customHeight="1">
      <c r="A23" s="6">
        <v>241</v>
      </c>
      <c r="B23" s="6">
        <v>4</v>
      </c>
      <c r="C23" s="9">
        <v>0.89783896967174559</v>
      </c>
      <c r="D23" s="9">
        <v>1.0020828641417929</v>
      </c>
      <c r="E23" s="9">
        <v>0.78060473193313129</v>
      </c>
      <c r="F23" s="9">
        <v>1.2842883581113269</v>
      </c>
      <c r="G23" s="9">
        <v>0.802634884371353</v>
      </c>
      <c r="H23" s="9">
        <v>0.72491377556269598</v>
      </c>
      <c r="I23" s="9">
        <v>0.70115460797250995</v>
      </c>
      <c r="J23" s="9">
        <v>0.88608965698580133</v>
      </c>
      <c r="K23" s="9">
        <v>1.026246552056266</v>
      </c>
      <c r="L23" s="2">
        <v>0.86975802325047802</v>
      </c>
      <c r="M23" s="2">
        <v>1.256207384188867</v>
      </c>
      <c r="N23" s="2">
        <v>0.98784075557128825</v>
      </c>
      <c r="O23" s="1">
        <v>0.1060648503796984</v>
      </c>
      <c r="P23" s="1">
        <v>3.0767552266086549E-2</v>
      </c>
      <c r="Q23" s="1">
        <v>-0.19146939014088249</v>
      </c>
      <c r="R23" s="1">
        <v>-8.5418074094239599E-2</v>
      </c>
      <c r="S23" s="1">
        <v>3.2310906147136049E-3</v>
      </c>
      <c r="T23" s="1">
        <v>8.9324819748786408E-2</v>
      </c>
      <c r="U23" s="1">
        <v>3.614962183530207E-2</v>
      </c>
      <c r="V23" s="1">
        <v>1.3187181107135709E-2</v>
      </c>
      <c r="W23" s="1">
        <v>2.9262156990866931E-2</v>
      </c>
      <c r="X23" s="1">
        <v>7.9534653942819805E-2</v>
      </c>
      <c r="Y23" s="1">
        <v>-2.1091062844106681E-3</v>
      </c>
      <c r="Z23" s="1">
        <v>4.7424042287321763E-2</v>
      </c>
      <c r="AA23" s="1">
        <v>-8.8434891544418998E-2</v>
      </c>
      <c r="AB23" s="1">
        <v>-2.1286599446455081E-2</v>
      </c>
      <c r="AC23" s="1">
        <v>2.1961257869925779E-2</v>
      </c>
      <c r="AD23" s="1">
        <v>0.1276167581354575</v>
      </c>
      <c r="AE23" s="1">
        <v>-8.1830038289013779E-2</v>
      </c>
      <c r="AF23" s="1">
        <v>0.24783001104101779</v>
      </c>
      <c r="AG23" s="1">
        <v>-2.848647309891569E-2</v>
      </c>
      <c r="AH23" s="1">
        <v>-1.1587424472469601E-2</v>
      </c>
      <c r="AI23" s="1">
        <v>-3.8013934496405728E-2</v>
      </c>
      <c r="AJ23" s="1">
        <v>-1.8953338048988119E-2</v>
      </c>
      <c r="AK23" s="1">
        <v>-3.7866538097322142E-2</v>
      </c>
      <c r="AL23" s="1">
        <v>-0.10161843378266661</v>
      </c>
      <c r="AM23" s="1">
        <v>0.23315200876376399</v>
      </c>
      <c r="AN23" s="1">
        <v>-4.0887481917513124E-3</v>
      </c>
      <c r="AO23" s="1">
        <v>-8.7094926745197102E-2</v>
      </c>
      <c r="AP23" s="1">
        <v>-0.1122264720016703</v>
      </c>
      <c r="AQ23" s="1">
        <v>0.2026803335006554</v>
      </c>
      <c r="AR23" s="1">
        <v>-1.245507381966096E-3</v>
      </c>
      <c r="AS23" s="1">
        <v>-1.7496950601188641E-2</v>
      </c>
      <c r="AT23" s="1">
        <v>1.708445761002433E-2</v>
      </c>
      <c r="AU23" s="1">
        <v>6.9478499529214352E-3</v>
      </c>
      <c r="AV23" s="1">
        <v>-1.276226514872165E-2</v>
      </c>
      <c r="AW23" s="1">
        <v>-0.10772528717250569</v>
      </c>
      <c r="AX23" s="1">
        <v>-5.357635631632883E-2</v>
      </c>
      <c r="AY23" s="1">
        <v>3.3665897163803457E-2</v>
      </c>
      <c r="AZ23" s="1">
        <v>1.250583044894057E-2</v>
      </c>
      <c r="BA23" s="1">
        <v>-2.7224161205473388E-2</v>
      </c>
      <c r="BB23" s="1">
        <v>-9.8709291559867379E-2</v>
      </c>
      <c r="BC23" s="1">
        <v>2.5402165216535249E-2</v>
      </c>
      <c r="BD23" s="1">
        <v>-2.1044623283766429E-2</v>
      </c>
      <c r="BE23" s="1">
        <v>-6.1636101776957913E-2</v>
      </c>
      <c r="BF23" s="1">
        <v>8.744266379112732E-2</v>
      </c>
      <c r="BG23" s="1">
        <v>0.11621240092235589</v>
      </c>
      <c r="BH23" s="1">
        <v>4.9555146577335507E-2</v>
      </c>
      <c r="BI23" s="1">
        <v>-5.9572683921310488E-2</v>
      </c>
      <c r="BJ23" s="1">
        <v>0.1358072297964569</v>
      </c>
      <c r="BK23" s="1">
        <v>0.1132077049319393</v>
      </c>
      <c r="BL23" s="1">
        <v>0.12937905251924131</v>
      </c>
      <c r="BM23" s="1">
        <v>3.4113211791341198E-2</v>
      </c>
      <c r="BN23" s="1">
        <v>3.9265042956152747E-2</v>
      </c>
      <c r="BO23" s="1">
        <v>1.0631557711881141E-2</v>
      </c>
      <c r="BP23" s="1">
        <v>0.23088660343644851</v>
      </c>
      <c r="BQ23" s="1">
        <v>1.828030839173956E-2</v>
      </c>
      <c r="BR23" s="1">
        <v>-0.17751187152434689</v>
      </c>
      <c r="BS23" s="1">
        <v>-4.2872972641788347E-2</v>
      </c>
      <c r="BT23" s="1">
        <v>0.16568482900009801</v>
      </c>
      <c r="BU23" s="1">
        <v>-1.3224713035923151E-2</v>
      </c>
      <c r="BV23" s="1">
        <v>6.1813873247395512E-2</v>
      </c>
      <c r="BW23" s="1">
        <v>-0.21452699896060989</v>
      </c>
      <c r="BX23" s="1">
        <v>1.5484342741650141E-2</v>
      </c>
      <c r="BY23" s="1">
        <v>-3.6768693404570008E-2</v>
      </c>
      <c r="BZ23" s="1">
        <v>-0.1175667127391552</v>
      </c>
      <c r="CA23" s="1">
        <v>-5.4048985180864803E-2</v>
      </c>
      <c r="CB23" s="1">
        <v>1.2747026471429249E-3</v>
      </c>
      <c r="CC23" s="1">
        <v>7.5534654590331068E-2</v>
      </c>
      <c r="CD23" s="1">
        <v>-8.1232169019391384E-2</v>
      </c>
      <c r="CE23" s="1">
        <v>3.8064709514119329E-3</v>
      </c>
      <c r="CF23" s="1">
        <v>2.4796562843735069E-2</v>
      </c>
      <c r="CG23" s="1">
        <v>5.2759811004695983E-2</v>
      </c>
      <c r="CH23" s="1">
        <v>5.0615917773975207E-2</v>
      </c>
      <c r="CI23" s="1">
        <v>4.9728700655381007E-2</v>
      </c>
      <c r="CJ23" s="1">
        <v>-2.8200575176673778E-2</v>
      </c>
      <c r="CK23" s="1">
        <v>-6.5740088928728416E-2</v>
      </c>
      <c r="CL23" s="1">
        <v>-0.2132961036855083</v>
      </c>
      <c r="CM23" s="1">
        <v>3.52462366295902E-2</v>
      </c>
      <c r="CN23" s="1">
        <v>9.7932664997628482E-2</v>
      </c>
      <c r="CO23" s="1">
        <v>0.17895133305220429</v>
      </c>
      <c r="CP23" s="1">
        <v>0.18968170465102729</v>
      </c>
      <c r="CQ23" s="1">
        <v>-0.29565562468387829</v>
      </c>
      <c r="CR23" s="1">
        <v>-0.16736738314521121</v>
      </c>
      <c r="CS23" s="1">
        <v>6.1774128985310178E-2</v>
      </c>
      <c r="CT23" s="1">
        <v>-8.291926477736232E-2</v>
      </c>
      <c r="CU23" s="1">
        <v>-7.5996710301153639E-2</v>
      </c>
      <c r="CV23" s="1">
        <v>-0.1012419188380962</v>
      </c>
      <c r="CW23" s="1">
        <v>-3.2629762449060781E-2</v>
      </c>
      <c r="CX23" s="1">
        <v>1.9190105205189201E-2</v>
      </c>
      <c r="CY23" s="1">
        <v>-6.5949245481599986E-2</v>
      </c>
      <c r="CZ23" s="1">
        <v>0.15117998986954789</v>
      </c>
      <c r="DA23" s="1">
        <v>-7.7619402696181922E-2</v>
      </c>
      <c r="DB23" s="1">
        <v>5.0138627212063219E-2</v>
      </c>
      <c r="DC23" s="1">
        <v>-0.1040982496627743</v>
      </c>
      <c r="DD23" s="1">
        <v>1.178654081654182E-2</v>
      </c>
      <c r="DE23" s="1">
        <v>1.9740148226272292E-2</v>
      </c>
      <c r="DF23" s="1">
        <v>-4.0654908273175833E-2</v>
      </c>
      <c r="DG23" s="1">
        <v>-1.469361168963345E-2</v>
      </c>
      <c r="DH23" s="1">
        <v>-4.9906332759142878E-2</v>
      </c>
      <c r="DI23" s="1">
        <v>5.8000688575727058E-2</v>
      </c>
      <c r="DJ23" s="1">
        <v>0.16072930514581729</v>
      </c>
      <c r="DK23" s="1">
        <v>4.9668729531762837E-2</v>
      </c>
      <c r="DL23" s="1">
        <v>-0.13239744137775911</v>
      </c>
      <c r="DM23" s="1">
        <v>-0.18287766959937449</v>
      </c>
      <c r="DN23" s="1">
        <v>-5.8299937357359957E-2</v>
      </c>
      <c r="DO23" s="1">
        <v>-6.4936699873838682E-2</v>
      </c>
      <c r="DP23" s="1">
        <v>-8.7197177612278715E-2</v>
      </c>
      <c r="DQ23" s="1">
        <v>-6.7701313948516362E-5</v>
      </c>
      <c r="DR23" s="1">
        <v>1.329433390134784E-2</v>
      </c>
      <c r="DS23" s="1">
        <v>1.9041483276053449E-2</v>
      </c>
      <c r="DT23" s="1">
        <v>2.750568834157285E-2</v>
      </c>
      <c r="DU23" s="1">
        <v>4.399344138423731E-2</v>
      </c>
      <c r="DV23" s="1">
        <v>-5.8315208206769102E-2</v>
      </c>
      <c r="DW23" s="1">
        <v>6.5352586330569507E-2</v>
      </c>
      <c r="DX23" s="1">
        <v>1.766456743639554E-2</v>
      </c>
      <c r="DY23" s="1">
        <v>-4.431557087457811E-2</v>
      </c>
      <c r="DZ23" s="1">
        <v>6.1710545358991738E-2</v>
      </c>
      <c r="EA23" s="1">
        <v>5.5283081345048772E-2</v>
      </c>
      <c r="EB23" s="1">
        <v>3.5098692001998238E-3</v>
      </c>
      <c r="EC23" s="1">
        <v>3.185825304075024E-3</v>
      </c>
      <c r="ED23" s="1">
        <v>9.0028621442761025E-2</v>
      </c>
      <c r="EE23" s="1">
        <v>3.6135189749217457E-2</v>
      </c>
      <c r="EF23" s="1">
        <v>7.6086492595632507E-2</v>
      </c>
      <c r="EG23" s="46">
        <f t="shared" si="0"/>
        <v>8.5768197740044919E-2</v>
      </c>
      <c r="EH23" s="25">
        <f t="shared" si="1"/>
        <v>0.28710095380407002</v>
      </c>
      <c r="EI23" s="46">
        <f t="shared" si="2"/>
        <v>0.29873881157001242</v>
      </c>
    </row>
    <row r="24" spans="1:139" ht="16" customHeight="1">
      <c r="A24" s="6">
        <v>321</v>
      </c>
      <c r="B24" s="6">
        <v>3</v>
      </c>
      <c r="C24" s="9">
        <v>0.98736986204569799</v>
      </c>
      <c r="D24" s="9">
        <v>1.094271324089658</v>
      </c>
      <c r="E24" s="9">
        <v>0.82743789931966227</v>
      </c>
      <c r="F24" s="9">
        <v>1.351826780711425</v>
      </c>
      <c r="G24" s="9">
        <v>0.82579708423586151</v>
      </c>
      <c r="H24" s="9">
        <v>0.69623533527332526</v>
      </c>
      <c r="I24" s="9">
        <v>0.70311817853932801</v>
      </c>
      <c r="J24" s="9">
        <v>0.94552337808971632</v>
      </c>
      <c r="K24" s="9">
        <v>1.187407043672329</v>
      </c>
      <c r="L24" s="2">
        <v>1.002472657402756</v>
      </c>
      <c r="M24" s="2">
        <v>1.4450191057373489</v>
      </c>
      <c r="N24" s="2">
        <v>1.1048150966807651</v>
      </c>
      <c r="O24" s="1">
        <v>9.5951270412425016E-2</v>
      </c>
      <c r="P24" s="1">
        <v>1.9855609954055421E-2</v>
      </c>
      <c r="Q24" s="1">
        <v>-0.34936842745947738</v>
      </c>
      <c r="R24" s="1">
        <v>-4.446913376772331E-2</v>
      </c>
      <c r="S24" s="1">
        <v>-2.876006701481831E-2</v>
      </c>
      <c r="T24" s="1">
        <v>0.10289639562875021</v>
      </c>
      <c r="U24" s="1">
        <v>-2.171519778305608E-2</v>
      </c>
      <c r="V24" s="1">
        <v>9.9829252998761275E-3</v>
      </c>
      <c r="W24" s="1">
        <v>8.3020961182600148E-2</v>
      </c>
      <c r="X24" s="1">
        <v>0.1000850497697718</v>
      </c>
      <c r="Y24" s="1">
        <v>-2.1809849451659511E-2</v>
      </c>
      <c r="Z24" s="1">
        <v>3.092923753549293E-2</v>
      </c>
      <c r="AA24" s="1">
        <v>-7.3338112296670976E-2</v>
      </c>
      <c r="AB24" s="1">
        <v>-1.1586439349951461E-2</v>
      </c>
      <c r="AC24" s="1">
        <v>3.5941748212258748E-2</v>
      </c>
      <c r="AD24" s="1">
        <v>4.9999952278119937E-2</v>
      </c>
      <c r="AE24" s="1">
        <v>-8.1122845294005166E-2</v>
      </c>
      <c r="AF24" s="1">
        <v>0.27542439334803609</v>
      </c>
      <c r="AG24" s="1">
        <v>2.797205062300331E-2</v>
      </c>
      <c r="AH24" s="1">
        <v>3.5085512931502312E-2</v>
      </c>
      <c r="AI24" s="1">
        <v>-0.15058733446806849</v>
      </c>
      <c r="AJ24" s="1">
        <v>2.7868636228890048E-4</v>
      </c>
      <c r="AK24" s="1">
        <v>-6.2743331026272275E-2</v>
      </c>
      <c r="AL24" s="1">
        <v>-5.2143047489657333E-2</v>
      </c>
      <c r="AM24" s="1">
        <v>0.14555517710727969</v>
      </c>
      <c r="AN24" s="1">
        <v>8.0952555443258745E-2</v>
      </c>
      <c r="AO24" s="1">
        <v>-9.3240229385543563E-2</v>
      </c>
      <c r="AP24" s="1">
        <v>-0.1664252019949792</v>
      </c>
      <c r="AQ24" s="1">
        <v>0.40213417609970242</v>
      </c>
      <c r="AR24" s="1">
        <v>4.1833659599704143E-2</v>
      </c>
      <c r="AS24" s="1">
        <v>-5.1664866614316289E-2</v>
      </c>
      <c r="AT24" s="1">
        <v>3.2672261312832157E-2</v>
      </c>
      <c r="AU24" s="1">
        <v>-4.8831637304284872E-2</v>
      </c>
      <c r="AV24" s="1">
        <v>-4.3739625189257864E-3</v>
      </c>
      <c r="AW24" s="1">
        <v>-6.2517800100496318E-2</v>
      </c>
      <c r="AX24" s="1">
        <v>-6.0009663578711299E-2</v>
      </c>
      <c r="AY24" s="1">
        <v>-0.10172032392576991</v>
      </c>
      <c r="AZ24" s="1">
        <v>-5.3830868757232489E-2</v>
      </c>
      <c r="BA24" s="1">
        <v>-6.8409471458415222E-2</v>
      </c>
      <c r="BB24" s="1">
        <v>-0.17617855240058419</v>
      </c>
      <c r="BC24" s="1">
        <v>2.832157534220979E-2</v>
      </c>
      <c r="BD24" s="1">
        <v>-7.1088477999721456E-2</v>
      </c>
      <c r="BE24" s="1">
        <v>-3.2158538731974932E-2</v>
      </c>
      <c r="BF24" s="1">
        <v>8.9507660963876523E-2</v>
      </c>
      <c r="BG24" s="1">
        <v>0.12525192010263231</v>
      </c>
      <c r="BH24" s="1">
        <v>0.10441599905891399</v>
      </c>
      <c r="BI24" s="1">
        <v>-0.1239840943256926</v>
      </c>
      <c r="BJ24" s="1">
        <v>0.1581402267090031</v>
      </c>
      <c r="BK24" s="1">
        <v>0.1089012263604166</v>
      </c>
      <c r="BL24" s="1">
        <v>0.16992546167277689</v>
      </c>
      <c r="BM24" s="1">
        <v>3.5128318113685823E-2</v>
      </c>
      <c r="BN24" s="1">
        <v>8.155433629090815E-2</v>
      </c>
      <c r="BO24" s="1">
        <v>-4.2193027254465817E-2</v>
      </c>
      <c r="BP24" s="1">
        <v>0.26185376197336668</v>
      </c>
      <c r="BQ24" s="1">
        <v>1.724416000965124E-2</v>
      </c>
      <c r="BR24" s="1">
        <v>-0.16405140914596991</v>
      </c>
      <c r="BS24" s="1">
        <v>-1.639744520312381E-2</v>
      </c>
      <c r="BT24" s="1">
        <v>4.878819734375936E-2</v>
      </c>
      <c r="BU24" s="1">
        <v>-1.6244322814751459E-2</v>
      </c>
      <c r="BV24" s="1">
        <v>0.1084025556577473</v>
      </c>
      <c r="BW24" s="1">
        <v>-0.1716963636649709</v>
      </c>
      <c r="BX24" s="1">
        <v>-1.9924632314752631E-2</v>
      </c>
      <c r="BY24" s="1">
        <v>6.4456250926684083E-2</v>
      </c>
      <c r="BZ24" s="1">
        <v>-4.494226971405188E-2</v>
      </c>
      <c r="CA24" s="1">
        <v>-5.9220121470078768E-2</v>
      </c>
      <c r="CB24" s="1">
        <v>1.4423190028550151E-2</v>
      </c>
      <c r="CC24" s="1">
        <v>4.1339582807023233E-2</v>
      </c>
      <c r="CD24" s="1">
        <v>-7.3084910734996594E-2</v>
      </c>
      <c r="CE24" s="1">
        <v>5.9238448851206202E-2</v>
      </c>
      <c r="CF24" s="1">
        <v>5.8746433222844436E-3</v>
      </c>
      <c r="CG24" s="1">
        <v>8.1567471362576027E-2</v>
      </c>
      <c r="CH24" s="1">
        <v>1.37833957366633E-2</v>
      </c>
      <c r="CI24" s="1">
        <v>-5.5946992235198043E-2</v>
      </c>
      <c r="CJ24" s="1">
        <v>-2.592447791588353E-2</v>
      </c>
      <c r="CK24" s="1">
        <v>-0.11272484792327089</v>
      </c>
      <c r="CL24" s="1">
        <v>-0.23315439864926241</v>
      </c>
      <c r="CM24" s="1">
        <v>0.1159726437479037</v>
      </c>
      <c r="CN24" s="1">
        <v>0.1124563465533963</v>
      </c>
      <c r="CO24" s="1">
        <v>0.21503388206267179</v>
      </c>
      <c r="CP24" s="1">
        <v>0.23464912986016651</v>
      </c>
      <c r="CQ24" s="1">
        <v>-0.38945649264572041</v>
      </c>
      <c r="CR24" s="1">
        <v>-0.13974246274937641</v>
      </c>
      <c r="CS24" s="1">
        <v>0.11124117694535569</v>
      </c>
      <c r="CT24" s="1">
        <v>-9.8268996352840352E-2</v>
      </c>
      <c r="CU24" s="1">
        <v>-0.1248320283539751</v>
      </c>
      <c r="CV24" s="1">
        <v>-0.1186238901698972</v>
      </c>
      <c r="CW24" s="1">
        <v>-7.9751654679440898E-2</v>
      </c>
      <c r="CX24" s="1">
        <v>5.7301938419216478E-2</v>
      </c>
      <c r="CY24" s="1">
        <v>-9.1829300462472577E-2</v>
      </c>
      <c r="CZ24" s="1">
        <v>0.13417621342247071</v>
      </c>
      <c r="DA24" s="1">
        <v>-5.9841202825910329E-2</v>
      </c>
      <c r="DB24" s="1">
        <v>-8.5654590209324741E-2</v>
      </c>
      <c r="DC24" s="1">
        <v>-0.1515772767164256</v>
      </c>
      <c r="DD24" s="1">
        <v>8.3019621161130847E-2</v>
      </c>
      <c r="DE24" s="1">
        <v>-5.9402561670725378E-2</v>
      </c>
      <c r="DF24" s="1">
        <v>-1.8396144549805451E-2</v>
      </c>
      <c r="DG24" s="1">
        <v>1.7490433054085801E-2</v>
      </c>
      <c r="DH24" s="1">
        <v>-2.298813547163028E-2</v>
      </c>
      <c r="DI24" s="1">
        <v>0.11142720114110879</v>
      </c>
      <c r="DJ24" s="1">
        <v>0.1110678366404847</v>
      </c>
      <c r="DK24" s="1">
        <v>0.16853807270058491</v>
      </c>
      <c r="DL24" s="1">
        <v>-0.17117371672324919</v>
      </c>
      <c r="DM24" s="1">
        <v>-0.19461800607365459</v>
      </c>
      <c r="DN24" s="1">
        <v>-7.8061162958569519E-2</v>
      </c>
      <c r="DO24" s="1">
        <v>-6.340433993076007E-2</v>
      </c>
      <c r="DP24" s="1">
        <v>-6.0051224998042482E-2</v>
      </c>
      <c r="DQ24" s="1">
        <v>-1.8871329635958878E-2</v>
      </c>
      <c r="DR24" s="1">
        <v>4.5152240175575169E-2</v>
      </c>
      <c r="DS24" s="1">
        <v>3.5147979838061442E-2</v>
      </c>
      <c r="DT24" s="1">
        <v>3.802624297322213E-2</v>
      </c>
      <c r="DU24" s="1">
        <v>2.0368379716074539E-2</v>
      </c>
      <c r="DV24" s="1">
        <v>-6.0704284772251121E-2</v>
      </c>
      <c r="DW24" s="1">
        <v>5.7589342228337767E-2</v>
      </c>
      <c r="DX24" s="1">
        <v>-5.7302559538600327E-3</v>
      </c>
      <c r="DY24" s="1">
        <v>-5.5099335433434322E-2</v>
      </c>
      <c r="DZ24" s="1">
        <v>5.8259090202062172E-2</v>
      </c>
      <c r="EA24" s="1">
        <v>4.3144705227055408E-2</v>
      </c>
      <c r="EB24" s="1">
        <v>-9.8401024445556144E-3</v>
      </c>
      <c r="EC24" s="1">
        <v>-1.0375916165265669E-4</v>
      </c>
      <c r="ED24" s="1">
        <v>7.5527697715507214E-2</v>
      </c>
      <c r="EE24" s="1">
        <v>4.4247910010664637E-3</v>
      </c>
      <c r="EF24" s="1">
        <v>8.6516088733619989E-2</v>
      </c>
      <c r="EG24" s="46">
        <f t="shared" si="0"/>
        <v>9.0230670571414928E-2</v>
      </c>
      <c r="EH24" s="25">
        <f t="shared" si="1"/>
        <v>0.31765330834544214</v>
      </c>
      <c r="EI24" s="46">
        <f t="shared" si="2"/>
        <v>0.28405392986900907</v>
      </c>
    </row>
    <row r="25" spans="1:139" ht="16" customHeight="1">
      <c r="A25" s="6">
        <v>482</v>
      </c>
      <c r="B25" s="6">
        <v>2</v>
      </c>
      <c r="C25" s="9">
        <v>1.1374397124464179</v>
      </c>
      <c r="D25" s="9">
        <v>1.2261253153015761</v>
      </c>
      <c r="E25" s="9">
        <v>0.91010680412118183</v>
      </c>
      <c r="F25" s="9">
        <v>1.5345969045394621</v>
      </c>
      <c r="G25" s="9">
        <v>0.8558788474107436</v>
      </c>
      <c r="H25" s="9">
        <v>0.74148683604788146</v>
      </c>
      <c r="I25" s="9">
        <v>0.72018309526738711</v>
      </c>
      <c r="J25" s="9">
        <v>1.004057646548159</v>
      </c>
      <c r="K25" s="9">
        <v>1.517486761386692</v>
      </c>
      <c r="L25" s="2">
        <v>1.0896013433352469</v>
      </c>
      <c r="M25" s="2">
        <v>1.731784609011813</v>
      </c>
      <c r="N25" s="2">
        <v>1.3608173869463389</v>
      </c>
      <c r="O25" s="1">
        <v>5.9773043561695029E-2</v>
      </c>
      <c r="P25" s="1">
        <v>7.9909749415180246E-3</v>
      </c>
      <c r="Q25" s="1">
        <v>-0.38713791586494578</v>
      </c>
      <c r="R25" s="1">
        <v>-9.8737352954014576E-2</v>
      </c>
      <c r="S25" s="1">
        <v>2.049330116386058E-2</v>
      </c>
      <c r="T25" s="1">
        <v>0.23541450389507401</v>
      </c>
      <c r="U25" s="1">
        <v>1.1072452879099691E-2</v>
      </c>
      <c r="V25" s="1">
        <v>0.12534885491373421</v>
      </c>
      <c r="W25" s="1">
        <v>9.2338815430109411E-2</v>
      </c>
      <c r="X25" s="1">
        <v>0.17035048873517311</v>
      </c>
      <c r="Y25" s="1">
        <v>-2.4590591273635051E-2</v>
      </c>
      <c r="Z25" s="1">
        <v>5.2858618887073557E-2</v>
      </c>
      <c r="AA25" s="1">
        <v>-0.27602790425069418</v>
      </c>
      <c r="AB25" s="1">
        <v>8.9452054085443225E-2</v>
      </c>
      <c r="AC25" s="1">
        <v>6.1391272424710847E-2</v>
      </c>
      <c r="AD25" s="1">
        <v>6.251869579958963E-3</v>
      </c>
      <c r="AE25" s="1">
        <v>-8.316366560611782E-2</v>
      </c>
      <c r="AF25" s="1">
        <v>0.37409482443455772</v>
      </c>
      <c r="AG25" s="1">
        <v>-2.947473192182953E-2</v>
      </c>
      <c r="AH25" s="1">
        <v>5.5941234355501662E-2</v>
      </c>
      <c r="AI25" s="1">
        <v>-0.2155130524625137</v>
      </c>
      <c r="AJ25" s="1">
        <v>1.005831095511023E-2</v>
      </c>
      <c r="AK25" s="1">
        <v>-5.8836699807841293E-2</v>
      </c>
      <c r="AL25" s="1">
        <v>-0.15757765071006319</v>
      </c>
      <c r="AM25" s="1">
        <v>-2.580654967902662E-3</v>
      </c>
      <c r="AN25" s="1">
        <v>0.14410910075871899</v>
      </c>
      <c r="AO25" s="1">
        <v>1.7353725507271401E-3</v>
      </c>
      <c r="AP25" s="1">
        <v>-8.7042998120897802E-2</v>
      </c>
      <c r="AQ25" s="1">
        <v>0.49475647349469898</v>
      </c>
      <c r="AR25" s="1">
        <v>1.191545182336423E-2</v>
      </c>
      <c r="AS25" s="1">
        <v>-0.15932191566398371</v>
      </c>
      <c r="AT25" s="1">
        <v>5.0288745543011097E-2</v>
      </c>
      <c r="AU25" s="1">
        <v>-2.729766341352469E-2</v>
      </c>
      <c r="AV25" s="1">
        <v>6.8670671567515731E-2</v>
      </c>
      <c r="AW25" s="1">
        <v>-0.1349426557845799</v>
      </c>
      <c r="AX25" s="1">
        <v>-0.1025392213435162</v>
      </c>
      <c r="AY25" s="1">
        <v>-0.10028846211002521</v>
      </c>
      <c r="AZ25" s="1">
        <v>-7.6368791134566627E-2</v>
      </c>
      <c r="BA25" s="1">
        <v>-7.8045733519541943E-2</v>
      </c>
      <c r="BB25" s="1">
        <v>-0.2497032747148287</v>
      </c>
      <c r="BC25" s="1">
        <v>3.5272674017014109E-2</v>
      </c>
      <c r="BD25" s="1">
        <v>-5.9785318578650277E-2</v>
      </c>
      <c r="BE25" s="1">
        <v>-2.7421758711253071E-2</v>
      </c>
      <c r="BF25" s="1">
        <v>7.3070062030357888E-2</v>
      </c>
      <c r="BG25" s="1">
        <v>6.7099557250892061E-2</v>
      </c>
      <c r="BH25" s="1">
        <v>0.1118505042088361</v>
      </c>
      <c r="BI25" s="1">
        <v>-0.13778559357911641</v>
      </c>
      <c r="BJ25" s="1">
        <v>0.15789565582398299</v>
      </c>
      <c r="BK25" s="1">
        <v>0.15593098179320269</v>
      </c>
      <c r="BL25" s="1">
        <v>0.18641842359451141</v>
      </c>
      <c r="BM25" s="1">
        <v>0.16868329057514689</v>
      </c>
      <c r="BN25" s="1">
        <v>0.19314386284448601</v>
      </c>
      <c r="BO25" s="1">
        <v>-0.1231367305438735</v>
      </c>
      <c r="BP25" s="1">
        <v>0.1142827651916877</v>
      </c>
      <c r="BQ25" s="1">
        <v>9.8310589075229077E-2</v>
      </c>
      <c r="BR25" s="1">
        <v>-0.16373105728326159</v>
      </c>
      <c r="BS25" s="1">
        <v>7.9227316273146775E-2</v>
      </c>
      <c r="BT25" s="1">
        <v>-6.3825998653959742E-2</v>
      </c>
      <c r="BU25" s="1">
        <v>0.14218127128384581</v>
      </c>
      <c r="BV25" s="1">
        <v>0.28186181770076951</v>
      </c>
      <c r="BW25" s="1">
        <v>-0.26479648105925069</v>
      </c>
      <c r="BX25" s="1">
        <v>-1.4498279125233601E-2</v>
      </c>
      <c r="BY25" s="1">
        <v>8.7748083842747571E-2</v>
      </c>
      <c r="BZ25" s="1">
        <v>-5.411435599373185E-2</v>
      </c>
      <c r="CA25" s="1">
        <v>-0.1235746953538317</v>
      </c>
      <c r="CB25" s="1">
        <v>-6.1107292767924898E-2</v>
      </c>
      <c r="CC25" s="1">
        <v>0.17671208626689669</v>
      </c>
      <c r="CD25" s="1">
        <v>-9.9177411008695149E-2</v>
      </c>
      <c r="CE25" s="1">
        <v>3.6594952006606868E-2</v>
      </c>
      <c r="CF25" s="1">
        <v>-5.4035201647141123E-2</v>
      </c>
      <c r="CG25" s="1">
        <v>-2.3533702829676682E-2</v>
      </c>
      <c r="CH25" s="1">
        <v>6.5836412751637791E-2</v>
      </c>
      <c r="CI25" s="1">
        <v>-6.7624178055672723E-3</v>
      </c>
      <c r="CJ25" s="1">
        <v>-4.5575140704693262E-2</v>
      </c>
      <c r="CK25" s="1">
        <v>-9.8702132703048881E-2</v>
      </c>
      <c r="CL25" s="1">
        <v>-0.28361300407158618</v>
      </c>
      <c r="CM25" s="1">
        <v>9.8351883421743058E-2</v>
      </c>
      <c r="CN25" s="1">
        <v>-1.5853708047206389E-2</v>
      </c>
      <c r="CO25" s="1">
        <v>0.29264998805566222</v>
      </c>
      <c r="CP25" s="1">
        <v>0.27456697466596369</v>
      </c>
      <c r="CQ25" s="1">
        <v>-4.9218854967772202E-2</v>
      </c>
      <c r="CR25" s="1">
        <v>-0.102727012610752</v>
      </c>
      <c r="CS25" s="1">
        <v>0.10033932632466711</v>
      </c>
      <c r="CT25" s="1">
        <v>-0.13084377461178581</v>
      </c>
      <c r="CU25" s="1">
        <v>-0.16837909598356399</v>
      </c>
      <c r="CV25" s="1">
        <v>-0.190139573079918</v>
      </c>
      <c r="CW25" s="1">
        <v>-4.1641377688277033E-2</v>
      </c>
      <c r="CX25" s="1">
        <v>1.385079152695487E-2</v>
      </c>
      <c r="CY25" s="1">
        <v>-0.1208170513995438</v>
      </c>
      <c r="CZ25" s="1">
        <v>0.19361577342241859</v>
      </c>
      <c r="DA25" s="1">
        <v>-9.3976552967317231E-2</v>
      </c>
      <c r="DB25" s="1">
        <v>-0.13506269942549981</v>
      </c>
      <c r="DC25" s="1">
        <v>-0.12577824486128589</v>
      </c>
      <c r="DD25" s="1">
        <v>0.18257245130263969</v>
      </c>
      <c r="DE25" s="1">
        <v>-2.7105299748558909E-2</v>
      </c>
      <c r="DF25" s="1">
        <v>2.2446127049570681E-2</v>
      </c>
      <c r="DG25" s="1">
        <v>-4.7603312864063357E-2</v>
      </c>
      <c r="DH25" s="1">
        <v>-9.0540938955370229E-2</v>
      </c>
      <c r="DI25" s="1">
        <v>0.1146722092607501</v>
      </c>
      <c r="DJ25" s="1">
        <v>0.1066611880137673</v>
      </c>
      <c r="DK25" s="1">
        <v>0.1104522140470281</v>
      </c>
      <c r="DL25" s="1">
        <v>-2.0531079143977608E-2</v>
      </c>
      <c r="DM25" s="1">
        <v>-0.28184469255503891</v>
      </c>
      <c r="DN25" s="1">
        <v>-3.9196721899462952E-2</v>
      </c>
      <c r="DO25" s="1">
        <v>-7.9801775903393615E-2</v>
      </c>
      <c r="DP25" s="1">
        <v>-8.6307172167805979E-2</v>
      </c>
      <c r="DQ25" s="1">
        <v>4.7732241836820302E-2</v>
      </c>
      <c r="DR25" s="1">
        <v>8.2734452697946631E-2</v>
      </c>
      <c r="DS25" s="1">
        <v>0.1058772870041655</v>
      </c>
      <c r="DT25" s="1">
        <v>7.8580225324527617E-3</v>
      </c>
      <c r="DU25" s="1">
        <v>7.9737300188323701E-2</v>
      </c>
      <c r="DV25" s="1">
        <v>-8.9230584080065692E-2</v>
      </c>
      <c r="DW25" s="1">
        <v>1.694177924973964E-3</v>
      </c>
      <c r="DX25" s="1">
        <v>-2.5413191441130741E-2</v>
      </c>
      <c r="DY25" s="1">
        <v>-8.1570435565268731E-2</v>
      </c>
      <c r="DZ25" s="1">
        <v>-6.8895316683381405E-2</v>
      </c>
      <c r="EA25" s="1">
        <v>5.0474176232262503E-2</v>
      </c>
      <c r="EB25" s="1">
        <v>-1.196849199213239E-2</v>
      </c>
      <c r="EC25" s="1">
        <v>8.4055451606696932E-2</v>
      </c>
      <c r="ED25" s="1">
        <v>0.1145904608614932</v>
      </c>
      <c r="EE25" s="1">
        <v>3.2965078662359447E-2</v>
      </c>
      <c r="EF25" s="1">
        <v>2.428344989536654E-2</v>
      </c>
      <c r="EG25" s="46">
        <f t="shared" si="0"/>
        <v>0.10574148182627233</v>
      </c>
      <c r="EH25" s="25">
        <f t="shared" si="1"/>
        <v>0.36661563844344025</v>
      </c>
      <c r="EI25" s="46">
        <f t="shared" si="2"/>
        <v>0.28842599916147776</v>
      </c>
    </row>
    <row r="26" spans="1:139" ht="16" customHeight="1">
      <c r="A26" s="6">
        <v>964</v>
      </c>
      <c r="B26" s="6">
        <v>1</v>
      </c>
      <c r="C26" s="9">
        <v>1.274316755103944</v>
      </c>
      <c r="D26" s="9">
        <v>1.5484498429402771</v>
      </c>
      <c r="E26" s="9">
        <v>1.0878457145291369</v>
      </c>
      <c r="F26" s="9">
        <v>1.7939017275235281</v>
      </c>
      <c r="G26" s="9">
        <v>0.81847334661468563</v>
      </c>
      <c r="H26" s="9">
        <v>0.80669328080421099</v>
      </c>
      <c r="I26" s="9">
        <v>0.79810469903798387</v>
      </c>
      <c r="J26" s="9">
        <v>0.99024159806542444</v>
      </c>
      <c r="K26" s="9">
        <v>2.409583883092397</v>
      </c>
      <c r="L26" s="2">
        <v>1.2461442598384671</v>
      </c>
      <c r="M26" s="2">
        <v>1.9358494819298779</v>
      </c>
      <c r="N26" s="2">
        <v>1.8998395949385229</v>
      </c>
      <c r="O26" s="1">
        <v>0.22046375825666001</v>
      </c>
      <c r="P26" s="1">
        <v>-1.23529379702506E-2</v>
      </c>
      <c r="Q26" s="1">
        <v>-3.242511077960968E-3</v>
      </c>
      <c r="R26" s="1">
        <v>-0.23883610315384321</v>
      </c>
      <c r="S26" s="1">
        <v>6.7547477365483208E-2</v>
      </c>
      <c r="T26" s="1">
        <v>2.609040179169014E-2</v>
      </c>
      <c r="U26" s="1">
        <v>1.7576293857331619E-2</v>
      </c>
      <c r="V26" s="1">
        <v>0.27540859209656809</v>
      </c>
      <c r="W26" s="1">
        <v>0.21110574864083381</v>
      </c>
      <c r="X26" s="1">
        <v>0.16079780154067341</v>
      </c>
      <c r="Y26" s="1">
        <v>-5.2630286039302143E-2</v>
      </c>
      <c r="Z26" s="1">
        <v>-8.2453344612817267E-2</v>
      </c>
      <c r="AA26" s="1">
        <v>-0.18509425047975869</v>
      </c>
      <c r="AB26" s="1">
        <v>0.1219338798824466</v>
      </c>
      <c r="AC26" s="1">
        <v>4.6703653501537067E-2</v>
      </c>
      <c r="AD26" s="1">
        <v>-0.46171230561087362</v>
      </c>
      <c r="AE26" s="1">
        <v>-0.19314178971175811</v>
      </c>
      <c r="AF26" s="1">
        <v>0.49538941280416188</v>
      </c>
      <c r="AG26" s="1">
        <v>0.14943000816137739</v>
      </c>
      <c r="AH26" s="1">
        <v>0.1161970468887954</v>
      </c>
      <c r="AI26" s="1">
        <v>-0.38401214015685131</v>
      </c>
      <c r="AJ26" s="1">
        <v>-8.1596994929311245E-2</v>
      </c>
      <c r="AK26" s="1">
        <v>4.1856518083319139E-3</v>
      </c>
      <c r="AL26" s="1">
        <v>-0.16007282612512999</v>
      </c>
      <c r="AM26" s="1">
        <v>4.512287032860457E-2</v>
      </c>
      <c r="AN26" s="1">
        <v>0.15817700010999919</v>
      </c>
      <c r="AO26" s="1">
        <v>7.4292186701340496E-2</v>
      </c>
      <c r="AP26" s="1">
        <v>5.0877884536363369E-2</v>
      </c>
      <c r="AQ26" s="1">
        <v>0.52024737639071184</v>
      </c>
      <c r="AR26" s="1">
        <v>0.13530999573036789</v>
      </c>
      <c r="AS26" s="1">
        <v>-0.14330079320423489</v>
      </c>
      <c r="AT26" s="1">
        <v>-2.7319332135596241E-2</v>
      </c>
      <c r="AU26" s="1">
        <v>-7.4705995153881044E-2</v>
      </c>
      <c r="AV26" s="1">
        <v>0.16261077373002161</v>
      </c>
      <c r="AW26" s="1">
        <v>-0.25174311257878601</v>
      </c>
      <c r="AX26" s="1">
        <v>0.1018669288403321</v>
      </c>
      <c r="AY26" s="1">
        <v>0.1089061944102583</v>
      </c>
      <c r="AZ26" s="1">
        <v>-2.9000144876560739E-2</v>
      </c>
      <c r="BA26" s="1">
        <v>-3.201437466459485E-2</v>
      </c>
      <c r="BB26" s="1">
        <v>-0.36846088615781969</v>
      </c>
      <c r="BC26" s="1">
        <v>5.7786489474308027E-2</v>
      </c>
      <c r="BD26" s="1">
        <v>-0.1635622064388349</v>
      </c>
      <c r="BE26" s="1">
        <v>-1.1316127994466589E-2</v>
      </c>
      <c r="BF26" s="1">
        <v>0.1552131045524722</v>
      </c>
      <c r="BG26" s="1">
        <v>-0.12085975847002629</v>
      </c>
      <c r="BH26" s="1">
        <v>0.35757281604230989</v>
      </c>
      <c r="BI26" s="1">
        <v>-0.1811860225653599</v>
      </c>
      <c r="BJ26" s="1">
        <v>0.1692843816414806</v>
      </c>
      <c r="BK26" s="1">
        <v>0.1542218567374985</v>
      </c>
      <c r="BL26" s="1">
        <v>0.19690896784786871</v>
      </c>
      <c r="BM26" s="1">
        <v>0.37128516990718269</v>
      </c>
      <c r="BN26" s="1">
        <v>0.34362722854625682</v>
      </c>
      <c r="BO26" s="1">
        <v>-0.22401801056041379</v>
      </c>
      <c r="BP26" s="1">
        <v>0.21777922027564239</v>
      </c>
      <c r="BQ26" s="1">
        <v>0.11828987261207741</v>
      </c>
      <c r="BR26" s="1">
        <v>-0.20755395169093649</v>
      </c>
      <c r="BS26" s="1">
        <v>7.7458059039004101E-2</v>
      </c>
      <c r="BT26" s="1">
        <v>-1.193802432173389E-2</v>
      </c>
      <c r="BU26" s="1">
        <v>0.45498428288053611</v>
      </c>
      <c r="BV26" s="1">
        <v>-2.786403437453731E-2</v>
      </c>
      <c r="BW26" s="1">
        <v>-0.20142979109042561</v>
      </c>
      <c r="BX26" s="1">
        <v>-5.9047936802217947E-2</v>
      </c>
      <c r="BY26" s="1">
        <v>0.1614650964965581</v>
      </c>
      <c r="BZ26" s="1">
        <v>-0.1605910032465846</v>
      </c>
      <c r="CA26" s="1">
        <v>-0.22127264337839811</v>
      </c>
      <c r="CB26" s="1">
        <v>-3.9571189652009862E-2</v>
      </c>
      <c r="CC26" s="1">
        <v>0.23239978420333701</v>
      </c>
      <c r="CD26" s="1">
        <v>9.8126601857457307E-2</v>
      </c>
      <c r="CE26" s="1">
        <v>7.1905693565461809E-2</v>
      </c>
      <c r="CF26" s="1">
        <v>-0.10893220622702041</v>
      </c>
      <c r="CG26" s="1">
        <v>0.36465886050348251</v>
      </c>
      <c r="CH26" s="1">
        <v>0.25265698459265401</v>
      </c>
      <c r="CI26" s="1">
        <v>0.12033187986382229</v>
      </c>
      <c r="CJ26" s="1">
        <v>-3.6949281732761963E-2</v>
      </c>
      <c r="CK26" s="1">
        <v>0.13933637598562629</v>
      </c>
      <c r="CL26" s="1">
        <v>-0.49854577432592212</v>
      </c>
      <c r="CM26" s="1">
        <v>-9.297601621493555E-2</v>
      </c>
      <c r="CN26" s="1">
        <v>-5.8458200486594052E-2</v>
      </c>
      <c r="CO26" s="1">
        <v>0.25125124905832752</v>
      </c>
      <c r="CP26" s="1">
        <v>0.22531983073680531</v>
      </c>
      <c r="CQ26" s="1">
        <v>-0.15526088524426351</v>
      </c>
      <c r="CR26" s="1">
        <v>1.7859827892234139E-2</v>
      </c>
      <c r="CS26" s="1">
        <v>0.1007940185434434</v>
      </c>
      <c r="CT26" s="1">
        <v>-0.25244548711892723</v>
      </c>
      <c r="CU26" s="1">
        <v>-0.2215788124625972</v>
      </c>
      <c r="CV26" s="1">
        <v>-0.1116514909055808</v>
      </c>
      <c r="CW26" s="1">
        <v>-8.5981192495512143E-2</v>
      </c>
      <c r="CX26" s="1">
        <v>3.6845313155357259E-2</v>
      </c>
      <c r="CY26" s="1">
        <v>-6.4456226770574054E-2</v>
      </c>
      <c r="CZ26" s="1">
        <v>0.35718348415443718</v>
      </c>
      <c r="DA26" s="1">
        <v>-7.3199180102587372E-2</v>
      </c>
      <c r="DB26" s="1">
        <v>-0.24975809602656601</v>
      </c>
      <c r="DC26" s="1">
        <v>-0.34048223140890121</v>
      </c>
      <c r="DD26" s="1">
        <v>0.14217002802251441</v>
      </c>
      <c r="DE26" s="1">
        <v>-0.13396346049751401</v>
      </c>
      <c r="DF26" s="1">
        <v>3.9018253735022608E-2</v>
      </c>
      <c r="DG26" s="1">
        <v>-8.1195888658528392E-2</v>
      </c>
      <c r="DH26" s="1">
        <v>-4.0775633201083163E-2</v>
      </c>
      <c r="DI26" s="1">
        <v>0.37614904154618278</v>
      </c>
      <c r="DJ26" s="1">
        <v>0.14423645954077699</v>
      </c>
      <c r="DK26" s="1">
        <v>-8.0864890748402599E-2</v>
      </c>
      <c r="DL26" s="1">
        <v>0.13067998802599751</v>
      </c>
      <c r="DM26" s="1">
        <v>-9.608467319530456E-2</v>
      </c>
      <c r="DN26" s="1">
        <v>-0.1005277055656217</v>
      </c>
      <c r="DO26" s="1">
        <v>-1.2249451417979441E-2</v>
      </c>
      <c r="DP26" s="1">
        <v>-3.4800684454440428E-2</v>
      </c>
      <c r="DQ26" s="1">
        <v>8.4460701306151201E-2</v>
      </c>
      <c r="DR26" s="1">
        <v>0.1796628868333042</v>
      </c>
      <c r="DS26" s="1">
        <v>0.13076502140103341</v>
      </c>
      <c r="DT26" s="1">
        <v>-2.9185654415507709E-3</v>
      </c>
      <c r="DU26" s="1">
        <v>6.6506497441388243E-2</v>
      </c>
      <c r="DV26" s="1">
        <v>-6.9942611911583019E-2</v>
      </c>
      <c r="DW26" s="1">
        <v>-0.3052196931171085</v>
      </c>
      <c r="DX26" s="1">
        <v>-3.7063050611884973E-2</v>
      </c>
      <c r="DY26" s="1">
        <v>-0.1191146223740471</v>
      </c>
      <c r="DZ26" s="1">
        <v>-0.18891967892663239</v>
      </c>
      <c r="EA26" s="1">
        <v>7.1593653187008818E-2</v>
      </c>
      <c r="EB26" s="1">
        <v>4.0830075439231631E-5</v>
      </c>
      <c r="EC26" s="1">
        <v>0.19436128610440251</v>
      </c>
      <c r="ED26" s="1">
        <v>0.24781424969869659</v>
      </c>
      <c r="EE26" s="1">
        <v>1.7018538751575621E-2</v>
      </c>
      <c r="EF26" s="1">
        <v>1.7684005705405421E-2</v>
      </c>
      <c r="EG26" s="46">
        <f t="shared" si="0"/>
        <v>0.14000131710793426</v>
      </c>
      <c r="EH26" s="25">
        <f t="shared" si="1"/>
        <v>0.45812771299734562</v>
      </c>
      <c r="EI26" s="46">
        <f t="shared" si="2"/>
        <v>0.30559451684763156</v>
      </c>
    </row>
    <row r="27" spans="1:139" ht="16" customHeight="1">
      <c r="A27" s="6" t="s">
        <v>147</v>
      </c>
      <c r="B27" s="6" t="s">
        <v>148</v>
      </c>
      <c r="C27" s="20">
        <v>-1.7446770539390338E-2</v>
      </c>
      <c r="D27" s="20">
        <v>2.070106053181563E-2</v>
      </c>
      <c r="E27" s="20">
        <v>2.3982129254766709E-2</v>
      </c>
      <c r="F27" s="20">
        <v>-6.557578972823077E-3</v>
      </c>
      <c r="G27" s="20">
        <v>3.1845129800519692E-2</v>
      </c>
      <c r="H27" s="20">
        <v>3.4348532736990518E-2</v>
      </c>
      <c r="I27" s="20">
        <v>-8.2549327813252367E-3</v>
      </c>
      <c r="J27" s="20">
        <v>1.2843524394052759E-2</v>
      </c>
      <c r="K27" s="20">
        <v>-5.1018524626790823E-2</v>
      </c>
      <c r="L27" s="20">
        <v>8.7394274103658827E-4</v>
      </c>
      <c r="M27" s="20">
        <v>2.3389575505495919E-2</v>
      </c>
      <c r="N27" s="20">
        <v>1.2988972200332851E-2</v>
      </c>
      <c r="O27" s="20">
        <v>5.8545887256348812E-3</v>
      </c>
      <c r="P27" s="20">
        <v>2.7413206571790558E-2</v>
      </c>
      <c r="Q27" s="20">
        <v>-3.7129361176928542E-3</v>
      </c>
      <c r="R27" s="20">
        <v>2.4076614047823328E-2</v>
      </c>
      <c r="S27" s="20">
        <v>-1.219002529903996E-2</v>
      </c>
      <c r="T27" s="20">
        <v>-3.9749578159589592E-2</v>
      </c>
      <c r="U27" s="20">
        <v>-7.3155449831649552E-2</v>
      </c>
      <c r="V27" s="20">
        <v>-5.8260229910114661E-2</v>
      </c>
      <c r="W27" s="20">
        <v>7.7279756550837221E-4</v>
      </c>
      <c r="X27" s="20">
        <v>4.459152113521897E-2</v>
      </c>
      <c r="Y27" s="20">
        <v>-2.7699680050213091E-2</v>
      </c>
      <c r="Z27" s="20">
        <v>2.0950059497436462E-3</v>
      </c>
      <c r="AA27" s="20">
        <v>-2.340055099256411E-2</v>
      </c>
      <c r="AB27" s="20">
        <v>3.2129371097322189E-2</v>
      </c>
      <c r="AC27" s="20">
        <v>3.890327309406643E-2</v>
      </c>
      <c r="AD27" s="20">
        <v>-4.286538217110427E-2</v>
      </c>
      <c r="AE27" s="20">
        <v>1.8647194550152159E-2</v>
      </c>
      <c r="AF27" s="20">
        <v>1.5229768322528949E-2</v>
      </c>
      <c r="AG27" s="20">
        <v>3.6016603778892417E-2</v>
      </c>
      <c r="AH27" s="20">
        <v>9.3546113853161701E-3</v>
      </c>
      <c r="AI27" s="20">
        <v>1.0748251336838139E-2</v>
      </c>
      <c r="AJ27" s="20">
        <v>1.335775405308097E-2</v>
      </c>
      <c r="AK27" s="20">
        <v>-5.3327473290953921E-3</v>
      </c>
      <c r="AL27" s="20">
        <v>1.383135807261675E-3</v>
      </c>
      <c r="AM27" s="20">
        <v>2.079592842007446E-2</v>
      </c>
      <c r="AN27" s="20">
        <v>3.1517702220390638E-2</v>
      </c>
      <c r="AO27" s="20">
        <v>6.2417165333294418E-3</v>
      </c>
      <c r="AP27" s="20">
        <v>6.1452616535713897E-3</v>
      </c>
      <c r="AQ27" s="20">
        <v>1.694635767669651E-2</v>
      </c>
      <c r="AR27" s="20">
        <v>3.4682830454308228E-2</v>
      </c>
      <c r="AS27" s="20">
        <v>3.0985886171969678E-3</v>
      </c>
      <c r="AT27" s="20">
        <v>1.508134714348611E-2</v>
      </c>
      <c r="AU27" s="20">
        <v>-1.9251209229863991E-2</v>
      </c>
      <c r="AV27" s="20">
        <v>3.8711513387631437E-2</v>
      </c>
      <c r="AW27" s="20">
        <v>-2.1856951135736599E-2</v>
      </c>
      <c r="AX27" s="20">
        <v>7.7743007097896798E-3</v>
      </c>
      <c r="AY27" s="20">
        <v>4.2397246695325942E-2</v>
      </c>
      <c r="AZ27" s="20">
        <v>-2.630897486115975E-2</v>
      </c>
      <c r="BA27" s="20">
        <v>9.5717493087162323E-3</v>
      </c>
      <c r="BB27" s="20">
        <v>-2.424974126627483E-2</v>
      </c>
      <c r="BC27" s="20">
        <v>2.0163374143915822E-2</v>
      </c>
      <c r="BD27" s="20">
        <v>-3.5049987821160239E-3</v>
      </c>
      <c r="BE27" s="20">
        <v>2.0151935098542271E-2</v>
      </c>
      <c r="BF27" s="20">
        <v>5.8133623077027128E-4</v>
      </c>
      <c r="BG27" s="20">
        <v>-5.2197009532526043E-3</v>
      </c>
      <c r="BH27" s="20">
        <v>-0.11587176140213</v>
      </c>
      <c r="BI27" s="20">
        <v>8.7252256924373536E-3</v>
      </c>
      <c r="BJ27" s="20">
        <v>-1.6377260977822151E-2</v>
      </c>
      <c r="BK27" s="20">
        <v>2.0840371600260421E-2</v>
      </c>
      <c r="BL27" s="20">
        <v>4.4975872102114713E-2</v>
      </c>
      <c r="BM27" s="20">
        <v>2.3954306081863871E-2</v>
      </c>
      <c r="BN27" s="20">
        <v>3.0239101391442601E-2</v>
      </c>
      <c r="BO27" s="20">
        <v>-4.372588759108751E-2</v>
      </c>
      <c r="BP27" s="20">
        <v>2.1889469568198618E-2</v>
      </c>
      <c r="BQ27" s="20">
        <v>8.6274302635084028E-3</v>
      </c>
      <c r="BR27" s="20">
        <v>-1.9192953994658781E-2</v>
      </c>
      <c r="BS27" s="20">
        <v>1.973512988813305E-2</v>
      </c>
      <c r="BT27" s="20">
        <v>4.7694337483699438E-2</v>
      </c>
      <c r="BU27" s="20">
        <v>1.145481680658339E-2</v>
      </c>
      <c r="BV27" s="20">
        <v>4.3228620735213191E-2</v>
      </c>
      <c r="BW27" s="20">
        <v>-4.2747430436922793E-2</v>
      </c>
      <c r="BX27" s="20">
        <v>-1.781129242779457E-2</v>
      </c>
      <c r="BY27" s="20">
        <v>-0.1511530968690756</v>
      </c>
      <c r="BZ27" s="20">
        <v>0.12422400361957529</v>
      </c>
      <c r="CA27" s="20">
        <v>-4.5572538445296431E-3</v>
      </c>
      <c r="CB27" s="20">
        <v>6.0211240204911178E-2</v>
      </c>
      <c r="CC27" s="20">
        <v>8.5992033482502284E-2</v>
      </c>
      <c r="CD27" s="20">
        <v>-5.8084795823660634E-3</v>
      </c>
      <c r="CE27" s="20">
        <v>-6.0413469889680736E-3</v>
      </c>
      <c r="CF27" s="20">
        <v>2.4523243722520739E-3</v>
      </c>
      <c r="CG27" s="20">
        <v>8.963625193702289E-2</v>
      </c>
      <c r="CH27" s="20">
        <v>7.099273252675789E-2</v>
      </c>
      <c r="CI27" s="20">
        <v>2.7170642901783448E-2</v>
      </c>
      <c r="CJ27" s="20">
        <v>5.2468428425330033E-2</v>
      </c>
      <c r="CK27" s="20">
        <v>2.9480660943049509E-2</v>
      </c>
      <c r="CL27" s="20">
        <v>6.6825081060201283E-2</v>
      </c>
      <c r="CM27" s="20">
        <v>-2.8772229019816971E-2</v>
      </c>
      <c r="CN27" s="20">
        <v>3.9462515901637851E-2</v>
      </c>
      <c r="CO27" s="20">
        <v>-2.9031086977359909E-2</v>
      </c>
      <c r="CP27" s="20">
        <v>1.3983882519467901E-2</v>
      </c>
      <c r="CQ27" s="20">
        <v>-3.2276964959333833E-2</v>
      </c>
      <c r="CR27" s="20">
        <v>3.1035766128940231E-3</v>
      </c>
      <c r="CS27" s="20">
        <v>2.5591855767083171E-2</v>
      </c>
      <c r="CT27" s="20">
        <v>4.4391886287193302E-2</v>
      </c>
      <c r="CU27" s="20">
        <v>-3.0338958549577438E-2</v>
      </c>
      <c r="CV27" s="20">
        <v>-1.2579764545717069E-3</v>
      </c>
      <c r="CW27" s="20">
        <v>2.336356455857952E-3</v>
      </c>
      <c r="CX27" s="20">
        <v>-6.4264144925906069E-2</v>
      </c>
      <c r="CY27" s="20">
        <v>1.2909779458992439E-2</v>
      </c>
      <c r="CZ27" s="20">
        <v>-0.12547709467085871</v>
      </c>
      <c r="DA27" s="20">
        <v>1.1690682939792569E-2</v>
      </c>
      <c r="DB27" s="20">
        <v>6.3378437007417512E-3</v>
      </c>
      <c r="DC27" s="20">
        <v>-0.1173053564693855</v>
      </c>
      <c r="DD27" s="20">
        <v>-3.6010872049446613E-2</v>
      </c>
      <c r="DE27" s="20">
        <v>0.1389113040722679</v>
      </c>
      <c r="DF27" s="20">
        <v>-5.1143506226105737E-2</v>
      </c>
      <c r="DG27" s="20">
        <v>7.6731447181969059E-2</v>
      </c>
      <c r="DH27" s="20">
        <v>1.550878219700816E-2</v>
      </c>
      <c r="DI27" s="20">
        <v>2.3223773674755831E-2</v>
      </c>
      <c r="DJ27" s="20">
        <v>-1.8372876361227891E-2</v>
      </c>
      <c r="DK27" s="20">
        <v>6.2199014085099431E-2</v>
      </c>
      <c r="DL27" s="20">
        <v>2.0098304486957191E-2</v>
      </c>
      <c r="DM27" s="20">
        <v>1.349893974806809E-2</v>
      </c>
      <c r="DN27" s="20">
        <v>-3.025221272842088E-2</v>
      </c>
      <c r="DO27" s="20">
        <v>-1.7022835708053841E-2</v>
      </c>
      <c r="DP27" s="20">
        <v>-2.1788523272461981E-2</v>
      </c>
      <c r="DQ27" s="20">
        <v>8.5745624585137223E-2</v>
      </c>
      <c r="DR27" s="20">
        <v>2.8106743604973752E-2</v>
      </c>
      <c r="DS27" s="20">
        <v>-2.3031598073594501E-3</v>
      </c>
      <c r="DT27" s="20">
        <v>5.8471198131487503E-2</v>
      </c>
      <c r="DU27" s="20">
        <v>6.7658949048647651E-2</v>
      </c>
      <c r="DV27" s="20">
        <v>5.0207706404322644E-3</v>
      </c>
      <c r="DW27" s="20">
        <v>3.7416183675207063E-2</v>
      </c>
      <c r="DX27" s="20">
        <v>8.4111003746042121E-2</v>
      </c>
      <c r="DY27" s="20">
        <v>-3.6832398544012837E-2</v>
      </c>
      <c r="DZ27" s="20">
        <v>3.0917028169369942E-3</v>
      </c>
      <c r="EA27" s="20">
        <v>-1.957628214294549E-3</v>
      </c>
      <c r="EB27" s="20">
        <v>2.6459103603519739E-2</v>
      </c>
      <c r="EC27" s="20">
        <v>-2.4752538760690269E-2</v>
      </c>
      <c r="ED27" s="20">
        <v>3.4115490982559941E-2</v>
      </c>
      <c r="EE27" s="20">
        <v>2.1061973989032982E-2</v>
      </c>
      <c r="EF27" s="20">
        <v>-2.0277392706005919E-2</v>
      </c>
      <c r="EG27" s="26">
        <f t="shared" si="0"/>
        <v>7.3485376145559517E-3</v>
      </c>
      <c r="EH27" s="26">
        <f t="shared" si="1"/>
        <v>4.2276369775976368E-2</v>
      </c>
      <c r="EI27" s="26">
        <f t="shared" si="2"/>
        <v>0.17382139605401439</v>
      </c>
    </row>
    <row r="28" spans="1:139" ht="16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3"/>
    </row>
    <row r="30" spans="1:139" ht="16" customHeight="1">
      <c r="A30" s="22"/>
      <c r="B30" s="22"/>
      <c r="C30" s="22"/>
      <c r="D30" s="4"/>
      <c r="E30" s="4"/>
      <c r="F30" s="4"/>
      <c r="G30" s="4"/>
      <c r="H30" s="4"/>
      <c r="I30" s="4"/>
      <c r="J30" s="4"/>
      <c r="K30" s="22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</row>
  </sheetData>
  <mergeCells count="1">
    <mergeCell ref="A12:B12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G33"/>
  <sheetViews>
    <sheetView topLeftCell="A4" zoomScale="82" zoomScaleNormal="71" workbookViewId="0">
      <selection activeCell="R43" sqref="R43"/>
    </sheetView>
  </sheetViews>
  <sheetFormatPr baseColWidth="10" defaultColWidth="8.83203125" defaultRowHeight="15"/>
  <cols>
    <col min="1" max="1" width="16.6640625" style="21" customWidth="1"/>
    <col min="3" max="3" width="10.1640625" style="21" customWidth="1"/>
    <col min="4" max="4" width="11.6640625" style="21" customWidth="1"/>
    <col min="5" max="5" width="9.1640625" style="21" customWidth="1"/>
    <col min="6" max="6" width="8.6640625" style="21" customWidth="1"/>
    <col min="7" max="7" width="9.33203125" style="21" customWidth="1"/>
    <col min="8" max="8" width="9.6640625" style="21" customWidth="1"/>
    <col min="9" max="9" width="9" style="21" customWidth="1"/>
    <col min="10" max="136" width="10.6640625" style="21" customWidth="1"/>
  </cols>
  <sheetData>
    <row r="1" spans="1:137" ht="16" customHeight="1">
      <c r="A1" s="13" t="s">
        <v>236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7" ht="16" customHeight="1">
      <c r="A2" s="29"/>
      <c r="B2" s="6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5" t="s">
        <v>133</v>
      </c>
      <c r="EE2" s="12" t="s">
        <v>134</v>
      </c>
      <c r="EF2" s="14" t="s">
        <v>135</v>
      </c>
    </row>
    <row r="3" spans="1:137" ht="16" customHeight="1">
      <c r="A3" s="29"/>
      <c r="B3" s="25" t="s">
        <v>136</v>
      </c>
      <c r="C3" s="30">
        <v>-7.0510312914848328E-2</v>
      </c>
      <c r="D3" s="30">
        <v>-2.069076336920261E-2</v>
      </c>
      <c r="E3" s="30">
        <v>-4.9750484526157379E-2</v>
      </c>
      <c r="F3" s="30">
        <v>-9.2162974178791046E-2</v>
      </c>
      <c r="G3" s="30">
        <v>-9.0981476008892059E-2</v>
      </c>
      <c r="H3" s="30">
        <v>1.7403693869709969E-2</v>
      </c>
      <c r="I3" s="30">
        <v>-1.4660321176052089E-3</v>
      </c>
      <c r="J3" s="30">
        <v>-4.2782600969076157E-2</v>
      </c>
      <c r="K3" s="30">
        <v>-4.8218093812465668E-2</v>
      </c>
      <c r="L3" s="30">
        <v>-5.4908208549022668E-2</v>
      </c>
      <c r="M3" s="30">
        <v>-4.2270971462130547E-3</v>
      </c>
      <c r="N3" s="30">
        <v>-1.5415508300065991E-2</v>
      </c>
      <c r="O3" s="30">
        <v>-2.6379581540822979E-2</v>
      </c>
      <c r="P3" s="30">
        <v>2.1669322159141302E-3</v>
      </c>
      <c r="Q3" s="30">
        <v>-6.3427776098251343E-2</v>
      </c>
      <c r="R3" s="30">
        <v>-2.6445759460330009E-2</v>
      </c>
      <c r="S3" s="30">
        <v>-3.0793072655797001E-2</v>
      </c>
      <c r="T3" s="30">
        <v>-1.3314301613718269E-3</v>
      </c>
      <c r="U3" s="30">
        <v>-1.1667066253721711E-2</v>
      </c>
      <c r="V3" s="30">
        <v>-7.4396813288331032E-3</v>
      </c>
      <c r="W3" s="30">
        <v>-5.6037697941064826E-3</v>
      </c>
      <c r="X3" s="30">
        <v>-5.478285625576973E-2</v>
      </c>
      <c r="Y3" s="30">
        <v>1.460128463804722E-3</v>
      </c>
      <c r="Z3" s="30">
        <v>-5.1124587655067437E-2</v>
      </c>
      <c r="AA3" s="30">
        <v>-4.9931928515434272E-2</v>
      </c>
      <c r="AB3" s="30">
        <v>3.5460174083709717E-2</v>
      </c>
      <c r="AC3" s="30">
        <v>-3.6260023713111877E-2</v>
      </c>
      <c r="AD3" s="30">
        <v>-2.177857048809528E-2</v>
      </c>
      <c r="AE3" s="30">
        <v>-1.296189334243536E-2</v>
      </c>
      <c r="AF3" s="30">
        <v>-1.9972652196884159E-2</v>
      </c>
      <c r="AG3" s="30">
        <v>-4.2137693613767617E-2</v>
      </c>
      <c r="AH3" s="30">
        <v>1.1005618143826721E-3</v>
      </c>
      <c r="AI3" s="30">
        <v>1.791437389329076E-3</v>
      </c>
      <c r="AJ3" s="30">
        <v>1.232342515140772E-2</v>
      </c>
      <c r="AK3" s="30">
        <v>-4.1931521147489548E-2</v>
      </c>
      <c r="AL3" s="30">
        <v>-3.6095079034566879E-2</v>
      </c>
      <c r="AM3" s="30">
        <v>-1.382274786010385E-3</v>
      </c>
      <c r="AN3" s="30">
        <v>-2.8956376016139981E-2</v>
      </c>
      <c r="AO3" s="30">
        <v>-4.2428314685821533E-2</v>
      </c>
      <c r="AP3" s="30">
        <v>-4.9674943089485168E-2</v>
      </c>
      <c r="AQ3" s="30">
        <v>-3.2604295760393143E-2</v>
      </c>
      <c r="AR3" s="30">
        <v>-1.3108822517097E-2</v>
      </c>
      <c r="AS3" s="30">
        <v>-3.5700481384992599E-2</v>
      </c>
      <c r="AT3" s="30">
        <v>-5.7888049632310867E-3</v>
      </c>
      <c r="AU3" s="30">
        <v>-1.4518599025905131E-2</v>
      </c>
      <c r="AV3" s="30">
        <v>-3.1922928988933563E-2</v>
      </c>
      <c r="AW3" s="30">
        <v>-1.19499359279871E-2</v>
      </c>
      <c r="AX3" s="30">
        <v>-1.0149506852030751E-2</v>
      </c>
      <c r="AY3" s="30">
        <v>-3.3810734748840332E-2</v>
      </c>
      <c r="AZ3" s="30">
        <v>-4.8453211784362793E-2</v>
      </c>
      <c r="BA3" s="30">
        <v>-2.7815299108624458E-2</v>
      </c>
      <c r="BB3" s="30">
        <v>-3.037967719137669E-2</v>
      </c>
      <c r="BC3" s="30">
        <v>2.4711607024073601E-2</v>
      </c>
      <c r="BD3" s="30">
        <v>-2.3138821125030521E-2</v>
      </c>
      <c r="BE3" s="30">
        <v>-1.548535423353314E-3</v>
      </c>
      <c r="BF3" s="30">
        <v>4.8466574400663383E-2</v>
      </c>
      <c r="BG3" s="30">
        <v>-6.8415170535445213E-3</v>
      </c>
      <c r="BH3" s="30">
        <v>-2.9017321765422821E-2</v>
      </c>
      <c r="BI3" s="30">
        <v>6.3621185719966888E-2</v>
      </c>
      <c r="BJ3" s="30">
        <v>5.1039993762969971E-2</v>
      </c>
      <c r="BK3" s="30">
        <v>2.0570620894432071E-2</v>
      </c>
      <c r="BL3" s="30">
        <v>-4.445323720574379E-2</v>
      </c>
      <c r="BM3" s="30">
        <v>1.6062213107943531E-2</v>
      </c>
      <c r="BN3" s="30">
        <v>-1.140725240111351E-2</v>
      </c>
      <c r="BO3" s="30">
        <v>-2.1107044070959091E-2</v>
      </c>
      <c r="BP3" s="30">
        <v>-2.457004226744175E-2</v>
      </c>
      <c r="BQ3" s="30">
        <v>5.8053538668900728E-4</v>
      </c>
      <c r="BR3" s="30">
        <v>1.410697121173143E-2</v>
      </c>
      <c r="BS3" s="30">
        <v>-2.221696637570858E-2</v>
      </c>
      <c r="BT3" s="30">
        <v>-2.1804684773087502E-2</v>
      </c>
      <c r="BU3" s="30">
        <v>-3.2476775231771171E-4</v>
      </c>
      <c r="BV3" s="30">
        <v>-1.6946583986282349E-2</v>
      </c>
      <c r="BW3" s="30">
        <v>-9.1368407011032104E-3</v>
      </c>
      <c r="BX3" s="30">
        <v>-2.4530710652470589E-2</v>
      </c>
      <c r="BY3" s="30">
        <v>-1.374499686062336E-2</v>
      </c>
      <c r="BZ3" s="30">
        <v>1.6965670511126522E-2</v>
      </c>
      <c r="CA3" s="30">
        <v>-4.9971737898886204E-3</v>
      </c>
      <c r="CB3" s="30">
        <v>2.5937315076589581E-2</v>
      </c>
      <c r="CC3" s="30">
        <v>-5.0457574427127838E-2</v>
      </c>
      <c r="CD3" s="30">
        <v>-1.7129437997937199E-2</v>
      </c>
      <c r="CE3" s="30">
        <v>-1.5958411619067189E-2</v>
      </c>
      <c r="CF3" s="30">
        <v>-3.6173265427350998E-2</v>
      </c>
      <c r="CG3" s="30">
        <v>-3.3427383750677109E-2</v>
      </c>
      <c r="CH3" s="30">
        <v>-1.898007653653622E-2</v>
      </c>
      <c r="CI3" s="30">
        <v>-1.589265838265419E-2</v>
      </c>
      <c r="CJ3" s="30">
        <v>-1.93511638790369E-2</v>
      </c>
      <c r="CK3" s="30">
        <v>-3.6270283162593842E-2</v>
      </c>
      <c r="CL3" s="30">
        <v>2.18544602394104E-2</v>
      </c>
      <c r="CM3" s="30">
        <v>-3.06690763682127E-2</v>
      </c>
      <c r="CN3" s="30">
        <v>-3.356621041893959E-2</v>
      </c>
      <c r="CO3" s="30">
        <v>-5.7102173566818237E-2</v>
      </c>
      <c r="CP3" s="30">
        <v>-1.416866108775139E-2</v>
      </c>
      <c r="CQ3" s="30">
        <v>-2.447781153023243E-2</v>
      </c>
      <c r="CR3" s="30">
        <v>-5.1261065527796754E-3</v>
      </c>
      <c r="CS3" s="30">
        <v>1.865070499479771E-2</v>
      </c>
      <c r="CT3" s="30">
        <v>-3.6899782717227943E-2</v>
      </c>
      <c r="CU3" s="30">
        <v>-3.0328931286931041E-2</v>
      </c>
      <c r="CV3" s="30">
        <v>-1.5965379774570469E-2</v>
      </c>
      <c r="CW3" s="30">
        <v>-2.833480574190617E-2</v>
      </c>
      <c r="CX3" s="30">
        <v>-2.26152203977108E-2</v>
      </c>
      <c r="CY3" s="30">
        <v>-8.1325806677341461E-3</v>
      </c>
      <c r="CZ3" s="30">
        <v>-6.5493392758071423E-3</v>
      </c>
      <c r="DA3" s="30">
        <v>-1.8719475716352459E-2</v>
      </c>
      <c r="DB3" s="30">
        <v>-2.3759631440043449E-2</v>
      </c>
      <c r="DC3" s="30">
        <v>-1.5671692788600922E-2</v>
      </c>
      <c r="DD3" s="30">
        <v>-1.9522979855537411E-2</v>
      </c>
      <c r="DE3" s="30">
        <v>-4.0282517671585083E-2</v>
      </c>
      <c r="DF3" s="30">
        <v>-8.8851423934102058E-3</v>
      </c>
      <c r="DG3" s="30">
        <v>9.1460929252207279E-4</v>
      </c>
      <c r="DH3" s="30">
        <v>-1.2378844432532791E-2</v>
      </c>
      <c r="DI3" s="30">
        <v>9.0523073449730873E-3</v>
      </c>
      <c r="DJ3" s="30">
        <v>-1.9859632477164268E-2</v>
      </c>
      <c r="DK3" s="30">
        <v>-2.2675381973385811E-2</v>
      </c>
      <c r="DL3" s="30">
        <v>-4.2003385722637183E-2</v>
      </c>
      <c r="DM3" s="30">
        <v>-2.7967073023319241E-2</v>
      </c>
      <c r="DN3" s="30">
        <v>7.005348801612854E-3</v>
      </c>
      <c r="DO3" s="30">
        <v>-2.6276815682649609E-2</v>
      </c>
      <c r="DP3" s="30">
        <v>-3.6057945340871811E-2</v>
      </c>
      <c r="DQ3" s="30">
        <v>-3.3415287733078003E-2</v>
      </c>
      <c r="DR3" s="30">
        <v>-1.6046343371272091E-2</v>
      </c>
      <c r="DS3" s="30">
        <v>-1.464163418859243E-2</v>
      </c>
      <c r="DT3" s="30">
        <v>-3.5933751612901688E-2</v>
      </c>
      <c r="DU3" s="30">
        <v>3.071782179176807E-3</v>
      </c>
      <c r="DV3" s="30">
        <v>-1.5330854803323749E-2</v>
      </c>
      <c r="DW3" s="30">
        <v>-1.4946370385587221E-2</v>
      </c>
      <c r="DX3" s="30">
        <v>-1.1101509444415569E-2</v>
      </c>
      <c r="DY3" s="30">
        <v>-4.7925966791808614E-3</v>
      </c>
      <c r="DZ3" s="30">
        <v>-1.846695318818092E-2</v>
      </c>
      <c r="EA3" s="30">
        <v>-1.2543918564915661E-2</v>
      </c>
      <c r="EB3" s="30">
        <v>-3.26961949467659E-2</v>
      </c>
      <c r="EC3" s="30">
        <v>-5.6490704417228699E-2</v>
      </c>
      <c r="ED3" s="30">
        <v>-2.6412356644868851E-2</v>
      </c>
      <c r="EE3" s="30">
        <v>-1.807861402630806E-2</v>
      </c>
      <c r="EF3" s="30">
        <v>-3.6580674350261688E-3</v>
      </c>
    </row>
    <row r="4" spans="1:137" ht="16" customHeight="1">
      <c r="A4" s="29"/>
      <c r="B4" s="25" t="s">
        <v>137</v>
      </c>
      <c r="C4" s="30">
        <v>2.8248634189367291E-2</v>
      </c>
      <c r="D4" s="30">
        <v>1.4183226972818369E-2</v>
      </c>
      <c r="E4" s="30">
        <v>3.1993348151445389E-2</v>
      </c>
      <c r="F4" s="30">
        <v>4.2365593835711479E-3</v>
      </c>
      <c r="G4" s="30">
        <v>1.271493919193745E-2</v>
      </c>
      <c r="H4" s="30">
        <v>1.0832134634256359E-2</v>
      </c>
      <c r="I4" s="30">
        <v>6.3727825880050659E-2</v>
      </c>
      <c r="J4" s="30">
        <v>1.4011073857545849E-2</v>
      </c>
      <c r="K4" s="30">
        <v>6.6770575940608978E-2</v>
      </c>
      <c r="L4" s="30">
        <v>2.1485414355993271E-2</v>
      </c>
      <c r="M4" s="30">
        <v>2.8019288554787639E-2</v>
      </c>
      <c r="N4" s="30">
        <v>8.4238220006227493E-3</v>
      </c>
      <c r="O4" s="30">
        <v>2.601810917258263E-2</v>
      </c>
      <c r="P4" s="30">
        <v>8.8989315554499626E-3</v>
      </c>
      <c r="Q4" s="30">
        <v>1.201280951499939E-2</v>
      </c>
      <c r="R4" s="30">
        <v>6.5032718703150749E-3</v>
      </c>
      <c r="S4" s="30">
        <v>-6.6254293778911233E-4</v>
      </c>
      <c r="T4" s="30">
        <v>1.1814413592219349E-2</v>
      </c>
      <c r="U4" s="30">
        <v>1.339553762227297E-2</v>
      </c>
      <c r="V4" s="30">
        <v>1.19242062792182E-2</v>
      </c>
      <c r="W4" s="30">
        <v>2.7815572917461399E-2</v>
      </c>
      <c r="X4" s="30">
        <v>2.5693094357848171E-5</v>
      </c>
      <c r="Y4" s="30">
        <v>3.9316866546869278E-2</v>
      </c>
      <c r="Z4" s="30">
        <v>5.6920211762189872E-2</v>
      </c>
      <c r="AA4" s="30">
        <v>9.8233535885810852E-2</v>
      </c>
      <c r="AB4" s="30">
        <v>6.4750097692012787E-2</v>
      </c>
      <c r="AC4" s="30">
        <v>6.7361786961555481E-2</v>
      </c>
      <c r="AD4" s="30">
        <v>5.1507804542779922E-2</v>
      </c>
      <c r="AE4" s="30">
        <v>4.9662109464406967E-2</v>
      </c>
      <c r="AF4" s="30">
        <v>2.0239388570189479E-2</v>
      </c>
      <c r="AG4" s="30">
        <v>9.3923445092514157E-4</v>
      </c>
      <c r="AH4" s="30">
        <v>-1.105708070099354E-2</v>
      </c>
      <c r="AI4" s="30">
        <v>1.6824111342430111E-2</v>
      </c>
      <c r="AJ4" s="30">
        <v>-7.4724433943629265E-4</v>
      </c>
      <c r="AK4" s="30">
        <v>1.1401809751987461E-2</v>
      </c>
      <c r="AL4" s="30">
        <v>4.4149282621219749E-4</v>
      </c>
      <c r="AM4" s="30">
        <v>-1.789861731231213E-2</v>
      </c>
      <c r="AN4" s="30">
        <v>-1.0071121156215669E-2</v>
      </c>
      <c r="AO4" s="30">
        <v>6.6899019293487072E-3</v>
      </c>
      <c r="AP4" s="30">
        <v>-1.1917488649487501E-2</v>
      </c>
      <c r="AQ4" s="30">
        <v>-2.7241043746471408E-2</v>
      </c>
      <c r="AR4" s="30">
        <v>-4.9140769988298416E-3</v>
      </c>
      <c r="AS4" s="30">
        <v>-3.0879320576786991E-2</v>
      </c>
      <c r="AT4" s="30">
        <v>-1.474843081086874E-2</v>
      </c>
      <c r="AU4" s="30">
        <v>-2.2974038496613499E-2</v>
      </c>
      <c r="AV4" s="30">
        <v>-2.274879720062017E-3</v>
      </c>
      <c r="AW4" s="30">
        <v>-1.657006144523621E-2</v>
      </c>
      <c r="AX4" s="30">
        <v>-1.187692023813725E-2</v>
      </c>
      <c r="AY4" s="30">
        <v>-2.4517569690942761E-2</v>
      </c>
      <c r="AZ4" s="30">
        <v>1.4865461271256211E-3</v>
      </c>
      <c r="BA4" s="30">
        <v>1.029744930565357E-2</v>
      </c>
      <c r="BB4" s="30">
        <v>2.5721301790326829E-3</v>
      </c>
      <c r="BC4" s="30">
        <v>3.9163189940154552E-3</v>
      </c>
      <c r="BD4" s="30">
        <v>-2.5292611680924888E-3</v>
      </c>
      <c r="BE4" s="30">
        <v>-8.299974724650383E-3</v>
      </c>
      <c r="BF4" s="30">
        <v>-4.618610255420208E-3</v>
      </c>
      <c r="BG4" s="30">
        <v>-6.1649740673601627E-3</v>
      </c>
      <c r="BH4" s="30">
        <v>-3.748608753085136E-3</v>
      </c>
      <c r="BI4" s="30">
        <v>5.9695299714803696E-3</v>
      </c>
      <c r="BJ4" s="30">
        <v>-8.2524949684739113E-3</v>
      </c>
      <c r="BK4" s="30">
        <v>-3.1494102440774441E-3</v>
      </c>
      <c r="BL4" s="30">
        <v>-2.2762905806303021E-2</v>
      </c>
      <c r="BM4" s="30">
        <v>-1.5299521386623381E-2</v>
      </c>
      <c r="BN4" s="30">
        <v>-1.056381408125162E-2</v>
      </c>
      <c r="BO4" s="30">
        <v>4.6637067571282387E-3</v>
      </c>
      <c r="BP4" s="30">
        <v>4.6207541599869728E-3</v>
      </c>
      <c r="BQ4" s="30">
        <v>3.3099830150604248E-2</v>
      </c>
      <c r="BR4" s="30">
        <v>7.9383321106433868E-2</v>
      </c>
      <c r="BS4" s="30">
        <v>3.2730802893638611E-2</v>
      </c>
      <c r="BT4" s="30">
        <v>1.551901735365391E-2</v>
      </c>
      <c r="BU4" s="30">
        <v>1.7918560653924939E-2</v>
      </c>
      <c r="BV4" s="30">
        <v>1.257674675434828E-2</v>
      </c>
      <c r="BW4" s="30">
        <v>1.75600815564394E-2</v>
      </c>
      <c r="BX4" s="30">
        <v>1.9561545923352242E-2</v>
      </c>
      <c r="BY4" s="30">
        <v>9.4829900190234184E-3</v>
      </c>
      <c r="BZ4" s="30">
        <v>2.3618856444954869E-2</v>
      </c>
      <c r="CA4" s="30">
        <v>2.434477768838406E-2</v>
      </c>
      <c r="CB4" s="30">
        <v>-8.4261037409305573E-3</v>
      </c>
      <c r="CC4" s="30">
        <v>7.1666632720734924E-5</v>
      </c>
      <c r="CD4" s="30">
        <v>1.58525153528899E-3</v>
      </c>
      <c r="CE4" s="30">
        <v>-4.1839517652988434E-3</v>
      </c>
      <c r="CF4" s="30">
        <v>-1.925571262836456E-2</v>
      </c>
      <c r="CG4" s="30">
        <v>-2.450777031481266E-2</v>
      </c>
      <c r="CH4" s="30">
        <v>-2.5543062016367909E-2</v>
      </c>
      <c r="CI4" s="30">
        <v>-1.6113311052322391E-2</v>
      </c>
      <c r="CJ4" s="30">
        <v>-2.3990631103515622E-2</v>
      </c>
      <c r="CK4" s="30">
        <v>-3.0572861433029171E-2</v>
      </c>
      <c r="CL4" s="30">
        <v>-3.3399540930986397E-2</v>
      </c>
      <c r="CM4" s="30">
        <v>-1.3533868826925749E-2</v>
      </c>
      <c r="CN4" s="30">
        <v>-1.659691147506237E-2</v>
      </c>
      <c r="CO4" s="30">
        <v>-1.24882385134697E-2</v>
      </c>
      <c r="CP4" s="30">
        <v>-1.5990793704986569E-2</v>
      </c>
      <c r="CQ4" s="30">
        <v>-7.2096372023224831E-3</v>
      </c>
      <c r="CR4" s="30">
        <v>-2.841118723154068E-2</v>
      </c>
      <c r="CS4" s="30">
        <v>-3.007250651717186E-2</v>
      </c>
      <c r="CT4" s="30">
        <v>-2.765975333750248E-2</v>
      </c>
      <c r="CU4" s="30">
        <v>-1.706959493458271E-2</v>
      </c>
      <c r="CV4" s="30">
        <v>-1.7912266775965691E-2</v>
      </c>
      <c r="CW4" s="30">
        <v>-1.239021867513657E-2</v>
      </c>
      <c r="CX4" s="30">
        <v>-1.7721431329846379E-2</v>
      </c>
      <c r="CY4" s="30">
        <v>-1.9734646193683152E-3</v>
      </c>
      <c r="CZ4" s="30">
        <v>8.7843285873532295E-3</v>
      </c>
      <c r="DA4" s="30">
        <v>-3.2751679420471191E-2</v>
      </c>
      <c r="DB4" s="30">
        <v>-9.1977678239345551E-3</v>
      </c>
      <c r="DC4" s="30">
        <v>-4.3027768842875957E-3</v>
      </c>
      <c r="DD4" s="30">
        <v>-1.7814325168728828E-2</v>
      </c>
      <c r="DE4" s="30">
        <v>4.1021797806024551E-3</v>
      </c>
      <c r="DF4" s="30">
        <v>-7.2315400466322899E-3</v>
      </c>
      <c r="DG4" s="30">
        <v>4.2892070487141609E-3</v>
      </c>
      <c r="DH4" s="30">
        <v>9.5487143844366074E-3</v>
      </c>
      <c r="DI4" s="30">
        <v>7.0580318570137024E-3</v>
      </c>
      <c r="DJ4" s="30">
        <v>6.8894680589437476E-3</v>
      </c>
      <c r="DK4" s="30">
        <v>7.0452648214995861E-3</v>
      </c>
      <c r="DL4" s="30">
        <v>7.8367050737142563E-3</v>
      </c>
      <c r="DM4" s="30">
        <v>1.132010761648417E-2</v>
      </c>
      <c r="DN4" s="30">
        <v>3.335223533213139E-3</v>
      </c>
      <c r="DO4" s="30">
        <v>1.380339544266462E-2</v>
      </c>
      <c r="DP4" s="30">
        <v>1.0737471282482151E-2</v>
      </c>
      <c r="DQ4" s="30">
        <v>6.1118975281715393E-4</v>
      </c>
      <c r="DR4" s="30">
        <v>1.4212187379598619E-2</v>
      </c>
      <c r="DS4" s="30">
        <v>1.7021110979840159E-3</v>
      </c>
      <c r="DT4" s="30">
        <v>3.5690043587237601E-3</v>
      </c>
      <c r="DU4" s="30">
        <v>2.0074488129466772E-3</v>
      </c>
      <c r="DV4" s="30">
        <v>2.9247954487800602E-2</v>
      </c>
      <c r="DW4" s="30">
        <v>1.8428530544042591E-2</v>
      </c>
      <c r="DX4" s="30">
        <v>1.877508498728275E-2</v>
      </c>
      <c r="DY4" s="30">
        <v>1.251648087054491E-2</v>
      </c>
      <c r="DZ4" s="30">
        <v>1.859314180910587E-2</v>
      </c>
      <c r="EA4" s="30">
        <v>1.8734032288193699E-2</v>
      </c>
      <c r="EB4" s="30">
        <v>1.160619128495455E-2</v>
      </c>
      <c r="EC4" s="30">
        <v>3.1247735023498539E-2</v>
      </c>
      <c r="ED4" s="30">
        <v>1.844197511672974E-2</v>
      </c>
      <c r="EE4" s="30">
        <v>7.5100352987647057E-3</v>
      </c>
      <c r="EF4" s="30">
        <v>1.825511455535889E-2</v>
      </c>
    </row>
    <row r="5" spans="1:137" ht="16" customHeight="1">
      <c r="A5" s="29"/>
      <c r="B5" s="25" t="s">
        <v>138</v>
      </c>
      <c r="C5" s="30">
        <v>-3.093557246029377E-2</v>
      </c>
      <c r="D5" s="30">
        <v>-7.8517265617847443E-2</v>
      </c>
      <c r="E5" s="30">
        <v>-7.1969844400882721E-2</v>
      </c>
      <c r="F5" s="30">
        <v>-2.1682599559426311E-2</v>
      </c>
      <c r="G5" s="30">
        <v>3.9315680041909218E-3</v>
      </c>
      <c r="H5" s="30">
        <v>-1.978492550551891E-2</v>
      </c>
      <c r="I5" s="30">
        <v>-1.0177304036915301E-2</v>
      </c>
      <c r="J5" s="30">
        <v>-8.2358997315168381E-3</v>
      </c>
      <c r="K5" s="30">
        <v>2.3635530844330791E-2</v>
      </c>
      <c r="L5" s="30">
        <v>-1.4618006534874439E-2</v>
      </c>
      <c r="M5" s="30">
        <v>2.2768089547753331E-2</v>
      </c>
      <c r="N5" s="30">
        <v>-4.363420233130455E-2</v>
      </c>
      <c r="O5" s="30">
        <v>-5.7530194520950317E-2</v>
      </c>
      <c r="P5" s="30">
        <v>-6.1749737709760673E-2</v>
      </c>
      <c r="Q5" s="30">
        <v>-6.4170286059379578E-2</v>
      </c>
      <c r="R5" s="30">
        <v>-5.6614186614751823E-2</v>
      </c>
      <c r="S5" s="30">
        <v>-3.9280273020267487E-2</v>
      </c>
      <c r="T5" s="30">
        <v>-4.5374378561973572E-2</v>
      </c>
      <c r="U5" s="30">
        <v>2.1098524332046509E-2</v>
      </c>
      <c r="V5" s="30">
        <v>-5.0834860652685172E-2</v>
      </c>
      <c r="W5" s="30">
        <v>-4.3037977069616318E-2</v>
      </c>
      <c r="X5" s="30">
        <v>-2.6595532894134521E-2</v>
      </c>
      <c r="Y5" s="30">
        <v>-1.513876207172871E-2</v>
      </c>
      <c r="Z5" s="30">
        <v>-2.4952776730060581E-2</v>
      </c>
      <c r="AA5" s="30">
        <v>-6.4031586050987244E-2</v>
      </c>
      <c r="AB5" s="30">
        <v>-2.9604986310005191E-2</v>
      </c>
      <c r="AC5" s="30">
        <v>-1.944617601111531E-3</v>
      </c>
      <c r="AD5" s="30">
        <v>5.7631758973002434E-3</v>
      </c>
      <c r="AE5" s="30">
        <v>-1.179056335240602E-2</v>
      </c>
      <c r="AF5" s="30">
        <v>-2.2569329012185339E-3</v>
      </c>
      <c r="AG5" s="30">
        <v>-2.7719086036086079E-2</v>
      </c>
      <c r="AH5" s="30">
        <v>-2.121474826708436E-3</v>
      </c>
      <c r="AI5" s="30">
        <v>-2.9802717268466949E-2</v>
      </c>
      <c r="AJ5" s="30">
        <v>-3.3187164808623487E-4</v>
      </c>
      <c r="AK5" s="30">
        <v>1.3484867289662359E-2</v>
      </c>
      <c r="AL5" s="30">
        <v>-7.8548425808548927E-3</v>
      </c>
      <c r="AM5" s="30">
        <v>-2.1816307678818699E-2</v>
      </c>
      <c r="AN5" s="30">
        <v>1.06990709900856E-2</v>
      </c>
      <c r="AO5" s="30">
        <v>1.110227429307997E-3</v>
      </c>
      <c r="AP5" s="30">
        <v>7.9638074385002255E-4</v>
      </c>
      <c r="AQ5" s="30">
        <v>-5.5128955282270908E-3</v>
      </c>
      <c r="AR5" s="30">
        <v>-1.548982225358486E-2</v>
      </c>
      <c r="AS5" s="30">
        <v>-1.3374983333051199E-2</v>
      </c>
      <c r="AT5" s="30">
        <v>-2.8082795906811948E-3</v>
      </c>
      <c r="AU5" s="30">
        <v>1.3588436879217619E-2</v>
      </c>
      <c r="AV5" s="30">
        <v>1.1518656276166441E-2</v>
      </c>
      <c r="AW5" s="30">
        <v>-5.1678195595741272E-3</v>
      </c>
      <c r="AX5" s="30">
        <v>-1.7534591257572171E-2</v>
      </c>
      <c r="AY5" s="30">
        <v>-1.2889344245195391E-2</v>
      </c>
      <c r="AZ5" s="30">
        <v>4.608450923115015E-3</v>
      </c>
      <c r="BA5" s="30">
        <v>-3.7847871426492929E-3</v>
      </c>
      <c r="BB5" s="30">
        <v>-4.9904352053999901E-3</v>
      </c>
      <c r="BC5" s="30">
        <v>-1.7079908400773999E-2</v>
      </c>
      <c r="BD5" s="30">
        <v>-2.3915629833936691E-2</v>
      </c>
      <c r="BE5" s="30">
        <v>2.1333401091396809E-3</v>
      </c>
      <c r="BF5" s="30">
        <v>3.1931266188621521E-2</v>
      </c>
      <c r="BG5" s="30">
        <v>2.271440252661705E-2</v>
      </c>
      <c r="BH5" s="30">
        <v>5.4914258420467377E-2</v>
      </c>
      <c r="BI5" s="30">
        <v>2.3081650957465168E-2</v>
      </c>
      <c r="BJ5" s="30">
        <v>4.1425202041864402E-2</v>
      </c>
      <c r="BK5" s="30">
        <v>-4.5687265694141388E-2</v>
      </c>
      <c r="BL5" s="30">
        <v>-2.4188106879591938E-2</v>
      </c>
      <c r="BM5" s="30">
        <v>-4.5954536646604538E-2</v>
      </c>
      <c r="BN5" s="30">
        <v>-5.2363675087690353E-2</v>
      </c>
      <c r="BO5" s="30">
        <v>-6.0948830097913742E-2</v>
      </c>
      <c r="BP5" s="30">
        <v>-4.6518847346305847E-2</v>
      </c>
      <c r="BQ5" s="30">
        <v>-3.1062062829732891E-2</v>
      </c>
      <c r="BR5" s="30">
        <v>3.2680220901966091E-3</v>
      </c>
      <c r="BS5" s="30">
        <v>6.8480938673019409E-2</v>
      </c>
      <c r="BT5" s="30">
        <v>2.1564350463449951E-3</v>
      </c>
      <c r="BU5" s="30">
        <v>-3.8370478898286819E-2</v>
      </c>
      <c r="BV5" s="30">
        <v>-3.7749018520116813E-2</v>
      </c>
      <c r="BW5" s="30">
        <v>-3.7364158779382713E-2</v>
      </c>
      <c r="BX5" s="30">
        <v>-2.7728324756026271E-2</v>
      </c>
      <c r="BY5" s="30">
        <v>-3.0275849625468251E-2</v>
      </c>
      <c r="BZ5" s="30">
        <v>-4.346185177564621E-2</v>
      </c>
      <c r="CA5" s="30">
        <v>-3.151523694396019E-2</v>
      </c>
      <c r="CB5" s="30">
        <v>-3.108143620193005E-2</v>
      </c>
      <c r="CC5" s="30">
        <v>-3.5361416637897491E-2</v>
      </c>
      <c r="CD5" s="30">
        <v>-3.3158984035253518E-2</v>
      </c>
      <c r="CE5" s="30">
        <v>-2.35139075666666E-2</v>
      </c>
      <c r="CF5" s="30">
        <v>-1.2064295820891861E-2</v>
      </c>
      <c r="CG5" s="30">
        <v>-3.2220706343650818E-3</v>
      </c>
      <c r="CH5" s="30">
        <v>-1.9549626857042309E-2</v>
      </c>
      <c r="CI5" s="30">
        <v>-9.6641974523663521E-3</v>
      </c>
      <c r="CJ5" s="30">
        <v>-2.0440889056771989E-3</v>
      </c>
      <c r="CK5" s="30">
        <v>-2.6424447074532509E-2</v>
      </c>
      <c r="CL5" s="30">
        <v>-4.3267767876386642E-2</v>
      </c>
      <c r="CM5" s="30">
        <v>-1.9405793398618702E-2</v>
      </c>
      <c r="CN5" s="30">
        <v>-2.635003998875618E-2</v>
      </c>
      <c r="CO5" s="30">
        <v>3.1805969774723049E-3</v>
      </c>
      <c r="CP5" s="30">
        <v>-6.2574027106165886E-3</v>
      </c>
      <c r="CQ5" s="30">
        <v>-1.3818861916661261E-2</v>
      </c>
      <c r="CR5" s="30">
        <v>-2.1159159019589421E-2</v>
      </c>
      <c r="CS5" s="30">
        <v>-1.896608434617519E-2</v>
      </c>
      <c r="CT5" s="30">
        <v>-2.906819432973862E-2</v>
      </c>
      <c r="CU5" s="30">
        <v>-5.1458954811096191E-2</v>
      </c>
      <c r="CV5" s="30">
        <v>-2.4589415639638901E-2</v>
      </c>
      <c r="CW5" s="30">
        <v>-4.7959472984075553E-2</v>
      </c>
      <c r="CX5" s="30">
        <v>-2.462939731776714E-2</v>
      </c>
      <c r="CY5" s="30">
        <v>-2.7626641094684601E-2</v>
      </c>
      <c r="CZ5" s="30">
        <v>-5.503227561712265E-2</v>
      </c>
      <c r="DA5" s="30">
        <v>-2.8730303049087521E-2</v>
      </c>
      <c r="DB5" s="30">
        <v>-6.6727802157402039E-2</v>
      </c>
      <c r="DC5" s="30">
        <v>-0.1073298379778862</v>
      </c>
      <c r="DD5" s="30">
        <v>-5.2791092544794083E-2</v>
      </c>
      <c r="DE5" s="30">
        <v>-6.0571521520614617E-2</v>
      </c>
      <c r="DF5" s="30">
        <v>-3.9159800857305527E-2</v>
      </c>
      <c r="DG5" s="30">
        <v>-5.1414530724287033E-2</v>
      </c>
      <c r="DH5" s="30">
        <v>-6.5701395273208618E-2</v>
      </c>
      <c r="DI5" s="30">
        <v>-3.3493325114250183E-2</v>
      </c>
      <c r="DJ5" s="30">
        <v>-2.4839011952281002E-2</v>
      </c>
      <c r="DK5" s="30">
        <v>-2.238474972546101E-2</v>
      </c>
      <c r="DL5" s="30">
        <v>-3.6509480327367783E-2</v>
      </c>
      <c r="DM5" s="30">
        <v>-3.9328606799244881E-3</v>
      </c>
      <c r="DN5" s="30">
        <v>-9.6125034615397453E-3</v>
      </c>
      <c r="DO5" s="30">
        <v>1.495146192610264E-2</v>
      </c>
      <c r="DP5" s="30">
        <v>-3.1372068915516138E-3</v>
      </c>
      <c r="DQ5" s="30">
        <v>-2.8361598961055279E-3</v>
      </c>
      <c r="DR5" s="30">
        <v>5.198170430958271E-3</v>
      </c>
      <c r="DS5" s="30">
        <v>1.1405284516513349E-2</v>
      </c>
      <c r="DT5" s="30">
        <v>-6.4447050681337714E-4</v>
      </c>
      <c r="DU5" s="30">
        <v>-1.273592282086611E-2</v>
      </c>
      <c r="DV5" s="30">
        <v>-2.1273775026202198E-2</v>
      </c>
      <c r="DW5" s="30">
        <v>-1.183168590068817E-2</v>
      </c>
      <c r="DX5" s="30">
        <v>-4.303129855543375E-3</v>
      </c>
      <c r="DY5" s="30">
        <v>5.929900798946619E-3</v>
      </c>
      <c r="DZ5" s="30">
        <v>-3.1490330584347248E-3</v>
      </c>
      <c r="EA5" s="30">
        <v>-8.7568778544664383E-3</v>
      </c>
      <c r="EB5" s="30">
        <v>4.7055804170668134E-3</v>
      </c>
      <c r="EC5" s="30">
        <v>-1.4093491248786449E-2</v>
      </c>
      <c r="ED5" s="30">
        <v>-7.3874481022357941E-3</v>
      </c>
      <c r="EE5" s="30">
        <v>-2.4573959410190579E-2</v>
      </c>
      <c r="EF5" s="30">
        <v>-3.00772450864315E-2</v>
      </c>
    </row>
    <row r="6" spans="1:137" ht="16" customHeight="1">
      <c r="A6" s="29"/>
      <c r="B6" s="25" t="s">
        <v>139</v>
      </c>
      <c r="C6" s="30">
        <v>2.2974487394094471E-2</v>
      </c>
      <c r="D6" s="30">
        <v>1.7081409692764279E-2</v>
      </c>
      <c r="E6" s="30">
        <v>3.1377147883176797E-2</v>
      </c>
      <c r="F6" s="30">
        <v>1.6779405996203419E-2</v>
      </c>
      <c r="G6" s="30">
        <v>-1.317084766924381E-3</v>
      </c>
      <c r="H6" s="30">
        <v>1.38464504852891E-2</v>
      </c>
      <c r="I6" s="30">
        <v>2.191024087369442E-2</v>
      </c>
      <c r="J6" s="30">
        <v>1.260905526578426E-2</v>
      </c>
      <c r="K6" s="30">
        <v>-5.0779725424945346E-3</v>
      </c>
      <c r="L6" s="30">
        <v>5.8798324316740036E-3</v>
      </c>
      <c r="M6" s="30">
        <v>1.3324283063411709E-2</v>
      </c>
      <c r="N6" s="30">
        <v>1.7233520746231079E-2</v>
      </c>
      <c r="O6" s="30">
        <v>-5.6088712881319218E-5</v>
      </c>
      <c r="P6" s="30">
        <v>-6.2972903251647949E-3</v>
      </c>
      <c r="Q6" s="30">
        <v>2.4710532277822491E-2</v>
      </c>
      <c r="R6" s="30">
        <v>1.392411347478628E-2</v>
      </c>
      <c r="S6" s="30">
        <v>2.3693526163697239E-2</v>
      </c>
      <c r="T6" s="30">
        <v>1.9597101956605911E-2</v>
      </c>
      <c r="U6" s="30">
        <v>1.067257020622492E-2</v>
      </c>
      <c r="V6" s="30">
        <v>2.010666020214558E-2</v>
      </c>
      <c r="W6" s="30">
        <v>1.6704599838703871E-3</v>
      </c>
      <c r="X6" s="30">
        <v>2.5238168891519308E-3</v>
      </c>
      <c r="Y6" s="30">
        <v>9.2325033619999886E-3</v>
      </c>
      <c r="Z6" s="30">
        <v>1.28249591216445E-2</v>
      </c>
      <c r="AA6" s="30">
        <v>9.0660788118839264E-3</v>
      </c>
      <c r="AB6" s="30">
        <v>-1.209302456118166E-3</v>
      </c>
      <c r="AC6" s="30">
        <v>-6.8358690477907658E-3</v>
      </c>
      <c r="AD6" s="30">
        <v>1.9463960779830809E-3</v>
      </c>
      <c r="AE6" s="30">
        <v>1.42386257648468E-2</v>
      </c>
      <c r="AF6" s="30">
        <v>8.8263219222426414E-3</v>
      </c>
      <c r="AG6" s="30">
        <v>2.088212966918945E-2</v>
      </c>
      <c r="AH6" s="30">
        <v>5.198381096124649E-2</v>
      </c>
      <c r="AI6" s="30">
        <v>1.8810819834470749E-2</v>
      </c>
      <c r="AJ6" s="30">
        <v>1.617512293159962E-2</v>
      </c>
      <c r="AK6" s="30">
        <v>1.7538744956254959E-2</v>
      </c>
      <c r="AL6" s="30">
        <v>1.953974366188049E-2</v>
      </c>
      <c r="AM6" s="30">
        <v>1.2414112687110899E-2</v>
      </c>
      <c r="AN6" s="30">
        <v>-3.0713342130184169E-3</v>
      </c>
      <c r="AO6" s="30">
        <v>1.8124989001080389E-3</v>
      </c>
      <c r="AP6" s="30">
        <v>2.7226977050304409E-2</v>
      </c>
      <c r="AQ6" s="30">
        <v>1.5237000770866869E-2</v>
      </c>
      <c r="AR6" s="30">
        <v>2.0699001848697659E-2</v>
      </c>
      <c r="AS6" s="30">
        <v>1.803973130881786E-2</v>
      </c>
      <c r="AT6" s="30">
        <v>1.9905209541320801E-2</v>
      </c>
      <c r="AU6" s="30">
        <v>1.392220333218575E-2</v>
      </c>
      <c r="AV6" s="30">
        <v>1.49183738976717E-2</v>
      </c>
      <c r="AW6" s="30">
        <v>2.6367004029452801E-3</v>
      </c>
      <c r="AX6" s="30">
        <v>4.1243366897106171E-2</v>
      </c>
      <c r="AY6" s="30">
        <v>1.622296683490276E-2</v>
      </c>
      <c r="AZ6" s="30">
        <v>2.0173013210296631E-2</v>
      </c>
      <c r="BA6" s="30">
        <v>1.64332315325737E-2</v>
      </c>
      <c r="BB6" s="30">
        <v>2.2108843550086021E-2</v>
      </c>
      <c r="BC6" s="30">
        <v>2.0426224917173389E-2</v>
      </c>
      <c r="BD6" s="30">
        <v>1.4836631715297701E-2</v>
      </c>
      <c r="BE6" s="30">
        <v>1.464955974370241E-2</v>
      </c>
      <c r="BF6" s="30">
        <v>9.8656453192234039E-3</v>
      </c>
      <c r="BG6" s="30">
        <v>6.5305721946060658E-3</v>
      </c>
      <c r="BH6" s="30">
        <v>4.2353100143373013E-3</v>
      </c>
      <c r="BI6" s="30">
        <v>5.6681097485125056E-3</v>
      </c>
      <c r="BJ6" s="30">
        <v>2.540989313274622E-3</v>
      </c>
      <c r="BK6" s="30">
        <v>2.1666570100933309E-3</v>
      </c>
      <c r="BL6" s="30">
        <v>3.3819519449025388E-3</v>
      </c>
      <c r="BM6" s="30">
        <v>4.0704761631786823E-3</v>
      </c>
      <c r="BN6" s="30">
        <v>8.9805722236633301E-3</v>
      </c>
      <c r="BO6" s="30">
        <v>9.7311185672879219E-3</v>
      </c>
      <c r="BP6" s="30">
        <v>4.8173125833272934E-3</v>
      </c>
      <c r="BQ6" s="30">
        <v>9.8657906055450439E-3</v>
      </c>
      <c r="BR6" s="30">
        <v>1.3763009570538999E-2</v>
      </c>
      <c r="BS6" s="30">
        <v>1.4573461376130579E-2</v>
      </c>
      <c r="BT6" s="30">
        <v>2.0938688889145851E-2</v>
      </c>
      <c r="BU6" s="30">
        <v>1.4000543393194681E-2</v>
      </c>
      <c r="BV6" s="30">
        <v>1.9158285111188889E-2</v>
      </c>
      <c r="BW6" s="30">
        <v>1.7214477062225338E-2</v>
      </c>
      <c r="BX6" s="30">
        <v>1.1270095594227311E-2</v>
      </c>
      <c r="BY6" s="30">
        <v>2.503050863742828E-2</v>
      </c>
      <c r="BZ6" s="30">
        <v>3.1615070998668671E-2</v>
      </c>
      <c r="CA6" s="30">
        <v>2.5428475812077519E-2</v>
      </c>
      <c r="CB6" s="30">
        <v>0.11305705457925801</v>
      </c>
      <c r="CC6" s="30">
        <v>2.7973102405667302E-2</v>
      </c>
      <c r="CD6" s="30">
        <v>7.6278587803244591E-3</v>
      </c>
      <c r="CE6" s="30">
        <v>1.3782011345028881E-2</v>
      </c>
      <c r="CF6" s="30">
        <v>2.5310907512903209E-3</v>
      </c>
      <c r="CG6" s="30">
        <v>1.7127167666330929E-3</v>
      </c>
      <c r="CH6" s="30">
        <v>-5.0100181251764297E-3</v>
      </c>
      <c r="CI6" s="30">
        <v>3.2922136597335339E-3</v>
      </c>
      <c r="CJ6" s="30">
        <v>8.8564753532409668E-2</v>
      </c>
      <c r="CK6" s="30">
        <v>1.210253778845072E-2</v>
      </c>
      <c r="CL6" s="30">
        <v>1.323739159852266E-2</v>
      </c>
      <c r="CM6" s="30">
        <v>1.0921693406999109E-2</v>
      </c>
      <c r="CN6" s="30">
        <v>4.0465407073497772E-3</v>
      </c>
      <c r="CO6" s="30">
        <v>1.302310964092612E-3</v>
      </c>
      <c r="CP6" s="30">
        <v>1.0241216048598289E-2</v>
      </c>
      <c r="CQ6" s="30">
        <v>5.9799491427838802E-3</v>
      </c>
      <c r="CR6" s="30">
        <v>-7.5976653024554253E-3</v>
      </c>
      <c r="CS6" s="30">
        <v>2.3250426165759559E-3</v>
      </c>
      <c r="CT6" s="30">
        <v>2.201069891452789E-2</v>
      </c>
      <c r="CU6" s="30">
        <v>2.3386678658425808E-3</v>
      </c>
      <c r="CV6" s="30">
        <v>7.6710118446499109E-4</v>
      </c>
      <c r="CW6" s="30">
        <v>8.8794771581888199E-3</v>
      </c>
      <c r="CX6" s="30">
        <v>1.35622089728713E-2</v>
      </c>
      <c r="CY6" s="30">
        <v>1.2153903022408491E-2</v>
      </c>
      <c r="CZ6" s="30">
        <v>1.677262969315052E-2</v>
      </c>
      <c r="DA6" s="30">
        <v>1.464688777923584E-2</v>
      </c>
      <c r="DB6" s="30">
        <v>1.7232054844498631E-2</v>
      </c>
      <c r="DC6" s="30">
        <v>1.39602292329073E-2</v>
      </c>
      <c r="DD6" s="30">
        <v>9.7235096618533134E-3</v>
      </c>
      <c r="DE6" s="30">
        <v>1.149020344018936E-2</v>
      </c>
      <c r="DF6" s="30">
        <v>5.3679053671658039E-3</v>
      </c>
      <c r="DG6" s="30">
        <v>6.8998713977634907E-3</v>
      </c>
      <c r="DH6" s="30">
        <v>7.6307100243866444E-3</v>
      </c>
      <c r="DI6" s="30">
        <v>1.1459525674581529E-2</v>
      </c>
      <c r="DJ6" s="30">
        <v>9.3496376648545265E-3</v>
      </c>
      <c r="DK6" s="30">
        <v>1.047230791300535E-2</v>
      </c>
      <c r="DL6" s="30">
        <v>9.9879391491413116E-3</v>
      </c>
      <c r="DM6" s="30">
        <v>1.4417587779462339E-2</v>
      </c>
      <c r="DN6" s="30">
        <v>1.5461321920156481E-2</v>
      </c>
      <c r="DO6" s="30">
        <v>7.2593644261360168E-2</v>
      </c>
      <c r="DP6" s="30">
        <v>6.6633999347686768E-2</v>
      </c>
      <c r="DQ6" s="30">
        <v>7.6050832867622375E-2</v>
      </c>
      <c r="DR6" s="30">
        <v>7.9444080591201782E-2</v>
      </c>
      <c r="DS6" s="30">
        <v>9.6407637000083923E-2</v>
      </c>
      <c r="DT6" s="30">
        <v>9.8738469183444977E-2</v>
      </c>
      <c r="DU6" s="30">
        <v>8.4987722337245941E-2</v>
      </c>
      <c r="DV6" s="30">
        <v>8.3614706993103027E-2</v>
      </c>
      <c r="DW6" s="30">
        <v>7.9545408487319946E-2</v>
      </c>
      <c r="DX6" s="30">
        <v>9.6235953271389008E-2</v>
      </c>
      <c r="DY6" s="30">
        <v>0.10154732316732409</v>
      </c>
      <c r="DZ6" s="30">
        <v>0.13149091601371771</v>
      </c>
      <c r="EA6" s="30">
        <v>0.1148593798279762</v>
      </c>
      <c r="EB6" s="30">
        <v>0.11237455904483799</v>
      </c>
      <c r="EC6" s="30">
        <v>0.12511362135410309</v>
      </c>
      <c r="ED6" s="30">
        <v>3.1657200306653983E-2</v>
      </c>
      <c r="EE6" s="30">
        <v>2.9610974714159969E-2</v>
      </c>
      <c r="EF6" s="30">
        <v>3.123905323445797E-2</v>
      </c>
      <c r="EG6" s="4"/>
    </row>
    <row r="7" spans="1:137" ht="16" customHeight="1">
      <c r="A7" s="4"/>
      <c r="B7" s="25" t="s">
        <v>140</v>
      </c>
      <c r="C7" s="30">
        <v>2.1774524357169871E-3</v>
      </c>
      <c r="D7" s="30">
        <v>1.301506627351046E-2</v>
      </c>
      <c r="E7" s="30">
        <v>9.8455846309661865E-3</v>
      </c>
      <c r="F7" s="30">
        <v>8.0243432894349098E-3</v>
      </c>
      <c r="G7" s="30">
        <v>-5.2677239291369924E-3</v>
      </c>
      <c r="H7" s="30">
        <v>1.4040330424904819E-3</v>
      </c>
      <c r="I7" s="30">
        <v>3.35096032358706E-3</v>
      </c>
      <c r="J7" s="30">
        <v>-4.0541882626712322E-3</v>
      </c>
      <c r="K7" s="30">
        <v>1.641397830098867E-3</v>
      </c>
      <c r="L7" s="30">
        <v>-3.6045860033482309E-3</v>
      </c>
      <c r="M7" s="30">
        <v>2.5401564780622721E-3</v>
      </c>
      <c r="N7" s="30">
        <v>-8.9025497436523438E-3</v>
      </c>
      <c r="O7" s="30">
        <v>1.0533438064157959E-2</v>
      </c>
      <c r="P7" s="30">
        <v>9.7276493906974792E-3</v>
      </c>
      <c r="Q7" s="30">
        <v>1.1463933624327179E-2</v>
      </c>
      <c r="R7" s="30">
        <v>2.0894568413496021E-2</v>
      </c>
      <c r="S7" s="30">
        <v>2.1158933639526371E-2</v>
      </c>
      <c r="T7" s="30">
        <v>2.5689143687486649E-2</v>
      </c>
      <c r="U7" s="30">
        <v>2.4543272331356999E-2</v>
      </c>
      <c r="V7" s="30">
        <v>1.1583937332034109E-2</v>
      </c>
      <c r="W7" s="30">
        <v>1.7569646239280701E-2</v>
      </c>
      <c r="X7" s="30">
        <v>8.7800547480583191E-2</v>
      </c>
      <c r="Y7" s="30">
        <v>5.0161927938461297E-2</v>
      </c>
      <c r="Z7" s="30">
        <v>3.1262714415788651E-2</v>
      </c>
      <c r="AA7" s="30">
        <v>4.2858966626226902E-3</v>
      </c>
      <c r="AB7" s="30">
        <v>4.6123538166284561E-2</v>
      </c>
      <c r="AC7" s="30">
        <v>8.0575473606586456E-2</v>
      </c>
      <c r="AD7" s="30">
        <v>3.6530923098325729E-2</v>
      </c>
      <c r="AE7" s="30">
        <v>2.4605680257081989E-2</v>
      </c>
      <c r="AF7" s="30">
        <v>1.2908365577459341E-2</v>
      </c>
      <c r="AG7" s="30">
        <v>2.1753383800387379E-2</v>
      </c>
      <c r="AH7" s="30">
        <v>3.0683320946991439E-3</v>
      </c>
      <c r="AI7" s="30">
        <v>8.5161365568637848E-3</v>
      </c>
      <c r="AJ7" s="30">
        <v>-4.9905562773346901E-3</v>
      </c>
      <c r="AK7" s="30">
        <v>-4.0547512471675873E-3</v>
      </c>
      <c r="AL7" s="30">
        <v>9.6464334055781364E-3</v>
      </c>
      <c r="AM7" s="30">
        <v>2.0504780113697049E-2</v>
      </c>
      <c r="AN7" s="30">
        <v>2.0692810416221619E-2</v>
      </c>
      <c r="AO7" s="30">
        <v>4.6984786167740822E-3</v>
      </c>
      <c r="AP7" s="30">
        <v>-4.5743486844003201E-3</v>
      </c>
      <c r="AQ7" s="30">
        <v>-6.8781576119363308E-3</v>
      </c>
      <c r="AR7" s="30">
        <v>-9.8103778436779976E-3</v>
      </c>
      <c r="AS7" s="30">
        <v>-9.5568029209971428E-3</v>
      </c>
      <c r="AT7" s="30">
        <v>5.923053715378046E-3</v>
      </c>
      <c r="AU7" s="30">
        <v>1.4722419437021019E-3</v>
      </c>
      <c r="AV7" s="30">
        <v>2.8763983398675919E-2</v>
      </c>
      <c r="AW7" s="30">
        <v>2.653876505792141E-2</v>
      </c>
      <c r="AX7" s="30">
        <v>8.3058588206768036E-3</v>
      </c>
      <c r="AY7" s="30">
        <v>5.37489028647542E-3</v>
      </c>
      <c r="AZ7" s="30">
        <v>1.18672801181674E-2</v>
      </c>
      <c r="BA7" s="30">
        <v>1.1852427385747429E-2</v>
      </c>
      <c r="BB7" s="30">
        <v>3.2360877841711037E-2</v>
      </c>
      <c r="BC7" s="30">
        <v>1.428650598973036E-2</v>
      </c>
      <c r="BD7" s="30">
        <v>7.969927042722702E-3</v>
      </c>
      <c r="BE7" s="30">
        <v>-6.0811341973021626E-4</v>
      </c>
      <c r="BF7" s="30">
        <v>-1.118848752230406E-2</v>
      </c>
      <c r="BG7" s="30">
        <v>-1.926126517355442E-2</v>
      </c>
      <c r="BH7" s="30">
        <v>-2.15022973716259E-2</v>
      </c>
      <c r="BI7" s="30">
        <v>5.8418240398168557E-2</v>
      </c>
      <c r="BJ7" s="30">
        <v>4.0143381804227829E-2</v>
      </c>
      <c r="BK7" s="30">
        <v>2.839156799018383E-2</v>
      </c>
      <c r="BL7" s="30">
        <v>2.5553938001394268E-2</v>
      </c>
      <c r="BM7" s="30">
        <v>9.6509531140327454E-3</v>
      </c>
      <c r="BN7" s="30">
        <v>4.6400707215070716E-3</v>
      </c>
      <c r="BO7" s="30">
        <v>3.6845332942903042E-3</v>
      </c>
      <c r="BP7" s="30">
        <v>1.329131051898003E-2</v>
      </c>
      <c r="BQ7" s="30">
        <v>7.8903371468186378E-3</v>
      </c>
      <c r="BR7" s="30">
        <v>7.0404992438852787E-3</v>
      </c>
      <c r="BS7" s="30">
        <v>7.1611646562814713E-3</v>
      </c>
      <c r="BT7" s="30">
        <v>1.4413587749004361E-2</v>
      </c>
      <c r="BU7" s="30">
        <v>1.103820279240608E-2</v>
      </c>
      <c r="BV7" s="30">
        <v>2.3246251046657559E-2</v>
      </c>
      <c r="BW7" s="30">
        <v>2.311362512409687E-2</v>
      </c>
      <c r="BX7" s="30">
        <v>7.0206619799137115E-2</v>
      </c>
      <c r="BY7" s="30">
        <v>6.1465926468372338E-2</v>
      </c>
      <c r="BZ7" s="30">
        <v>5.822661891579628E-2</v>
      </c>
      <c r="CA7" s="30">
        <v>4.9403347074985504E-3</v>
      </c>
      <c r="CB7" s="30">
        <v>1.0325175710022449E-2</v>
      </c>
      <c r="CC7" s="30">
        <v>5.5629480630159378E-4</v>
      </c>
      <c r="CD7" s="30">
        <v>2.5742873549461361E-2</v>
      </c>
      <c r="CE7" s="30">
        <v>2.6346748694777489E-2</v>
      </c>
      <c r="CF7" s="30">
        <v>2.078045159578323E-2</v>
      </c>
      <c r="CG7" s="30">
        <v>1.9359627738595009E-2</v>
      </c>
      <c r="CH7" s="30">
        <v>2.7750680223107341E-2</v>
      </c>
      <c r="CI7" s="30">
        <v>2.482840791344643E-2</v>
      </c>
      <c r="CJ7" s="30">
        <v>2.208101749420166E-2</v>
      </c>
      <c r="CK7" s="30">
        <v>8.6565986275672913E-3</v>
      </c>
      <c r="CL7" s="30">
        <v>7.0795947685837746E-3</v>
      </c>
      <c r="CM7" s="30">
        <v>8.4662102162837982E-3</v>
      </c>
      <c r="CN7" s="30">
        <v>2.7852556668221951E-3</v>
      </c>
      <c r="CO7" s="30">
        <v>6.0324417427182198E-3</v>
      </c>
      <c r="CP7" s="30">
        <v>4.8775835894048214E-3</v>
      </c>
      <c r="CQ7" s="30">
        <v>-8.8366348063573241E-4</v>
      </c>
      <c r="CR7" s="30">
        <v>-2.9415215831249948E-3</v>
      </c>
      <c r="CS7" s="30">
        <v>-6.5762377344071874E-3</v>
      </c>
      <c r="CT7" s="30">
        <v>-5.0856703892350197E-3</v>
      </c>
      <c r="CU7" s="30">
        <v>3.7310883402824402E-2</v>
      </c>
      <c r="CV7" s="30">
        <v>3.0856955796480179E-2</v>
      </c>
      <c r="CW7" s="30">
        <v>1.9465599209070209E-2</v>
      </c>
      <c r="CX7" s="30">
        <v>2.1523755043745041E-2</v>
      </c>
      <c r="CY7" s="30">
        <v>3.0290527269244191E-2</v>
      </c>
      <c r="CZ7" s="30">
        <v>3.0590202659368518E-2</v>
      </c>
      <c r="DA7" s="30">
        <v>2.849986590445042E-2</v>
      </c>
      <c r="DB7" s="30">
        <v>2.1195517852902409E-2</v>
      </c>
      <c r="DC7" s="30">
        <v>2.6068830862641331E-2</v>
      </c>
      <c r="DD7" s="30">
        <v>5.9307549148797989E-2</v>
      </c>
      <c r="DE7" s="30">
        <v>1.9247701391577721E-2</v>
      </c>
      <c r="DF7" s="30">
        <v>1.8887985497713089E-2</v>
      </c>
      <c r="DG7" s="30">
        <v>1.481551211327314E-2</v>
      </c>
      <c r="DH7" s="30">
        <v>1.667135767638683E-2</v>
      </c>
      <c r="DI7" s="30">
        <v>1.7327722162008289E-2</v>
      </c>
      <c r="DJ7" s="30">
        <v>1.56103502959013E-2</v>
      </c>
      <c r="DK7" s="30">
        <v>1.583695225417614E-2</v>
      </c>
      <c r="DL7" s="30">
        <v>1.7583077773451809E-2</v>
      </c>
      <c r="DM7" s="30">
        <v>1.280764956027269E-2</v>
      </c>
      <c r="DN7" s="30">
        <v>2.0481692627072331E-2</v>
      </c>
      <c r="DO7" s="30">
        <v>1.108080800622702E-2</v>
      </c>
      <c r="DP7" s="30">
        <v>1.5453166328370569E-2</v>
      </c>
      <c r="DQ7" s="30">
        <v>1.020689029246569E-2</v>
      </c>
      <c r="DR7" s="30">
        <v>1.2916479259729391E-2</v>
      </c>
      <c r="DS7" s="30">
        <v>1.966420374810696E-2</v>
      </c>
      <c r="DT7" s="30">
        <v>2.2220226004719731E-2</v>
      </c>
      <c r="DU7" s="30">
        <v>2.3969663307070729E-2</v>
      </c>
      <c r="DV7" s="30">
        <v>1.4732354320585729E-2</v>
      </c>
      <c r="DW7" s="30">
        <v>1.3176582753658289E-2</v>
      </c>
      <c r="DX7" s="30">
        <v>1.7936071380972859E-2</v>
      </c>
      <c r="DY7" s="30">
        <v>1.6969321295619011E-2</v>
      </c>
      <c r="DZ7" s="30">
        <v>1.628573052585125E-2</v>
      </c>
      <c r="EA7" s="30">
        <v>1.1118081398308281E-2</v>
      </c>
      <c r="EB7" s="30">
        <v>1.420325227081776E-2</v>
      </c>
      <c r="EC7" s="30">
        <v>8.9012579992413521E-3</v>
      </c>
      <c r="ED7" s="30">
        <v>7.0330379530787468E-3</v>
      </c>
      <c r="EE7" s="30">
        <v>1.109445281326771E-2</v>
      </c>
      <c r="EF7" s="30">
        <v>1.149675436317921E-2</v>
      </c>
    </row>
    <row r="8" spans="1:137" ht="16" customHeight="1">
      <c r="A8" s="4"/>
    </row>
    <row r="9" spans="1:137" ht="16" customHeight="1">
      <c r="A9" s="43" t="s">
        <v>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31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4"/>
    </row>
    <row r="10" spans="1:137" ht="17" customHeight="1">
      <c r="A10" s="29"/>
      <c r="B10" s="6" t="s">
        <v>1</v>
      </c>
      <c r="C10" s="40" t="s">
        <v>2</v>
      </c>
      <c r="D10" s="40" t="s">
        <v>3</v>
      </c>
      <c r="E10" s="40" t="s">
        <v>4</v>
      </c>
      <c r="F10" s="40" t="s">
        <v>5</v>
      </c>
      <c r="G10" s="40" t="s">
        <v>6</v>
      </c>
      <c r="H10" s="40" t="s">
        <v>7</v>
      </c>
      <c r="I10" s="40" t="s">
        <v>8</v>
      </c>
      <c r="J10" s="40" t="s">
        <v>9</v>
      </c>
      <c r="K10" s="40" t="s">
        <v>10</v>
      </c>
      <c r="L10" s="40" t="s">
        <v>11</v>
      </c>
      <c r="M10" s="40" t="s">
        <v>12</v>
      </c>
      <c r="N10" s="40" t="s">
        <v>13</v>
      </c>
      <c r="O10" s="40" t="s">
        <v>14</v>
      </c>
      <c r="P10" s="40" t="s">
        <v>15</v>
      </c>
      <c r="Q10" s="40" t="s">
        <v>16</v>
      </c>
      <c r="R10" s="40" t="s">
        <v>17</v>
      </c>
      <c r="S10" s="40" t="s">
        <v>18</v>
      </c>
      <c r="T10" s="40" t="s">
        <v>19</v>
      </c>
      <c r="U10" s="40" t="s">
        <v>20</v>
      </c>
      <c r="V10" s="40" t="s">
        <v>21</v>
      </c>
      <c r="W10" s="40" t="s">
        <v>22</v>
      </c>
      <c r="X10" s="40" t="s">
        <v>23</v>
      </c>
      <c r="Y10" s="40" t="s">
        <v>24</v>
      </c>
      <c r="Z10" s="40" t="s">
        <v>25</v>
      </c>
      <c r="AA10" s="40" t="s">
        <v>26</v>
      </c>
      <c r="AB10" s="40" t="s">
        <v>27</v>
      </c>
      <c r="AC10" s="40" t="s">
        <v>28</v>
      </c>
      <c r="AD10" s="40" t="s">
        <v>29</v>
      </c>
      <c r="AE10" s="40" t="s">
        <v>30</v>
      </c>
      <c r="AF10" s="40" t="s">
        <v>31</v>
      </c>
      <c r="AG10" s="40" t="s">
        <v>32</v>
      </c>
      <c r="AH10" s="40" t="s">
        <v>33</v>
      </c>
      <c r="AI10" s="40" t="s">
        <v>34</v>
      </c>
      <c r="AJ10" s="40" t="s">
        <v>35</v>
      </c>
      <c r="AK10" s="40" t="s">
        <v>36</v>
      </c>
      <c r="AL10" s="40" t="s">
        <v>37</v>
      </c>
      <c r="AM10" s="40" t="s">
        <v>38</v>
      </c>
      <c r="AN10" s="40" t="s">
        <v>39</v>
      </c>
      <c r="AO10" s="40" t="s">
        <v>40</v>
      </c>
      <c r="AP10" s="40" t="s">
        <v>41</v>
      </c>
      <c r="AQ10" s="40" t="s">
        <v>42</v>
      </c>
      <c r="AR10" s="40" t="s">
        <v>43</v>
      </c>
      <c r="AS10" s="40" t="s">
        <v>44</v>
      </c>
      <c r="AT10" s="40" t="s">
        <v>45</v>
      </c>
      <c r="AU10" s="40" t="s">
        <v>46</v>
      </c>
      <c r="AV10" s="40" t="s">
        <v>47</v>
      </c>
      <c r="AW10" s="40" t="s">
        <v>48</v>
      </c>
      <c r="AX10" s="40" t="s">
        <v>49</v>
      </c>
      <c r="AY10" s="40" t="s">
        <v>50</v>
      </c>
      <c r="AZ10" s="40" t="s">
        <v>51</v>
      </c>
      <c r="BA10" s="40" t="s">
        <v>52</v>
      </c>
      <c r="BB10" s="40" t="s">
        <v>53</v>
      </c>
      <c r="BC10" s="40" t="s">
        <v>54</v>
      </c>
      <c r="BD10" s="40" t="s">
        <v>55</v>
      </c>
      <c r="BE10" s="40" t="s">
        <v>56</v>
      </c>
      <c r="BF10" s="40" t="s">
        <v>57</v>
      </c>
      <c r="BG10" s="40" t="s">
        <v>58</v>
      </c>
      <c r="BH10" s="40" t="s">
        <v>59</v>
      </c>
      <c r="BI10" s="40" t="s">
        <v>60</v>
      </c>
      <c r="BJ10" s="40" t="s">
        <v>61</v>
      </c>
      <c r="BK10" s="40" t="s">
        <v>62</v>
      </c>
      <c r="BL10" s="40" t="s">
        <v>63</v>
      </c>
      <c r="BM10" s="40" t="s">
        <v>64</v>
      </c>
      <c r="BN10" s="40" t="s">
        <v>65</v>
      </c>
      <c r="BO10" s="40" t="s">
        <v>66</v>
      </c>
      <c r="BP10" s="40" t="s">
        <v>67</v>
      </c>
      <c r="BQ10" s="40" t="s">
        <v>68</v>
      </c>
      <c r="BR10" s="40" t="s">
        <v>69</v>
      </c>
      <c r="BS10" s="40" t="s">
        <v>70</v>
      </c>
      <c r="BT10" s="40" t="s">
        <v>71</v>
      </c>
      <c r="BU10" s="40" t="s">
        <v>72</v>
      </c>
      <c r="BV10" s="40" t="s">
        <v>73</v>
      </c>
      <c r="BW10" s="40" t="s">
        <v>74</v>
      </c>
      <c r="BX10" s="40" t="s">
        <v>75</v>
      </c>
      <c r="BY10" s="40" t="s">
        <v>76</v>
      </c>
      <c r="BZ10" s="40" t="s">
        <v>77</v>
      </c>
      <c r="CA10" s="40" t="s">
        <v>78</v>
      </c>
      <c r="CB10" s="40" t="s">
        <v>79</v>
      </c>
      <c r="CC10" s="40" t="s">
        <v>80</v>
      </c>
      <c r="CD10" s="40" t="s">
        <v>81</v>
      </c>
      <c r="CE10" s="40" t="s">
        <v>82</v>
      </c>
      <c r="CF10" s="40" t="s">
        <v>83</v>
      </c>
      <c r="CG10" s="40" t="s">
        <v>84</v>
      </c>
      <c r="CH10" s="40" t="s">
        <v>85</v>
      </c>
      <c r="CI10" s="40" t="s">
        <v>86</v>
      </c>
      <c r="CJ10" s="40" t="s">
        <v>87</v>
      </c>
      <c r="CK10" s="40" t="s">
        <v>88</v>
      </c>
      <c r="CL10" s="40" t="s">
        <v>89</v>
      </c>
      <c r="CM10" s="40" t="s">
        <v>90</v>
      </c>
      <c r="CN10" s="40" t="s">
        <v>91</v>
      </c>
      <c r="CO10" s="40" t="s">
        <v>92</v>
      </c>
      <c r="CP10" s="40" t="s">
        <v>93</v>
      </c>
      <c r="CQ10" s="40" t="s">
        <v>94</v>
      </c>
      <c r="CR10" s="40" t="s">
        <v>95</v>
      </c>
      <c r="CS10" s="40" t="s">
        <v>96</v>
      </c>
      <c r="CT10" s="40" t="s">
        <v>97</v>
      </c>
      <c r="CU10" s="40" t="s">
        <v>98</v>
      </c>
      <c r="CV10" s="40" t="s">
        <v>99</v>
      </c>
      <c r="CW10" s="40" t="s">
        <v>100</v>
      </c>
      <c r="CX10" s="40" t="s">
        <v>101</v>
      </c>
      <c r="CY10" s="40" t="s">
        <v>102</v>
      </c>
      <c r="CZ10" s="40" t="s">
        <v>103</v>
      </c>
      <c r="DA10" s="40" t="s">
        <v>104</v>
      </c>
      <c r="DB10" s="40" t="s">
        <v>105</v>
      </c>
      <c r="DC10" s="40" t="s">
        <v>106</v>
      </c>
      <c r="DD10" s="40" t="s">
        <v>107</v>
      </c>
      <c r="DE10" s="40" t="s">
        <v>108</v>
      </c>
      <c r="DF10" s="40" t="s">
        <v>109</v>
      </c>
      <c r="DG10" s="40" t="s">
        <v>110</v>
      </c>
      <c r="DH10" s="40" t="s">
        <v>111</v>
      </c>
      <c r="DI10" s="40" t="s">
        <v>112</v>
      </c>
      <c r="DJ10" s="40" t="s">
        <v>113</v>
      </c>
      <c r="DK10" s="40" t="s">
        <v>114</v>
      </c>
      <c r="DL10" s="40" t="s">
        <v>115</v>
      </c>
      <c r="DM10" s="40" t="s">
        <v>116</v>
      </c>
      <c r="DN10" s="40" t="s">
        <v>117</v>
      </c>
      <c r="DO10" s="40" t="s">
        <v>118</v>
      </c>
      <c r="DP10" s="40" t="s">
        <v>119</v>
      </c>
      <c r="DQ10" s="40" t="s">
        <v>120</v>
      </c>
      <c r="DR10" s="40" t="s">
        <v>121</v>
      </c>
      <c r="DS10" s="40" t="s">
        <v>122</v>
      </c>
      <c r="DT10" s="40" t="s">
        <v>123</v>
      </c>
      <c r="DU10" s="40" t="s">
        <v>124</v>
      </c>
      <c r="DV10" s="40" t="s">
        <v>125</v>
      </c>
      <c r="DW10" s="40" t="s">
        <v>126</v>
      </c>
      <c r="DX10" s="40" t="s">
        <v>127</v>
      </c>
      <c r="DY10" s="40" t="s">
        <v>128</v>
      </c>
      <c r="DZ10" s="40" t="s">
        <v>129</v>
      </c>
      <c r="EA10" s="40" t="s">
        <v>130</v>
      </c>
      <c r="EB10" s="40" t="s">
        <v>131</v>
      </c>
      <c r="EC10" s="40" t="s">
        <v>132</v>
      </c>
      <c r="ED10" s="41" t="s">
        <v>133</v>
      </c>
      <c r="EE10" s="40" t="s">
        <v>134</v>
      </c>
      <c r="EF10" s="40" t="s">
        <v>135</v>
      </c>
      <c r="EG10" s="4"/>
    </row>
    <row r="11" spans="1:137" ht="16" customHeight="1">
      <c r="A11" s="29"/>
      <c r="B11" s="25" t="s">
        <v>136</v>
      </c>
      <c r="C11" s="30">
        <v>0.12061070248141641</v>
      </c>
      <c r="D11" s="30">
        <v>4.5588621500437902E-2</v>
      </c>
      <c r="E11" s="30">
        <v>0.16704505126777161</v>
      </c>
      <c r="F11" s="30">
        <v>-7.3748988286869252E-2</v>
      </c>
      <c r="G11" s="30">
        <v>-3.2506586973684262E-2</v>
      </c>
      <c r="H11" s="30">
        <v>-3.2847118626080897E-2</v>
      </c>
      <c r="I11" s="30">
        <v>-0.12110157860918851</v>
      </c>
      <c r="J11" s="30">
        <v>2.5822337019559341E-3</v>
      </c>
      <c r="K11" s="30">
        <v>7.1968625004836057E-2</v>
      </c>
      <c r="L11" s="30">
        <v>3.4342712304991078E-2</v>
      </c>
      <c r="M11" s="30">
        <v>4.0084602667129349E-2</v>
      </c>
      <c r="N11" s="30">
        <v>4.1563466655895852E-2</v>
      </c>
      <c r="O11" s="30">
        <v>-6.9002801033464468E-3</v>
      </c>
      <c r="P11" s="30">
        <v>3.5779379096689788E-2</v>
      </c>
      <c r="Q11" s="30">
        <v>6.8350636349776644E-2</v>
      </c>
      <c r="R11" s="30">
        <v>-4.5413080669201647E-2</v>
      </c>
      <c r="S11" s="30">
        <v>1.9673980374611249E-2</v>
      </c>
      <c r="T11" s="30">
        <v>-0.10645091888905089</v>
      </c>
      <c r="U11" s="30">
        <v>-3.2053188608652222E-2</v>
      </c>
      <c r="V11" s="30">
        <v>-1.486561554125564E-2</v>
      </c>
      <c r="W11" s="30">
        <v>-9.3405071083985589E-2</v>
      </c>
      <c r="X11" s="30">
        <v>-3.7053875715306342E-2</v>
      </c>
      <c r="Y11" s="30">
        <v>-4.7379645481055749E-2</v>
      </c>
      <c r="Z11" s="30">
        <v>-3.5732975972085197E-2</v>
      </c>
      <c r="AA11" s="30">
        <v>7.4709415434143334E-2</v>
      </c>
      <c r="AB11" s="30">
        <v>-0.1014916742073749</v>
      </c>
      <c r="AC11" s="30">
        <v>-2.958901675079971E-4</v>
      </c>
      <c r="AD11" s="30">
        <v>-6.884879748071672E-2</v>
      </c>
      <c r="AE11" s="30">
        <v>-2.226603217992465E-2</v>
      </c>
      <c r="AF11" s="30">
        <v>4.1625471515908258E-2</v>
      </c>
      <c r="AG11" s="30">
        <v>-8.0508267102041703E-3</v>
      </c>
      <c r="AH11" s="30">
        <v>-3.8264652471021107E-2</v>
      </c>
      <c r="AI11" s="30">
        <v>4.5184246070277309E-2</v>
      </c>
      <c r="AJ11" s="30">
        <v>3.4215625055713628E-2</v>
      </c>
      <c r="AK11" s="30">
        <v>4.4138222564125883E-2</v>
      </c>
      <c r="AL11" s="30">
        <v>-3.5587566867339653E-2</v>
      </c>
      <c r="AM11" s="30">
        <v>-1.307752910282832E-2</v>
      </c>
      <c r="AN11" s="30">
        <v>4.1485640311627048E-3</v>
      </c>
      <c r="AO11" s="30">
        <v>-7.7685069747940566E-2</v>
      </c>
      <c r="AP11" s="30">
        <v>-6.9983938877633423E-3</v>
      </c>
      <c r="AQ11" s="30">
        <v>0.13094783928293391</v>
      </c>
      <c r="AR11" s="30">
        <v>-8.6792708504303165E-2</v>
      </c>
      <c r="AS11" s="30">
        <v>-5.2702983493883533E-2</v>
      </c>
      <c r="AT11" s="30">
        <v>6.5228470856534659E-2</v>
      </c>
      <c r="AU11" s="30">
        <v>-6.5193823066972231E-2</v>
      </c>
      <c r="AV11" s="30">
        <v>8.5695091691641318E-3</v>
      </c>
      <c r="AW11" s="30">
        <v>-4.0024302856775031E-2</v>
      </c>
      <c r="AX11" s="30">
        <v>-3.1442522098695247E-2</v>
      </c>
      <c r="AY11" s="30">
        <v>-4.0051979337830963E-3</v>
      </c>
      <c r="AZ11" s="30">
        <v>-7.87988595399116E-3</v>
      </c>
      <c r="BA11" s="30">
        <v>-6.0724257043419964E-3</v>
      </c>
      <c r="BB11" s="30">
        <v>-1.1000774597969601E-2</v>
      </c>
      <c r="BC11" s="30">
        <v>-2.6379571628000791E-2</v>
      </c>
      <c r="BD11" s="30">
        <v>3.9479545280064407E-2</v>
      </c>
      <c r="BE11" s="30">
        <v>3.1278311810121473E-2</v>
      </c>
      <c r="BF11" s="30">
        <v>-6.0707144594610513E-3</v>
      </c>
      <c r="BG11" s="30">
        <v>-6.0537314950835433E-2</v>
      </c>
      <c r="BH11" s="30">
        <v>-8.5381433803068715E-2</v>
      </c>
      <c r="BI11" s="30">
        <v>6.449315459347095E-2</v>
      </c>
      <c r="BJ11" s="30">
        <v>-6.227610105192051E-3</v>
      </c>
      <c r="BK11" s="30">
        <v>4.6391114420235899E-2</v>
      </c>
      <c r="BL11" s="30">
        <v>-1.156082161362396E-2</v>
      </c>
      <c r="BM11" s="30">
        <v>-4.455844209947097E-2</v>
      </c>
      <c r="BN11" s="30">
        <v>2.7621487445270072E-3</v>
      </c>
      <c r="BO11" s="30">
        <v>8.312142553037161E-3</v>
      </c>
      <c r="BP11" s="30">
        <v>-5.5860348790947041E-2</v>
      </c>
      <c r="BQ11" s="30">
        <v>3.5706629851489133E-2</v>
      </c>
      <c r="BR11" s="30">
        <v>-2.2012848784035179E-2</v>
      </c>
      <c r="BS11" s="30">
        <v>3.9643524500143849E-2</v>
      </c>
      <c r="BT11" s="30">
        <v>-3.5802523819053762E-3</v>
      </c>
      <c r="BU11" s="30">
        <v>8.9809503674597949E-3</v>
      </c>
      <c r="BV11" s="30">
        <v>-8.9428832558806175E-3</v>
      </c>
      <c r="BW11" s="30">
        <v>-7.606401830661523E-2</v>
      </c>
      <c r="BX11" s="30">
        <v>-4.0663010962644373E-2</v>
      </c>
      <c r="BY11" s="30">
        <v>-5.908333642589482E-2</v>
      </c>
      <c r="BZ11" s="30">
        <v>-2.6982576363534839E-2</v>
      </c>
      <c r="CA11" s="30">
        <v>-0.12652495379074219</v>
      </c>
      <c r="CB11" s="30">
        <v>1.2022261026242089E-2</v>
      </c>
      <c r="CC11" s="30">
        <v>-5.0881431189465171E-2</v>
      </c>
      <c r="CD11" s="30">
        <v>2.5276040610712269E-2</v>
      </c>
      <c r="CE11" s="30">
        <v>8.7027483919829188E-2</v>
      </c>
      <c r="CF11" s="30">
        <v>-2.4625967354591039E-2</v>
      </c>
      <c r="CG11" s="30">
        <v>1.874726219553563E-2</v>
      </c>
      <c r="CH11" s="30">
        <v>4.1512479804806227E-2</v>
      </c>
      <c r="CI11" s="30">
        <v>-2.982027623949892E-2</v>
      </c>
      <c r="CJ11" s="30">
        <v>-1.2665490672423049E-2</v>
      </c>
      <c r="CK11" s="30">
        <v>4.7987523977313533E-2</v>
      </c>
      <c r="CL11" s="30">
        <v>-6.6815212175235783E-3</v>
      </c>
      <c r="CM11" s="30">
        <v>2.3373144063608738E-2</v>
      </c>
      <c r="CN11" s="30">
        <v>1.089017138913061E-2</v>
      </c>
      <c r="CO11" s="30">
        <v>0.14646343744112991</v>
      </c>
      <c r="CP11" s="30">
        <v>1.9768544897054329E-2</v>
      </c>
      <c r="CQ11" s="30">
        <v>1.7749235500301951E-2</v>
      </c>
      <c r="CR11" s="30">
        <v>-2.8991521269468159E-2</v>
      </c>
      <c r="CS11" s="30">
        <v>-9.2105433549335754E-3</v>
      </c>
      <c r="CT11" s="30">
        <v>3.684814317680405E-2</v>
      </c>
      <c r="CU11" s="30">
        <v>3.050411561754297E-2</v>
      </c>
      <c r="CV11" s="30">
        <v>4.0383350938434252E-2</v>
      </c>
      <c r="CW11" s="30">
        <v>-9.3859596047043536E-3</v>
      </c>
      <c r="CX11" s="30">
        <v>-7.7248887176943296E-2</v>
      </c>
      <c r="CY11" s="30">
        <v>2.548220655716743E-3</v>
      </c>
      <c r="CZ11" s="30">
        <v>-2.335678888027266E-2</v>
      </c>
      <c r="DA11" s="30">
        <v>-3.5608656768651929E-2</v>
      </c>
      <c r="DB11" s="30">
        <v>4.4999952963004786E-3</v>
      </c>
      <c r="DC11" s="30">
        <v>-4.3417921151317942E-2</v>
      </c>
      <c r="DD11" s="30">
        <v>7.7585487350289431E-2</v>
      </c>
      <c r="DE11" s="30">
        <v>4.5548817954567847E-2</v>
      </c>
      <c r="DF11" s="30">
        <v>-7.3761037440207289E-2</v>
      </c>
      <c r="DG11" s="30">
        <v>-1.383602919096409E-2</v>
      </c>
      <c r="DH11" s="30">
        <v>-1.314658790875837E-2</v>
      </c>
      <c r="DI11" s="30">
        <v>-0.1184441451090506</v>
      </c>
      <c r="DJ11" s="30">
        <v>4.9715760335060859E-2</v>
      </c>
      <c r="DK11" s="30">
        <v>2.8876918213256629E-2</v>
      </c>
      <c r="DL11" s="30">
        <v>-1.318152540995088E-2</v>
      </c>
      <c r="DM11" s="30">
        <v>4.3520520821273612E-2</v>
      </c>
      <c r="DN11" s="30">
        <v>-6.0662478946377781E-2</v>
      </c>
      <c r="DO11" s="30">
        <v>8.2564150197316444E-2</v>
      </c>
      <c r="DP11" s="30">
        <v>-9.6015988315113029E-2</v>
      </c>
      <c r="DQ11" s="30">
        <v>-1.9845471562179029E-2</v>
      </c>
      <c r="DR11" s="30">
        <v>-1.8579633997215111E-2</v>
      </c>
      <c r="DS11" s="30">
        <v>-2.578465931080003E-2</v>
      </c>
      <c r="DT11" s="30">
        <v>-3.759158589343687E-2</v>
      </c>
      <c r="DU11" s="30">
        <v>-4.5291919372196177E-2</v>
      </c>
      <c r="DV11" s="30">
        <v>-2.2458423361422019E-2</v>
      </c>
      <c r="DW11" s="30">
        <v>2.7164709117450531E-4</v>
      </c>
      <c r="DX11" s="30">
        <v>-6.4503989329820932E-2</v>
      </c>
      <c r="DY11" s="30">
        <v>6.0125260418043287E-2</v>
      </c>
      <c r="DZ11" s="30">
        <v>5.824521899381126E-3</v>
      </c>
      <c r="EA11" s="30">
        <v>1.550389496878647E-2</v>
      </c>
      <c r="EB11" s="30">
        <v>3.0904912560126702E-2</v>
      </c>
      <c r="EC11" s="30">
        <v>3.9813074668317322E-2</v>
      </c>
      <c r="ED11" s="30">
        <v>6.0186469707419407E-3</v>
      </c>
      <c r="EE11" s="30">
        <v>-3.9888767217459868E-2</v>
      </c>
      <c r="EF11" s="30">
        <v>-9.608135149364426E-2</v>
      </c>
      <c r="EG11" s="4"/>
    </row>
    <row r="12" spans="1:137" ht="16" customHeight="1">
      <c r="A12" s="29"/>
      <c r="B12" s="25" t="s">
        <v>137</v>
      </c>
      <c r="C12" s="30">
        <v>-0.20935792122733601</v>
      </c>
      <c r="D12" s="30">
        <v>-0.24145620521490571</v>
      </c>
      <c r="E12" s="30">
        <v>0.26636596474473501</v>
      </c>
      <c r="F12" s="30">
        <v>0.33022979398488089</v>
      </c>
      <c r="G12" s="30">
        <v>0.2035863770520018</v>
      </c>
      <c r="H12" s="30">
        <v>0.5537341742626456</v>
      </c>
      <c r="I12" s="30">
        <v>0.66979451114429034</v>
      </c>
      <c r="J12" s="30">
        <v>0.61032590854849456</v>
      </c>
      <c r="K12" s="30">
        <v>0.86207445584452447</v>
      </c>
      <c r="L12" s="30">
        <v>0.37355796404420633</v>
      </c>
      <c r="M12" s="30">
        <v>0.62222012198115262</v>
      </c>
      <c r="N12" s="30">
        <v>0.29351051715390319</v>
      </c>
      <c r="O12" s="30">
        <v>0.35628689631689647</v>
      </c>
      <c r="P12" s="30">
        <v>0.17806893054971379</v>
      </c>
      <c r="Q12" s="30">
        <v>0.1563575197337759</v>
      </c>
      <c r="R12" s="30">
        <v>0.22483040458636899</v>
      </c>
      <c r="S12" s="30">
        <v>0.18264461949126659</v>
      </c>
      <c r="T12" s="30">
        <v>0.15307368282964859</v>
      </c>
      <c r="U12" s="30">
        <v>0.22557713697371559</v>
      </c>
      <c r="V12" s="30">
        <v>-9.1580290119962757E-2</v>
      </c>
      <c r="W12" s="30">
        <v>-4.9495832352311628E-2</v>
      </c>
      <c r="X12" s="30">
        <v>-0.2678950640091351</v>
      </c>
      <c r="Y12" s="30">
        <v>-0.36478829273583491</v>
      </c>
      <c r="Z12" s="30">
        <v>-0.3779060136015861</v>
      </c>
      <c r="AA12" s="30">
        <v>-0.43955484978357701</v>
      </c>
      <c r="AB12" s="30">
        <v>-0.41859416874526367</v>
      </c>
      <c r="AC12" s="30">
        <v>-0.31816515320418409</v>
      </c>
      <c r="AD12" s="30">
        <v>-0.20856536883441179</v>
      </c>
      <c r="AE12" s="30">
        <v>-0.1023649845008438</v>
      </c>
      <c r="AF12" s="30">
        <v>-0.14886860509428651</v>
      </c>
      <c r="AG12" s="30">
        <v>-0.1866902267256208</v>
      </c>
      <c r="AH12" s="30">
        <v>-0.25393275403871191</v>
      </c>
      <c r="AI12" s="30">
        <v>-0.14773922610345119</v>
      </c>
      <c r="AJ12" s="30">
        <v>4.4513506223647151E-2</v>
      </c>
      <c r="AK12" s="30">
        <v>-5.8155621464165322E-2</v>
      </c>
      <c r="AL12" s="30">
        <v>-9.1865237642505163E-2</v>
      </c>
      <c r="AM12" s="30">
        <v>-0.16826269698552301</v>
      </c>
      <c r="AN12" s="30">
        <v>-0.33743700555198552</v>
      </c>
      <c r="AO12" s="30">
        <v>-0.36868152859592562</v>
      </c>
      <c r="AP12" s="30">
        <v>-0.28691959224511548</v>
      </c>
      <c r="AQ12" s="30">
        <v>-0.30523872624318382</v>
      </c>
      <c r="AR12" s="30">
        <v>-0.29331379911690642</v>
      </c>
      <c r="AS12" s="30">
        <v>-0.30267029688624508</v>
      </c>
      <c r="AT12" s="30">
        <v>-0.28045675156766531</v>
      </c>
      <c r="AU12" s="30">
        <v>-0.18262992182905941</v>
      </c>
      <c r="AV12" s="30">
        <v>-0.12130978761687</v>
      </c>
      <c r="AW12" s="30">
        <v>-0.15372123350245639</v>
      </c>
      <c r="AX12" s="30">
        <v>-2.163155956071092E-2</v>
      </c>
      <c r="AY12" s="30">
        <v>0.10122185588554949</v>
      </c>
      <c r="AZ12" s="30">
        <v>0.18954150820982221</v>
      </c>
      <c r="BA12" s="30">
        <v>9.5279708371273503E-2</v>
      </c>
      <c r="BB12" s="30">
        <v>1.1130473143875179E-2</v>
      </c>
      <c r="BC12" s="30">
        <v>0.19620313414919849</v>
      </c>
      <c r="BD12" s="30">
        <v>0.1522471346455414</v>
      </c>
      <c r="BE12" s="30">
        <v>0.20934399551839861</v>
      </c>
      <c r="BF12" s="30">
        <v>0.16752252916389659</v>
      </c>
      <c r="BG12" s="30">
        <v>0.16855713353359719</v>
      </c>
      <c r="BH12" s="30">
        <v>0.23475757737273911</v>
      </c>
      <c r="BI12" s="30">
        <v>0.27598376688340442</v>
      </c>
      <c r="BJ12" s="30">
        <v>0.26154895504900538</v>
      </c>
      <c r="BK12" s="30">
        <v>0.19300560487419521</v>
      </c>
      <c r="BL12" s="30">
        <v>3.2255305302616187E-2</v>
      </c>
      <c r="BM12" s="30">
        <v>8.4649698660638095E-2</v>
      </c>
      <c r="BN12" s="30">
        <v>-1.5702242386539032E-2</v>
      </c>
      <c r="BO12" s="30">
        <v>2.9608765252482721E-2</v>
      </c>
      <c r="BP12" s="30">
        <v>-8.2625544071202886E-2</v>
      </c>
      <c r="BQ12" s="30">
        <v>-7.9330451385874676E-2</v>
      </c>
      <c r="BR12" s="30">
        <v>-0.11353413407979809</v>
      </c>
      <c r="BS12" s="30">
        <v>-0.16045061256945001</v>
      </c>
      <c r="BT12" s="30">
        <v>-2.8989653450827001E-2</v>
      </c>
      <c r="BU12" s="30">
        <v>-3.8417136037107451E-3</v>
      </c>
      <c r="BV12" s="30">
        <v>-0.17414888256791389</v>
      </c>
      <c r="BW12" s="30">
        <v>-5.0655462653666453E-2</v>
      </c>
      <c r="BX12" s="30">
        <v>-9.7462301529207679E-3</v>
      </c>
      <c r="BY12" s="30">
        <v>4.311871752812544E-2</v>
      </c>
      <c r="BZ12" s="30">
        <v>8.3594709945727624E-2</v>
      </c>
      <c r="CA12" s="30">
        <v>5.9758542127211607E-2</v>
      </c>
      <c r="CB12" s="30">
        <v>0.22654684744137221</v>
      </c>
      <c r="CC12" s="30">
        <v>0.16059562442098191</v>
      </c>
      <c r="CD12" s="30">
        <v>0.1247822180786789</v>
      </c>
      <c r="CE12" s="30">
        <v>7.0316847032607876E-2</v>
      </c>
      <c r="CF12" s="30">
        <v>3.7786686365643571E-2</v>
      </c>
      <c r="CG12" s="30">
        <v>0.14783134630066269</v>
      </c>
      <c r="CH12" s="30">
        <v>0.16146329015111541</v>
      </c>
      <c r="CI12" s="30">
        <v>0.19050379057570099</v>
      </c>
      <c r="CJ12" s="30">
        <v>5.7810008272749062E-2</v>
      </c>
      <c r="CK12" s="30">
        <v>0.1815957554070709</v>
      </c>
      <c r="CL12" s="30">
        <v>0.15995890504762161</v>
      </c>
      <c r="CM12" s="30">
        <v>-0.19344889033092799</v>
      </c>
      <c r="CN12" s="30">
        <v>9.2661650400173462E-2</v>
      </c>
      <c r="CO12" s="30">
        <v>0.18420345965444129</v>
      </c>
      <c r="CP12" s="30">
        <v>0.21509937997508449</v>
      </c>
      <c r="CQ12" s="30">
        <v>7.8222160125948112E-2</v>
      </c>
      <c r="CR12" s="30">
        <v>0.23262305351410531</v>
      </c>
      <c r="CS12" s="30">
        <v>0.1246176152094155</v>
      </c>
      <c r="CT12" s="30">
        <v>0.2146340953754568</v>
      </c>
      <c r="CU12" s="30">
        <v>0.29380322799279129</v>
      </c>
      <c r="CV12" s="30">
        <v>0.16458639143631021</v>
      </c>
      <c r="CW12" s="30">
        <v>0.22758953291297229</v>
      </c>
      <c r="CX12" s="30">
        <v>0.30967914222586451</v>
      </c>
      <c r="CY12" s="30">
        <v>0.1008269451540873</v>
      </c>
      <c r="CZ12" s="30">
        <v>0.27399190305797039</v>
      </c>
      <c r="DA12" s="30">
        <v>0.29613632136496731</v>
      </c>
      <c r="DB12" s="30">
        <v>0.44409378278633932</v>
      </c>
      <c r="DC12" s="30">
        <v>0.27739949663700231</v>
      </c>
      <c r="DD12" s="30">
        <v>0.2084619437252104</v>
      </c>
      <c r="DE12" s="30">
        <v>5.006562543628422E-2</v>
      </c>
      <c r="DF12" s="30">
        <v>7.9342540750067247E-2</v>
      </c>
      <c r="DG12" s="30">
        <v>4.1263423131758292E-2</v>
      </c>
      <c r="DH12" s="30">
        <v>-7.4014041769745603E-3</v>
      </c>
      <c r="DI12" s="30">
        <v>9.1903678777207287E-2</v>
      </c>
      <c r="DJ12" s="30">
        <v>0.18881040894549631</v>
      </c>
      <c r="DK12" s="30">
        <v>5.0346204508612824E-3</v>
      </c>
      <c r="DL12" s="30">
        <v>-6.5302735759753747E-2</v>
      </c>
      <c r="DM12" s="30">
        <v>-0.16991943054339001</v>
      </c>
      <c r="DN12" s="30">
        <v>-4.8355536158137598E-2</v>
      </c>
      <c r="DO12" s="30">
        <v>0.3023913444349744</v>
      </c>
      <c r="DP12" s="30">
        <v>0.40249617507699309</v>
      </c>
      <c r="DQ12" s="30">
        <v>0.42337951153233438</v>
      </c>
      <c r="DR12" s="30">
        <v>0.31958732161063053</v>
      </c>
      <c r="DS12" s="30">
        <v>0.27007262221994582</v>
      </c>
      <c r="DT12" s="30">
        <v>0.24555914580250721</v>
      </c>
      <c r="DU12" s="30">
        <v>0.18374521718344591</v>
      </c>
      <c r="DV12" s="30">
        <v>0.16882438454898829</v>
      </c>
      <c r="DW12" s="30">
        <v>0.21735692510693649</v>
      </c>
      <c r="DX12" s="30">
        <v>0.18716202375844659</v>
      </c>
      <c r="DY12" s="30">
        <v>0.12863278460069319</v>
      </c>
      <c r="DZ12" s="30">
        <v>0.1138956216351769</v>
      </c>
      <c r="EA12" s="30">
        <v>6.9887093780084175E-2</v>
      </c>
      <c r="EB12" s="30">
        <v>0.12681710950217981</v>
      </c>
      <c r="EC12" s="30">
        <v>0.1562815300942598</v>
      </c>
      <c r="ED12" s="30">
        <v>0.36668826933924509</v>
      </c>
      <c r="EE12" s="30">
        <v>0.47250079911659248</v>
      </c>
      <c r="EF12" s="30">
        <v>0.72972326297934098</v>
      </c>
      <c r="EG12" s="4"/>
    </row>
    <row r="13" spans="1:137" ht="16" customHeight="1">
      <c r="A13" s="29"/>
      <c r="B13" s="25" t="s">
        <v>138</v>
      </c>
      <c r="C13" s="30">
        <v>0.1415892121840287</v>
      </c>
      <c r="D13" s="30">
        <v>9.2586945061469042E-2</v>
      </c>
      <c r="E13" s="30">
        <v>0.11349879155944111</v>
      </c>
      <c r="F13" s="30">
        <v>-7.3769776575699809E-3</v>
      </c>
      <c r="G13" s="30">
        <v>-0.3186396678242116</v>
      </c>
      <c r="H13" s="30">
        <v>-0.42059898952232572</v>
      </c>
      <c r="I13" s="30">
        <v>-0.61741574929518839</v>
      </c>
      <c r="J13" s="30">
        <v>-0.43362008529973561</v>
      </c>
      <c r="K13" s="30">
        <v>-0.25626772334753112</v>
      </c>
      <c r="L13" s="30">
        <v>-0.2113105027109515</v>
      </c>
      <c r="M13" s="30">
        <v>-0.20647602014875061</v>
      </c>
      <c r="N13" s="30">
        <v>-0.32791237477111829</v>
      </c>
      <c r="O13" s="30">
        <v>1.5729811103918339E-2</v>
      </c>
      <c r="P13" s="30">
        <v>6.8442694647505714E-2</v>
      </c>
      <c r="Q13" s="30">
        <v>5.2648855857004642E-2</v>
      </c>
      <c r="R13" s="30">
        <v>-2.0694613114836578E-2</v>
      </c>
      <c r="S13" s="30">
        <v>2.495928979766664E-2</v>
      </c>
      <c r="T13" s="30">
        <v>-8.6843647181224407E-2</v>
      </c>
      <c r="U13" s="30">
        <v>-0.52458473451682519</v>
      </c>
      <c r="V13" s="30">
        <v>-0.4792143423997316</v>
      </c>
      <c r="W13" s="30">
        <v>-0.36348833368794342</v>
      </c>
      <c r="X13" s="30">
        <v>-0.39764648466092672</v>
      </c>
      <c r="Y13" s="30">
        <v>-0.47562109760818377</v>
      </c>
      <c r="Z13" s="30">
        <v>-0.29400139222215738</v>
      </c>
      <c r="AA13" s="30">
        <v>-0.21990454798605369</v>
      </c>
      <c r="AB13" s="30">
        <v>1.8176812449253021E-2</v>
      </c>
      <c r="AC13" s="30">
        <v>-7.9990063758137941E-2</v>
      </c>
      <c r="AD13" s="30">
        <v>-0.1028929785055152</v>
      </c>
      <c r="AE13" s="30">
        <v>0.14449675324010591</v>
      </c>
      <c r="AF13" s="30">
        <v>9.4619546486641323E-2</v>
      </c>
      <c r="AG13" s="30">
        <v>0.15888808539996641</v>
      </c>
      <c r="AH13" s="30">
        <v>0.1196181721172441</v>
      </c>
      <c r="AI13" s="30">
        <v>0.26749723606904691</v>
      </c>
      <c r="AJ13" s="30">
        <v>0.28042018158602128</v>
      </c>
      <c r="AK13" s="30">
        <v>-3.0700048481476939E-2</v>
      </c>
      <c r="AL13" s="30">
        <v>4.5908625392411313E-2</v>
      </c>
      <c r="AM13" s="30">
        <v>0.17498289674326181</v>
      </c>
      <c r="AN13" s="30">
        <v>0.12715124049161411</v>
      </c>
      <c r="AO13" s="30">
        <v>0.1846750202735136</v>
      </c>
      <c r="AP13" s="30">
        <v>8.4214377141994659E-2</v>
      </c>
      <c r="AQ13" s="30">
        <v>0.195944269725251</v>
      </c>
      <c r="AR13" s="30">
        <v>0.1332335332468598</v>
      </c>
      <c r="AS13" s="30">
        <v>0.16593561585303601</v>
      </c>
      <c r="AT13" s="30">
        <v>2.0797244614353168E-2</v>
      </c>
      <c r="AU13" s="30">
        <v>1.2255111472991581E-2</v>
      </c>
      <c r="AV13" s="30">
        <v>-1.3354263340341489E-2</v>
      </c>
      <c r="AW13" s="30">
        <v>-0.1629162908390954</v>
      </c>
      <c r="AX13" s="30">
        <v>2.1398073174880568E-2</v>
      </c>
      <c r="AY13" s="30">
        <v>-0.31841892204614608</v>
      </c>
      <c r="AZ13" s="30">
        <v>-0.2389402856524428</v>
      </c>
      <c r="BA13" s="30">
        <v>-0.22999540969309759</v>
      </c>
      <c r="BB13" s="30">
        <v>-7.1523535861795301E-2</v>
      </c>
      <c r="BC13" s="30">
        <v>0.19523407189221659</v>
      </c>
      <c r="BD13" s="30">
        <v>0.1343817013556074</v>
      </c>
      <c r="BE13" s="30">
        <v>0.36448653223917399</v>
      </c>
      <c r="BF13" s="30">
        <v>0.44848254478272898</v>
      </c>
      <c r="BG13" s="30">
        <v>0.43221300941381358</v>
      </c>
      <c r="BH13" s="30">
        <v>0.27475197161243958</v>
      </c>
      <c r="BI13" s="30">
        <v>0.27625006164983618</v>
      </c>
      <c r="BJ13" s="30">
        <v>1.55846946017396E-2</v>
      </c>
      <c r="BK13" s="30">
        <v>0.1058051363286677</v>
      </c>
      <c r="BL13" s="30">
        <v>0.12655100249236981</v>
      </c>
      <c r="BM13" s="30">
        <v>0.22848090332571749</v>
      </c>
      <c r="BN13" s="30">
        <v>0.28499472414789501</v>
      </c>
      <c r="BO13" s="30">
        <v>0.10343621031436109</v>
      </c>
      <c r="BP13" s="30">
        <v>0.37735475502544108</v>
      </c>
      <c r="BQ13" s="30">
        <v>0.20037255890381511</v>
      </c>
      <c r="BR13" s="30">
        <v>0.22737663442672029</v>
      </c>
      <c r="BS13" s="30">
        <v>0.28000569960508931</v>
      </c>
      <c r="BT13" s="30">
        <v>0.25048842105416552</v>
      </c>
      <c r="BU13" s="30">
        <v>0.40950603598106478</v>
      </c>
      <c r="BV13" s="30">
        <v>0.27914339825966772</v>
      </c>
      <c r="BW13" s="30">
        <v>0.42338681782856119</v>
      </c>
      <c r="BX13" s="30">
        <v>0.20681397354492859</v>
      </c>
      <c r="BY13" s="30">
        <v>0.16995656458325559</v>
      </c>
      <c r="BZ13" s="30">
        <v>0.25229150973658637</v>
      </c>
      <c r="CA13" s="30">
        <v>0.32026292962452041</v>
      </c>
      <c r="CB13" s="30">
        <v>0.51463583067154539</v>
      </c>
      <c r="CC13" s="30">
        <v>0.18153007409469241</v>
      </c>
      <c r="CD13" s="30">
        <v>0.12003370467929959</v>
      </c>
      <c r="CE13" s="30">
        <v>-2.5943292883541139E-2</v>
      </c>
      <c r="CF13" s="30">
        <v>4.5043615925369367E-2</v>
      </c>
      <c r="CG13" s="30">
        <v>-0.35445425141928649</v>
      </c>
      <c r="CH13" s="30">
        <v>-0.25260244407894528</v>
      </c>
      <c r="CI13" s="30">
        <v>0.14395187079646721</v>
      </c>
      <c r="CJ13" s="30">
        <v>0.27306771173615763</v>
      </c>
      <c r="CK13" s="30">
        <v>1.7040845792885052E-2</v>
      </c>
      <c r="CL13" s="30">
        <v>-0.2428342099250631</v>
      </c>
      <c r="CM13" s="30">
        <v>-6.2585841640853714E-3</v>
      </c>
      <c r="CN13" s="30">
        <v>-0.310075109187538</v>
      </c>
      <c r="CO13" s="30">
        <v>-0.48661942430606081</v>
      </c>
      <c r="CP13" s="30">
        <v>-0.58562675232019856</v>
      </c>
      <c r="CQ13" s="30">
        <v>-0.21352733862147991</v>
      </c>
      <c r="CR13" s="30">
        <v>-0.1651861224943722</v>
      </c>
      <c r="CS13" s="30">
        <v>-0.15856953077819341</v>
      </c>
      <c r="CT13" s="30">
        <v>-0.2953032979629534</v>
      </c>
      <c r="CU13" s="30">
        <v>-0.1254818780087637</v>
      </c>
      <c r="CV13" s="30">
        <v>-4.7694294242323958E-2</v>
      </c>
      <c r="CW13" s="30">
        <v>-6.9955238824078614E-2</v>
      </c>
      <c r="CX13" s="30">
        <v>-9.2457955566808206E-3</v>
      </c>
      <c r="CY13" s="30">
        <v>-2.2135304831282489E-2</v>
      </c>
      <c r="CZ13" s="30">
        <v>5.5799951070273343E-2</v>
      </c>
      <c r="DA13" s="30">
        <v>4.6904914532679559E-3</v>
      </c>
      <c r="DB13" s="30">
        <v>-0.19841703137983821</v>
      </c>
      <c r="DC13" s="30">
        <v>-0.1481577816394834</v>
      </c>
      <c r="DD13" s="30">
        <v>-7.8448866350443819E-2</v>
      </c>
      <c r="DE13" s="30">
        <v>-3.4735830531551833E-2</v>
      </c>
      <c r="DF13" s="30">
        <v>0.23309856186511069</v>
      </c>
      <c r="DG13" s="30">
        <v>0.10547592327494661</v>
      </c>
      <c r="DH13" s="30">
        <v>0.26024560403747621</v>
      </c>
      <c r="DI13" s="30">
        <v>0.24342212166939201</v>
      </c>
      <c r="DJ13" s="30">
        <v>6.1619870633241258E-2</v>
      </c>
      <c r="DK13" s="30">
        <v>8.9139844165813373E-2</v>
      </c>
      <c r="DL13" s="30">
        <v>2.9253193961501531E-2</v>
      </c>
      <c r="DM13" s="30">
        <v>0.14236144307942539</v>
      </c>
      <c r="DN13" s="30">
        <v>0.14615257349174909</v>
      </c>
      <c r="DO13" s="30">
        <v>4.9079225670203321E-2</v>
      </c>
      <c r="DP13" s="30">
        <v>0.40322960152089549</v>
      </c>
      <c r="DQ13" s="30">
        <v>0.46524421937942317</v>
      </c>
      <c r="DR13" s="30">
        <v>0.25491522170831532</v>
      </c>
      <c r="DS13" s="30">
        <v>0.1449016436002509</v>
      </c>
      <c r="DT13" s="30">
        <v>0.1096478687616492</v>
      </c>
      <c r="DU13" s="30">
        <v>0.14664794338699069</v>
      </c>
      <c r="DV13" s="30">
        <v>-0.37515330256173463</v>
      </c>
      <c r="DW13" s="30">
        <v>-0.29741986054930047</v>
      </c>
      <c r="DX13" s="30">
        <v>-0.19544277976532101</v>
      </c>
      <c r="DY13" s="30">
        <v>-8.2428265894752814E-2</v>
      </c>
      <c r="DZ13" s="30">
        <v>5.866183339010559E-2</v>
      </c>
      <c r="EA13" s="30">
        <v>-4.6779077930829367E-2</v>
      </c>
      <c r="EB13" s="30">
        <v>0.1641432425225606</v>
      </c>
      <c r="EC13" s="30">
        <v>-3.8064247233434587E-2</v>
      </c>
      <c r="ED13" s="30">
        <v>5.5317446797800797E-2</v>
      </c>
      <c r="EE13" s="30">
        <v>4.5666052310806213E-2</v>
      </c>
      <c r="EF13" s="30">
        <v>-1.513055182908553E-2</v>
      </c>
      <c r="EG13" s="4"/>
    </row>
    <row r="14" spans="1:137" ht="16" customHeight="1">
      <c r="A14" s="4"/>
      <c r="B14" s="25" t="s">
        <v>139</v>
      </c>
      <c r="C14" s="30">
        <v>-5.5287602367965212E-2</v>
      </c>
      <c r="D14" s="30">
        <v>-0.14445298729163969</v>
      </c>
      <c r="E14" s="30">
        <v>-9.1431301014034599E-2</v>
      </c>
      <c r="F14" s="30">
        <v>0.35495179720125758</v>
      </c>
      <c r="G14" s="30">
        <v>0.21923638181908089</v>
      </c>
      <c r="H14" s="30">
        <v>0.283134197622957</v>
      </c>
      <c r="I14" s="30">
        <v>0.37143266638530409</v>
      </c>
      <c r="J14" s="30">
        <v>0.41062409023091229</v>
      </c>
      <c r="K14" s="30">
        <v>0.40769934121960488</v>
      </c>
      <c r="L14" s="30">
        <v>-7.159674146892725E-3</v>
      </c>
      <c r="M14" s="30">
        <v>-7.3648091051968512E-3</v>
      </c>
      <c r="N14" s="30">
        <v>-5.1515820152121562E-2</v>
      </c>
      <c r="O14" s="30">
        <v>0.2542620970860141</v>
      </c>
      <c r="P14" s="30">
        <v>0.25179107603585099</v>
      </c>
      <c r="Q14" s="30">
        <v>0.2218350215305622</v>
      </c>
      <c r="R14" s="30">
        <v>0.24564422754657189</v>
      </c>
      <c r="S14" s="30">
        <v>0.21802587035960269</v>
      </c>
      <c r="T14" s="30">
        <v>0.22885928116164689</v>
      </c>
      <c r="U14" s="30">
        <v>-3.8365895591860683E-2</v>
      </c>
      <c r="V14" s="30">
        <v>-2.4933565518348022E-4</v>
      </c>
      <c r="W14" s="30">
        <v>-6.9911431364622995E-2</v>
      </c>
      <c r="X14" s="30">
        <v>-6.456449127916436E-2</v>
      </c>
      <c r="Y14" s="30">
        <v>4.1605297186146813E-2</v>
      </c>
      <c r="Z14" s="30">
        <v>-1.9800016442501619E-2</v>
      </c>
      <c r="AA14" s="30">
        <v>-7.2143290991637576E-2</v>
      </c>
      <c r="AB14" s="30">
        <v>-6.8452120608651329E-2</v>
      </c>
      <c r="AC14" s="30">
        <v>3.2607263241921841E-2</v>
      </c>
      <c r="AD14" s="30">
        <v>1.7594645532416991E-2</v>
      </c>
      <c r="AE14" s="30">
        <v>-2.901928616329708E-3</v>
      </c>
      <c r="AF14" s="30">
        <v>-2.248356577507465E-3</v>
      </c>
      <c r="AG14" s="30">
        <v>-5.5811273092355174E-3</v>
      </c>
      <c r="AH14" s="30">
        <v>-6.6841359079102816E-3</v>
      </c>
      <c r="AI14" s="30">
        <v>-1.385499411618335E-3</v>
      </c>
      <c r="AJ14" s="30">
        <v>-8.6481173432073621E-4</v>
      </c>
      <c r="AK14" s="30">
        <v>5.6462115284851337E-2</v>
      </c>
      <c r="AL14" s="30">
        <v>7.8493009558184917E-2</v>
      </c>
      <c r="AM14" s="30">
        <v>-0.11226928615946841</v>
      </c>
      <c r="AN14" s="30">
        <v>-0.22946841655236611</v>
      </c>
      <c r="AO14" s="30">
        <v>-0.13981328564836121</v>
      </c>
      <c r="AP14" s="30">
        <v>-0.1103039313350698</v>
      </c>
      <c r="AQ14" s="30">
        <v>-0.16861413881368431</v>
      </c>
      <c r="AR14" s="30">
        <v>-0.1371830444209835</v>
      </c>
      <c r="AS14" s="30">
        <v>5.211904011802404E-2</v>
      </c>
      <c r="AT14" s="30">
        <v>0.14234804792068309</v>
      </c>
      <c r="AU14" s="30">
        <v>0.15576266032816749</v>
      </c>
      <c r="AV14" s="30">
        <v>0.1449166373776215</v>
      </c>
      <c r="AW14" s="30">
        <v>0.18538208810641141</v>
      </c>
      <c r="AX14" s="30">
        <v>0.1366523480003056</v>
      </c>
      <c r="AY14" s="30">
        <v>0.14596250886375589</v>
      </c>
      <c r="AZ14" s="30">
        <v>0.26503780407394811</v>
      </c>
      <c r="BA14" s="30">
        <v>0.14676561542020911</v>
      </c>
      <c r="BB14" s="30">
        <v>3.3428218400161358E-3</v>
      </c>
      <c r="BC14" s="30">
        <v>-7.0510317488028634E-2</v>
      </c>
      <c r="BD14" s="30">
        <v>-3.5291447065675441E-2</v>
      </c>
      <c r="BE14" s="30">
        <v>3.5257594922360899E-2</v>
      </c>
      <c r="BF14" s="30">
        <v>3.8800415177149161E-2</v>
      </c>
      <c r="BG14" s="30">
        <v>5.35267227270948E-2</v>
      </c>
      <c r="BH14" s="30">
        <v>0.17967627527126151</v>
      </c>
      <c r="BI14" s="30">
        <v>0.15487119135892979</v>
      </c>
      <c r="BJ14" s="30">
        <v>0.1190558145321248</v>
      </c>
      <c r="BK14" s="30">
        <v>0.13032726460855551</v>
      </c>
      <c r="BL14" s="30">
        <v>9.3330537871948963E-2</v>
      </c>
      <c r="BM14" s="30">
        <v>8.0284022008766234E-2</v>
      </c>
      <c r="BN14" s="30">
        <v>0.20761045318620699</v>
      </c>
      <c r="BO14" s="30">
        <v>0.18768666424061561</v>
      </c>
      <c r="BP14" s="30">
        <v>0.1299212136716856</v>
      </c>
      <c r="BQ14" s="30">
        <v>9.8717055186148456E-2</v>
      </c>
      <c r="BR14" s="30">
        <v>4.5233846544491793E-2</v>
      </c>
      <c r="BS14" s="30">
        <v>0.13778382026817171</v>
      </c>
      <c r="BT14" s="30">
        <v>4.6964995030642789E-2</v>
      </c>
      <c r="BU14" s="30">
        <v>7.8535809146009994E-2</v>
      </c>
      <c r="BV14" s="30">
        <v>0.12030054403500839</v>
      </c>
      <c r="BW14" s="30">
        <v>5.9755525305673893E-2</v>
      </c>
      <c r="BX14" s="30">
        <v>6.3549054774741306E-2</v>
      </c>
      <c r="BY14" s="30">
        <v>-6.5045110879808632E-3</v>
      </c>
      <c r="BZ14" s="30">
        <v>-5.1668341542727647E-2</v>
      </c>
      <c r="CA14" s="30">
        <v>-7.9185433944847061E-2</v>
      </c>
      <c r="CB14" s="30">
        <v>-0.1127810804912311</v>
      </c>
      <c r="CC14" s="30">
        <v>-6.7050409232242481E-2</v>
      </c>
      <c r="CD14" s="30">
        <v>-6.6787378150592241E-2</v>
      </c>
      <c r="CE14" s="30">
        <v>-4.6564912298377087E-2</v>
      </c>
      <c r="CF14" s="30">
        <v>-0.11929573414549299</v>
      </c>
      <c r="CG14" s="30">
        <v>-5.3152980450178272E-2</v>
      </c>
      <c r="CH14" s="30">
        <v>-9.2611607894625192E-2</v>
      </c>
      <c r="CI14" s="30">
        <v>-0.1090312706633422</v>
      </c>
      <c r="CJ14" s="30">
        <v>-6.5592489381071956E-2</v>
      </c>
      <c r="CK14" s="30">
        <v>-8.8696832578178758E-2</v>
      </c>
      <c r="CL14" s="30">
        <v>8.9572676996418077E-2</v>
      </c>
      <c r="CM14" s="30">
        <v>6.5466674673977043E-2</v>
      </c>
      <c r="CN14" s="30">
        <v>2.9778259770337628E-2</v>
      </c>
      <c r="CO14" s="30">
        <v>7.2508099539442067E-2</v>
      </c>
      <c r="CP14" s="30">
        <v>-1.303358147527731E-2</v>
      </c>
      <c r="CQ14" s="30">
        <v>9.569522182040463E-3</v>
      </c>
      <c r="CR14" s="30">
        <v>2.47953533363264E-2</v>
      </c>
      <c r="CS14" s="30">
        <v>4.8612117320788267E-2</v>
      </c>
      <c r="CT14" s="30">
        <v>6.0893021537142523E-2</v>
      </c>
      <c r="CU14" s="30">
        <v>3.4381618283240711E-2</v>
      </c>
      <c r="CV14" s="30">
        <v>0.16980040126902121</v>
      </c>
      <c r="CW14" s="30">
        <v>0.20445758339957451</v>
      </c>
      <c r="CX14" s="30">
        <v>0.1166793182346092</v>
      </c>
      <c r="CY14" s="30">
        <v>2.005814356519928E-2</v>
      </c>
      <c r="CZ14" s="30">
        <v>-1.4802745472687891E-3</v>
      </c>
      <c r="DA14" s="30">
        <v>-2.3150114921623641E-2</v>
      </c>
      <c r="DB14" s="30">
        <v>-0.19162965872882659</v>
      </c>
      <c r="DC14" s="30">
        <v>-0.27185177019325968</v>
      </c>
      <c r="DD14" s="30">
        <v>-0.21309613111010051</v>
      </c>
      <c r="DE14" s="30">
        <v>-0.16221912242286801</v>
      </c>
      <c r="DF14" s="30">
        <v>-0.2020125592365708</v>
      </c>
      <c r="DG14" s="30">
        <v>-0.17344116046680241</v>
      </c>
      <c r="DH14" s="30">
        <v>1.012974642923409E-3</v>
      </c>
      <c r="DI14" s="30">
        <v>7.6205462994728718E-2</v>
      </c>
      <c r="DJ14" s="30">
        <v>6.8038263628197981E-2</v>
      </c>
      <c r="DK14" s="30">
        <v>5.8032611963437293E-2</v>
      </c>
      <c r="DL14" s="30">
        <v>9.6719985419295995E-3</v>
      </c>
      <c r="DM14" s="30">
        <v>-0.13040706175590769</v>
      </c>
      <c r="DN14" s="30">
        <v>-0.29058270893517102</v>
      </c>
      <c r="DO14" s="30">
        <v>-0.37804696398510318</v>
      </c>
      <c r="DP14" s="30">
        <v>-0.38659982436733192</v>
      </c>
      <c r="DQ14" s="30">
        <v>-0.38856601893403331</v>
      </c>
      <c r="DR14" s="30">
        <v>-0.2225135809416024</v>
      </c>
      <c r="DS14" s="30">
        <v>-0.1787917296931768</v>
      </c>
      <c r="DT14" s="30">
        <v>-0.15458476004354091</v>
      </c>
      <c r="DU14" s="30">
        <v>-6.1360687164233867E-2</v>
      </c>
      <c r="DV14" s="30">
        <v>2.79779304551812E-2</v>
      </c>
      <c r="DW14" s="30">
        <v>-3.1911652435136412E-2</v>
      </c>
      <c r="DX14" s="30">
        <v>-9.9874593181686566E-2</v>
      </c>
      <c r="DY14" s="30">
        <v>3.4834303206100481E-3</v>
      </c>
      <c r="DZ14" s="30">
        <v>2.8079826854705309E-2</v>
      </c>
      <c r="EA14" s="30">
        <v>-1.7876846775940201E-3</v>
      </c>
      <c r="EB14" s="30">
        <v>-9.0286462263588552E-2</v>
      </c>
      <c r="EC14" s="30">
        <v>-5.335702626953312E-2</v>
      </c>
      <c r="ED14" s="30">
        <v>-6.5240630345267336E-2</v>
      </c>
      <c r="EE14" s="30">
        <v>-4.1521107351409209E-2</v>
      </c>
      <c r="EF14" s="30">
        <v>-3.5067920268846753E-2</v>
      </c>
      <c r="EG14" s="4"/>
    </row>
    <row r="15" spans="1:137" ht="16" customHeight="1">
      <c r="A15" s="4"/>
      <c r="B15" s="25" t="s">
        <v>140</v>
      </c>
      <c r="C15" s="30">
        <v>3.1791852321887817E-2</v>
      </c>
      <c r="D15" s="30">
        <v>-0.124113534659973</v>
      </c>
      <c r="E15" s="30">
        <v>-0.1855275041338216</v>
      </c>
      <c r="F15" s="30">
        <v>-0.51750513151026711</v>
      </c>
      <c r="G15" s="30">
        <v>-0.47668017407719437</v>
      </c>
      <c r="H15" s="30">
        <v>-0.45722757099455158</v>
      </c>
      <c r="I15" s="30">
        <v>-0.52844879570355097</v>
      </c>
      <c r="J15" s="30">
        <v>-0.42896715641499811</v>
      </c>
      <c r="K15" s="30">
        <v>-0.41261833988945718</v>
      </c>
      <c r="L15" s="30">
        <v>-4.1638076480459141E-3</v>
      </c>
      <c r="M15" s="30">
        <v>-2.6791835565263569E-2</v>
      </c>
      <c r="N15" s="30">
        <v>-0.1044832975710908</v>
      </c>
      <c r="O15" s="30">
        <v>4.4211548082371273E-2</v>
      </c>
      <c r="P15" s="30">
        <v>5.8306595935677913E-2</v>
      </c>
      <c r="Q15" s="30">
        <v>-6.8633318730227794E-2</v>
      </c>
      <c r="R15" s="30">
        <v>3.9118300564990882E-2</v>
      </c>
      <c r="S15" s="30">
        <v>1.430917631974769E-2</v>
      </c>
      <c r="T15" s="30">
        <v>4.7434316151017543E-2</v>
      </c>
      <c r="U15" s="30">
        <v>-5.8521476915807114E-3</v>
      </c>
      <c r="V15" s="30">
        <v>-8.4536822785316129E-2</v>
      </c>
      <c r="W15" s="30">
        <v>-0.21030818610927479</v>
      </c>
      <c r="X15" s="30">
        <v>-0.29890892520185208</v>
      </c>
      <c r="Y15" s="30">
        <v>-0.28699682154041978</v>
      </c>
      <c r="Z15" s="30">
        <v>-0.24392935892183371</v>
      </c>
      <c r="AA15" s="30">
        <v>-0.26669381309450008</v>
      </c>
      <c r="AB15" s="30">
        <v>-0.26649480062011849</v>
      </c>
      <c r="AC15" s="30">
        <v>-9.2233352434640453E-2</v>
      </c>
      <c r="AD15" s="30">
        <v>-0.1147951387733117</v>
      </c>
      <c r="AE15" s="30">
        <v>-0.1224079017715</v>
      </c>
      <c r="AF15" s="30">
        <v>-9.5242339474186588E-2</v>
      </c>
      <c r="AG15" s="30">
        <v>-7.8768448683095765E-2</v>
      </c>
      <c r="AH15" s="30">
        <v>-0.10231021540807481</v>
      </c>
      <c r="AI15" s="30">
        <v>-5.7262343839864033E-2</v>
      </c>
      <c r="AJ15" s="30">
        <v>1.375630556441051E-2</v>
      </c>
      <c r="AK15" s="30">
        <v>7.4954773180899756E-2</v>
      </c>
      <c r="AL15" s="30">
        <v>5.8691382352518973E-2</v>
      </c>
      <c r="AM15" s="30">
        <v>5.3574222808861066E-3</v>
      </c>
      <c r="AN15" s="30">
        <v>1.151120887247797E-2</v>
      </c>
      <c r="AO15" s="30">
        <v>4.3992852184543921E-2</v>
      </c>
      <c r="AP15" s="30">
        <v>1.386578512691944E-2</v>
      </c>
      <c r="AQ15" s="30">
        <v>-3.7826594379919122E-2</v>
      </c>
      <c r="AR15" s="30">
        <v>2.0397996471123452E-3</v>
      </c>
      <c r="AS15" s="30">
        <v>0.1357503039005247</v>
      </c>
      <c r="AT15" s="30">
        <v>9.6260025474145652E-2</v>
      </c>
      <c r="AU15" s="30">
        <v>0.1098524283726847</v>
      </c>
      <c r="AV15" s="30">
        <v>5.4049591826809518E-2</v>
      </c>
      <c r="AW15" s="30">
        <v>9.1063555575025282E-2</v>
      </c>
      <c r="AX15" s="30">
        <v>-3.3959984777302832E-3</v>
      </c>
      <c r="AY15" s="30">
        <v>-7.119897332728195E-2</v>
      </c>
      <c r="AZ15" s="30">
        <v>-7.4040978527148166E-2</v>
      </c>
      <c r="BA15" s="30">
        <v>-0.1347483501299408</v>
      </c>
      <c r="BB15" s="30">
        <v>-0.18483968000529249</v>
      </c>
      <c r="BC15" s="30">
        <v>-0.17191627264560791</v>
      </c>
      <c r="BD15" s="30">
        <v>-0.19026124746966269</v>
      </c>
      <c r="BE15" s="30">
        <v>-0.18314878620084191</v>
      </c>
      <c r="BF15" s="30">
        <v>-0.1169061503080033</v>
      </c>
      <c r="BG15" s="30">
        <v>0.12330030316125749</v>
      </c>
      <c r="BH15" s="30">
        <v>0.15359621989951699</v>
      </c>
      <c r="BI15" s="30">
        <v>0.14035134075417011</v>
      </c>
      <c r="BJ15" s="30">
        <v>0.23465690016734941</v>
      </c>
      <c r="BK15" s="30">
        <v>0.2729537543891194</v>
      </c>
      <c r="BL15" s="30">
        <v>0.28953704776009159</v>
      </c>
      <c r="BM15" s="30">
        <v>5.9430813207467729E-2</v>
      </c>
      <c r="BN15" s="30">
        <v>0.12537867289131549</v>
      </c>
      <c r="BO15" s="30">
        <v>9.4402297988768397E-2</v>
      </c>
      <c r="BP15" s="30">
        <v>2.2123087244387041E-2</v>
      </c>
      <c r="BQ15" s="30">
        <v>3.8988347669411047E-2</v>
      </c>
      <c r="BR15" s="30">
        <v>3.9930685000121452E-2</v>
      </c>
      <c r="BS15" s="30">
        <v>4.2655091353802167E-2</v>
      </c>
      <c r="BT15" s="30">
        <v>3.6797176926708558E-2</v>
      </c>
      <c r="BU15" s="30">
        <v>7.6853980936937072E-2</v>
      </c>
      <c r="BV15" s="30">
        <v>8.6874653055629289E-2</v>
      </c>
      <c r="BW15" s="30">
        <v>4.5363248455846543E-2</v>
      </c>
      <c r="BX15" s="30">
        <v>3.359059787487173E-2</v>
      </c>
      <c r="BY15" s="30">
        <v>5.0840617964594763E-2</v>
      </c>
      <c r="BZ15" s="30">
        <v>9.0275438321156073E-2</v>
      </c>
      <c r="CA15" s="30">
        <v>9.5704210681912413E-2</v>
      </c>
      <c r="CB15" s="30">
        <v>0.1004237191891803</v>
      </c>
      <c r="CC15" s="30">
        <v>0.1341684898244323</v>
      </c>
      <c r="CD15" s="30">
        <v>6.9815281522896414E-2</v>
      </c>
      <c r="CE15" s="30">
        <v>5.3519808238351417E-2</v>
      </c>
      <c r="CF15" s="30">
        <v>-0.13786759520854391</v>
      </c>
      <c r="CG15" s="30">
        <v>-0.19353121275137081</v>
      </c>
      <c r="CH15" s="30">
        <v>-0.26226848017204002</v>
      </c>
      <c r="CI15" s="30">
        <v>-0.3621599917846654</v>
      </c>
      <c r="CJ15" s="30">
        <v>-0.17238616741213869</v>
      </c>
      <c r="CK15" s="30">
        <v>-0.24049517149258881</v>
      </c>
      <c r="CL15" s="30">
        <v>-2.9835663042383141E-2</v>
      </c>
      <c r="CM15" s="30">
        <v>4.8473891845623951E-2</v>
      </c>
      <c r="CN15" s="30">
        <v>3.9346739118729157E-2</v>
      </c>
      <c r="CO15" s="30">
        <v>0.1164079590468295</v>
      </c>
      <c r="CP15" s="30">
        <v>2.7954671930253121E-2</v>
      </c>
      <c r="CQ15" s="30">
        <v>0.11747759455583209</v>
      </c>
      <c r="CR15" s="30">
        <v>2.9545899327482559E-2</v>
      </c>
      <c r="CS15" s="30">
        <v>1.0751643579328309E-2</v>
      </c>
      <c r="CT15" s="30">
        <v>5.1099373345264383E-2</v>
      </c>
      <c r="CU15" s="30">
        <v>0.1082341816412679</v>
      </c>
      <c r="CV15" s="30">
        <v>0.10010509493954881</v>
      </c>
      <c r="CW15" s="30">
        <v>8.243585879334471E-2</v>
      </c>
      <c r="CX15" s="30">
        <v>0.14446651107932301</v>
      </c>
      <c r="CY15" s="30">
        <v>1.543497282917974E-2</v>
      </c>
      <c r="CZ15" s="30">
        <v>-6.8435941888257273E-2</v>
      </c>
      <c r="DA15" s="30">
        <v>-4.0885147588147007E-2</v>
      </c>
      <c r="DB15" s="30">
        <v>-9.0240152606780755E-2</v>
      </c>
      <c r="DC15" s="30">
        <v>-7.2910137230503241E-2</v>
      </c>
      <c r="DD15" s="30">
        <v>-7.4101523922137175E-2</v>
      </c>
      <c r="DE15" s="30">
        <v>-3.8176172495442889E-2</v>
      </c>
      <c r="DF15" s="30">
        <v>-8.0366391316806784E-2</v>
      </c>
      <c r="DG15" s="30">
        <v>-8.476282179701658E-2</v>
      </c>
      <c r="DH15" s="30">
        <v>4.5561825761215147E-2</v>
      </c>
      <c r="DI15" s="30">
        <v>1.528392919064096E-2</v>
      </c>
      <c r="DJ15" s="30">
        <v>-8.6368002330220212E-2</v>
      </c>
      <c r="DK15" s="30">
        <v>-8.3284992535386043E-2</v>
      </c>
      <c r="DL15" s="30">
        <v>-0.31070789680062177</v>
      </c>
      <c r="DM15" s="30">
        <v>-0.48915583017430442</v>
      </c>
      <c r="DN15" s="30">
        <v>-0.61713752149518741</v>
      </c>
      <c r="DO15" s="30">
        <v>-0.64241868762619436</v>
      </c>
      <c r="DP15" s="30">
        <v>-0.51612725116185121</v>
      </c>
      <c r="DQ15" s="30">
        <v>-0.53531007584853307</v>
      </c>
      <c r="DR15" s="30">
        <v>-0.2064125755835888</v>
      </c>
      <c r="DS15" s="30">
        <v>-3.676563839448474E-2</v>
      </c>
      <c r="DT15" s="30">
        <v>-2.1176359815958671E-2</v>
      </c>
      <c r="DU15" s="30">
        <v>-0.10998908800017081</v>
      </c>
      <c r="DV15" s="30">
        <v>-8.386624293692993E-2</v>
      </c>
      <c r="DW15" s="30">
        <v>-0.1762242698023504</v>
      </c>
      <c r="DX15" s="30">
        <v>-0.2504373293811597</v>
      </c>
      <c r="DY15" s="30">
        <v>-0.1513928108760241</v>
      </c>
      <c r="DZ15" s="30">
        <v>-0.1158377971666855</v>
      </c>
      <c r="EA15" s="30">
        <v>-5.6648240929698529E-2</v>
      </c>
      <c r="EB15" s="30">
        <v>3.4255181880149747E-2</v>
      </c>
      <c r="EC15" s="30">
        <v>-1.7395651008662891E-2</v>
      </c>
      <c r="ED15" s="30">
        <v>4.0598599233819838E-2</v>
      </c>
      <c r="EE15" s="30">
        <v>4.9896273549653668E-2</v>
      </c>
      <c r="EF15" s="30">
        <v>4.1656706453052278E-2</v>
      </c>
    </row>
    <row r="16" spans="1:137" ht="16" customHeight="1">
      <c r="A16" s="4"/>
    </row>
    <row r="17" spans="1:137" ht="16" customHeight="1">
      <c r="A17" s="44" t="s">
        <v>256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3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4"/>
    </row>
    <row r="18" spans="1:137" ht="17" customHeight="1">
      <c r="A18" s="29"/>
      <c r="B18" s="6" t="s">
        <v>1</v>
      </c>
      <c r="C18" s="40" t="s">
        <v>2</v>
      </c>
      <c r="D18" s="40" t="s">
        <v>3</v>
      </c>
      <c r="E18" s="40" t="s">
        <v>4</v>
      </c>
      <c r="F18" s="40" t="s">
        <v>5</v>
      </c>
      <c r="G18" s="40" t="s">
        <v>6</v>
      </c>
      <c r="H18" s="40" t="s">
        <v>7</v>
      </c>
      <c r="I18" s="40" t="s">
        <v>8</v>
      </c>
      <c r="J18" s="40" t="s">
        <v>9</v>
      </c>
      <c r="K18" s="40" t="s">
        <v>10</v>
      </c>
      <c r="L18" s="40" t="s">
        <v>11</v>
      </c>
      <c r="M18" s="40" t="s">
        <v>12</v>
      </c>
      <c r="N18" s="40" t="s">
        <v>13</v>
      </c>
      <c r="O18" s="40" t="s">
        <v>14</v>
      </c>
      <c r="P18" s="40" t="s">
        <v>15</v>
      </c>
      <c r="Q18" s="40" t="s">
        <v>16</v>
      </c>
      <c r="R18" s="40" t="s">
        <v>17</v>
      </c>
      <c r="S18" s="40" t="s">
        <v>18</v>
      </c>
      <c r="T18" s="40" t="s">
        <v>19</v>
      </c>
      <c r="U18" s="40" t="s">
        <v>20</v>
      </c>
      <c r="V18" s="40" t="s">
        <v>21</v>
      </c>
      <c r="W18" s="40" t="s">
        <v>22</v>
      </c>
      <c r="X18" s="40" t="s">
        <v>23</v>
      </c>
      <c r="Y18" s="40" t="s">
        <v>24</v>
      </c>
      <c r="Z18" s="40" t="s">
        <v>25</v>
      </c>
      <c r="AA18" s="40" t="s">
        <v>26</v>
      </c>
      <c r="AB18" s="40" t="s">
        <v>27</v>
      </c>
      <c r="AC18" s="40" t="s">
        <v>28</v>
      </c>
      <c r="AD18" s="40" t="s">
        <v>29</v>
      </c>
      <c r="AE18" s="40" t="s">
        <v>30</v>
      </c>
      <c r="AF18" s="40" t="s">
        <v>31</v>
      </c>
      <c r="AG18" s="40" t="s">
        <v>32</v>
      </c>
      <c r="AH18" s="40" t="s">
        <v>33</v>
      </c>
      <c r="AI18" s="40" t="s">
        <v>34</v>
      </c>
      <c r="AJ18" s="40" t="s">
        <v>35</v>
      </c>
      <c r="AK18" s="40" t="s">
        <v>36</v>
      </c>
      <c r="AL18" s="40" t="s">
        <v>37</v>
      </c>
      <c r="AM18" s="40" t="s">
        <v>38</v>
      </c>
      <c r="AN18" s="40" t="s">
        <v>39</v>
      </c>
      <c r="AO18" s="40" t="s">
        <v>40</v>
      </c>
      <c r="AP18" s="40" t="s">
        <v>41</v>
      </c>
      <c r="AQ18" s="40" t="s">
        <v>42</v>
      </c>
      <c r="AR18" s="40" t="s">
        <v>43</v>
      </c>
      <c r="AS18" s="40" t="s">
        <v>44</v>
      </c>
      <c r="AT18" s="40" t="s">
        <v>45</v>
      </c>
      <c r="AU18" s="40" t="s">
        <v>46</v>
      </c>
      <c r="AV18" s="40" t="s">
        <v>47</v>
      </c>
      <c r="AW18" s="40" t="s">
        <v>48</v>
      </c>
      <c r="AX18" s="40" t="s">
        <v>49</v>
      </c>
      <c r="AY18" s="40" t="s">
        <v>50</v>
      </c>
      <c r="AZ18" s="40" t="s">
        <v>51</v>
      </c>
      <c r="BA18" s="40" t="s">
        <v>52</v>
      </c>
      <c r="BB18" s="40" t="s">
        <v>53</v>
      </c>
      <c r="BC18" s="40" t="s">
        <v>54</v>
      </c>
      <c r="BD18" s="40" t="s">
        <v>55</v>
      </c>
      <c r="BE18" s="40" t="s">
        <v>56</v>
      </c>
      <c r="BF18" s="40" t="s">
        <v>57</v>
      </c>
      <c r="BG18" s="40" t="s">
        <v>58</v>
      </c>
      <c r="BH18" s="40" t="s">
        <v>59</v>
      </c>
      <c r="BI18" s="40" t="s">
        <v>60</v>
      </c>
      <c r="BJ18" s="40" t="s">
        <v>61</v>
      </c>
      <c r="BK18" s="40" t="s">
        <v>62</v>
      </c>
      <c r="BL18" s="40" t="s">
        <v>63</v>
      </c>
      <c r="BM18" s="40" t="s">
        <v>64</v>
      </c>
      <c r="BN18" s="40" t="s">
        <v>65</v>
      </c>
      <c r="BO18" s="40" t="s">
        <v>66</v>
      </c>
      <c r="BP18" s="40" t="s">
        <v>67</v>
      </c>
      <c r="BQ18" s="40" t="s">
        <v>68</v>
      </c>
      <c r="BR18" s="40" t="s">
        <v>69</v>
      </c>
      <c r="BS18" s="40" t="s">
        <v>70</v>
      </c>
      <c r="BT18" s="40" t="s">
        <v>71</v>
      </c>
      <c r="BU18" s="40" t="s">
        <v>72</v>
      </c>
      <c r="BV18" s="40" t="s">
        <v>73</v>
      </c>
      <c r="BW18" s="40" t="s">
        <v>74</v>
      </c>
      <c r="BX18" s="40" t="s">
        <v>75</v>
      </c>
      <c r="BY18" s="40" t="s">
        <v>76</v>
      </c>
      <c r="BZ18" s="40" t="s">
        <v>77</v>
      </c>
      <c r="CA18" s="40" t="s">
        <v>78</v>
      </c>
      <c r="CB18" s="40" t="s">
        <v>79</v>
      </c>
      <c r="CC18" s="40" t="s">
        <v>80</v>
      </c>
      <c r="CD18" s="40" t="s">
        <v>81</v>
      </c>
      <c r="CE18" s="40" t="s">
        <v>82</v>
      </c>
      <c r="CF18" s="40" t="s">
        <v>83</v>
      </c>
      <c r="CG18" s="40" t="s">
        <v>84</v>
      </c>
      <c r="CH18" s="40" t="s">
        <v>85</v>
      </c>
      <c r="CI18" s="40" t="s">
        <v>86</v>
      </c>
      <c r="CJ18" s="40" t="s">
        <v>87</v>
      </c>
      <c r="CK18" s="40" t="s">
        <v>88</v>
      </c>
      <c r="CL18" s="40" t="s">
        <v>89</v>
      </c>
      <c r="CM18" s="40" t="s">
        <v>90</v>
      </c>
      <c r="CN18" s="40" t="s">
        <v>91</v>
      </c>
      <c r="CO18" s="40" t="s">
        <v>92</v>
      </c>
      <c r="CP18" s="40" t="s">
        <v>93</v>
      </c>
      <c r="CQ18" s="40" t="s">
        <v>94</v>
      </c>
      <c r="CR18" s="40" t="s">
        <v>95</v>
      </c>
      <c r="CS18" s="40" t="s">
        <v>96</v>
      </c>
      <c r="CT18" s="40" t="s">
        <v>97</v>
      </c>
      <c r="CU18" s="40" t="s">
        <v>98</v>
      </c>
      <c r="CV18" s="40" t="s">
        <v>99</v>
      </c>
      <c r="CW18" s="40" t="s">
        <v>100</v>
      </c>
      <c r="CX18" s="40" t="s">
        <v>101</v>
      </c>
      <c r="CY18" s="40" t="s">
        <v>102</v>
      </c>
      <c r="CZ18" s="40" t="s">
        <v>103</v>
      </c>
      <c r="DA18" s="40" t="s">
        <v>104</v>
      </c>
      <c r="DB18" s="40" t="s">
        <v>105</v>
      </c>
      <c r="DC18" s="40" t="s">
        <v>106</v>
      </c>
      <c r="DD18" s="40" t="s">
        <v>107</v>
      </c>
      <c r="DE18" s="40" t="s">
        <v>108</v>
      </c>
      <c r="DF18" s="40" t="s">
        <v>109</v>
      </c>
      <c r="DG18" s="40" t="s">
        <v>110</v>
      </c>
      <c r="DH18" s="40" t="s">
        <v>111</v>
      </c>
      <c r="DI18" s="40" t="s">
        <v>112</v>
      </c>
      <c r="DJ18" s="40" t="s">
        <v>113</v>
      </c>
      <c r="DK18" s="40" t="s">
        <v>114</v>
      </c>
      <c r="DL18" s="40" t="s">
        <v>115</v>
      </c>
      <c r="DM18" s="40" t="s">
        <v>116</v>
      </c>
      <c r="DN18" s="40" t="s">
        <v>117</v>
      </c>
      <c r="DO18" s="40" t="s">
        <v>118</v>
      </c>
      <c r="DP18" s="40" t="s">
        <v>119</v>
      </c>
      <c r="DQ18" s="40" t="s">
        <v>120</v>
      </c>
      <c r="DR18" s="40" t="s">
        <v>121</v>
      </c>
      <c r="DS18" s="40" t="s">
        <v>122</v>
      </c>
      <c r="DT18" s="40" t="s">
        <v>123</v>
      </c>
      <c r="DU18" s="40" t="s">
        <v>124</v>
      </c>
      <c r="DV18" s="40" t="s">
        <v>125</v>
      </c>
      <c r="DW18" s="40" t="s">
        <v>126</v>
      </c>
      <c r="DX18" s="40" t="s">
        <v>127</v>
      </c>
      <c r="DY18" s="40" t="s">
        <v>128</v>
      </c>
      <c r="DZ18" s="40" t="s">
        <v>129</v>
      </c>
      <c r="EA18" s="40" t="s">
        <v>130</v>
      </c>
      <c r="EB18" s="40" t="s">
        <v>131</v>
      </c>
      <c r="EC18" s="40" t="s">
        <v>132</v>
      </c>
      <c r="ED18" s="41" t="s">
        <v>133</v>
      </c>
      <c r="EE18" s="40" t="s">
        <v>134</v>
      </c>
      <c r="EF18" s="40" t="s">
        <v>135</v>
      </c>
      <c r="EG18" s="4"/>
    </row>
    <row r="19" spans="1:137" ht="16" customHeight="1">
      <c r="A19" s="29"/>
      <c r="B19" s="25" t="s">
        <v>136</v>
      </c>
      <c r="C19" s="30">
        <f t="shared" ref="C19:AH19" si="0">(C3-C11)^2</f>
        <v>3.652724252609927E-2</v>
      </c>
      <c r="D19" s="30">
        <f t="shared" si="0"/>
        <v>4.3929568586979313E-3</v>
      </c>
      <c r="E19" s="30">
        <f t="shared" si="0"/>
        <v>4.7000304340176748E-2</v>
      </c>
      <c r="F19" s="30">
        <f t="shared" si="0"/>
        <v>3.3907487642789486E-4</v>
      </c>
      <c r="G19" s="30">
        <f t="shared" si="0"/>
        <v>3.4193126476798649E-3</v>
      </c>
      <c r="H19" s="30">
        <f t="shared" si="0"/>
        <v>2.5251441564871314E-3</v>
      </c>
      <c r="I19" s="30">
        <f t="shared" si="0"/>
        <v>1.4312663984339788E-2</v>
      </c>
      <c r="J19" s="30">
        <f t="shared" si="0"/>
        <v>2.0579682247300751E-3</v>
      </c>
      <c r="K19" s="30">
        <f t="shared" si="0"/>
        <v>1.4444847380069148E-2</v>
      </c>
      <c r="L19" s="30">
        <f t="shared" si="0"/>
        <v>7.9657268732894262E-3</v>
      </c>
      <c r="M19" s="30">
        <f t="shared" si="0"/>
        <v>1.9635267403477694E-3</v>
      </c>
      <c r="N19" s="30">
        <f t="shared" si="0"/>
        <v>3.2466035870321263E-3</v>
      </c>
      <c r="O19" s="30">
        <f t="shared" si="0"/>
        <v>3.794431844920753E-4</v>
      </c>
      <c r="P19" s="30">
        <f t="shared" si="0"/>
        <v>1.1297965853129652E-3</v>
      </c>
      <c r="Q19" s="30">
        <f t="shared" si="0"/>
        <v>1.7365549987322579E-2</v>
      </c>
      <c r="R19" s="30">
        <f t="shared" si="0"/>
        <v>3.5975927384051181E-4</v>
      </c>
      <c r="S19" s="30">
        <f t="shared" si="0"/>
        <v>2.5469234415740386E-3</v>
      </c>
      <c r="T19" s="30">
        <f t="shared" si="0"/>
        <v>1.1050106910368646E-2</v>
      </c>
      <c r="U19" s="30">
        <f t="shared" si="0"/>
        <v>4.1559398467019756E-4</v>
      </c>
      <c r="V19" s="30">
        <f t="shared" si="0"/>
        <v>5.5144498927227514E-5</v>
      </c>
      <c r="W19" s="30">
        <f t="shared" si="0"/>
        <v>7.7090685081961262E-3</v>
      </c>
      <c r="X19" s="30">
        <f t="shared" si="0"/>
        <v>3.1431675100412947E-4</v>
      </c>
      <c r="Y19" s="30">
        <f t="shared" si="0"/>
        <v>2.3853235189850719E-3</v>
      </c>
      <c r="Z19" s="30">
        <f t="shared" si="0"/>
        <v>2.3690171019971536E-4</v>
      </c>
      <c r="AA19" s="30">
        <f t="shared" si="0"/>
        <v>1.5535464621556904E-2</v>
      </c>
      <c r="AB19" s="30">
        <f t="shared" si="0"/>
        <v>1.8755808750344258E-2</v>
      </c>
      <c r="AC19" s="30">
        <f t="shared" si="0"/>
        <v>1.29341890168603E-3</v>
      </c>
      <c r="AD19" s="30">
        <f t="shared" si="0"/>
        <v>2.2156062691369078E-3</v>
      </c>
      <c r="AE19" s="30">
        <f t="shared" si="0"/>
        <v>8.6566999507276557E-5</v>
      </c>
      <c r="AF19" s="30">
        <f t="shared" si="0"/>
        <v>3.7943288449364789E-3</v>
      </c>
      <c r="AG19" s="30">
        <f t="shared" si="0"/>
        <v>1.161914495301249E-3</v>
      </c>
      <c r="AH19" s="30">
        <f t="shared" si="0"/>
        <v>1.5496200957357579E-3</v>
      </c>
      <c r="AI19" s="30">
        <f t="shared" ref="AI19:BN19" si="1">(AI3-AI11)^2</f>
        <v>1.8829358452213763E-3</v>
      </c>
      <c r="AJ19" s="30">
        <f t="shared" si="1"/>
        <v>4.7926841665009163E-4</v>
      </c>
      <c r="AK19" s="30">
        <f t="shared" si="1"/>
        <v>7.4080007825831655E-3</v>
      </c>
      <c r="AL19" s="30">
        <f t="shared" si="1"/>
        <v>2.5756859988367659E-7</v>
      </c>
      <c r="AM19" s="30">
        <f t="shared" si="1"/>
        <v>1.3677897353504855E-4</v>
      </c>
      <c r="AN19" s="30">
        <f t="shared" si="1"/>
        <v>1.0959370555355054E-3</v>
      </c>
      <c r="AO19" s="30">
        <f t="shared" si="1"/>
        <v>1.243038777510256E-3</v>
      </c>
      <c r="AP19" s="30">
        <f t="shared" si="1"/>
        <v>1.821287851766984E-3</v>
      </c>
      <c r="AQ19" s="30">
        <f t="shared" si="1"/>
        <v>2.6749300877230688E-2</v>
      </c>
      <c r="AR19" s="30">
        <f t="shared" si="1"/>
        <v>5.4293150541755977E-3</v>
      </c>
      <c r="AS19" s="30">
        <f t="shared" si="1"/>
        <v>2.8908507796284063E-4</v>
      </c>
      <c r="AT19" s="30">
        <f t="shared" si="1"/>
        <v>5.0434534648606845E-3</v>
      </c>
      <c r="AU19" s="30">
        <f t="shared" si="1"/>
        <v>2.5679783316123451E-3</v>
      </c>
      <c r="AV19" s="30">
        <f t="shared" si="1"/>
        <v>1.6396375479873662E-3</v>
      </c>
      <c r="AW19" s="30">
        <f t="shared" si="1"/>
        <v>7.8817007845222154E-4</v>
      </c>
      <c r="AX19" s="30">
        <f t="shared" si="1"/>
        <v>4.5339249829468671E-4</v>
      </c>
      <c r="AY19" s="30">
        <f t="shared" si="1"/>
        <v>8.8837002483373238E-4</v>
      </c>
      <c r="AZ19" s="30">
        <f t="shared" si="1"/>
        <v>1.6461947689375019E-3</v>
      </c>
      <c r="BA19" s="30">
        <f t="shared" si="1"/>
        <v>4.727525438746536E-4</v>
      </c>
      <c r="BB19" s="30">
        <f t="shared" si="1"/>
        <v>3.7554186572476007E-4</v>
      </c>
      <c r="BC19" s="30">
        <f t="shared" si="1"/>
        <v>2.6103085360581826E-3</v>
      </c>
      <c r="BD19" s="30">
        <f t="shared" si="1"/>
        <v>3.9210598112427207E-3</v>
      </c>
      <c r="BE19" s="30">
        <f t="shared" si="1"/>
        <v>1.0776018992898913E-3</v>
      </c>
      <c r="BF19" s="30">
        <f t="shared" si="1"/>
        <v>2.9743158762126527E-3</v>
      </c>
      <c r="BG19" s="30">
        <f t="shared" si="1"/>
        <v>2.8832387118267111E-3</v>
      </c>
      <c r="BH19" s="30">
        <f t="shared" si="1"/>
        <v>3.1769131257922988E-3</v>
      </c>
      <c r="BI19" s="30">
        <f t="shared" si="1"/>
        <v>7.6032971635994195E-7</v>
      </c>
      <c r="BJ19" s="30">
        <f t="shared" si="1"/>
        <v>3.2795784528007257E-3</v>
      </c>
      <c r="BK19" s="30">
        <f t="shared" si="1"/>
        <v>6.6669788591607732E-4</v>
      </c>
      <c r="BL19" s="30">
        <f t="shared" si="1"/>
        <v>1.081911003484728E-3</v>
      </c>
      <c r="BM19" s="30">
        <f t="shared" si="1"/>
        <v>3.6748638377762303E-3</v>
      </c>
      <c r="BN19" s="30">
        <f t="shared" si="1"/>
        <v>2.007719288260788E-4</v>
      </c>
      <c r="BO19" s="30">
        <f t="shared" ref="BO19:CT19" si="2">(BO3-BO11)^2</f>
        <v>8.6548854161751991E-4</v>
      </c>
      <c r="BP19" s="30">
        <f t="shared" si="2"/>
        <v>9.7908328233491776E-4</v>
      </c>
      <c r="BQ19" s="30">
        <f t="shared" si="2"/>
        <v>1.2338425123500621E-3</v>
      </c>
      <c r="BR19" s="30">
        <f t="shared" si="2"/>
        <v>1.3046413965265811E-3</v>
      </c>
      <c r="BS19" s="30">
        <f t="shared" si="2"/>
        <v>3.8267203314014215E-3</v>
      </c>
      <c r="BT19" s="30">
        <f t="shared" si="2"/>
        <v>3.3212993598076828E-4</v>
      </c>
      <c r="BU19" s="30">
        <f t="shared" si="2"/>
        <v>8.659638972475542E-5</v>
      </c>
      <c r="BV19" s="30">
        <f t="shared" si="2"/>
        <v>6.405922538183321E-5</v>
      </c>
      <c r="BW19" s="30">
        <f t="shared" si="2"/>
        <v>4.4792471022397492E-3</v>
      </c>
      <c r="BX19" s="30">
        <f t="shared" si="2"/>
        <v>2.6025111329763318E-4</v>
      </c>
      <c r="BY19" s="30">
        <f t="shared" si="2"/>
        <v>2.0555650345358595E-3</v>
      </c>
      <c r="BZ19" s="30">
        <f t="shared" si="2"/>
        <v>1.9314484033561821E-3</v>
      </c>
      <c r="CA19" s="30">
        <f t="shared" si="2"/>
        <v>1.4769001311935865E-2</v>
      </c>
      <c r="CB19" s="30">
        <f t="shared" si="2"/>
        <v>1.9362872922409213E-4</v>
      </c>
      <c r="CC19" s="30">
        <f t="shared" si="2"/>
        <v>1.7965455497908586E-7</v>
      </c>
      <c r="CD19" s="30">
        <f t="shared" si="2"/>
        <v>1.7982246160286276E-3</v>
      </c>
      <c r="CE19" s="30">
        <f t="shared" si="2"/>
        <v>1.0606094679948478E-2</v>
      </c>
      <c r="CF19" s="30">
        <f t="shared" si="2"/>
        <v>1.3334009278116585E-4</v>
      </c>
      <c r="CG19" s="30">
        <f t="shared" si="2"/>
        <v>2.7221936796126534E-3</v>
      </c>
      <c r="CH19" s="30">
        <f t="shared" si="2"/>
        <v>3.6593493727104897E-3</v>
      </c>
      <c r="CI19" s="30">
        <f t="shared" si="2"/>
        <v>1.9397853916630021E-4</v>
      </c>
      <c r="CJ19" s="30">
        <f t="shared" si="2"/>
        <v>4.4698226225634327E-5</v>
      </c>
      <c r="CK19" s="30">
        <f t="shared" si="2"/>
        <v>7.0993780640258271E-3</v>
      </c>
      <c r="CL19" s="30">
        <f t="shared" si="2"/>
        <v>8.1430223771047992E-4</v>
      </c>
      <c r="CM19" s="30">
        <f t="shared" si="2"/>
        <v>2.9205615892015789E-3</v>
      </c>
      <c r="CN19" s="30">
        <f t="shared" si="2"/>
        <v>1.9763698834649149E-3</v>
      </c>
      <c r="CO19" s="30">
        <f t="shared" si="2"/>
        <v>4.1438957985039264E-2</v>
      </c>
      <c r="CP19" s="30">
        <f t="shared" si="2"/>
        <v>1.1517339500551334E-3</v>
      </c>
      <c r="CQ19" s="30">
        <f t="shared" si="2"/>
        <v>1.7831235009189627E-3</v>
      </c>
      <c r="CR19" s="30">
        <f t="shared" si="2"/>
        <v>5.6955801959953126E-4</v>
      </c>
      <c r="CS19" s="30">
        <f t="shared" si="2"/>
        <v>7.7624915960540421E-4</v>
      </c>
      <c r="CT19" s="30">
        <f t="shared" si="2"/>
        <v>5.4387565736716348E-3</v>
      </c>
      <c r="CU19" s="30">
        <f t="shared" ref="CU19:DZ19" si="3">(CU3-CU11)^2</f>
        <v>3.700659595681935E-3</v>
      </c>
      <c r="CV19" s="30">
        <f t="shared" si="3"/>
        <v>3.1751794529667221E-3</v>
      </c>
      <c r="CW19" s="30">
        <f t="shared" si="3"/>
        <v>3.5905876993134827E-4</v>
      </c>
      <c r="CX19" s="30">
        <f t="shared" si="3"/>
        <v>2.9848375457442126E-3</v>
      </c>
      <c r="CY19" s="30">
        <f t="shared" si="3"/>
        <v>1.1407951691103027E-4</v>
      </c>
      <c r="CZ19" s="30">
        <f t="shared" si="3"/>
        <v>2.8249036220664807E-4</v>
      </c>
      <c r="DA19" s="30">
        <f t="shared" si="3"/>
        <v>2.8524443661735141E-4</v>
      </c>
      <c r="DB19" s="30">
        <f t="shared" si="3"/>
        <v>7.9860650327748446E-4</v>
      </c>
      <c r="DC19" s="30">
        <f t="shared" si="3"/>
        <v>7.6985318835604249E-4</v>
      </c>
      <c r="DD19" s="30">
        <f t="shared" si="3"/>
        <v>9.4300544030651474E-3</v>
      </c>
      <c r="DE19" s="30">
        <f t="shared" si="3"/>
        <v>7.3670181753693088E-3</v>
      </c>
      <c r="DF19" s="30">
        <f t="shared" si="3"/>
        <v>4.2088817581230299E-3</v>
      </c>
      <c r="DG19" s="30">
        <f t="shared" si="3"/>
        <v>2.1758133567050295E-4</v>
      </c>
      <c r="DH19" s="30">
        <f t="shared" si="3"/>
        <v>5.8943004528693671E-7</v>
      </c>
      <c r="DI19" s="30">
        <f t="shared" si="3"/>
        <v>1.6255345388361122E-2</v>
      </c>
      <c r="DJ19" s="30">
        <f t="shared" si="3"/>
        <v>4.8407352849754292E-3</v>
      </c>
      <c r="DK19" s="30">
        <f t="shared" si="3"/>
        <v>2.657639654533694E-3</v>
      </c>
      <c r="DL19" s="30">
        <f t="shared" si="3"/>
        <v>8.3069963188400189E-4</v>
      </c>
      <c r="DM19" s="30">
        <f t="shared" si="3"/>
        <v>5.1104760736894704E-3</v>
      </c>
      <c r="DN19" s="30">
        <f t="shared" si="3"/>
        <v>4.5789349121317302E-3</v>
      </c>
      <c r="DO19" s="30">
        <f t="shared" si="3"/>
        <v>1.1846355853683935E-2</v>
      </c>
      <c r="DP19" s="30">
        <f t="shared" si="3"/>
        <v>3.5949669173009568E-3</v>
      </c>
      <c r="DQ19" s="30">
        <f t="shared" si="3"/>
        <v>1.8413991091199128E-4</v>
      </c>
      <c r="DR19" s="30">
        <f t="shared" si="3"/>
        <v>6.4175613954907794E-6</v>
      </c>
      <c r="DS19" s="30">
        <f t="shared" si="3"/>
        <v>1.2416700887414968E-4</v>
      </c>
      <c r="DT19" s="30">
        <f t="shared" si="3"/>
        <v>2.7484145017176053E-6</v>
      </c>
      <c r="DU19" s="30">
        <f t="shared" si="3"/>
        <v>2.3390476277502775E-3</v>
      </c>
      <c r="DV19" s="30">
        <f t="shared" si="3"/>
        <v>5.0802233550391048E-5</v>
      </c>
      <c r="DW19" s="30">
        <f t="shared" si="3"/>
        <v>2.3158805592302532E-4</v>
      </c>
      <c r="DX19" s="30">
        <f t="shared" si="3"/>
        <v>2.8518248579111243E-3</v>
      </c>
      <c r="DY19" s="30">
        <f t="shared" si="3"/>
        <v>4.2143281700956162E-3</v>
      </c>
      <c r="DZ19" s="30">
        <f t="shared" si="3"/>
        <v>5.9007576192964765E-4</v>
      </c>
      <c r="EA19" s="30">
        <f t="shared" ref="EA19:EF19" si="4">(EA3-EA11)^2</f>
        <v>7.8667984402132427E-4</v>
      </c>
      <c r="EB19" s="30">
        <f t="shared" si="4"/>
        <v>4.0451008761033108E-3</v>
      </c>
      <c r="EC19" s="30">
        <f t="shared" si="4"/>
        <v>9.2744178661576509E-3</v>
      </c>
      <c r="ED19" s="30">
        <f t="shared" si="4"/>
        <v>1.0517699955157602E-3</v>
      </c>
      <c r="EE19" s="30">
        <f t="shared" si="4"/>
        <v>4.7568278222150941E-4</v>
      </c>
      <c r="EF19" s="30">
        <f t="shared" si="4"/>
        <v>8.5420634361800096E-3</v>
      </c>
      <c r="EG19" s="4"/>
    </row>
    <row r="20" spans="1:137" ht="16" customHeight="1">
      <c r="A20" s="29"/>
      <c r="B20" s="25" t="s">
        <v>137</v>
      </c>
      <c r="C20" s="30">
        <f t="shared" ref="C20:AH20" si="5">(C4-C12)^2</f>
        <v>5.6456875176990898E-2</v>
      </c>
      <c r="D20" s="30">
        <f t="shared" si="5"/>
        <v>6.5351519289261972E-2</v>
      </c>
      <c r="E20" s="30">
        <f t="shared" si="5"/>
        <v>5.4930523408785133E-2</v>
      </c>
      <c r="F20" s="30">
        <f t="shared" si="5"/>
        <v>0.10627158900582458</v>
      </c>
      <c r="G20" s="30">
        <f t="shared" si="5"/>
        <v>3.643190579076841E-2</v>
      </c>
      <c r="H20" s="30">
        <f t="shared" si="5"/>
        <v>0.2947426246326651</v>
      </c>
      <c r="I20" s="30">
        <f t="shared" si="5"/>
        <v>0.36731682698718293</v>
      </c>
      <c r="J20" s="30">
        <f t="shared" si="5"/>
        <v>0.35559138207249347</v>
      </c>
      <c r="K20" s="30">
        <f t="shared" si="5"/>
        <v>0.63250826139022165</v>
      </c>
      <c r="L20" s="30">
        <f t="shared" si="5"/>
        <v>0.12395508024395925</v>
      </c>
      <c r="M20" s="30">
        <f t="shared" si="5"/>
        <v>0.35307463044458676</v>
      </c>
      <c r="N20" s="30">
        <f t="shared" si="5"/>
        <v>8.127442375341945E-2</v>
      </c>
      <c r="O20" s="30">
        <f t="shared" si="5"/>
        <v>0.10907747176177608</v>
      </c>
      <c r="P20" s="30">
        <f t="shared" si="5"/>
        <v>2.8618488559719223E-2</v>
      </c>
      <c r="Q20" s="30">
        <f t="shared" si="5"/>
        <v>2.0835395368142565E-2</v>
      </c>
      <c r="R20" s="30">
        <f t="shared" si="5"/>
        <v>4.7666736880013418E-2</v>
      </c>
      <c r="S20" s="30">
        <f t="shared" si="5"/>
        <v>3.3601515797792213E-2</v>
      </c>
      <c r="T20" s="30">
        <f t="shared" si="5"/>
        <v>1.9954181145492522E-2</v>
      </c>
      <c r="U20" s="30">
        <f t="shared" si="5"/>
        <v>4.5021031103336114E-2</v>
      </c>
      <c r="V20" s="30">
        <f t="shared" si="5"/>
        <v>1.0713180774848063E-2</v>
      </c>
      <c r="W20" s="30">
        <f t="shared" si="5"/>
        <v>5.977053384787088E-3</v>
      </c>
      <c r="X20" s="30">
        <f t="shared" si="5"/>
        <v>7.1781532086908864E-2</v>
      </c>
      <c r="Y20" s="30">
        <f t="shared" si="5"/>
        <v>0.16330097975889973</v>
      </c>
      <c r="Z20" s="30">
        <f t="shared" si="5"/>
        <v>0.18907384626410928</v>
      </c>
      <c r="AA20" s="30">
        <f t="shared" si="5"/>
        <v>0.28921634776088634</v>
      </c>
      <c r="AB20" s="30">
        <f t="shared" si="5"/>
        <v>0.2336216798977889</v>
      </c>
      <c r="AC20" s="30">
        <f t="shared" si="5"/>
        <v>0.14863102159355773</v>
      </c>
      <c r="AD20" s="30">
        <f t="shared" si="5"/>
        <v>6.7638055510482825E-2</v>
      </c>
      <c r="AE20" s="30">
        <f t="shared" si="5"/>
        <v>2.3112237299519188E-2</v>
      </c>
      <c r="AF20" s="30">
        <f t="shared" si="5"/>
        <v>2.8597513521224451E-2</v>
      </c>
      <c r="AG20" s="30">
        <f t="shared" si="5"/>
        <v>3.5204814701400959E-2</v>
      </c>
      <c r="AH20" s="30">
        <f t="shared" si="5"/>
        <v>5.8988592699250081E-2</v>
      </c>
      <c r="AI20" s="30">
        <f t="shared" ref="AI20:BN20" si="6">(AI4-AI12)^2</f>
        <v>2.7081092031327001E-2</v>
      </c>
      <c r="AJ20" s="30">
        <f t="shared" si="6"/>
        <v>2.0485355415336584E-3</v>
      </c>
      <c r="AK20" s="30">
        <f t="shared" si="6"/>
        <v>4.8382362373898249E-3</v>
      </c>
      <c r="AL20" s="30">
        <f t="shared" si="6"/>
        <v>8.5205324898244336E-3</v>
      </c>
      <c r="AM20" s="30">
        <f t="shared" si="6"/>
        <v>2.2609356455971712E-2</v>
      </c>
      <c r="AN20" s="30">
        <f t="shared" si="6"/>
        <v>0.10716842226622456</v>
      </c>
      <c r="AO20" s="30">
        <f t="shared" si="6"/>
        <v>0.14090371085459086</v>
      </c>
      <c r="AP20" s="30">
        <f t="shared" si="6"/>
        <v>7.5626156982020507E-2</v>
      </c>
      <c r="AQ20" s="30">
        <f t="shared" si="6"/>
        <v>7.7282711473542931E-2</v>
      </c>
      <c r="AR20" s="30">
        <f t="shared" si="6"/>
        <v>8.3174399717783787E-2</v>
      </c>
      <c r="AS20" s="30">
        <f t="shared" si="6"/>
        <v>7.3870334803248408E-2</v>
      </c>
      <c r="AT20" s="30">
        <f t="shared" si="6"/>
        <v>7.0600911719396683E-2</v>
      </c>
      <c r="AU20" s="30">
        <f t="shared" si="6"/>
        <v>2.5490001082663579E-2</v>
      </c>
      <c r="AV20" s="30">
        <f t="shared" si="6"/>
        <v>1.4169309298001561E-2</v>
      </c>
      <c r="AW20" s="30">
        <f t="shared" si="6"/>
        <v>1.8810443996669216E-2</v>
      </c>
      <c r="AX20" s="30">
        <f t="shared" si="6"/>
        <v>9.515298831350051E-5</v>
      </c>
      <c r="AY20" s="30">
        <f t="shared" si="6"/>
        <v>1.5810403144306234E-2</v>
      </c>
      <c r="AZ20" s="30">
        <f t="shared" si="6"/>
        <v>3.5364668763924453E-2</v>
      </c>
      <c r="BA20" s="30">
        <f t="shared" si="6"/>
        <v>7.2219843558961406E-3</v>
      </c>
      <c r="BB20" s="30">
        <f t="shared" si="6"/>
        <v>7.3245234303869039E-5</v>
      </c>
      <c r="BC20" s="30">
        <f t="shared" si="6"/>
        <v>3.6974219282523528E-2</v>
      </c>
      <c r="BD20" s="30">
        <f t="shared" si="6"/>
        <v>2.3955732701058666E-2</v>
      </c>
      <c r="BE20" s="30">
        <f t="shared" si="6"/>
        <v>4.7368897783157192E-2</v>
      </c>
      <c r="BF20" s="30">
        <f t="shared" si="6"/>
        <v>2.9632571880580664E-2</v>
      </c>
      <c r="BG20" s="30">
        <f t="shared" si="6"/>
        <v>3.052781488452052E-2</v>
      </c>
      <c r="BH20" s="30">
        <f t="shared" si="6"/>
        <v>5.6885200820286322E-2</v>
      </c>
      <c r="BI20" s="30">
        <f t="shared" si="6"/>
        <v>7.2907688135128657E-2</v>
      </c>
      <c r="BJ20" s="30">
        <f t="shared" si="6"/>
        <v>7.2792822431534371E-2</v>
      </c>
      <c r="BK20" s="30">
        <f t="shared" si="6"/>
        <v>3.8476789956049771E-2</v>
      </c>
      <c r="BL20" s="30">
        <f t="shared" si="6"/>
        <v>3.0270035536256006E-3</v>
      </c>
      <c r="BM20" s="30">
        <f t="shared" si="6"/>
        <v>9.9898465880558958E-3</v>
      </c>
      <c r="BN20" s="30">
        <f t="shared" si="6"/>
        <v>2.6403445448578866E-5</v>
      </c>
      <c r="BO20" s="30">
        <f t="shared" ref="BO20:CT20" si="7">(BO4-BO12)^2</f>
        <v>6.2225594333665678E-4</v>
      </c>
      <c r="BP20" s="30">
        <f t="shared" si="7"/>
        <v>7.6119165550457227E-3</v>
      </c>
      <c r="BQ20" s="30">
        <f t="shared" si="7"/>
        <v>1.2640568206371914E-2</v>
      </c>
      <c r="BR20" s="30">
        <f t="shared" si="7"/>
        <v>3.7217144515531819E-2</v>
      </c>
      <c r="BS20" s="30">
        <f t="shared" si="7"/>
        <v>3.7319059280322454E-2</v>
      </c>
      <c r="BT20" s="30">
        <f t="shared" si="7"/>
        <v>1.9810217767816515E-3</v>
      </c>
      <c r="BU20" s="30">
        <f t="shared" si="7"/>
        <v>4.7350953576752219E-4</v>
      </c>
      <c r="BV20" s="30">
        <f t="shared" si="7"/>
        <v>3.486646064579485E-2</v>
      </c>
      <c r="BW20" s="30">
        <f t="shared" si="7"/>
        <v>4.6533604718809064E-3</v>
      </c>
      <c r="BX20" s="30">
        <f t="shared" si="7"/>
        <v>8.589457385369606E-4</v>
      </c>
      <c r="BY20" s="30">
        <f t="shared" si="7"/>
        <v>1.1313621650665625E-3</v>
      </c>
      <c r="BZ20" s="30">
        <f t="shared" si="7"/>
        <v>3.5971030031461551E-3</v>
      </c>
      <c r="CA20" s="30">
        <f t="shared" si="7"/>
        <v>1.2541347117287663E-3</v>
      </c>
      <c r="CB20" s="30">
        <f t="shared" si="7"/>
        <v>5.5212287787320839E-2</v>
      </c>
      <c r="CC20" s="30">
        <f t="shared" si="7"/>
        <v>2.5767941024007455E-2</v>
      </c>
      <c r="CD20" s="30">
        <f t="shared" si="7"/>
        <v>1.5177492565493132E-2</v>
      </c>
      <c r="CE20" s="30">
        <f t="shared" si="7"/>
        <v>5.5503690215261796E-3</v>
      </c>
      <c r="CF20" s="30">
        <f t="shared" si="7"/>
        <v>3.2538352829916202E-3</v>
      </c>
      <c r="CG20" s="30">
        <f t="shared" si="7"/>
        <v>2.9700771115802414E-2</v>
      </c>
      <c r="CH20" s="30">
        <f t="shared" si="7"/>
        <v>3.4971375750988791E-2</v>
      </c>
      <c r="CI20" s="30">
        <f t="shared" si="7"/>
        <v>4.2690626685164941E-2</v>
      </c>
      <c r="CJ20" s="30">
        <f t="shared" si="7"/>
        <v>6.6913446023657034E-3</v>
      </c>
      <c r="CK20" s="30">
        <f t="shared" si="7"/>
        <v>4.5015521971841201E-2</v>
      </c>
      <c r="CL20" s="30">
        <f t="shared" si="7"/>
        <v>3.7387488631262275E-2</v>
      </c>
      <c r="CM20" s="30">
        <f t="shared" si="7"/>
        <v>3.2369414962785586E-2</v>
      </c>
      <c r="CN20" s="30">
        <f t="shared" si="7"/>
        <v>1.1937433343044737E-2</v>
      </c>
      <c r="CO20" s="30">
        <f t="shared" si="7"/>
        <v>3.8687624128176598E-2</v>
      </c>
      <c r="CP20" s="30">
        <f t="shared" si="7"/>
        <v>5.3402668371485412E-2</v>
      </c>
      <c r="CQ20" s="30">
        <f t="shared" si="7"/>
        <v>7.298591994738703E-3</v>
      </c>
      <c r="CR20" s="30">
        <f t="shared" si="7"/>
        <v>6.8138874841655858E-2</v>
      </c>
      <c r="CS20" s="30">
        <f t="shared" si="7"/>
        <v>2.3929033759786413E-2</v>
      </c>
      <c r="CT20" s="30">
        <f t="shared" si="7"/>
        <v>5.8706309124138399E-2</v>
      </c>
      <c r="CU20" s="30">
        <f t="shared" ref="CU20:DZ20" si="8">(CU4-CU12)^2</f>
        <v>9.6641912034834437E-2</v>
      </c>
      <c r="CV20" s="30">
        <f t="shared" si="8"/>
        <v>3.3305760249281099E-2</v>
      </c>
      <c r="CW20" s="30">
        <f t="shared" si="8"/>
        <v>5.7590281172290439E-2</v>
      </c>
      <c r="CX20" s="30">
        <f t="shared" si="8"/>
        <v>0.10719113556460846</v>
      </c>
      <c r="CY20" s="30">
        <f t="shared" si="8"/>
        <v>1.0567924249590389E-2</v>
      </c>
      <c r="CZ20" s="30">
        <f t="shared" si="8"/>
        <v>7.0335057556587949E-2</v>
      </c>
      <c r="DA20" s="30">
        <f t="shared" si="8"/>
        <v>0.1081673170606426</v>
      </c>
      <c r="DB20" s="30">
        <f t="shared" si="8"/>
        <v>0.20547322985466648</v>
      </c>
      <c r="DC20" s="30">
        <f t="shared" si="8"/>
        <v>7.9356170907063636E-2</v>
      </c>
      <c r="DD20" s="30">
        <f t="shared" si="8"/>
        <v>5.1200949864562292E-2</v>
      </c>
      <c r="DE20" s="30">
        <f t="shared" si="8"/>
        <v>2.112638336542811E-3</v>
      </c>
      <c r="DF20" s="30">
        <f t="shared" si="8"/>
        <v>7.4950714657934592E-3</v>
      </c>
      <c r="DG20" s="30">
        <f t="shared" si="8"/>
        <v>1.3670926549556393E-3</v>
      </c>
      <c r="DH20" s="30">
        <f t="shared" si="8"/>
        <v>2.8730651924589539E-4</v>
      </c>
      <c r="DI20" s="30">
        <f t="shared" si="8"/>
        <v>7.1987838013061554E-3</v>
      </c>
      <c r="DJ20" s="30">
        <f t="shared" si="8"/>
        <v>3.309522873304855E-2</v>
      </c>
      <c r="DK20" s="30">
        <f t="shared" si="8"/>
        <v>4.0426907851795E-6</v>
      </c>
      <c r="DL20" s="30">
        <f t="shared" si="8"/>
        <v>5.3493778054323664E-3</v>
      </c>
      <c r="DM20" s="30">
        <f t="shared" si="8"/>
        <v>3.2847770192404487E-2</v>
      </c>
      <c r="DN20" s="30">
        <f t="shared" si="8"/>
        <v>2.6719346374689699E-3</v>
      </c>
      <c r="DO20" s="30">
        <f t="shared" si="8"/>
        <v>8.3283004303587982E-2</v>
      </c>
      <c r="DP20" s="30">
        <f t="shared" si="8"/>
        <v>0.15347488199875536</v>
      </c>
      <c r="DQ20" s="30">
        <f t="shared" si="8"/>
        <v>0.17873305390026942</v>
      </c>
      <c r="DR20" s="30">
        <f t="shared" si="8"/>
        <v>9.3253972606620758E-2</v>
      </c>
      <c r="DS20" s="30">
        <f t="shared" si="8"/>
        <v>7.2022731239863025E-2</v>
      </c>
      <c r="DT20" s="30">
        <f t="shared" si="8"/>
        <v>5.8559228555982321E-2</v>
      </c>
      <c r="DU20" s="30">
        <f t="shared" si="8"/>
        <v>3.3028616452289231E-2</v>
      </c>
      <c r="DV20" s="30">
        <f t="shared" si="8"/>
        <v>1.9481579828625618E-2</v>
      </c>
      <c r="DW20" s="30">
        <f t="shared" si="8"/>
        <v>3.9572506163370401E-2</v>
      </c>
      <c r="DX20" s="30">
        <f t="shared" si="8"/>
        <v>2.8354161148723682E-2</v>
      </c>
      <c r="DY20" s="30">
        <f t="shared" si="8"/>
        <v>1.3482995991952048E-2</v>
      </c>
      <c r="DZ20" s="30">
        <f t="shared" si="8"/>
        <v>9.0825626609986748E-3</v>
      </c>
      <c r="EA20" s="30">
        <f t="shared" ref="EA20:EF20" si="9">(EA4-EA12)^2</f>
        <v>2.6166356999931281E-3</v>
      </c>
      <c r="EB20" s="30">
        <f t="shared" si="9"/>
        <v>1.3273555676456168E-2</v>
      </c>
      <c r="EC20" s="30">
        <f t="shared" si="9"/>
        <v>1.5633449909797124E-2</v>
      </c>
      <c r="ED20" s="30">
        <f t="shared" si="9"/>
        <v>0.12127548143971473</v>
      </c>
      <c r="EE20" s="30">
        <f t="shared" si="9"/>
        <v>0.21621641043588691</v>
      </c>
      <c r="EF20" s="30">
        <f t="shared" si="9"/>
        <v>0.50618692622184946</v>
      </c>
      <c r="EG20" s="4"/>
    </row>
    <row r="21" spans="1:137" ht="16" customHeight="1">
      <c r="A21" s="29"/>
      <c r="B21" s="25" t="s">
        <v>138</v>
      </c>
      <c r="C21" s="30">
        <f t="shared" ref="C21:AH21" si="10">(C5-C13)^2</f>
        <v>2.9764801316569847E-2</v>
      </c>
      <c r="D21" s="30">
        <f t="shared" si="10"/>
        <v>2.9276650912191917E-2</v>
      </c>
      <c r="E21" s="30">
        <f t="shared" si="10"/>
        <v>3.4398614924983119E-2</v>
      </c>
      <c r="F21" s="30">
        <f t="shared" si="10"/>
        <v>2.0465081799887153E-4</v>
      </c>
      <c r="G21" s="30">
        <f t="shared" si="10"/>
        <v>0.10405220218386288</v>
      </c>
      <c r="H21" s="30">
        <f t="shared" si="10"/>
        <v>0.1606519139136689</v>
      </c>
      <c r="I21" s="30">
        <f t="shared" si="10"/>
        <v>0.36873852939968471</v>
      </c>
      <c r="J21" s="30">
        <f t="shared" si="10"/>
        <v>0.18095170533153679</v>
      </c>
      <c r="K21" s="30">
        <f t="shared" si="10"/>
        <v>7.8345831707194058E-2</v>
      </c>
      <c r="L21" s="30">
        <f t="shared" si="10"/>
        <v>3.8687938051976088E-2</v>
      </c>
      <c r="M21" s="30">
        <f t="shared" si="10"/>
        <v>5.2552861830542731E-2</v>
      </c>
      <c r="N21" s="30">
        <f t="shared" si="10"/>
        <v>8.0814079325720475E-2</v>
      </c>
      <c r="O21" s="30">
        <f t="shared" si="10"/>
        <v>5.367028424155788E-3</v>
      </c>
      <c r="P21" s="30">
        <f t="shared" si="10"/>
        <v>1.6950069443101384E-2</v>
      </c>
      <c r="Q21" s="30">
        <f t="shared" si="10"/>
        <v>1.3646711918080317E-2</v>
      </c>
      <c r="R21" s="30">
        <f t="shared" si="10"/>
        <v>1.2902157604158136E-3</v>
      </c>
      <c r="S21" s="30">
        <f t="shared" si="10"/>
        <v>4.1267214310393039E-3</v>
      </c>
      <c r="T21" s="30">
        <f t="shared" si="10"/>
        <v>1.7197002398155821E-3</v>
      </c>
      <c r="U21" s="30">
        <f t="shared" si="10"/>
        <v>0.29777021898792472</v>
      </c>
      <c r="V21" s="30">
        <f t="shared" si="10"/>
        <v>0.18350898038186808</v>
      </c>
      <c r="W21" s="30">
        <f t="shared" si="10"/>
        <v>0.10268843105681302</v>
      </c>
      <c r="X21" s="30">
        <f t="shared" si="10"/>
        <v>0.13767880880704236</v>
      </c>
      <c r="Y21" s="30">
        <f t="shared" si="10"/>
        <v>0.21204398134110838</v>
      </c>
      <c r="Z21" s="30">
        <f t="shared" si="10"/>
        <v>7.2387157498214144E-2</v>
      </c>
      <c r="AA21" s="30">
        <f t="shared" si="10"/>
        <v>2.4296380262410672E-2</v>
      </c>
      <c r="AB21" s="30">
        <f t="shared" si="10"/>
        <v>2.2831002926702497E-3</v>
      </c>
      <c r="AC21" s="30">
        <f t="shared" si="10"/>
        <v>6.0910916658493087E-3</v>
      </c>
      <c r="AD21" s="30">
        <f t="shared" si="10"/>
        <v>1.1806159889608469E-2</v>
      </c>
      <c r="AE21" s="30">
        <f t="shared" si="10"/>
        <v>2.4425725327688056E-2</v>
      </c>
      <c r="AF21" s="30">
        <f t="shared" si="10"/>
        <v>9.3850522585864349E-3</v>
      </c>
      <c r="AG21" s="30">
        <f t="shared" si="10"/>
        <v>3.4822236431364284E-2</v>
      </c>
      <c r="AH21" s="30">
        <f t="shared" si="10"/>
        <v>1.4820541638038212E-2</v>
      </c>
      <c r="AI21" s="30">
        <f t="shared" ref="AI21:BN21" si="11">(AI5-AI13)^2</f>
        <v>8.8387262254487911E-2</v>
      </c>
      <c r="AJ21" s="30">
        <f t="shared" si="11"/>
        <v>7.8821715395167136E-2</v>
      </c>
      <c r="AK21" s="30">
        <f t="shared" si="11"/>
        <v>1.9523067817026742E-3</v>
      </c>
      <c r="AL21" s="30">
        <f t="shared" si="11"/>
        <v>2.8905104885124208E-3</v>
      </c>
      <c r="AM21" s="30">
        <f t="shared" si="11"/>
        <v>3.8729926861163833E-2</v>
      </c>
      <c r="AN21" s="30">
        <f t="shared" si="11"/>
        <v>1.3561107781612727E-2</v>
      </c>
      <c r="AO21" s="30">
        <f t="shared" si="11"/>
        <v>3.3696033171936118E-2</v>
      </c>
      <c r="AP21" s="30">
        <f t="shared" si="11"/>
        <v>6.9585621230808716E-3</v>
      </c>
      <c r="AQ21" s="30">
        <f t="shared" si="11"/>
        <v>4.0584989431967179E-2</v>
      </c>
      <c r="AR21" s="30">
        <f t="shared" si="11"/>
        <v>2.2118636471311643E-2</v>
      </c>
      <c r="AS21" s="30">
        <f t="shared" si="11"/>
        <v>3.2152290980473619E-2</v>
      </c>
      <c r="AT21" s="30">
        <f t="shared" si="11"/>
        <v>5.5722077299446323E-4</v>
      </c>
      <c r="AU21" s="30">
        <f t="shared" si="11"/>
        <v>1.7777566388878311E-6</v>
      </c>
      <c r="AV21" s="30">
        <f t="shared" si="11"/>
        <v>6.186621302492649E-4</v>
      </c>
      <c r="AW21" s="30">
        <f t="shared" si="11"/>
        <v>2.4884580191025945E-2</v>
      </c>
      <c r="AX21" s="30">
        <f t="shared" si="11"/>
        <v>1.5157523598099706E-3</v>
      </c>
      <c r="AY21" s="30">
        <f t="shared" si="11"/>
        <v>9.3348322911227188E-2</v>
      </c>
      <c r="AZ21" s="30">
        <f t="shared" si="11"/>
        <v>5.9315987087550454E-2</v>
      </c>
      <c r="BA21" s="30">
        <f t="shared" si="11"/>
        <v>5.1171245754661386E-2</v>
      </c>
      <c r="BB21" s="30">
        <f t="shared" si="11"/>
        <v>4.4266534829540301E-3</v>
      </c>
      <c r="BC21" s="30">
        <f t="shared" si="11"/>
        <v>4.5077226227852395E-2</v>
      </c>
      <c r="BD21" s="30">
        <f t="shared" si="11"/>
        <v>2.5058045061732207E-2</v>
      </c>
      <c r="BE21" s="30">
        <f t="shared" si="11"/>
        <v>0.13129983584682556</v>
      </c>
      <c r="BF21" s="30">
        <f t="shared" si="11"/>
        <v>0.17351496769838573</v>
      </c>
      <c r="BG21" s="30">
        <f t="shared" si="11"/>
        <v>0.16768910904255471</v>
      </c>
      <c r="BH21" s="30">
        <f t="shared" si="11"/>
        <v>4.8328620141475834E-2</v>
      </c>
      <c r="BI21" s="30">
        <f t="shared" si="11"/>
        <v>6.4094244172501036E-2</v>
      </c>
      <c r="BJ21" s="30">
        <f t="shared" si="11"/>
        <v>6.6773182476314533E-4</v>
      </c>
      <c r="BK21" s="30">
        <f t="shared" si="11"/>
        <v>2.2949947870640409E-2</v>
      </c>
      <c r="BL21" s="30">
        <f t="shared" si="11"/>
        <v>2.2722279094252246E-2</v>
      </c>
      <c r="BM21" s="30">
        <f t="shared" si="11"/>
        <v>7.5314810712801952E-2</v>
      </c>
      <c r="BN21" s="30">
        <f t="shared" si="11"/>
        <v>0.1138106895347966</v>
      </c>
      <c r="BO21" s="30">
        <f t="shared" ref="BO21:CT21" si="12">(BO5-BO13)^2</f>
        <v>2.7022441511345231E-2</v>
      </c>
      <c r="BP21" s="30">
        <f t="shared" si="12"/>
        <v>0.17966883078760182</v>
      </c>
      <c r="BQ21" s="30">
        <f t="shared" si="12"/>
        <v>5.3561984136950451E-2</v>
      </c>
      <c r="BR21" s="30">
        <f t="shared" si="12"/>
        <v>5.0224670123402253E-2</v>
      </c>
      <c r="BS21" s="30">
        <f t="shared" si="12"/>
        <v>4.4742724487369323E-2</v>
      </c>
      <c r="BT21" s="30">
        <f t="shared" si="12"/>
        <v>6.1668775274588368E-2</v>
      </c>
      <c r="BU21" s="30">
        <f t="shared" si="12"/>
        <v>0.20059337258047405</v>
      </c>
      <c r="BV21" s="30">
        <f t="shared" si="12"/>
        <v>0.10042080381253266</v>
      </c>
      <c r="BW21" s="30">
        <f t="shared" si="12"/>
        <v>0.21229146244517405</v>
      </c>
      <c r="BX21" s="30">
        <f t="shared" si="12"/>
        <v>5.5010089692294088E-2</v>
      </c>
      <c r="BY21" s="30">
        <f t="shared" si="12"/>
        <v>4.0093019699853953E-2</v>
      </c>
      <c r="BZ21" s="30">
        <f t="shared" si="12"/>
        <v>8.7470050845785338E-2</v>
      </c>
      <c r="CA21" s="30">
        <f t="shared" si="12"/>
        <v>0.12374787847428168</v>
      </c>
      <c r="CB21" s="30">
        <f t="shared" si="12"/>
        <v>0.29780733536385601</v>
      </c>
      <c r="CC21" s="30">
        <f t="shared" si="12"/>
        <v>4.7041918752205127E-2</v>
      </c>
      <c r="CD21" s="30">
        <f t="shared" si="12"/>
        <v>2.3467999875593965E-2</v>
      </c>
      <c r="CE21" s="30">
        <f t="shared" si="12"/>
        <v>5.9019130178456077E-6</v>
      </c>
      <c r="CF21" s="30">
        <f t="shared" si="12"/>
        <v>3.2613135840187614E-3</v>
      </c>
      <c r="CG21" s="30">
        <f t="shared" si="12"/>
        <v>0.12336404481893172</v>
      </c>
      <c r="CH21" s="30">
        <f t="shared" si="12"/>
        <v>5.4313615615065709E-2</v>
      </c>
      <c r="CI21" s="30">
        <f t="shared" si="12"/>
        <v>2.359789642423029E-2</v>
      </c>
      <c r="CJ21" s="30">
        <f t="shared" si="12"/>
        <v>7.5686502852392673E-2</v>
      </c>
      <c r="CK21" s="30">
        <f t="shared" si="12"/>
        <v>1.8892316840503796E-3</v>
      </c>
      <c r="CL21" s="30">
        <f t="shared" si="12"/>
        <v>3.9826764791967742E-2</v>
      </c>
      <c r="CM21" s="30">
        <f t="shared" si="12"/>
        <v>1.7284911065659848E-4</v>
      </c>
      <c r="CN21" s="30">
        <f t="shared" si="12"/>
        <v>8.0499914891853527E-2</v>
      </c>
      <c r="CO21" s="30">
        <f t="shared" si="12"/>
        <v>0.23990406084934948</v>
      </c>
      <c r="CP21" s="30">
        <f t="shared" si="12"/>
        <v>0.33566884326703</v>
      </c>
      <c r="CQ21" s="30">
        <f t="shared" si="12"/>
        <v>3.9883475667759093E-2</v>
      </c>
      <c r="CR21" s="30">
        <f t="shared" si="12"/>
        <v>2.0743766207766412E-2</v>
      </c>
      <c r="CS21" s="30">
        <f t="shared" si="12"/>
        <v>1.9489122255697381E-2</v>
      </c>
      <c r="CT21" s="30">
        <f t="shared" si="12"/>
        <v>7.0881130406588611E-2</v>
      </c>
      <c r="CU21" s="30">
        <f t="shared" ref="CU21:DZ21" si="13">(CU5-CU13)^2</f>
        <v>5.4793931587277835E-3</v>
      </c>
      <c r="CV21" s="30">
        <f t="shared" si="13"/>
        <v>5.3383541524481377E-4</v>
      </c>
      <c r="CW21" s="30">
        <f t="shared" si="13"/>
        <v>4.8381371488824554E-4</v>
      </c>
      <c r="CX21" s="30">
        <f t="shared" si="13"/>
        <v>2.366552031436981E-4</v>
      </c>
      <c r="CY21" s="30">
        <f t="shared" si="13"/>
        <v>3.0154773957755069E-5</v>
      </c>
      <c r="CZ21" s="30">
        <f t="shared" si="13"/>
        <v>1.2283782472486333E-2</v>
      </c>
      <c r="DA21" s="30">
        <f t="shared" si="13"/>
        <v>1.1169495051686744E-3</v>
      </c>
      <c r="DB21" s="30">
        <f t="shared" si="13"/>
        <v>1.7342053093199337E-2</v>
      </c>
      <c r="DC21" s="30">
        <f t="shared" si="13"/>
        <v>1.666920983634555E-3</v>
      </c>
      <c r="DD21" s="30">
        <f t="shared" si="13"/>
        <v>6.583213566618857E-4</v>
      </c>
      <c r="DE21" s="30">
        <f t="shared" si="13"/>
        <v>6.6748292888233992E-4</v>
      </c>
      <c r="DF21" s="30">
        <f t="shared" si="13"/>
        <v>7.4124616072290761E-2</v>
      </c>
      <c r="DG21" s="30">
        <f t="shared" si="13"/>
        <v>2.4614614556085643E-2</v>
      </c>
      <c r="DH21" s="30">
        <f t="shared" si="13"/>
        <v>0.10624144635963957</v>
      </c>
      <c r="DI21" s="30">
        <f t="shared" si="13"/>
        <v>7.6682164667384187E-2</v>
      </c>
      <c r="DJ21" s="30">
        <f t="shared" si="13"/>
        <v>7.4751383779371235E-3</v>
      </c>
      <c r="DK21" s="30">
        <f t="shared" si="13"/>
        <v>1.2437735042613675E-2</v>
      </c>
      <c r="DL21" s="30">
        <f t="shared" si="13"/>
        <v>4.3247293296239126E-3</v>
      </c>
      <c r="DM21" s="30">
        <f t="shared" si="13"/>
        <v>2.1402023312432929E-2</v>
      </c>
      <c r="DN21" s="30">
        <f t="shared" si="13"/>
        <v>2.4262759198263994E-2</v>
      </c>
      <c r="DO21" s="30">
        <f t="shared" si="13"/>
        <v>1.1647042581731531E-3</v>
      </c>
      <c r="DP21" s="30">
        <f t="shared" si="13"/>
        <v>0.1651339829793185</v>
      </c>
      <c r="DQ21" s="30">
        <f t="shared" si="13"/>
        <v>0.2190992414627228</v>
      </c>
      <c r="DR21" s="30">
        <f t="shared" si="13"/>
        <v>6.235860569865817E-2</v>
      </c>
      <c r="DS21" s="30">
        <f t="shared" si="13"/>
        <v>1.78212778886142E-2</v>
      </c>
      <c r="DT21" s="30">
        <f t="shared" si="13"/>
        <v>1.2164400101309652E-2</v>
      </c>
      <c r="DU21" s="30">
        <f t="shared" si="13"/>
        <v>2.5403216807363998E-2</v>
      </c>
      <c r="DV21" s="30">
        <f t="shared" si="13"/>
        <v>0.12523072000877164</v>
      </c>
      <c r="DW21" s="30">
        <f t="shared" si="13"/>
        <v>8.1560605499126276E-2</v>
      </c>
      <c r="DX21" s="30">
        <f t="shared" si="13"/>
        <v>3.653436576763236E-2</v>
      </c>
      <c r="DY21" s="30">
        <f t="shared" si="13"/>
        <v>7.807165621471576E-3</v>
      </c>
      <c r="DZ21" s="30">
        <f t="shared" si="13"/>
        <v>3.8205832111192868E-3</v>
      </c>
      <c r="EA21" s="30">
        <f t="shared" ref="EA21:EF21" si="14">(EA5-EA13)^2</f>
        <v>1.4456876986469731E-3</v>
      </c>
      <c r="EB21" s="30">
        <f t="shared" si="14"/>
        <v>2.542036809766561E-2</v>
      </c>
      <c r="EC21" s="30">
        <f t="shared" si="14"/>
        <v>5.7459714247554453E-4</v>
      </c>
      <c r="ED21" s="30">
        <f t="shared" si="14"/>
        <v>3.931903844424634E-3</v>
      </c>
      <c r="EE21" s="30">
        <f t="shared" si="14"/>
        <v>4.9336592465657669E-3</v>
      </c>
      <c r="EF21" s="30">
        <f t="shared" si="14"/>
        <v>2.2340363932919148E-4</v>
      </c>
      <c r="EG21" s="4"/>
    </row>
    <row r="22" spans="1:137" ht="16" customHeight="1">
      <c r="A22" s="4"/>
      <c r="B22" s="25" t="s">
        <v>139</v>
      </c>
      <c r="C22" s="30">
        <f t="shared" ref="C22:AH22" si="15">(C6-C14)^2</f>
        <v>6.1249546939246878E-3</v>
      </c>
      <c r="D22" s="30">
        <f t="shared" si="15"/>
        <v>2.6093361409115019E-2</v>
      </c>
      <c r="E22" s="30">
        <f t="shared" si="15"/>
        <v>1.5081915120538985E-2</v>
      </c>
      <c r="F22" s="30">
        <f t="shared" si="15"/>
        <v>0.1143605661733442</v>
      </c>
      <c r="G22" s="30">
        <f t="shared" si="15"/>
        <v>4.8643831623104143E-2</v>
      </c>
      <c r="H22" s="30">
        <f t="shared" si="15"/>
        <v>7.251589075848057E-2</v>
      </c>
      <c r="I22" s="30">
        <f t="shared" si="15"/>
        <v>0.12216592593551873</v>
      </c>
      <c r="J22" s="30">
        <f t="shared" si="15"/>
        <v>0.15841596805829208</v>
      </c>
      <c r="K22" s="30">
        <f t="shared" si="15"/>
        <v>0.17038511075665466</v>
      </c>
      <c r="L22" s="30">
        <f t="shared" si="15"/>
        <v>1.7002873181248498E-4</v>
      </c>
      <c r="M22" s="30">
        <f t="shared" si="15"/>
        <v>4.2803853476118005E-4</v>
      </c>
      <c r="N22" s="30">
        <f t="shared" si="15"/>
        <v>4.726471873957902E-3</v>
      </c>
      <c r="O22" s="30">
        <f t="shared" si="15"/>
        <v>6.4677739628041492E-2</v>
      </c>
      <c r="P22" s="30">
        <f t="shared" si="15"/>
        <v>6.660960485089791E-2</v>
      </c>
      <c r="Q22" s="30">
        <f t="shared" si="15"/>
        <v>3.885806426315349E-2</v>
      </c>
      <c r="R22" s="30">
        <f t="shared" si="15"/>
        <v>5.3694211265441334E-2</v>
      </c>
      <c r="S22" s="30">
        <f t="shared" si="15"/>
        <v>3.7765060000675865E-2</v>
      </c>
      <c r="T22" s="30">
        <f t="shared" si="15"/>
        <v>4.3790659645642681E-2</v>
      </c>
      <c r="U22" s="30">
        <f t="shared" si="15"/>
        <v>2.4047711278300113E-3</v>
      </c>
      <c r="V22" s="30">
        <f t="shared" si="15"/>
        <v>4.1436656734359788E-4</v>
      </c>
      <c r="W22" s="30">
        <f t="shared" si="15"/>
        <v>5.1239671690275117E-3</v>
      </c>
      <c r="X22" s="30">
        <f t="shared" si="15"/>
        <v>4.5008410928869744E-3</v>
      </c>
      <c r="Y22" s="30">
        <f t="shared" si="15"/>
        <v>1.0479977799807188E-3</v>
      </c>
      <c r="Z22" s="30">
        <f t="shared" si="15"/>
        <v>1.0643890305611313E-3</v>
      </c>
      <c r="AA22" s="30">
        <f t="shared" si="15"/>
        <v>6.5949617438851105E-3</v>
      </c>
      <c r="AB22" s="30">
        <f t="shared" si="15"/>
        <v>4.521596593094643E-3</v>
      </c>
      <c r="AC22" s="30">
        <f t="shared" si="15"/>
        <v>1.5557606848237693E-3</v>
      </c>
      <c r="AD22" s="30">
        <f t="shared" si="15"/>
        <v>2.4486771098819119E-4</v>
      </c>
      <c r="AE22" s="30">
        <f t="shared" si="15"/>
        <v>2.9379860449406923E-4</v>
      </c>
      <c r="AF22" s="30">
        <f t="shared" si="15"/>
        <v>1.2264850387282727E-4</v>
      </c>
      <c r="AG22" s="30">
        <f t="shared" si="15"/>
        <v>7.0030396990615777E-4</v>
      </c>
      <c r="AH22" s="30">
        <f t="shared" si="15"/>
        <v>3.4419279898422021E-3</v>
      </c>
      <c r="AI22" s="30">
        <f t="shared" ref="AI22:BN22" si="16">(AI6-AI14)^2</f>
        <v>4.0789131108994836E-4</v>
      </c>
      <c r="AJ22" s="30">
        <f t="shared" si="16"/>
        <v>2.9035937341883428E-4</v>
      </c>
      <c r="AK22" s="30">
        <f t="shared" si="16"/>
        <v>1.515028757737057E-3</v>
      </c>
      <c r="AL22" s="30">
        <f t="shared" si="16"/>
        <v>3.4754875598403704E-3</v>
      </c>
      <c r="AM22" s="30">
        <f t="shared" si="16"/>
        <v>1.5545949947935175E-2</v>
      </c>
      <c r="AN22" s="30">
        <f t="shared" si="16"/>
        <v>5.125563889176938E-2</v>
      </c>
      <c r="AO22" s="30">
        <f t="shared" si="16"/>
        <v>2.0057862848969432E-2</v>
      </c>
      <c r="AP22" s="30">
        <f t="shared" si="16"/>
        <v>1.8914750761306196E-2</v>
      </c>
      <c r="AQ22" s="30">
        <f t="shared" si="16"/>
        <v>3.3801241526538121E-2</v>
      </c>
      <c r="AR22" s="30">
        <f t="shared" si="16"/>
        <v>2.4926740534301745E-2</v>
      </c>
      <c r="AS22" s="30">
        <f t="shared" si="16"/>
        <v>1.1613992889132378E-3</v>
      </c>
      <c r="AT22" s="30">
        <f t="shared" si="16"/>
        <v>1.4992248670394635E-2</v>
      </c>
      <c r="AU22" s="30">
        <f t="shared" si="16"/>
        <v>2.0118715240828946E-2</v>
      </c>
      <c r="AV22" s="30">
        <f t="shared" si="16"/>
        <v>1.689954850780245E-2</v>
      </c>
      <c r="AW22" s="30">
        <f t="shared" si="16"/>
        <v>3.339587672689015E-2</v>
      </c>
      <c r="AX22" s="30">
        <f t="shared" si="16"/>
        <v>9.1028736751506655E-3</v>
      </c>
      <c r="AY22" s="30">
        <f t="shared" si="16"/>
        <v>1.6832348765856549E-2</v>
      </c>
      <c r="AZ22" s="30">
        <f t="shared" si="16"/>
        <v>5.9958765804699776E-2</v>
      </c>
      <c r="BA22" s="30">
        <f t="shared" si="16"/>
        <v>1.6986530289833966E-2</v>
      </c>
      <c r="BB22" s="30">
        <f t="shared" si="16"/>
        <v>3.5216357082281426E-4</v>
      </c>
      <c r="BC22" s="30">
        <f t="shared" si="16"/>
        <v>8.2694547446131045E-3</v>
      </c>
      <c r="BD22" s="30">
        <f t="shared" si="16"/>
        <v>2.5128242822714496E-3</v>
      </c>
      <c r="BE22" s="30">
        <f t="shared" si="16"/>
        <v>4.2469111392482578E-4</v>
      </c>
      <c r="BF22" s="30">
        <f t="shared" si="16"/>
        <v>8.3722090673112894E-4</v>
      </c>
      <c r="BG22" s="30">
        <f t="shared" si="16"/>
        <v>2.2086381648723412E-3</v>
      </c>
      <c r="BH22" s="30">
        <f t="shared" si="16"/>
        <v>3.0779532290281287E-2</v>
      </c>
      <c r="BI22" s="30">
        <f t="shared" si="16"/>
        <v>2.2261559562044841E-2</v>
      </c>
      <c r="BJ22" s="30">
        <f t="shared" si="16"/>
        <v>1.3575704495779205E-2</v>
      </c>
      <c r="BK22" s="30">
        <f t="shared" si="16"/>
        <v>1.6425141340007002E-2</v>
      </c>
      <c r="BL22" s="30">
        <f t="shared" si="16"/>
        <v>8.0907481102752542E-3</v>
      </c>
      <c r="BM22" s="30">
        <f t="shared" si="16"/>
        <v>5.8085045703574756E-3</v>
      </c>
      <c r="BN22" s="30">
        <f t="shared" si="16"/>
        <v>3.9453829611194265E-2</v>
      </c>
      <c r="BO22" s="30">
        <f t="shared" ref="BO22:CT22" si="17">(BO6-BO14)^2</f>
        <v>3.1668176235891819E-2</v>
      </c>
      <c r="BP22" s="30">
        <f t="shared" si="17"/>
        <v>1.5650986067525741E-2</v>
      </c>
      <c r="BQ22" s="30">
        <f t="shared" si="17"/>
        <v>7.8945472175723907E-3</v>
      </c>
      <c r="BR22" s="30">
        <f t="shared" si="17"/>
        <v>9.9041357984111424E-4</v>
      </c>
      <c r="BS22" s="30">
        <f t="shared" si="17"/>
        <v>1.5180792538305577E-2</v>
      </c>
      <c r="BT22" s="30">
        <f t="shared" si="17"/>
        <v>6.7736861137092125E-4</v>
      </c>
      <c r="BU22" s="30">
        <f t="shared" si="17"/>
        <v>4.1648005257864974E-3</v>
      </c>
      <c r="BV22" s="30">
        <f t="shared" si="17"/>
        <v>1.0229756540212947E-2</v>
      </c>
      <c r="BW22" s="30">
        <f t="shared" si="17"/>
        <v>1.809740785651417E-3</v>
      </c>
      <c r="BX22" s="30">
        <f t="shared" si="17"/>
        <v>2.7330895729978481E-3</v>
      </c>
      <c r="BY22" s="30">
        <f t="shared" si="17"/>
        <v>9.9445746908194388E-4</v>
      </c>
      <c r="BZ22" s="30">
        <f t="shared" si="17"/>
        <v>6.936126804540409E-3</v>
      </c>
      <c r="CA22" s="30">
        <f t="shared" si="17"/>
        <v>1.094407011462996E-2</v>
      </c>
      <c r="CB22" s="30">
        <f t="shared" si="17"/>
        <v>5.1002863252116483E-2</v>
      </c>
      <c r="CC22" s="30">
        <f t="shared" si="17"/>
        <v>9.0294677639999772E-3</v>
      </c>
      <c r="CD22" s="30">
        <f t="shared" si="17"/>
        <v>5.5376274874844684E-3</v>
      </c>
      <c r="CE22" s="30">
        <f t="shared" si="17"/>
        <v>3.6417511932230699E-3</v>
      </c>
      <c r="CF22" s="30">
        <f t="shared" si="17"/>
        <v>1.4841775264431502E-2</v>
      </c>
      <c r="CG22" s="30">
        <f t="shared" si="17"/>
        <v>3.0102447310868226E-3</v>
      </c>
      <c r="CH22" s="30">
        <f t="shared" si="17"/>
        <v>7.6740385301347904E-3</v>
      </c>
      <c r="CI22" s="30">
        <f t="shared" si="17"/>
        <v>1.2616565130476241E-2</v>
      </c>
      <c r="CJ22" s="30">
        <f t="shared" si="17"/>
        <v>2.3764455542686181E-2</v>
      </c>
      <c r="CK22" s="30">
        <f t="shared" si="17"/>
        <v>1.016051306630894E-2</v>
      </c>
      <c r="CL22" s="30">
        <f t="shared" si="17"/>
        <v>5.8270757967781445E-3</v>
      </c>
      <c r="CM22" s="30">
        <f t="shared" si="17"/>
        <v>2.9751549814149734E-3</v>
      </c>
      <c r="CN22" s="30">
        <f t="shared" si="17"/>
        <v>6.6212136593653238E-4</v>
      </c>
      <c r="CO22" s="30">
        <f t="shared" si="17"/>
        <v>5.070264326637367E-3</v>
      </c>
      <c r="CP22" s="30">
        <f t="shared" si="17"/>
        <v>5.4171619977740569E-4</v>
      </c>
      <c r="CQ22" s="30">
        <f t="shared" si="17"/>
        <v>1.2885034604157741E-5</v>
      </c>
      <c r="CR22" s="30">
        <f t="shared" si="17"/>
        <v>1.049307656532467E-3</v>
      </c>
      <c r="CS22" s="30">
        <f t="shared" si="17"/>
        <v>2.142493284673331E-3</v>
      </c>
      <c r="CT22" s="30">
        <f t="shared" si="17"/>
        <v>1.51183501252909E-3</v>
      </c>
      <c r="CU22" s="30">
        <f t="shared" ref="CU22:DZ22" si="18">(CU6-CU14)^2</f>
        <v>1.026750671451835E-3</v>
      </c>
      <c r="CV22" s="30">
        <f t="shared" si="18"/>
        <v>2.8572256537475634E-2</v>
      </c>
      <c r="CW22" s="30">
        <f t="shared" si="18"/>
        <v>3.8250795640966749E-2</v>
      </c>
      <c r="CX22" s="30">
        <f t="shared" si="18"/>
        <v>1.0633138222497191E-2</v>
      </c>
      <c r="CY22" s="30">
        <f t="shared" si="18"/>
        <v>6.2477018558297631E-5</v>
      </c>
      <c r="CZ22" s="30">
        <f t="shared" si="18"/>
        <v>3.3316851320991722E-4</v>
      </c>
      <c r="DA22" s="30">
        <f t="shared" si="18"/>
        <v>1.4286134131687787E-3</v>
      </c>
      <c r="DB22" s="30">
        <f t="shared" si="18"/>
        <v>4.362321539678575E-2</v>
      </c>
      <c r="DC22" s="30">
        <f t="shared" si="18"/>
        <v>8.1688499015983268E-2</v>
      </c>
      <c r="DD22" s="30">
        <f t="shared" si="18"/>
        <v>4.9648592313742544E-2</v>
      </c>
      <c r="DE22" s="30">
        <f t="shared" si="18"/>
        <v>3.0174929891797854E-2</v>
      </c>
      <c r="DF22" s="30">
        <f t="shared" si="18"/>
        <v>4.3006657099261651E-2</v>
      </c>
      <c r="DG22" s="30">
        <f t="shared" si="18"/>
        <v>3.2522887773976376E-2</v>
      </c>
      <c r="DH22" s="30">
        <f t="shared" si="18"/>
        <v>4.3794421579070354E-5</v>
      </c>
      <c r="DI22" s="30">
        <f t="shared" si="18"/>
        <v>4.1920363994644291E-3</v>
      </c>
      <c r="DJ22" s="30">
        <f t="shared" si="18"/>
        <v>3.4443548174652315E-3</v>
      </c>
      <c r="DK22" s="30">
        <f t="shared" si="18"/>
        <v>2.2619825213695331E-3</v>
      </c>
      <c r="DL22" s="30">
        <f t="shared" si="18"/>
        <v>9.9818467285305367E-8</v>
      </c>
      <c r="DM22" s="30">
        <f t="shared" si="18"/>
        <v>2.0974179113042755E-2</v>
      </c>
      <c r="DN22" s="30">
        <f t="shared" si="18"/>
        <v>9.3662948822176656E-2</v>
      </c>
      <c r="DO22" s="30">
        <f t="shared" si="18"/>
        <v>0.20307695780074245</v>
      </c>
      <c r="DP22" s="30">
        <f t="shared" si="18"/>
        <v>0.20542089895933663</v>
      </c>
      <c r="DQ22" s="30">
        <f t="shared" si="18"/>
        <v>0.21586881897808169</v>
      </c>
      <c r="DR22" s="30">
        <f t="shared" si="18"/>
        <v>9.1178429358359528E-2</v>
      </c>
      <c r="DS22" s="30">
        <f t="shared" si="18"/>
        <v>7.5734691428371775E-2</v>
      </c>
      <c r="DT22" s="30">
        <f t="shared" si="18"/>
        <v>6.4172658465988047E-2</v>
      </c>
      <c r="DU22" s="30">
        <f t="shared" si="18"/>
        <v>2.1417856963612827E-2</v>
      </c>
      <c r="DV22" s="30">
        <f t="shared" si="18"/>
        <v>3.0954509035306492E-3</v>
      </c>
      <c r="DW22" s="30">
        <f t="shared" si="18"/>
        <v>1.2422676429472148E-2</v>
      </c>
      <c r="DX22" s="30">
        <f t="shared" si="18"/>
        <v>3.8459346430123914E-2</v>
      </c>
      <c r="DY22" s="30">
        <f t="shared" si="18"/>
        <v>9.6165270802518136E-3</v>
      </c>
      <c r="DZ22" s="30">
        <f t="shared" si="18"/>
        <v>1.0693853361053211E-2</v>
      </c>
      <c r="EA22" s="30">
        <f t="shared" ref="EA22:EF22" si="19">(EA6-EA14)^2</f>
        <v>1.3606537657766659E-2</v>
      </c>
      <c r="EB22" s="30">
        <f t="shared" si="19"/>
        <v>4.1071489557774524E-2</v>
      </c>
      <c r="EC22" s="30">
        <f t="shared" si="19"/>
        <v>3.1851772063200126E-2</v>
      </c>
      <c r="ED22" s="30">
        <f t="shared" si="19"/>
        <v>9.3891895850484221E-3</v>
      </c>
      <c r="EE22" s="30">
        <f t="shared" si="19"/>
        <v>5.059773098982868E-3</v>
      </c>
      <c r="EF22" s="30">
        <f t="shared" si="19"/>
        <v>4.3966147351679544E-3</v>
      </c>
      <c r="EG22" s="4"/>
    </row>
    <row r="23" spans="1:137" ht="16" customHeight="1">
      <c r="A23" s="4"/>
      <c r="B23" s="25" t="s">
        <v>140</v>
      </c>
      <c r="C23" s="30">
        <f t="shared" ref="C23:AH23" si="20">(C7-C15)^2</f>
        <v>8.7701268061803495E-4</v>
      </c>
      <c r="D23" s="30">
        <f t="shared" si="20"/>
        <v>1.8804253193974566E-2</v>
      </c>
      <c r="E23" s="30">
        <f t="shared" si="20"/>
        <v>3.8170643813493652E-2</v>
      </c>
      <c r="F23" s="30">
        <f t="shared" si="20"/>
        <v>0.27618122888325064</v>
      </c>
      <c r="G23" s="30">
        <f t="shared" si="20"/>
        <v>0.22222969815459467</v>
      </c>
      <c r="H23" s="30">
        <f t="shared" si="20"/>
        <v>0.21034294822159014</v>
      </c>
      <c r="I23" s="30">
        <f t="shared" si="20"/>
        <v>0.2828109805105235</v>
      </c>
      <c r="J23" s="30">
        <f t="shared" si="20"/>
        <v>0.18055103050402035</v>
      </c>
      <c r="K23" s="30">
        <f t="shared" si="20"/>
        <v>0.17161113029547537</v>
      </c>
      <c r="L23" s="30">
        <f t="shared" si="20"/>
        <v>3.127288478983818E-7</v>
      </c>
      <c r="M23" s="30">
        <f t="shared" si="20"/>
        <v>8.603657572297304E-4</v>
      </c>
      <c r="N23" s="30">
        <f t="shared" si="20"/>
        <v>9.135679355252382E-3</v>
      </c>
      <c r="O23" s="30">
        <f t="shared" si="20"/>
        <v>1.1342150943988803E-3</v>
      </c>
      <c r="P23" s="30">
        <f t="shared" si="20"/>
        <v>2.3599140474200664E-3</v>
      </c>
      <c r="Q23" s="30">
        <f t="shared" si="20"/>
        <v>6.4155698347492631E-3</v>
      </c>
      <c r="R23" s="30">
        <f t="shared" si="20"/>
        <v>3.321044135294275E-4</v>
      </c>
      <c r="S23" s="30">
        <f t="shared" si="20"/>
        <v>4.6919175339861617E-5</v>
      </c>
      <c r="T23" s="30">
        <f t="shared" si="20"/>
        <v>4.7285252546870225E-4</v>
      </c>
      <c r="U23" s="30">
        <f t="shared" si="20"/>
        <v>9.2388155837080271E-4</v>
      </c>
      <c r="V23" s="30">
        <f t="shared" si="20"/>
        <v>9.2392005255371879E-3</v>
      </c>
      <c r="W23" s="30">
        <f t="shared" si="20"/>
        <v>5.1928306475876367E-2</v>
      </c>
      <c r="X23" s="30">
        <f t="shared" si="20"/>
        <v>0.14954421626232714</v>
      </c>
      <c r="Y23" s="30">
        <f t="shared" si="20"/>
        <v>0.1136760223501629</v>
      </c>
      <c r="Z23" s="30">
        <f t="shared" si="20"/>
        <v>7.5730677227859325E-2</v>
      </c>
      <c r="AA23" s="30">
        <f t="shared" si="20"/>
        <v>7.34300031000545E-2</v>
      </c>
      <c r="AB23" s="30">
        <f t="shared" si="20"/>
        <v>9.7730225745570276E-2</v>
      </c>
      <c r="AC23" s="30">
        <f t="shared" si="20"/>
        <v>2.9862890357747023E-2</v>
      </c>
      <c r="AD23" s="30">
        <f t="shared" si="20"/>
        <v>2.2899577001578644E-2</v>
      </c>
      <c r="AE23" s="30">
        <f t="shared" si="20"/>
        <v>2.161299330087461E-2</v>
      </c>
      <c r="AF23" s="30">
        <f t="shared" si="20"/>
        <v>1.1696575003168111E-2</v>
      </c>
      <c r="AG23" s="30">
        <f t="shared" si="20"/>
        <v>1.0104638805837448E-2</v>
      </c>
      <c r="AH23" s="30">
        <f t="shared" si="20"/>
        <v>1.1104638273794386E-2</v>
      </c>
      <c r="AI23" s="30">
        <f t="shared" ref="AI23:BN23" si="21">(AI7-AI15)^2</f>
        <v>4.3268084833027057E-3</v>
      </c>
      <c r="AJ23" s="30">
        <f t="shared" si="21"/>
        <v>3.5144482891348214E-4</v>
      </c>
      <c r="AK23" s="30">
        <f t="shared" si="21"/>
        <v>6.2425049503493698E-3</v>
      </c>
      <c r="AL23" s="30">
        <f t="shared" si="21"/>
        <v>2.4054070172080332E-3</v>
      </c>
      <c r="AM23" s="30">
        <f t="shared" si="21"/>
        <v>2.2944244931521899E-4</v>
      </c>
      <c r="AN23" s="30">
        <f t="shared" si="21"/>
        <v>8.4301806908075748E-5</v>
      </c>
      <c r="AO23" s="30">
        <f t="shared" si="21"/>
        <v>1.544047794083449E-3</v>
      </c>
      <c r="AP23" s="30">
        <f t="shared" si="21"/>
        <v>3.4003853497937815E-4</v>
      </c>
      <c r="AQ23" s="30">
        <f t="shared" si="21"/>
        <v>9.5780573838182914E-4</v>
      </c>
      <c r="AR23" s="30">
        <f t="shared" si="21"/>
        <v>1.4042670656323408E-4</v>
      </c>
      <c r="AS23" s="30">
        <f t="shared" si="21"/>
        <v>2.111415529284116E-2</v>
      </c>
      <c r="AT23" s="30">
        <f t="shared" si="21"/>
        <v>8.1607684665443766E-3</v>
      </c>
      <c r="AU23" s="30">
        <f t="shared" si="21"/>
        <v>1.1746264810381025E-2</v>
      </c>
      <c r="AV23" s="30">
        <f t="shared" si="21"/>
        <v>6.393619935809009E-4</v>
      </c>
      <c r="AW23" s="30">
        <f t="shared" si="21"/>
        <v>4.1634485912761376E-3</v>
      </c>
      <c r="AX23" s="30">
        <f t="shared" si="21"/>
        <v>1.369334642322832E-4</v>
      </c>
      <c r="AY23" s="30">
        <f t="shared" si="21"/>
        <v>5.8635565887383148E-3</v>
      </c>
      <c r="AZ23" s="30">
        <f t="shared" si="21"/>
        <v>7.3802289034704364E-3</v>
      </c>
      <c r="BA23" s="30">
        <f t="shared" si="21"/>
        <v>2.1491787968204321E-2</v>
      </c>
      <c r="BB23" s="30">
        <f t="shared" si="21"/>
        <v>4.7176082329049532E-2</v>
      </c>
      <c r="BC23" s="30">
        <f t="shared" si="21"/>
        <v>3.4671474771520785E-2</v>
      </c>
      <c r="BD23" s="30">
        <f t="shared" si="21"/>
        <v>3.9295598548559796E-2</v>
      </c>
      <c r="BE23" s="30">
        <f t="shared" si="21"/>
        <v>3.3321097219380889E-2</v>
      </c>
      <c r="BF23" s="30">
        <f t="shared" si="21"/>
        <v>1.1176224224870818E-2</v>
      </c>
      <c r="BG23" s="30">
        <f t="shared" si="21"/>
        <v>2.032380076608125E-2</v>
      </c>
      <c r="BH23" s="30">
        <f t="shared" si="21"/>
        <v>3.0659490750552725E-2</v>
      </c>
      <c r="BI23" s="30">
        <f t="shared" si="21"/>
        <v>6.7130329339466204E-3</v>
      </c>
      <c r="BJ23" s="30">
        <f t="shared" si="21"/>
        <v>3.7835508826000439E-2</v>
      </c>
      <c r="BK23" s="30">
        <f t="shared" si="21"/>
        <v>5.9810663016227707E-2</v>
      </c>
      <c r="BL23" s="30">
        <f t="shared" si="21"/>
        <v>6.9687082237872441E-2</v>
      </c>
      <c r="BM23" s="30">
        <f t="shared" si="21"/>
        <v>2.4780344709219608E-3</v>
      </c>
      <c r="BN23" s="30">
        <f t="shared" si="21"/>
        <v>1.4577810053919267E-2</v>
      </c>
      <c r="BO23" s="30">
        <f t="shared" ref="BO23:CT23" si="22">(BO7-BO15)^2</f>
        <v>8.2297128311626961E-3</v>
      </c>
      <c r="BP23" s="30">
        <f t="shared" si="22"/>
        <v>7.8000280127441004E-5</v>
      </c>
      <c r="BQ23" s="30">
        <f t="shared" si="22"/>
        <v>9.6708625846326818E-4</v>
      </c>
      <c r="BR23" s="30">
        <f t="shared" si="22"/>
        <v>1.0817643190797208E-3</v>
      </c>
      <c r="BS23" s="30">
        <f t="shared" si="22"/>
        <v>1.2598188324089725E-3</v>
      </c>
      <c r="BT23" s="30">
        <f t="shared" si="22"/>
        <v>5.0102506447623652E-4</v>
      </c>
      <c r="BU23" s="30">
        <f t="shared" si="22"/>
        <v>4.3317166527701229E-3</v>
      </c>
      <c r="BV23" s="30">
        <f t="shared" si="22"/>
        <v>4.0485735422153175E-3</v>
      </c>
      <c r="BW23" s="30">
        <f t="shared" si="22"/>
        <v>4.9504573840473943E-4</v>
      </c>
      <c r="BX23" s="30">
        <f t="shared" si="22"/>
        <v>1.3407330615582834E-3</v>
      </c>
      <c r="BY23" s="30">
        <f t="shared" si="22"/>
        <v>1.1289718080044806E-4</v>
      </c>
      <c r="BZ23" s="30">
        <f t="shared" si="22"/>
        <v>1.0271268252773666E-3</v>
      </c>
      <c r="CA23" s="30">
        <f t="shared" si="22"/>
        <v>8.238081181898782E-3</v>
      </c>
      <c r="CB23" s="30">
        <f t="shared" si="22"/>
        <v>8.117747537065699E-3</v>
      </c>
      <c r="CC23" s="30">
        <f t="shared" si="22"/>
        <v>1.7852218657562993E-2</v>
      </c>
      <c r="CD23" s="30">
        <f t="shared" si="22"/>
        <v>1.9423771445769014E-3</v>
      </c>
      <c r="CE23" s="30">
        <f t="shared" si="22"/>
        <v>7.3837516495861414E-4</v>
      </c>
      <c r="CF23" s="30">
        <f t="shared" si="22"/>
        <v>2.5169202754827976E-2</v>
      </c>
      <c r="CG23" s="30">
        <f t="shared" si="22"/>
        <v>4.5322509964524069E-2</v>
      </c>
      <c r="CH23" s="30">
        <f t="shared" si="22"/>
        <v>8.4111113396306211E-2</v>
      </c>
      <c r="CI23" s="30">
        <f t="shared" si="22"/>
        <v>0.14976002150090556</v>
      </c>
      <c r="CJ23" s="30">
        <f t="shared" si="22"/>
        <v>3.7817486005396771E-2</v>
      </c>
      <c r="CK23" s="30">
        <f t="shared" si="22"/>
        <v>6.2076604554007112E-2</v>
      </c>
      <c r="CL23" s="30">
        <f t="shared" si="22"/>
        <v>1.3627362592501535E-3</v>
      </c>
      <c r="CM23" s="30">
        <f t="shared" si="22"/>
        <v>1.6006145893546415E-3</v>
      </c>
      <c r="CN23" s="30">
        <f t="shared" si="22"/>
        <v>1.3367420722040666E-3</v>
      </c>
      <c r="CO23" s="30">
        <f t="shared" si="22"/>
        <v>1.2182754820150169E-2</v>
      </c>
      <c r="CP23" s="30">
        <f t="shared" si="22"/>
        <v>5.3255200629131658E-4</v>
      </c>
      <c r="CQ23" s="30">
        <f t="shared" si="22"/>
        <v>1.400938740397532E-2</v>
      </c>
      <c r="CR23" s="30">
        <f t="shared" si="22"/>
        <v>1.0554325174229808E-3</v>
      </c>
      <c r="CS23" s="30">
        <f t="shared" si="22"/>
        <v>3.0025547082290375E-4</v>
      </c>
      <c r="CT23" s="30">
        <f t="shared" si="22"/>
        <v>3.1567591394476104E-3</v>
      </c>
      <c r="CU23" s="30">
        <f t="shared" ref="CU23:DZ23" si="23">(CU7-CU15)^2</f>
        <v>5.0301142330192025E-3</v>
      </c>
      <c r="CV23" s="30">
        <f t="shared" si="23"/>
        <v>4.7953047747777934E-3</v>
      </c>
      <c r="CW23" s="30">
        <f t="shared" si="23"/>
        <v>3.9652535921109152E-3</v>
      </c>
      <c r="CX23" s="30">
        <f t="shared" si="23"/>
        <v>1.5114921261623645E-2</v>
      </c>
      <c r="CY23" s="30">
        <f t="shared" si="23"/>
        <v>2.2068749772171859E-4</v>
      </c>
      <c r="CZ23" s="30">
        <f t="shared" si="23"/>
        <v>9.806177303967276E-3</v>
      </c>
      <c r="DA23" s="30">
        <f t="shared" si="23"/>
        <v>4.8142800973679277E-3</v>
      </c>
      <c r="DB23" s="30">
        <f t="shared" si="23"/>
        <v>1.2417908650799104E-2</v>
      </c>
      <c r="DC23" s="30">
        <f t="shared" si="23"/>
        <v>9.7968361247837317E-3</v>
      </c>
      <c r="DD23" s="30">
        <f t="shared" si="23"/>
        <v>1.7797980777646119E-2</v>
      </c>
      <c r="DE23" s="30">
        <f t="shared" si="23"/>
        <v>3.2975012921924473E-3</v>
      </c>
      <c r="DF23" s="30">
        <f t="shared" si="23"/>
        <v>9.8514313168387001E-3</v>
      </c>
      <c r="DG23" s="30">
        <f t="shared" si="23"/>
        <v>9.9158445843491559E-3</v>
      </c>
      <c r="DH23" s="30">
        <f t="shared" si="23"/>
        <v>8.3465914616048353E-4</v>
      </c>
      <c r="DI23" s="30">
        <f t="shared" si="23"/>
        <v>4.1770897098104979E-6</v>
      </c>
      <c r="DJ23" s="30">
        <f t="shared" si="23"/>
        <v>1.0399584404337584E-2</v>
      </c>
      <c r="DK23" s="30">
        <f t="shared" si="23"/>
        <v>9.8251599388650135E-3</v>
      </c>
      <c r="DL23" s="30">
        <f t="shared" si="23"/>
        <v>0.10777496398679502</v>
      </c>
      <c r="DM23" s="30">
        <f t="shared" si="23"/>
        <v>0.25196733498724522</v>
      </c>
      <c r="DN23" s="30">
        <f t="shared" si="23"/>
        <v>0.4065582622178881</v>
      </c>
      <c r="DO23" s="30">
        <f t="shared" si="23"/>
        <v>0.42706159079182915</v>
      </c>
      <c r="DP23" s="30">
        <f t="shared" si="23"/>
        <v>0.2825777402590785</v>
      </c>
      <c r="DQ23" s="30">
        <f t="shared" si="23"/>
        <v>0.29758876034767962</v>
      </c>
      <c r="DR23" s="30">
        <f t="shared" si="23"/>
        <v>4.8105234298463279E-2</v>
      </c>
      <c r="DS23" s="30">
        <f t="shared" si="23"/>
        <v>3.1843270842378179E-3</v>
      </c>
      <c r="DT23" s="30">
        <f t="shared" si="23"/>
        <v>1.8832636608915056E-3</v>
      </c>
      <c r="DU23" s="30">
        <f t="shared" si="23"/>
        <v>1.7944947051795383E-2</v>
      </c>
      <c r="DV23" s="30">
        <f t="shared" si="23"/>
        <v>9.721683381149775E-3</v>
      </c>
      <c r="DW23" s="30">
        <f t="shared" si="23"/>
        <v>3.5872682948942941E-2</v>
      </c>
      <c r="DX23" s="30">
        <f t="shared" si="23"/>
        <v>7.2024282236632209E-2</v>
      </c>
      <c r="DY23" s="30">
        <f t="shared" si="23"/>
        <v>2.8345807549381825E-2</v>
      </c>
      <c r="DZ23" s="30">
        <f t="shared" si="23"/>
        <v>1.745662656992053E-2</v>
      </c>
      <c r="EA23" s="30">
        <f t="shared" ref="EA23:EF23" si="24">(EA7-EA15)^2</f>
        <v>4.5922744418633137E-3</v>
      </c>
      <c r="EB23" s="30">
        <f t="shared" si="24"/>
        <v>4.0207988105760487E-4</v>
      </c>
      <c r="EC23" s="30">
        <f t="shared" si="24"/>
        <v>6.9152742336999536E-4</v>
      </c>
      <c r="ED23" s="30">
        <f t="shared" si="24"/>
        <v>1.1266469040911854E-3</v>
      </c>
      <c r="EE23" s="30">
        <f t="shared" si="24"/>
        <v>1.5055812924586315E-3</v>
      </c>
      <c r="EF23" s="30">
        <f t="shared" si="24"/>
        <v>9.0962271006343883E-4</v>
      </c>
    </row>
    <row r="24" spans="1:137" ht="16" customHeight="1">
      <c r="A24" s="4"/>
    </row>
    <row r="25" spans="1:137" ht="16" customHeight="1">
      <c r="A25" s="44" t="s">
        <v>257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1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4"/>
    </row>
    <row r="26" spans="1:137" ht="17" customHeight="1">
      <c r="A26" s="29"/>
      <c r="B26" s="6" t="s">
        <v>1</v>
      </c>
      <c r="C26" s="40" t="s">
        <v>2</v>
      </c>
      <c r="D26" s="40" t="s">
        <v>3</v>
      </c>
      <c r="E26" s="40" t="s">
        <v>4</v>
      </c>
      <c r="F26" s="40" t="s">
        <v>5</v>
      </c>
      <c r="G26" s="40" t="s">
        <v>6</v>
      </c>
      <c r="H26" s="40" t="s">
        <v>7</v>
      </c>
      <c r="I26" s="40" t="s">
        <v>8</v>
      </c>
      <c r="J26" s="40" t="s">
        <v>9</v>
      </c>
      <c r="K26" s="40" t="s">
        <v>10</v>
      </c>
      <c r="L26" s="40" t="s">
        <v>11</v>
      </c>
      <c r="M26" s="40" t="s">
        <v>12</v>
      </c>
      <c r="N26" s="40" t="s">
        <v>13</v>
      </c>
      <c r="O26" s="40" t="s">
        <v>14</v>
      </c>
      <c r="P26" s="40" t="s">
        <v>15</v>
      </c>
      <c r="Q26" s="40" t="s">
        <v>16</v>
      </c>
      <c r="R26" s="40" t="s">
        <v>17</v>
      </c>
      <c r="S26" s="40" t="s">
        <v>18</v>
      </c>
      <c r="T26" s="40" t="s">
        <v>19</v>
      </c>
      <c r="U26" s="40" t="s">
        <v>20</v>
      </c>
      <c r="V26" s="40" t="s">
        <v>21</v>
      </c>
      <c r="W26" s="40" t="s">
        <v>22</v>
      </c>
      <c r="X26" s="40" t="s">
        <v>23</v>
      </c>
      <c r="Y26" s="40" t="s">
        <v>24</v>
      </c>
      <c r="Z26" s="40" t="s">
        <v>25</v>
      </c>
      <c r="AA26" s="40" t="s">
        <v>26</v>
      </c>
      <c r="AB26" s="40" t="s">
        <v>27</v>
      </c>
      <c r="AC26" s="40" t="s">
        <v>28</v>
      </c>
      <c r="AD26" s="40" t="s">
        <v>29</v>
      </c>
      <c r="AE26" s="40" t="s">
        <v>30</v>
      </c>
      <c r="AF26" s="40" t="s">
        <v>31</v>
      </c>
      <c r="AG26" s="40" t="s">
        <v>32</v>
      </c>
      <c r="AH26" s="40" t="s">
        <v>33</v>
      </c>
      <c r="AI26" s="40" t="s">
        <v>34</v>
      </c>
      <c r="AJ26" s="40" t="s">
        <v>35</v>
      </c>
      <c r="AK26" s="40" t="s">
        <v>36</v>
      </c>
      <c r="AL26" s="40" t="s">
        <v>37</v>
      </c>
      <c r="AM26" s="40" t="s">
        <v>38</v>
      </c>
      <c r="AN26" s="40" t="s">
        <v>39</v>
      </c>
      <c r="AO26" s="40" t="s">
        <v>40</v>
      </c>
      <c r="AP26" s="40" t="s">
        <v>41</v>
      </c>
      <c r="AQ26" s="40" t="s">
        <v>42</v>
      </c>
      <c r="AR26" s="40" t="s">
        <v>43</v>
      </c>
      <c r="AS26" s="40" t="s">
        <v>44</v>
      </c>
      <c r="AT26" s="40" t="s">
        <v>45</v>
      </c>
      <c r="AU26" s="40" t="s">
        <v>46</v>
      </c>
      <c r="AV26" s="40" t="s">
        <v>47</v>
      </c>
      <c r="AW26" s="40" t="s">
        <v>48</v>
      </c>
      <c r="AX26" s="40" t="s">
        <v>49</v>
      </c>
      <c r="AY26" s="40" t="s">
        <v>50</v>
      </c>
      <c r="AZ26" s="40" t="s">
        <v>51</v>
      </c>
      <c r="BA26" s="40" t="s">
        <v>52</v>
      </c>
      <c r="BB26" s="40" t="s">
        <v>53</v>
      </c>
      <c r="BC26" s="40" t="s">
        <v>54</v>
      </c>
      <c r="BD26" s="40" t="s">
        <v>55</v>
      </c>
      <c r="BE26" s="40" t="s">
        <v>56</v>
      </c>
      <c r="BF26" s="40" t="s">
        <v>57</v>
      </c>
      <c r="BG26" s="40" t="s">
        <v>58</v>
      </c>
      <c r="BH26" s="40" t="s">
        <v>59</v>
      </c>
      <c r="BI26" s="40" t="s">
        <v>60</v>
      </c>
      <c r="BJ26" s="40" t="s">
        <v>61</v>
      </c>
      <c r="BK26" s="40" t="s">
        <v>62</v>
      </c>
      <c r="BL26" s="40" t="s">
        <v>63</v>
      </c>
      <c r="BM26" s="40" t="s">
        <v>64</v>
      </c>
      <c r="BN26" s="40" t="s">
        <v>65</v>
      </c>
      <c r="BO26" s="40" t="s">
        <v>66</v>
      </c>
      <c r="BP26" s="40" t="s">
        <v>67</v>
      </c>
      <c r="BQ26" s="40" t="s">
        <v>68</v>
      </c>
      <c r="BR26" s="40" t="s">
        <v>69</v>
      </c>
      <c r="BS26" s="40" t="s">
        <v>70</v>
      </c>
      <c r="BT26" s="40" t="s">
        <v>71</v>
      </c>
      <c r="BU26" s="40" t="s">
        <v>72</v>
      </c>
      <c r="BV26" s="40" t="s">
        <v>73</v>
      </c>
      <c r="BW26" s="40" t="s">
        <v>74</v>
      </c>
      <c r="BX26" s="40" t="s">
        <v>75</v>
      </c>
      <c r="BY26" s="40" t="s">
        <v>76</v>
      </c>
      <c r="BZ26" s="40" t="s">
        <v>77</v>
      </c>
      <c r="CA26" s="40" t="s">
        <v>78</v>
      </c>
      <c r="CB26" s="40" t="s">
        <v>79</v>
      </c>
      <c r="CC26" s="40" t="s">
        <v>80</v>
      </c>
      <c r="CD26" s="40" t="s">
        <v>81</v>
      </c>
      <c r="CE26" s="40" t="s">
        <v>82</v>
      </c>
      <c r="CF26" s="40" t="s">
        <v>83</v>
      </c>
      <c r="CG26" s="40" t="s">
        <v>84</v>
      </c>
      <c r="CH26" s="40" t="s">
        <v>85</v>
      </c>
      <c r="CI26" s="40" t="s">
        <v>86</v>
      </c>
      <c r="CJ26" s="40" t="s">
        <v>87</v>
      </c>
      <c r="CK26" s="40" t="s">
        <v>88</v>
      </c>
      <c r="CL26" s="40" t="s">
        <v>89</v>
      </c>
      <c r="CM26" s="40" t="s">
        <v>90</v>
      </c>
      <c r="CN26" s="40" t="s">
        <v>91</v>
      </c>
      <c r="CO26" s="40" t="s">
        <v>92</v>
      </c>
      <c r="CP26" s="40" t="s">
        <v>93</v>
      </c>
      <c r="CQ26" s="40" t="s">
        <v>94</v>
      </c>
      <c r="CR26" s="40" t="s">
        <v>95</v>
      </c>
      <c r="CS26" s="40" t="s">
        <v>96</v>
      </c>
      <c r="CT26" s="40" t="s">
        <v>97</v>
      </c>
      <c r="CU26" s="40" t="s">
        <v>98</v>
      </c>
      <c r="CV26" s="40" t="s">
        <v>99</v>
      </c>
      <c r="CW26" s="40" t="s">
        <v>100</v>
      </c>
      <c r="CX26" s="40" t="s">
        <v>101</v>
      </c>
      <c r="CY26" s="40" t="s">
        <v>102</v>
      </c>
      <c r="CZ26" s="40" t="s">
        <v>103</v>
      </c>
      <c r="DA26" s="40" t="s">
        <v>104</v>
      </c>
      <c r="DB26" s="40" t="s">
        <v>105</v>
      </c>
      <c r="DC26" s="40" t="s">
        <v>106</v>
      </c>
      <c r="DD26" s="40" t="s">
        <v>107</v>
      </c>
      <c r="DE26" s="40" t="s">
        <v>108</v>
      </c>
      <c r="DF26" s="40" t="s">
        <v>109</v>
      </c>
      <c r="DG26" s="40" t="s">
        <v>110</v>
      </c>
      <c r="DH26" s="40" t="s">
        <v>111</v>
      </c>
      <c r="DI26" s="40" t="s">
        <v>112</v>
      </c>
      <c r="DJ26" s="40" t="s">
        <v>113</v>
      </c>
      <c r="DK26" s="40" t="s">
        <v>114</v>
      </c>
      <c r="DL26" s="40" t="s">
        <v>115</v>
      </c>
      <c r="DM26" s="40" t="s">
        <v>116</v>
      </c>
      <c r="DN26" s="40" t="s">
        <v>117</v>
      </c>
      <c r="DO26" s="40" t="s">
        <v>118</v>
      </c>
      <c r="DP26" s="40" t="s">
        <v>119</v>
      </c>
      <c r="DQ26" s="40" t="s">
        <v>120</v>
      </c>
      <c r="DR26" s="40" t="s">
        <v>121</v>
      </c>
      <c r="DS26" s="40" t="s">
        <v>122</v>
      </c>
      <c r="DT26" s="40" t="s">
        <v>123</v>
      </c>
      <c r="DU26" s="40" t="s">
        <v>124</v>
      </c>
      <c r="DV26" s="40" t="s">
        <v>125</v>
      </c>
      <c r="DW26" s="40" t="s">
        <v>126</v>
      </c>
      <c r="DX26" s="40" t="s">
        <v>127</v>
      </c>
      <c r="DY26" s="40" t="s">
        <v>128</v>
      </c>
      <c r="DZ26" s="40" t="s">
        <v>129</v>
      </c>
      <c r="EA26" s="40" t="s">
        <v>130</v>
      </c>
      <c r="EB26" s="40" t="s">
        <v>131</v>
      </c>
      <c r="EC26" s="40" t="s">
        <v>132</v>
      </c>
      <c r="ED26" s="41" t="s">
        <v>133</v>
      </c>
      <c r="EE26" s="40" t="s">
        <v>134</v>
      </c>
      <c r="EF26" s="40" t="s">
        <v>135</v>
      </c>
      <c r="EG26" s="4"/>
    </row>
    <row r="27" spans="1:137" ht="16" customHeight="1">
      <c r="A27" s="29"/>
      <c r="B27" s="25" t="s">
        <v>136</v>
      </c>
      <c r="C27" s="30">
        <f t="shared" ref="C27:AH27" si="25">C11^2</f>
        <v>1.4546941553060746E-2</v>
      </c>
      <c r="D27" s="30">
        <f t="shared" si="25"/>
        <v>2.0783224103101891E-3</v>
      </c>
      <c r="E27" s="30">
        <f t="shared" si="25"/>
        <v>2.7904049153052446E-2</v>
      </c>
      <c r="F27" s="30">
        <f t="shared" si="25"/>
        <v>5.4389132733367778E-3</v>
      </c>
      <c r="G27" s="30">
        <f t="shared" si="25"/>
        <v>1.0566781966776994E-3</v>
      </c>
      <c r="H27" s="30">
        <f t="shared" si="25"/>
        <v>1.0789332020358306E-3</v>
      </c>
      <c r="I27" s="30">
        <f t="shared" si="25"/>
        <v>1.4665592341637463E-2</v>
      </c>
      <c r="J27" s="30">
        <f t="shared" si="25"/>
        <v>6.667930891517048E-6</v>
      </c>
      <c r="K27" s="30">
        <f t="shared" si="25"/>
        <v>5.1794829850867136E-3</v>
      </c>
      <c r="L27" s="30">
        <f t="shared" si="25"/>
        <v>1.1794218884633857E-3</v>
      </c>
      <c r="M27" s="30">
        <f t="shared" si="25"/>
        <v>1.6067753709816334E-3</v>
      </c>
      <c r="N27" s="30">
        <f t="shared" si="25"/>
        <v>1.7275217604557664E-3</v>
      </c>
      <c r="O27" s="30">
        <f t="shared" si="25"/>
        <v>4.7613865504638851E-5</v>
      </c>
      <c r="P27" s="30">
        <f t="shared" si="25"/>
        <v>1.2801639685446422E-3</v>
      </c>
      <c r="Q27" s="30">
        <f t="shared" si="25"/>
        <v>4.6718094894194085E-3</v>
      </c>
      <c r="R27" s="30">
        <f t="shared" si="25"/>
        <v>2.0623478958674162E-3</v>
      </c>
      <c r="S27" s="30">
        <f t="shared" si="25"/>
        <v>3.8706550378058856E-4</v>
      </c>
      <c r="T27" s="30">
        <f t="shared" si="25"/>
        <v>1.1331798132323292E-2</v>
      </c>
      <c r="U27" s="30">
        <f t="shared" si="25"/>
        <v>1.0274068999818326E-3</v>
      </c>
      <c r="V27" s="30">
        <f t="shared" si="25"/>
        <v>2.209865254204212E-4</v>
      </c>
      <c r="W27" s="30">
        <f t="shared" si="25"/>
        <v>8.7245073042044007E-3</v>
      </c>
      <c r="X27" s="30">
        <f t="shared" si="25"/>
        <v>1.3729897055253691E-3</v>
      </c>
      <c r="Y27" s="30">
        <f t="shared" si="25"/>
        <v>2.2448308059105264E-3</v>
      </c>
      <c r="Z27" s="30">
        <f t="shared" si="25"/>
        <v>1.276845571821618E-3</v>
      </c>
      <c r="AA27" s="30">
        <f t="shared" si="25"/>
        <v>5.5814967545114143E-3</v>
      </c>
      <c r="AB27" s="30">
        <f t="shared" si="25"/>
        <v>1.0300559933415927E-2</v>
      </c>
      <c r="AC27" s="30">
        <f t="shared" si="25"/>
        <v>8.7550991227910581E-8</v>
      </c>
      <c r="AD27" s="30">
        <f t="shared" si="25"/>
        <v>4.7401569145407449E-3</v>
      </c>
      <c r="AE27" s="30">
        <f t="shared" si="25"/>
        <v>4.9577618903744007E-4</v>
      </c>
      <c r="AF27" s="30">
        <f t="shared" si="25"/>
        <v>1.7326798789216898E-3</v>
      </c>
      <c r="AG27" s="30">
        <f t="shared" si="25"/>
        <v>6.4815810717736903E-5</v>
      </c>
      <c r="AH27" s="30">
        <f t="shared" si="25"/>
        <v>1.4641836287280217E-3</v>
      </c>
      <c r="AI27" s="30">
        <f t="shared" ref="AI27:BN27" si="26">AI11^2</f>
        <v>2.0416160929393706E-3</v>
      </c>
      <c r="AJ27" s="30">
        <f t="shared" si="26"/>
        <v>1.1707089979531781E-3</v>
      </c>
      <c r="AK27" s="30">
        <f t="shared" si="26"/>
        <v>1.9481826911203113E-3</v>
      </c>
      <c r="AL27" s="30">
        <f t="shared" si="26"/>
        <v>1.266474915537371E-3</v>
      </c>
      <c r="AM27" s="30">
        <f t="shared" si="26"/>
        <v>1.7102176743532169E-4</v>
      </c>
      <c r="AN27" s="30">
        <f t="shared" si="26"/>
        <v>1.7210583520656951E-5</v>
      </c>
      <c r="AO27" s="30">
        <f t="shared" si="26"/>
        <v>6.0349700617423905E-3</v>
      </c>
      <c r="AP27" s="30">
        <f t="shared" si="26"/>
        <v>4.8977517008283308E-5</v>
      </c>
      <c r="AQ27" s="30">
        <f t="shared" si="26"/>
        <v>1.7147336612869088E-2</v>
      </c>
      <c r="AR27" s="30">
        <f t="shared" si="26"/>
        <v>7.5329742495129385E-3</v>
      </c>
      <c r="AS27" s="30">
        <f t="shared" si="26"/>
        <v>2.7776044691565603E-3</v>
      </c>
      <c r="AT27" s="30">
        <f t="shared" si="26"/>
        <v>4.2547534102817912E-3</v>
      </c>
      <c r="AU27" s="30">
        <f t="shared" si="26"/>
        <v>4.2502345660876805E-3</v>
      </c>
      <c r="AV27" s="30">
        <f t="shared" si="26"/>
        <v>7.3436487400388122E-5</v>
      </c>
      <c r="AW27" s="30">
        <f t="shared" si="26"/>
        <v>1.60194481917085E-3</v>
      </c>
      <c r="AX27" s="30">
        <f t="shared" si="26"/>
        <v>9.8863219592693887E-4</v>
      </c>
      <c r="AY27" s="30">
        <f t="shared" si="26"/>
        <v>1.6041610488780382E-5</v>
      </c>
      <c r="AZ27" s="30">
        <f t="shared" si="26"/>
        <v>6.2092602647907178E-5</v>
      </c>
      <c r="BA27" s="30">
        <f t="shared" si="26"/>
        <v>3.6874353934753392E-5</v>
      </c>
      <c r="BB27" s="30">
        <f t="shared" si="26"/>
        <v>1.2101704175533322E-4</v>
      </c>
      <c r="BC27" s="30">
        <f t="shared" si="26"/>
        <v>6.9588179927682428E-4</v>
      </c>
      <c r="BD27" s="30">
        <f t="shared" si="26"/>
        <v>1.5586344955206557E-3</v>
      </c>
      <c r="BE27" s="30">
        <f t="shared" si="26"/>
        <v>9.7833278969118435E-4</v>
      </c>
      <c r="BF27" s="30">
        <f t="shared" si="26"/>
        <v>3.6853574048309485E-5</v>
      </c>
      <c r="BG27" s="30">
        <f t="shared" si="26"/>
        <v>3.6647665014566434E-3</v>
      </c>
      <c r="BH27" s="30">
        <f t="shared" si="26"/>
        <v>7.289989238267805E-3</v>
      </c>
      <c r="BI27" s="30">
        <f t="shared" si="26"/>
        <v>4.1593669894173435E-3</v>
      </c>
      <c r="BJ27" s="30">
        <f t="shared" si="26"/>
        <v>3.8783127622290148E-5</v>
      </c>
      <c r="BK27" s="30">
        <f t="shared" si="26"/>
        <v>2.1521354971514193E-3</v>
      </c>
      <c r="BL27" s="30">
        <f t="shared" si="26"/>
        <v>1.336525963820349E-4</v>
      </c>
      <c r="BM27" s="30">
        <f t="shared" si="26"/>
        <v>1.985454762331907E-3</v>
      </c>
      <c r="BN27" s="30">
        <f t="shared" si="26"/>
        <v>7.629465686892122E-6</v>
      </c>
      <c r="BO27" s="30">
        <f t="shared" ref="BO27:CT27" si="27">BO11^2</f>
        <v>6.9091713822011137E-5</v>
      </c>
      <c r="BP27" s="30">
        <f t="shared" si="27"/>
        <v>3.1203785670462585E-3</v>
      </c>
      <c r="BQ27" s="30">
        <f t="shared" si="27"/>
        <v>1.2749634153512547E-3</v>
      </c>
      <c r="BR27" s="30">
        <f t="shared" si="27"/>
        <v>4.8456551158879905E-4</v>
      </c>
      <c r="BS27" s="30">
        <f t="shared" si="27"/>
        <v>1.5716090347935056E-3</v>
      </c>
      <c r="BT27" s="30">
        <f t="shared" si="27"/>
        <v>1.281820711813912E-5</v>
      </c>
      <c r="BU27" s="30">
        <f t="shared" si="27"/>
        <v>8.0657469502776226E-5</v>
      </c>
      <c r="BV27" s="30">
        <f t="shared" si="27"/>
        <v>7.9975160928309909E-5</v>
      </c>
      <c r="BW27" s="30">
        <f t="shared" si="27"/>
        <v>5.7857348809490965E-3</v>
      </c>
      <c r="BX27" s="30">
        <f t="shared" si="27"/>
        <v>1.6534804605481364E-3</v>
      </c>
      <c r="BY27" s="30">
        <f t="shared" si="27"/>
        <v>3.4908406432154694E-3</v>
      </c>
      <c r="BZ27" s="30">
        <f t="shared" si="27"/>
        <v>7.2805942721398899E-4</v>
      </c>
      <c r="CA27" s="30">
        <f t="shared" si="27"/>
        <v>1.6008563931749445E-2</v>
      </c>
      <c r="CB27" s="30">
        <f t="shared" si="27"/>
        <v>1.445347601830995E-4</v>
      </c>
      <c r="CC27" s="30">
        <f t="shared" si="27"/>
        <v>2.5889200398882791E-3</v>
      </c>
      <c r="CD27" s="30">
        <f t="shared" si="27"/>
        <v>6.3887822895437581E-4</v>
      </c>
      <c r="CE27" s="30">
        <f t="shared" si="27"/>
        <v>7.5737829574161275E-3</v>
      </c>
      <c r="CF27" s="30">
        <f t="shared" si="27"/>
        <v>6.0643826814938361E-4</v>
      </c>
      <c r="CG27" s="30">
        <f t="shared" si="27"/>
        <v>3.5145983982815942E-4</v>
      </c>
      <c r="CH27" s="30">
        <f t="shared" si="27"/>
        <v>1.7232859795444449E-3</v>
      </c>
      <c r="CI27" s="30">
        <f t="shared" si="27"/>
        <v>8.8924887500002386E-4</v>
      </c>
      <c r="CJ27" s="30">
        <f t="shared" si="27"/>
        <v>1.6041465397323526E-4</v>
      </c>
      <c r="CK27" s="30">
        <f t="shared" si="27"/>
        <v>2.3028024574732412E-3</v>
      </c>
      <c r="CL27" s="30">
        <f t="shared" si="27"/>
        <v>4.4642725780217762E-5</v>
      </c>
      <c r="CM27" s="30">
        <f t="shared" si="27"/>
        <v>5.4630386341820839E-4</v>
      </c>
      <c r="CN27" s="30">
        <f t="shared" si="27"/>
        <v>1.1859583288463893E-4</v>
      </c>
      <c r="CO27" s="30">
        <f t="shared" si="27"/>
        <v>2.1451538507071776E-2</v>
      </c>
      <c r="CP27" s="30">
        <f t="shared" si="27"/>
        <v>3.9079536734685274E-4</v>
      </c>
      <c r="CQ27" s="30">
        <f t="shared" si="27"/>
        <v>3.1503536084517906E-4</v>
      </c>
      <c r="CR27" s="30">
        <f t="shared" si="27"/>
        <v>8.4050830551802463E-4</v>
      </c>
      <c r="CS27" s="30">
        <f t="shared" si="27"/>
        <v>8.4834108893111048E-5</v>
      </c>
      <c r="CT27" s="30">
        <f t="shared" si="27"/>
        <v>1.357785655578251E-3</v>
      </c>
      <c r="CU27" s="30">
        <f t="shared" ref="CU27:DZ27" si="28">CU11^2</f>
        <v>9.3050106960842897E-4</v>
      </c>
      <c r="CV27" s="30">
        <f t="shared" si="28"/>
        <v>1.6308150330167385E-3</v>
      </c>
      <c r="CW27" s="30">
        <f t="shared" si="28"/>
        <v>8.809623770114191E-5</v>
      </c>
      <c r="CX27" s="30">
        <f t="shared" si="28"/>
        <v>5.9673905700761143E-3</v>
      </c>
      <c r="CY27" s="30">
        <f t="shared" si="28"/>
        <v>6.4934285102214676E-6</v>
      </c>
      <c r="CZ27" s="30">
        <f t="shared" si="28"/>
        <v>5.4553958679762855E-4</v>
      </c>
      <c r="DA27" s="30">
        <f t="shared" si="28"/>
        <v>1.2679764368676608E-3</v>
      </c>
      <c r="DB27" s="30">
        <f t="shared" si="28"/>
        <v>2.0249957666726433E-5</v>
      </c>
      <c r="DC27" s="30">
        <f t="shared" si="28"/>
        <v>1.8851158771020619E-3</v>
      </c>
      <c r="DD27" s="30">
        <f t="shared" si="28"/>
        <v>6.019507847381921E-3</v>
      </c>
      <c r="DE27" s="30">
        <f t="shared" si="28"/>
        <v>2.0746948170583621E-3</v>
      </c>
      <c r="DF27" s="30">
        <f t="shared" si="28"/>
        <v>5.4406906442556616E-3</v>
      </c>
      <c r="DG27" s="30">
        <f t="shared" si="28"/>
        <v>1.9143570377321042E-4</v>
      </c>
      <c r="DH27" s="30">
        <f t="shared" si="28"/>
        <v>1.7283277364271178E-4</v>
      </c>
      <c r="DI27" s="30">
        <f t="shared" si="28"/>
        <v>1.4029015510613837E-2</v>
      </c>
      <c r="DJ27" s="30">
        <f t="shared" si="28"/>
        <v>2.4716568256932104E-3</v>
      </c>
      <c r="DK27" s="30">
        <f t="shared" si="28"/>
        <v>8.3387640549511242E-4</v>
      </c>
      <c r="DL27" s="30">
        <f t="shared" si="28"/>
        <v>1.737526121331807E-4</v>
      </c>
      <c r="DM27" s="30">
        <f t="shared" si="28"/>
        <v>1.89403573255491E-3</v>
      </c>
      <c r="DN27" s="30">
        <f t="shared" si="28"/>
        <v>3.6799363519197273E-3</v>
      </c>
      <c r="DO27" s="30">
        <f t="shared" si="28"/>
        <v>6.8168388978050286E-3</v>
      </c>
      <c r="DP27" s="30">
        <f t="shared" si="28"/>
        <v>9.2190700121279213E-3</v>
      </c>
      <c r="DQ27" s="30">
        <f t="shared" si="28"/>
        <v>3.9384274152525655E-4</v>
      </c>
      <c r="DR27" s="30">
        <f t="shared" si="28"/>
        <v>3.4520279947047156E-4</v>
      </c>
      <c r="DS27" s="30">
        <f t="shared" si="28"/>
        <v>6.6484865577402666E-4</v>
      </c>
      <c r="DT27" s="30">
        <f t="shared" si="28"/>
        <v>1.4131273299836419E-3</v>
      </c>
      <c r="DU27" s="30">
        <f t="shared" si="28"/>
        <v>2.0513579604175191E-3</v>
      </c>
      <c r="DV27" s="30">
        <f t="shared" si="28"/>
        <v>5.0438077988086629E-4</v>
      </c>
      <c r="DW27" s="30">
        <f t="shared" si="28"/>
        <v>7.3792142143569996E-8</v>
      </c>
      <c r="DX27" s="30">
        <f t="shared" si="28"/>
        <v>4.1607646394616529E-3</v>
      </c>
      <c r="DY27" s="30">
        <f t="shared" si="28"/>
        <v>3.6150469403375229E-3</v>
      </c>
      <c r="DZ27" s="30">
        <f t="shared" si="28"/>
        <v>3.3925055356370317E-5</v>
      </c>
      <c r="EA27" s="30">
        <f t="shared" ref="EA27:EF27" si="29">EA11^2</f>
        <v>2.4037075920316242E-4</v>
      </c>
      <c r="EB27" s="30">
        <f t="shared" si="29"/>
        <v>9.5511362034907718E-4</v>
      </c>
      <c r="EC27" s="30">
        <f t="shared" si="29"/>
        <v>1.5850809145450105E-3</v>
      </c>
      <c r="ED27" s="30">
        <f t="shared" si="29"/>
        <v>3.6224111358421139E-5</v>
      </c>
      <c r="EE27" s="30">
        <f t="shared" si="29"/>
        <v>1.591113750128701E-3</v>
      </c>
      <c r="EF27" s="30">
        <f t="shared" si="29"/>
        <v>9.2316261048452156E-3</v>
      </c>
      <c r="EG27" s="4"/>
    </row>
    <row r="28" spans="1:137" ht="16" customHeight="1">
      <c r="A28" s="29"/>
      <c r="B28" s="25" t="s">
        <v>137</v>
      </c>
      <c r="C28" s="30">
        <f t="shared" ref="C28:AH28" si="30">C12^2</f>
        <v>4.3830739180631434E-2</v>
      </c>
      <c r="D28" s="30">
        <f t="shared" si="30"/>
        <v>5.8301099036782662E-2</v>
      </c>
      <c r="E28" s="30">
        <f t="shared" si="30"/>
        <v>7.095082717439341E-2</v>
      </c>
      <c r="F28" s="30">
        <f t="shared" si="30"/>
        <v>0.10905171683529688</v>
      </c>
      <c r="G28" s="30">
        <f t="shared" si="30"/>
        <v>4.1447412921159846E-2</v>
      </c>
      <c r="H28" s="30">
        <f t="shared" si="30"/>
        <v>0.30662153574633394</v>
      </c>
      <c r="I28" s="30">
        <f t="shared" si="30"/>
        <v>0.44862468715901888</v>
      </c>
      <c r="J28" s="30">
        <f t="shared" si="30"/>
        <v>0.37249771464554532</v>
      </c>
      <c r="K28" s="30">
        <f t="shared" si="30"/>
        <v>0.743172367419633</v>
      </c>
      <c r="L28" s="30">
        <f t="shared" si="30"/>
        <v>0.13954555250085254</v>
      </c>
      <c r="M28" s="30">
        <f t="shared" si="30"/>
        <v>0.38715788019824043</v>
      </c>
      <c r="N28" s="30">
        <f t="shared" si="30"/>
        <v>8.6148423679951708E-2</v>
      </c>
      <c r="O28" s="30">
        <f t="shared" si="30"/>
        <v>0.12694035248712693</v>
      </c>
      <c r="P28" s="30">
        <f t="shared" si="30"/>
        <v>3.1708544027118792E-2</v>
      </c>
      <c r="Q28" s="30">
        <f t="shared" si="30"/>
        <v>2.4447673977298121E-2</v>
      </c>
      <c r="R28" s="30">
        <f t="shared" si="30"/>
        <v>5.0548710826470368E-2</v>
      </c>
      <c r="S28" s="30">
        <f t="shared" si="30"/>
        <v>3.335905702910956E-2</v>
      </c>
      <c r="T28" s="30">
        <f t="shared" si="30"/>
        <v>2.3431552375031854E-2</v>
      </c>
      <c r="U28" s="30">
        <f t="shared" si="30"/>
        <v>5.0885044725258448E-2</v>
      </c>
      <c r="V28" s="30">
        <f t="shared" si="30"/>
        <v>8.3869495384565479E-3</v>
      </c>
      <c r="W28" s="30">
        <f t="shared" si="30"/>
        <v>2.4498374202481382E-3</v>
      </c>
      <c r="X28" s="30">
        <f t="shared" si="30"/>
        <v>7.1767765320458587E-2</v>
      </c>
      <c r="Y28" s="30">
        <f t="shared" si="30"/>
        <v>0.13307049851712519</v>
      </c>
      <c r="Z28" s="30">
        <f t="shared" si="30"/>
        <v>0.14281295511624217</v>
      </c>
      <c r="AA28" s="30">
        <f t="shared" si="30"/>
        <v>0.19320846596826294</v>
      </c>
      <c r="AB28" s="30">
        <f t="shared" si="30"/>
        <v>0.17522107810753829</v>
      </c>
      <c r="AC28" s="30">
        <f t="shared" si="30"/>
        <v>0.10122906471344194</v>
      </c>
      <c r="AD28" s="30">
        <f t="shared" si="30"/>
        <v>4.349951307703423E-2</v>
      </c>
      <c r="AE28" s="30">
        <f t="shared" si="30"/>
        <v>1.0478590051857991E-2</v>
      </c>
      <c r="AF28" s="30">
        <f t="shared" si="30"/>
        <v>2.2161861582718628E-2</v>
      </c>
      <c r="AG28" s="30">
        <f t="shared" si="30"/>
        <v>3.48532407548637E-2</v>
      </c>
      <c r="AH28" s="30">
        <f t="shared" si="30"/>
        <v>6.4481843573684958E-2</v>
      </c>
      <c r="AI28" s="30">
        <f t="shared" ref="AI28:BN28" si="31">AI12^2</f>
        <v>2.1826878929646673E-2</v>
      </c>
      <c r="AJ28" s="30">
        <f t="shared" si="31"/>
        <v>1.9814522363226735E-3</v>
      </c>
      <c r="AK28" s="30">
        <f t="shared" si="31"/>
        <v>3.3820763078832865E-3</v>
      </c>
      <c r="AL28" s="30">
        <f t="shared" si="31"/>
        <v>8.4392218871139468E-3</v>
      </c>
      <c r="AM28" s="30">
        <f t="shared" si="31"/>
        <v>2.8312335196841936E-2</v>
      </c>
      <c r="AN28" s="30">
        <f t="shared" si="31"/>
        <v>0.1138637327158907</v>
      </c>
      <c r="AO28" s="30">
        <f t="shared" si="31"/>
        <v>0.13592606952782832</v>
      </c>
      <c r="AP28" s="30">
        <f t="shared" si="31"/>
        <v>8.2322852414103337E-2</v>
      </c>
      <c r="AQ28" s="30">
        <f t="shared" si="31"/>
        <v>9.3170679998561309E-2</v>
      </c>
      <c r="AR28" s="30">
        <f t="shared" si="31"/>
        <v>8.6032984752392933E-2</v>
      </c>
      <c r="AS28" s="30">
        <f t="shared" si="31"/>
        <v>9.1609308617207744E-2</v>
      </c>
      <c r="AT28" s="30">
        <f t="shared" si="31"/>
        <v>7.8655989499887141E-2</v>
      </c>
      <c r="AU28" s="30">
        <f t="shared" si="31"/>
        <v>3.335368834728835E-2</v>
      </c>
      <c r="AV28" s="30">
        <f t="shared" si="31"/>
        <v>1.4716064571650107E-2</v>
      </c>
      <c r="AW28" s="30">
        <f t="shared" si="31"/>
        <v>2.3630217629516722E-2</v>
      </c>
      <c r="AX28" s="30">
        <f t="shared" si="31"/>
        <v>4.6792436902858405E-4</v>
      </c>
      <c r="AY28" s="30">
        <f t="shared" si="31"/>
        <v>1.024586410891495E-2</v>
      </c>
      <c r="AZ28" s="30">
        <f t="shared" si="31"/>
        <v>3.5925983334454098E-2</v>
      </c>
      <c r="BA28" s="30">
        <f t="shared" si="31"/>
        <v>9.0782228273149253E-3</v>
      </c>
      <c r="BB28" s="30">
        <f t="shared" si="31"/>
        <v>1.2388743240652662E-4</v>
      </c>
      <c r="BC28" s="30">
        <f t="shared" si="31"/>
        <v>3.8495669849968377E-2</v>
      </c>
      <c r="BD28" s="30">
        <f t="shared" si="31"/>
        <v>2.3179190007777614E-2</v>
      </c>
      <c r="BE28" s="30">
        <f t="shared" si="31"/>
        <v>4.3824908459607299E-2</v>
      </c>
      <c r="BF28" s="30">
        <f t="shared" si="31"/>
        <v>2.8063797777468584E-2</v>
      </c>
      <c r="BG28" s="30">
        <f t="shared" si="31"/>
        <v>2.8411507265062915E-2</v>
      </c>
      <c r="BH28" s="30">
        <f t="shared" si="31"/>
        <v>5.5111120133917592E-2</v>
      </c>
      <c r="BI28" s="30">
        <f t="shared" si="31"/>
        <v>7.6167039583153323E-2</v>
      </c>
      <c r="BJ28" s="30">
        <f t="shared" si="31"/>
        <v>6.8407855887226643E-2</v>
      </c>
      <c r="BK28" s="30">
        <f t="shared" si="31"/>
        <v>3.7251163512853964E-2</v>
      </c>
      <c r="BL28" s="30">
        <f t="shared" si="31"/>
        <v>1.0404047201649799E-3</v>
      </c>
      <c r="BM28" s="30">
        <f t="shared" si="31"/>
        <v>7.1655714833368349E-3</v>
      </c>
      <c r="BN28" s="30">
        <f t="shared" si="31"/>
        <v>2.46560415965623E-4</v>
      </c>
      <c r="BO28" s="30">
        <f t="shared" ref="BO28:CT28" si="32">BO12^2</f>
        <v>8.7667897977662819E-4</v>
      </c>
      <c r="BP28" s="30">
        <f t="shared" si="32"/>
        <v>6.8269805330622903E-3</v>
      </c>
      <c r="BQ28" s="30">
        <f t="shared" si="32"/>
        <v>6.2933205170866251E-3</v>
      </c>
      <c r="BR28" s="30">
        <f t="shared" si="32"/>
        <v>1.288999960124957E-2</v>
      </c>
      <c r="BS28" s="30">
        <f t="shared" si="32"/>
        <v>2.5744399073911749E-2</v>
      </c>
      <c r="BT28" s="30">
        <f t="shared" si="32"/>
        <v>8.4040000719904587E-4</v>
      </c>
      <c r="BU28" s="30">
        <f t="shared" si="32"/>
        <v>1.4758763412936199E-5</v>
      </c>
      <c r="BV28" s="30">
        <f t="shared" si="32"/>
        <v>3.0327833299653061E-2</v>
      </c>
      <c r="BW28" s="30">
        <f t="shared" si="32"/>
        <v>2.5659758966569968E-3</v>
      </c>
      <c r="BX28" s="30">
        <f t="shared" si="32"/>
        <v>9.4989002193701975E-5</v>
      </c>
      <c r="BY28" s="30">
        <f t="shared" si="32"/>
        <v>1.859223801270272E-3</v>
      </c>
      <c r="BZ28" s="30">
        <f t="shared" si="32"/>
        <v>6.9880755309103329E-3</v>
      </c>
      <c r="CA28" s="30">
        <f t="shared" si="32"/>
        <v>3.5710833571697244E-3</v>
      </c>
      <c r="CB28" s="30">
        <f t="shared" si="32"/>
        <v>5.1323474085624377E-2</v>
      </c>
      <c r="CC28" s="30">
        <f t="shared" si="32"/>
        <v>2.579095458316508E-2</v>
      </c>
      <c r="CD28" s="30">
        <f t="shared" si="32"/>
        <v>1.5570601948634978E-2</v>
      </c>
      <c r="CE28" s="30">
        <f t="shared" si="32"/>
        <v>4.944458976607175E-3</v>
      </c>
      <c r="CF28" s="30">
        <f t="shared" si="32"/>
        <v>1.4278336664955138E-3</v>
      </c>
      <c r="CG28" s="30">
        <f t="shared" si="32"/>
        <v>2.1854106949066456E-2</v>
      </c>
      <c r="CH28" s="30">
        <f t="shared" si="32"/>
        <v>2.607039406642328E-2</v>
      </c>
      <c r="CI28" s="30">
        <f t="shared" si="32"/>
        <v>3.6291694223710542E-2</v>
      </c>
      <c r="CJ28" s="30">
        <f t="shared" si="32"/>
        <v>3.3419970564953151E-3</v>
      </c>
      <c r="CK28" s="30">
        <f t="shared" si="32"/>
        <v>3.2977018381864724E-2</v>
      </c>
      <c r="CL28" s="30">
        <f t="shared" si="32"/>
        <v>2.5586851304034028E-2</v>
      </c>
      <c r="CM28" s="30">
        <f t="shared" si="32"/>
        <v>3.7422473170267402E-2</v>
      </c>
      <c r="CN28" s="30">
        <f t="shared" si="32"/>
        <v>8.5861814548839673E-3</v>
      </c>
      <c r="CO28" s="30">
        <f t="shared" si="32"/>
        <v>3.3930914548665383E-2</v>
      </c>
      <c r="CP28" s="30">
        <f t="shared" si="32"/>
        <v>4.6267743265665781E-2</v>
      </c>
      <c r="CQ28" s="30">
        <f t="shared" si="32"/>
        <v>6.1187063347694672E-3</v>
      </c>
      <c r="CR28" s="30">
        <f t="shared" si="32"/>
        <v>5.4113485026226302E-2</v>
      </c>
      <c r="CS28" s="30">
        <f t="shared" si="32"/>
        <v>1.5529550020481946E-2</v>
      </c>
      <c r="CT28" s="30">
        <f t="shared" si="32"/>
        <v>4.6067794897640686E-2</v>
      </c>
      <c r="CU28" s="30">
        <f t="shared" ref="CU28:DZ28" si="33">CU12^2</f>
        <v>8.6320336778984097E-2</v>
      </c>
      <c r="CV28" s="30">
        <f t="shared" si="33"/>
        <v>2.7088680246026325E-2</v>
      </c>
      <c r="CW28" s="30">
        <f t="shared" si="33"/>
        <v>5.17969954915449E-2</v>
      </c>
      <c r="CX28" s="30">
        <f t="shared" si="33"/>
        <v>9.590117112974722E-2</v>
      </c>
      <c r="CY28" s="30">
        <f t="shared" si="33"/>
        <v>1.0166072869105328E-2</v>
      </c>
      <c r="CZ28" s="30">
        <f t="shared" si="33"/>
        <v>7.5071562941328246E-2</v>
      </c>
      <c r="DA28" s="30">
        <f t="shared" si="33"/>
        <v>8.7696720831575203E-2</v>
      </c>
      <c r="DB28" s="30">
        <f t="shared" si="33"/>
        <v>0.19721928790948032</v>
      </c>
      <c r="DC28" s="30">
        <f t="shared" si="33"/>
        <v>7.6950480734462257E-2</v>
      </c>
      <c r="DD28" s="30">
        <f t="shared" si="33"/>
        <v>4.3456381981692792E-2</v>
      </c>
      <c r="DE28" s="30">
        <f t="shared" si="33"/>
        <v>2.5065668503263094E-3</v>
      </c>
      <c r="DF28" s="30">
        <f t="shared" si="33"/>
        <v>6.2952387726760818E-3</v>
      </c>
      <c r="DG28" s="30">
        <f t="shared" si="33"/>
        <v>1.7026700885505253E-3</v>
      </c>
      <c r="DH28" s="30">
        <f t="shared" si="33"/>
        <v>5.4780783790936472E-5</v>
      </c>
      <c r="DI28" s="30">
        <f t="shared" si="33"/>
        <v>8.4462861727841003E-3</v>
      </c>
      <c r="DJ28" s="30">
        <f t="shared" si="33"/>
        <v>3.5649370526165548E-2</v>
      </c>
      <c r="DK28" s="30">
        <f t="shared" si="33"/>
        <v>2.5347403084230663E-5</v>
      </c>
      <c r="DL28" s="30">
        <f t="shared" si="33"/>
        <v>4.2644472977082211E-3</v>
      </c>
      <c r="DM28" s="30">
        <f t="shared" si="33"/>
        <v>2.8872612876189942E-2</v>
      </c>
      <c r="DN28" s="30">
        <f t="shared" si="33"/>
        <v>2.3382578771409526E-3</v>
      </c>
      <c r="DO28" s="30">
        <f t="shared" si="33"/>
        <v>9.1440525189191324E-2</v>
      </c>
      <c r="DP28" s="30">
        <f t="shared" si="33"/>
        <v>0.16200317095160946</v>
      </c>
      <c r="DQ28" s="30">
        <f t="shared" si="33"/>
        <v>0.17925021078535808</v>
      </c>
      <c r="DR28" s="30">
        <f t="shared" si="33"/>
        <v>0.10213605613425659</v>
      </c>
      <c r="DS28" s="30">
        <f t="shared" si="33"/>
        <v>7.2939221272757579E-2</v>
      </c>
      <c r="DT28" s="30">
        <f t="shared" si="33"/>
        <v>6.029929408725699E-2</v>
      </c>
      <c r="DU28" s="30">
        <f t="shared" si="33"/>
        <v>3.3762304837791704E-2</v>
      </c>
      <c r="DV28" s="30">
        <f t="shared" si="33"/>
        <v>2.8501672818344675E-2</v>
      </c>
      <c r="DW28" s="30">
        <f t="shared" si="33"/>
        <v>4.72440328919424E-2</v>
      </c>
      <c r="DX28" s="30">
        <f t="shared" si="33"/>
        <v>3.502962313735733E-2</v>
      </c>
      <c r="DY28" s="30">
        <f t="shared" si="33"/>
        <v>1.6546393274128331E-2</v>
      </c>
      <c r="DZ28" s="30">
        <f t="shared" si="33"/>
        <v>1.2972212627663376E-2</v>
      </c>
      <c r="EA28" s="30">
        <f t="shared" ref="EA28:EF28" si="34">EA12^2</f>
        <v>4.8842058770262806E-3</v>
      </c>
      <c r="EB28" s="30">
        <f t="shared" si="34"/>
        <v>1.6082579262487864E-2</v>
      </c>
      <c r="EC28" s="30">
        <f t="shared" si="34"/>
        <v>2.4423916648603029E-2</v>
      </c>
      <c r="ED28" s="30">
        <f t="shared" si="34"/>
        <v>0.13446028687101075</v>
      </c>
      <c r="EE28" s="30">
        <f t="shared" si="34"/>
        <v>0.22325700516581848</v>
      </c>
      <c r="EF28" s="30">
        <f t="shared" si="34"/>
        <v>0.53249604053321642</v>
      </c>
      <c r="EG28" s="4"/>
    </row>
    <row r="29" spans="1:137" ht="16" customHeight="1">
      <c r="A29" s="29"/>
      <c r="B29" s="25" t="s">
        <v>138</v>
      </c>
      <c r="C29" s="30">
        <f t="shared" ref="C29:AH29" si="35">C13^2</f>
        <v>2.0047505006893902E-2</v>
      </c>
      <c r="D29" s="30">
        <f t="shared" si="35"/>
        <v>8.5723423958154864E-3</v>
      </c>
      <c r="E29" s="30">
        <f t="shared" si="35"/>
        <v>1.288197568545346E-2</v>
      </c>
      <c r="F29" s="30">
        <f t="shared" si="35"/>
        <v>5.4419799360286685E-5</v>
      </c>
      <c r="G29" s="30">
        <f t="shared" si="35"/>
        <v>0.10153123791112391</v>
      </c>
      <c r="H29" s="30">
        <f t="shared" si="35"/>
        <v>0.17690350998720145</v>
      </c>
      <c r="I29" s="30">
        <f t="shared" si="35"/>
        <v>0.38120220747773892</v>
      </c>
      <c r="J29" s="30">
        <f t="shared" si="35"/>
        <v>0.18802637837535</v>
      </c>
      <c r="K29" s="30">
        <f t="shared" si="35"/>
        <v>6.5673146029726751E-2</v>
      </c>
      <c r="L29" s="30">
        <f t="shared" si="35"/>
        <v>4.4652128555955045E-2</v>
      </c>
      <c r="M29" s="30">
        <f t="shared" si="35"/>
        <v>4.2632346896467263E-2</v>
      </c>
      <c r="N29" s="30">
        <f t="shared" si="35"/>
        <v>0.10752652552803434</v>
      </c>
      <c r="O29" s="30">
        <f t="shared" si="35"/>
        <v>2.4742695736495269E-4</v>
      </c>
      <c r="P29" s="30">
        <f t="shared" si="35"/>
        <v>4.6844024506117075E-3</v>
      </c>
      <c r="Q29" s="30">
        <f t="shared" si="35"/>
        <v>2.7719020230516519E-3</v>
      </c>
      <c r="R29" s="30">
        <f t="shared" si="35"/>
        <v>4.2826701197276612E-4</v>
      </c>
      <c r="S29" s="30">
        <f t="shared" si="35"/>
        <v>6.2296614720390605E-4</v>
      </c>
      <c r="T29" s="30">
        <f t="shared" si="35"/>
        <v>7.5418190557369862E-3</v>
      </c>
      <c r="U29" s="30">
        <f t="shared" si="35"/>
        <v>0.27518914368808794</v>
      </c>
      <c r="V29" s="30">
        <f t="shared" si="35"/>
        <v>0.22964638596160719</v>
      </c>
      <c r="W29" s="30">
        <f t="shared" si="35"/>
        <v>0.13212376872723772</v>
      </c>
      <c r="X29" s="30">
        <f t="shared" si="35"/>
        <v>0.15812272676319264</v>
      </c>
      <c r="Y29" s="30">
        <f t="shared" si="35"/>
        <v>0.22621542849001347</v>
      </c>
      <c r="Z29" s="30">
        <f t="shared" si="35"/>
        <v>8.6436818628566822E-2</v>
      </c>
      <c r="AA29" s="30">
        <f t="shared" si="35"/>
        <v>4.8358010224950593E-2</v>
      </c>
      <c r="AB29" s="30">
        <f t="shared" si="35"/>
        <v>3.3039651081531962E-4</v>
      </c>
      <c r="AC29" s="30">
        <f t="shared" si="35"/>
        <v>6.3984103000309734E-3</v>
      </c>
      <c r="AD29" s="30">
        <f t="shared" si="35"/>
        <v>1.0586965025736412E-2</v>
      </c>
      <c r="AE29" s="30">
        <f t="shared" si="35"/>
        <v>2.0879311696932058E-2</v>
      </c>
      <c r="AF29" s="30">
        <f t="shared" si="35"/>
        <v>8.9528585773376787E-3</v>
      </c>
      <c r="AG29" s="30">
        <f t="shared" si="35"/>
        <v>2.5245423682067017E-2</v>
      </c>
      <c r="AH29" s="30">
        <f t="shared" si="35"/>
        <v>1.4308507100670633E-2</v>
      </c>
      <c r="AI29" s="30">
        <f t="shared" ref="AI29:BN29" si="36">AI13^2</f>
        <v>7.1554771304579406E-2</v>
      </c>
      <c r="AJ29" s="30">
        <f t="shared" si="36"/>
        <v>7.8635478240737147E-2</v>
      </c>
      <c r="AK29" s="30">
        <f t="shared" si="36"/>
        <v>9.4249297676503448E-4</v>
      </c>
      <c r="AL29" s="30">
        <f t="shared" si="36"/>
        <v>2.107601885420753E-3</v>
      </c>
      <c r="AM29" s="30">
        <f t="shared" si="36"/>
        <v>3.0619014152663025E-2</v>
      </c>
      <c r="AN29" s="30">
        <f t="shared" si="36"/>
        <v>1.6167437958556286E-2</v>
      </c>
      <c r="AO29" s="30">
        <f t="shared" si="36"/>
        <v>3.410486311302266E-2</v>
      </c>
      <c r="AP29" s="30">
        <f t="shared" si="36"/>
        <v>7.0920613174141126E-3</v>
      </c>
      <c r="AQ29" s="30">
        <f t="shared" si="36"/>
        <v>3.8394156838161914E-2</v>
      </c>
      <c r="AR29" s="30">
        <f t="shared" si="36"/>
        <v>1.7751174381442095E-2</v>
      </c>
      <c r="AS29" s="30">
        <f t="shared" si="36"/>
        <v>2.7534628608526335E-2</v>
      </c>
      <c r="AT29" s="30">
        <f t="shared" si="36"/>
        <v>4.3252538354924186E-4</v>
      </c>
      <c r="AU29" s="30">
        <f t="shared" si="36"/>
        <v>1.5018775721544988E-4</v>
      </c>
      <c r="AV29" s="30">
        <f t="shared" si="36"/>
        <v>1.7833634936318863E-4</v>
      </c>
      <c r="AW29" s="30">
        <f t="shared" si="36"/>
        <v>2.654171782076872E-2</v>
      </c>
      <c r="AX29" s="30">
        <f t="shared" si="36"/>
        <v>4.5787753559754335E-4</v>
      </c>
      <c r="AY29" s="30">
        <f t="shared" si="36"/>
        <v>0.10139060991702965</v>
      </c>
      <c r="AZ29" s="30">
        <f t="shared" si="36"/>
        <v>5.709246010767096E-2</v>
      </c>
      <c r="BA29" s="30">
        <f t="shared" si="36"/>
        <v>5.2897888479895808E-2</v>
      </c>
      <c r="BB29" s="30">
        <f t="shared" si="36"/>
        <v>5.1156161821735184E-3</v>
      </c>
      <c r="BC29" s="30">
        <f t="shared" si="36"/>
        <v>3.8116342827615196E-2</v>
      </c>
      <c r="BD29" s="30">
        <f t="shared" si="36"/>
        <v>1.8058441659227657E-2</v>
      </c>
      <c r="BE29" s="30">
        <f t="shared" si="36"/>
        <v>0.13285043218373843</v>
      </c>
      <c r="BF29" s="30">
        <f t="shared" si="36"/>
        <v>0.2011365929747925</v>
      </c>
      <c r="BG29" s="30">
        <f t="shared" si="36"/>
        <v>0.18680808550654529</v>
      </c>
      <c r="BH29" s="30">
        <f t="shared" si="36"/>
        <v>7.548864590492281E-2</v>
      </c>
      <c r="BI29" s="30">
        <f t="shared" si="36"/>
        <v>7.6314096561538286E-2</v>
      </c>
      <c r="BJ29" s="30">
        <f t="shared" si="36"/>
        <v>2.4288270582949144E-4</v>
      </c>
      <c r="BK29" s="30">
        <f t="shared" si="36"/>
        <v>1.1194726873527957E-2</v>
      </c>
      <c r="BL29" s="30">
        <f t="shared" si="36"/>
        <v>1.6015156231823788E-2</v>
      </c>
      <c r="BM29" s="30">
        <f t="shared" si="36"/>
        <v>5.220352318453586E-2</v>
      </c>
      <c r="BN29" s="30">
        <f t="shared" si="36"/>
        <v>8.1221992792134767E-2</v>
      </c>
      <c r="BO29" s="30">
        <f t="shared" ref="BO29:CT29" si="37">BO13^2</f>
        <v>1.069904960419674E-2</v>
      </c>
      <c r="BP29" s="30">
        <f t="shared" si="37"/>
        <v>0.14239661114031066</v>
      </c>
      <c r="BQ29" s="30">
        <f t="shared" si="37"/>
        <v>4.0149162361662855E-2</v>
      </c>
      <c r="BR29" s="30">
        <f t="shared" si="37"/>
        <v>5.17001338832224E-2</v>
      </c>
      <c r="BS29" s="30">
        <f t="shared" si="37"/>
        <v>7.840319181133551E-2</v>
      </c>
      <c r="BT29" s="30">
        <f t="shared" si="37"/>
        <v>6.2744449082208914E-2</v>
      </c>
      <c r="BU29" s="30">
        <f t="shared" si="37"/>
        <v>0.16769519350492512</v>
      </c>
      <c r="BV29" s="30">
        <f t="shared" si="37"/>
        <v>7.7921036791955459E-2</v>
      </c>
      <c r="BW29" s="30">
        <f t="shared" si="37"/>
        <v>0.17925639751099526</v>
      </c>
      <c r="BX29" s="30">
        <f t="shared" si="37"/>
        <v>4.277201965344242E-2</v>
      </c>
      <c r="BY29" s="30">
        <f t="shared" si="37"/>
        <v>2.8885233844942328E-2</v>
      </c>
      <c r="BZ29" s="30">
        <f t="shared" si="37"/>
        <v>6.3651005885166062E-2</v>
      </c>
      <c r="CA29" s="30">
        <f t="shared" si="37"/>
        <v>0.10256834409168052</v>
      </c>
      <c r="CB29" s="30">
        <f t="shared" si="37"/>
        <v>0.26485003821099157</v>
      </c>
      <c r="CC29" s="30">
        <f t="shared" si="37"/>
        <v>3.2953167800824516E-2</v>
      </c>
      <c r="CD29" s="30">
        <f t="shared" si="37"/>
        <v>1.4408090259037309E-2</v>
      </c>
      <c r="CE29" s="30">
        <f t="shared" si="37"/>
        <v>6.7305444564119633E-4</v>
      </c>
      <c r="CF29" s="30">
        <f t="shared" si="37"/>
        <v>2.028927335632189E-3</v>
      </c>
      <c r="CG29" s="30">
        <f t="shared" si="37"/>
        <v>0.12563781634920676</v>
      </c>
      <c r="CH29" s="30">
        <f t="shared" si="37"/>
        <v>6.3807994754656677E-2</v>
      </c>
      <c r="CI29" s="30">
        <f t="shared" si="37"/>
        <v>2.072214110580279E-2</v>
      </c>
      <c r="CJ29" s="30">
        <f t="shared" si="37"/>
        <v>7.4565975192821279E-2</v>
      </c>
      <c r="CK29" s="30">
        <f t="shared" si="37"/>
        <v>2.9039042533688818E-4</v>
      </c>
      <c r="CL29" s="30">
        <f t="shared" si="37"/>
        <v>5.8968453509929616E-2</v>
      </c>
      <c r="CM29" s="30">
        <f t="shared" si="37"/>
        <v>3.9169875738940184E-5</v>
      </c>
      <c r="CN29" s="30">
        <f t="shared" si="37"/>
        <v>9.6146573337663618E-2</v>
      </c>
      <c r="CO29" s="30">
        <f t="shared" si="37"/>
        <v>0.23679846411196204</v>
      </c>
      <c r="CP29" s="30">
        <f t="shared" si="37"/>
        <v>0.34295869303310317</v>
      </c>
      <c r="CQ29" s="30">
        <f t="shared" si="37"/>
        <v>4.5593924338772143E-2</v>
      </c>
      <c r="CR29" s="30">
        <f t="shared" si="37"/>
        <v>2.7286455064725736E-2</v>
      </c>
      <c r="CS29" s="30">
        <f t="shared" si="37"/>
        <v>2.5144296091216427E-2</v>
      </c>
      <c r="CT29" s="30">
        <f t="shared" si="37"/>
        <v>8.720403778779684E-2</v>
      </c>
      <c r="CU29" s="30">
        <f t="shared" ref="CU29:DZ29" si="38">CU13^2</f>
        <v>1.5745701708606254E-2</v>
      </c>
      <c r="CV29" s="30">
        <f t="shared" si="38"/>
        <v>2.2747457032733761E-3</v>
      </c>
      <c r="CW29" s="30">
        <f t="shared" si="38"/>
        <v>4.893735438933876E-3</v>
      </c>
      <c r="CX29" s="30">
        <f t="shared" si="38"/>
        <v>8.5484735475938801E-5</v>
      </c>
      <c r="CY29" s="30">
        <f t="shared" si="38"/>
        <v>4.8997171997379788E-4</v>
      </c>
      <c r="CZ29" s="30">
        <f t="shared" si="38"/>
        <v>3.113634539444899E-3</v>
      </c>
      <c r="DA29" s="30">
        <f t="shared" si="38"/>
        <v>2.2000710073179742E-5</v>
      </c>
      <c r="DB29" s="30">
        <f t="shared" si="38"/>
        <v>3.9369318341587703E-2</v>
      </c>
      <c r="DC29" s="30">
        <f t="shared" si="38"/>
        <v>2.1950728260332845E-2</v>
      </c>
      <c r="DD29" s="30">
        <f t="shared" si="38"/>
        <v>6.1542246316697961E-3</v>
      </c>
      <c r="DE29" s="30">
        <f t="shared" si="38"/>
        <v>1.2065779227166886E-3</v>
      </c>
      <c r="DF29" s="30">
        <f t="shared" si="38"/>
        <v>5.4334939543582837E-2</v>
      </c>
      <c r="DG29" s="30">
        <f t="shared" si="38"/>
        <v>1.1125170390702424E-2</v>
      </c>
      <c r="DH29" s="30">
        <f t="shared" si="38"/>
        <v>6.7727774420830847E-2</v>
      </c>
      <c r="DI29" s="30">
        <f t="shared" si="38"/>
        <v>5.9254329318028286E-2</v>
      </c>
      <c r="DJ29" s="30">
        <f t="shared" si="38"/>
        <v>3.7970084568573884E-3</v>
      </c>
      <c r="DK29" s="30">
        <f t="shared" si="38"/>
        <v>7.9459118179054915E-3</v>
      </c>
      <c r="DL29" s="30">
        <f t="shared" si="38"/>
        <v>8.5574935694922966E-4</v>
      </c>
      <c r="DM29" s="30">
        <f t="shared" si="38"/>
        <v>2.0266780475656474E-2</v>
      </c>
      <c r="DN29" s="30">
        <f t="shared" si="38"/>
        <v>2.1360574738261119E-2</v>
      </c>
      <c r="DO29" s="30">
        <f t="shared" si="38"/>
        <v>2.4087703923867444E-3</v>
      </c>
      <c r="DP29" s="30">
        <f t="shared" si="38"/>
        <v>0.16259411154270015</v>
      </c>
      <c r="DQ29" s="30">
        <f t="shared" si="38"/>
        <v>0.21645218366596883</v>
      </c>
      <c r="DR29" s="30">
        <f t="shared" si="38"/>
        <v>6.4981770258599553E-2</v>
      </c>
      <c r="DS29" s="30">
        <f t="shared" si="38"/>
        <v>2.0996486318054133E-2</v>
      </c>
      <c r="DT29" s="30">
        <f t="shared" si="38"/>
        <v>1.2022655123971845E-2</v>
      </c>
      <c r="DU29" s="30">
        <f t="shared" si="38"/>
        <v>2.1505619299634026E-2</v>
      </c>
      <c r="DV29" s="30">
        <f t="shared" si="38"/>
        <v>0.14074000042297641</v>
      </c>
      <c r="DW29" s="30">
        <f t="shared" si="38"/>
        <v>8.8458573449165342E-2</v>
      </c>
      <c r="DX29" s="30">
        <f t="shared" si="38"/>
        <v>3.8197880162395774E-2</v>
      </c>
      <c r="DY29" s="30">
        <f t="shared" si="38"/>
        <v>6.7944190184160702E-3</v>
      </c>
      <c r="DZ29" s="30">
        <f t="shared" si="38"/>
        <v>3.4412106966885073E-3</v>
      </c>
      <c r="EA29" s="30">
        <f t="shared" ref="EA29:EF29" si="39">EA13^2</f>
        <v>2.1882821320586073E-3</v>
      </c>
      <c r="EB29" s="30">
        <f t="shared" si="39"/>
        <v>2.6943004065820148E-2</v>
      </c>
      <c r="EC29" s="30">
        <f t="shared" si="39"/>
        <v>1.4488869174480326E-3</v>
      </c>
      <c r="ED29" s="30">
        <f t="shared" si="39"/>
        <v>3.0600199202275215E-3</v>
      </c>
      <c r="EE29" s="30">
        <f t="shared" si="39"/>
        <v>2.0853883336532895E-3</v>
      </c>
      <c r="EF29" s="30">
        <f t="shared" si="39"/>
        <v>2.2893359865264347E-4</v>
      </c>
      <c r="EG29" s="4"/>
    </row>
    <row r="30" spans="1:137" ht="16" customHeight="1">
      <c r="A30" s="4"/>
      <c r="B30" s="25" t="s">
        <v>139</v>
      </c>
      <c r="C30" s="30">
        <f t="shared" ref="C30:AH30" si="40">C14^2</f>
        <v>3.0567189755982323E-3</v>
      </c>
      <c r="D30" s="30">
        <f t="shared" si="40"/>
        <v>2.0866665537478617E-2</v>
      </c>
      <c r="E30" s="30">
        <f t="shared" si="40"/>
        <v>8.3596828051190047E-3</v>
      </c>
      <c r="F30" s="30">
        <f t="shared" si="40"/>
        <v>0.12599077833640268</v>
      </c>
      <c r="G30" s="30">
        <f t="shared" si="40"/>
        <v>4.8064591113121821E-2</v>
      </c>
      <c r="H30" s="30">
        <f t="shared" si="40"/>
        <v>8.0164973863595668E-2</v>
      </c>
      <c r="I30" s="30">
        <f t="shared" si="40"/>
        <v>0.1379622256580966</v>
      </c>
      <c r="J30" s="30">
        <f t="shared" si="40"/>
        <v>0.16861214347796438</v>
      </c>
      <c r="K30" s="30">
        <f t="shared" si="40"/>
        <v>0.16621875283089982</v>
      </c>
      <c r="L30" s="30">
        <f t="shared" si="40"/>
        <v>5.1260933889684071E-5</v>
      </c>
      <c r="M30" s="30">
        <f t="shared" si="40"/>
        <v>5.424041315599044E-5</v>
      </c>
      <c r="N30" s="30">
        <f t="shared" si="40"/>
        <v>2.6538797259457341E-3</v>
      </c>
      <c r="O30" s="30">
        <f t="shared" si="40"/>
        <v>6.4649214014577669E-2</v>
      </c>
      <c r="P30" s="30">
        <f t="shared" si="40"/>
        <v>6.3398745971291692E-2</v>
      </c>
      <c r="Q30" s="30">
        <f t="shared" si="40"/>
        <v>4.9210776777464993E-2</v>
      </c>
      <c r="R30" s="30">
        <f t="shared" si="40"/>
        <v>6.0341086526951991E-2</v>
      </c>
      <c r="S30" s="30">
        <f t="shared" si="40"/>
        <v>4.753528014606228E-2</v>
      </c>
      <c r="T30" s="30">
        <f t="shared" si="40"/>
        <v>5.2376570573825741E-2</v>
      </c>
      <c r="U30" s="30">
        <f t="shared" si="40"/>
        <v>1.4719419445655549E-3</v>
      </c>
      <c r="V30" s="30">
        <f t="shared" si="40"/>
        <v>6.2168268945775347E-8</v>
      </c>
      <c r="W30" s="30">
        <f t="shared" si="40"/>
        <v>4.8876082354503917E-3</v>
      </c>
      <c r="X30" s="30">
        <f t="shared" si="40"/>
        <v>4.1685735341372909E-3</v>
      </c>
      <c r="Y30" s="30">
        <f t="shared" si="40"/>
        <v>1.7310007539475959E-3</v>
      </c>
      <c r="Z30" s="30">
        <f t="shared" si="40"/>
        <v>3.9204065112333447E-4</v>
      </c>
      <c r="AA30" s="30">
        <f t="shared" si="40"/>
        <v>5.2046544351040955E-3</v>
      </c>
      <c r="AB30" s="30">
        <f t="shared" si="40"/>
        <v>4.685692815821348E-3</v>
      </c>
      <c r="AC30" s="30">
        <f t="shared" si="40"/>
        <v>1.0632336161279872E-3</v>
      </c>
      <c r="AD30" s="30">
        <f t="shared" si="40"/>
        <v>3.0957155141140121E-4</v>
      </c>
      <c r="AE30" s="30">
        <f t="shared" si="40"/>
        <v>8.4211896942732537E-6</v>
      </c>
      <c r="AF30" s="30">
        <f t="shared" si="40"/>
        <v>5.0551072996210814E-6</v>
      </c>
      <c r="AG30" s="30">
        <f t="shared" si="40"/>
        <v>3.1148982041894487E-5</v>
      </c>
      <c r="AH30" s="30">
        <f t="shared" si="40"/>
        <v>4.4677672835415603E-5</v>
      </c>
      <c r="AI30" s="30">
        <f t="shared" ref="AI30:BN30" si="41">AI14^2</f>
        <v>1.9196086195947525E-6</v>
      </c>
      <c r="AJ30" s="30">
        <f t="shared" si="41"/>
        <v>7.4789933581883966E-7</v>
      </c>
      <c r="AK30" s="30">
        <f t="shared" si="41"/>
        <v>3.187970462439843E-3</v>
      </c>
      <c r="AL30" s="30">
        <f t="shared" si="41"/>
        <v>6.1611525495013086E-3</v>
      </c>
      <c r="AM30" s="30">
        <f t="shared" si="41"/>
        <v>1.2604392614756604E-2</v>
      </c>
      <c r="AN30" s="30">
        <f t="shared" si="41"/>
        <v>5.2655754195050204E-2</v>
      </c>
      <c r="AO30" s="30">
        <f t="shared" si="41"/>
        <v>1.9547754843790247E-2</v>
      </c>
      <c r="AP30" s="30">
        <f t="shared" si="41"/>
        <v>1.2166957267971793E-2</v>
      </c>
      <c r="AQ30" s="30">
        <f t="shared" si="41"/>
        <v>2.8430727807880401E-2</v>
      </c>
      <c r="AR30" s="30">
        <f t="shared" si="41"/>
        <v>1.8819187676609533E-2</v>
      </c>
      <c r="AS30" s="30">
        <f t="shared" si="41"/>
        <v>2.7163943428241992E-3</v>
      </c>
      <c r="AT30" s="30">
        <f t="shared" si="41"/>
        <v>2.0262966746829088E-2</v>
      </c>
      <c r="AU30" s="30">
        <f t="shared" si="41"/>
        <v>2.4262006352508081E-2</v>
      </c>
      <c r="AV30" s="30">
        <f t="shared" si="41"/>
        <v>2.1000831788837045E-2</v>
      </c>
      <c r="AW30" s="30">
        <f t="shared" si="41"/>
        <v>3.4366518590693285E-2</v>
      </c>
      <c r="AX30" s="30">
        <f t="shared" si="41"/>
        <v>1.8673864213996624E-2</v>
      </c>
      <c r="AY30" s="30">
        <f t="shared" si="41"/>
        <v>2.1305053993802017E-2</v>
      </c>
      <c r="AZ30" s="30">
        <f t="shared" si="41"/>
        <v>7.0245037588340511E-2</v>
      </c>
      <c r="BA30" s="30">
        <f t="shared" si="41"/>
        <v>2.1540145869672719E-2</v>
      </c>
      <c r="BB30" s="30">
        <f t="shared" si="41"/>
        <v>1.1174457854088864E-5</v>
      </c>
      <c r="BC30" s="30">
        <f t="shared" si="41"/>
        <v>4.9717048722625968E-3</v>
      </c>
      <c r="BD30" s="30">
        <f t="shared" si="41"/>
        <v>1.2454862359893718E-3</v>
      </c>
      <c r="BE30" s="30">
        <f t="shared" si="41"/>
        <v>1.243097999709289E-3</v>
      </c>
      <c r="BF30" s="30">
        <f t="shared" si="41"/>
        <v>1.505472217919147E-3</v>
      </c>
      <c r="BG30" s="30">
        <f t="shared" si="41"/>
        <v>2.865110045903287E-3</v>
      </c>
      <c r="BH30" s="30">
        <f t="shared" si="41"/>
        <v>3.2283563895354139E-2</v>
      </c>
      <c r="BI30" s="30">
        <f t="shared" si="41"/>
        <v>2.3985085912934249E-2</v>
      </c>
      <c r="BJ30" s="30">
        <f t="shared" si="41"/>
        <v>1.4174286973907699E-2</v>
      </c>
      <c r="BK30" s="30">
        <f t="shared" si="41"/>
        <v>1.6985195900348447E-2</v>
      </c>
      <c r="BL30" s="30">
        <f t="shared" si="41"/>
        <v>8.7105892994672994E-3</v>
      </c>
      <c r="BM30" s="30">
        <f t="shared" si="41"/>
        <v>6.4455241899040614E-3</v>
      </c>
      <c r="BN30" s="30">
        <f t="shared" si="41"/>
        <v>4.3102100272182246E-2</v>
      </c>
      <c r="BO30" s="30">
        <f t="shared" ref="BO30:CT30" si="42">BO14^2</f>
        <v>3.522628393376958E-2</v>
      </c>
      <c r="BP30" s="30">
        <f t="shared" si="42"/>
        <v>1.6879521761923786E-2</v>
      </c>
      <c r="BQ30" s="30">
        <f t="shared" si="42"/>
        <v>9.7450569846250796E-3</v>
      </c>
      <c r="BR30" s="30">
        <f t="shared" si="42"/>
        <v>2.0461008732106322E-3</v>
      </c>
      <c r="BS30" s="30">
        <f t="shared" si="42"/>
        <v>1.8984381127691845E-2</v>
      </c>
      <c r="BT30" s="30">
        <f t="shared" si="42"/>
        <v>2.2057107582283018E-3</v>
      </c>
      <c r="BU30" s="30">
        <f t="shared" si="42"/>
        <v>6.167873318218507E-3</v>
      </c>
      <c r="BV30" s="30">
        <f t="shared" si="42"/>
        <v>1.4472220895118994E-2</v>
      </c>
      <c r="BW30" s="30">
        <f t="shared" si="42"/>
        <v>3.5707228045570331E-3</v>
      </c>
      <c r="BX30" s="30">
        <f t="shared" si="42"/>
        <v>4.0384823627630708E-3</v>
      </c>
      <c r="BY30" s="30">
        <f t="shared" si="42"/>
        <v>4.2308664493665993E-5</v>
      </c>
      <c r="BZ30" s="30">
        <f t="shared" si="42"/>
        <v>2.6696175177759558E-3</v>
      </c>
      <c r="CA30" s="30">
        <f t="shared" si="42"/>
        <v>6.270332949033737E-3</v>
      </c>
      <c r="CB30" s="30">
        <f t="shared" si="42"/>
        <v>1.2719572116769549E-2</v>
      </c>
      <c r="CC30" s="30">
        <f t="shared" si="42"/>
        <v>4.4957573782111876E-3</v>
      </c>
      <c r="CD30" s="30">
        <f t="shared" si="42"/>
        <v>4.4605538802302063E-3</v>
      </c>
      <c r="CE30" s="30">
        <f t="shared" si="42"/>
        <v>2.1682910573555497E-3</v>
      </c>
      <c r="CF30" s="30">
        <f t="shared" si="42"/>
        <v>1.4231472185312143E-2</v>
      </c>
      <c r="CG30" s="30">
        <f t="shared" si="42"/>
        <v>2.8252393307370335E-3</v>
      </c>
      <c r="CH30" s="30">
        <f t="shared" si="42"/>
        <v>8.5769099168278035E-3</v>
      </c>
      <c r="CI30" s="30">
        <f t="shared" si="42"/>
        <v>1.1887817982462986E-2</v>
      </c>
      <c r="CJ30" s="30">
        <f t="shared" si="42"/>
        <v>4.3023746632060373E-3</v>
      </c>
      <c r="CK30" s="30">
        <f t="shared" si="42"/>
        <v>7.8671281094014733E-3</v>
      </c>
      <c r="CL30" s="30">
        <f t="shared" si="42"/>
        <v>8.0232644643046438E-3</v>
      </c>
      <c r="CM30" s="30">
        <f t="shared" si="42"/>
        <v>4.2858854928683474E-3</v>
      </c>
      <c r="CN30" s="30">
        <f t="shared" si="42"/>
        <v>8.867447549497084E-4</v>
      </c>
      <c r="CO30" s="30">
        <f t="shared" si="42"/>
        <v>5.2574244988216386E-3</v>
      </c>
      <c r="CP30" s="30">
        <f t="shared" si="42"/>
        <v>1.6987424607269185E-4</v>
      </c>
      <c r="CQ30" s="30">
        <f t="shared" si="42"/>
        <v>9.1575754792564459E-5</v>
      </c>
      <c r="CR30" s="30">
        <f t="shared" si="42"/>
        <v>6.1480954707327277E-4</v>
      </c>
      <c r="CS30" s="30">
        <f t="shared" si="42"/>
        <v>2.3631379504100826E-3</v>
      </c>
      <c r="CT30" s="30">
        <f t="shared" si="42"/>
        <v>3.7079600719229031E-3</v>
      </c>
      <c r="CU30" s="30">
        <f t="shared" ref="CU30:DZ30" si="43">CU14^2</f>
        <v>1.1820956757744719E-3</v>
      </c>
      <c r="CV30" s="30">
        <f t="shared" si="43"/>
        <v>2.883217627112062E-2</v>
      </c>
      <c r="CW30" s="30">
        <f t="shared" si="43"/>
        <v>4.1802903409593965E-2</v>
      </c>
      <c r="CX30" s="30">
        <f t="shared" si="43"/>
        <v>1.3614063303693207E-2</v>
      </c>
      <c r="CY30" s="30">
        <f t="shared" si="43"/>
        <v>4.0232912328214528E-4</v>
      </c>
      <c r="CZ30" s="30">
        <f t="shared" si="43"/>
        <v>2.1912127352918185E-6</v>
      </c>
      <c r="DA30" s="30">
        <f t="shared" si="43"/>
        <v>5.3592782088438158E-4</v>
      </c>
      <c r="DB30" s="30">
        <f t="shared" si="43"/>
        <v>3.6721926104526542E-2</v>
      </c>
      <c r="DC30" s="30">
        <f t="shared" si="43"/>
        <v>7.390338495720887E-2</v>
      </c>
      <c r="DD30" s="30">
        <f t="shared" si="43"/>
        <v>4.5409961094093142E-2</v>
      </c>
      <c r="DE30" s="30">
        <f t="shared" si="43"/>
        <v>2.631504367964544E-2</v>
      </c>
      <c r="DF30" s="30">
        <f t="shared" si="43"/>
        <v>4.0809074089309026E-2</v>
      </c>
      <c r="DG30" s="30">
        <f t="shared" si="43"/>
        <v>3.0081836144071103E-2</v>
      </c>
      <c r="DH30" s="30">
        <f t="shared" si="43"/>
        <v>1.0261176272058079E-6</v>
      </c>
      <c r="DI30" s="30">
        <f t="shared" si="43"/>
        <v>5.8072725902409677E-3</v>
      </c>
      <c r="DJ30" s="30">
        <f t="shared" si="43"/>
        <v>4.6292053175401686E-3</v>
      </c>
      <c r="DK30" s="30">
        <f t="shared" si="43"/>
        <v>3.3677840512988852E-3</v>
      </c>
      <c r="DL30" s="30">
        <f t="shared" si="43"/>
        <v>9.3547555795088302E-5</v>
      </c>
      <c r="DM30" s="30">
        <f t="shared" si="43"/>
        <v>1.700600175580912E-2</v>
      </c>
      <c r="DN30" s="30">
        <f t="shared" si="43"/>
        <v>8.4438310732102326E-2</v>
      </c>
      <c r="DO30" s="30">
        <f t="shared" si="43"/>
        <v>0.1429195069783539</v>
      </c>
      <c r="DP30" s="30">
        <f t="shared" si="43"/>
        <v>0.1494594242008519</v>
      </c>
      <c r="DQ30" s="30">
        <f t="shared" si="43"/>
        <v>0.15098355107024353</v>
      </c>
      <c r="DR30" s="30">
        <f t="shared" si="43"/>
        <v>4.9512293703455043E-2</v>
      </c>
      <c r="DS30" s="30">
        <f t="shared" si="43"/>
        <v>3.1966482606677997E-2</v>
      </c>
      <c r="DT30" s="30">
        <f t="shared" si="43"/>
        <v>2.389644803771912E-2</v>
      </c>
      <c r="DU30" s="30">
        <f t="shared" si="43"/>
        <v>3.7651339292669749E-3</v>
      </c>
      <c r="DV30" s="30">
        <f t="shared" si="43"/>
        <v>7.8276459255495565E-4</v>
      </c>
      <c r="DW30" s="30">
        <f t="shared" si="43"/>
        <v>1.0183535611409478E-3</v>
      </c>
      <c r="DX30" s="30">
        <f t="shared" si="43"/>
        <v>9.9749343632073925E-3</v>
      </c>
      <c r="DY30" s="30">
        <f t="shared" si="43"/>
        <v>1.2134286798545422E-5</v>
      </c>
      <c r="DZ30" s="30">
        <f t="shared" si="43"/>
        <v>7.8847667619022944E-4</v>
      </c>
      <c r="EA30" s="30">
        <f t="shared" ref="EA30:EF30" si="44">EA14^2</f>
        <v>3.1958165065044356E-6</v>
      </c>
      <c r="EB30" s="30">
        <f t="shared" si="44"/>
        <v>8.1516452680744002E-3</v>
      </c>
      <c r="EC30" s="30">
        <f t="shared" si="44"/>
        <v>2.8469722523276476E-3</v>
      </c>
      <c r="ED30" s="30">
        <f t="shared" si="44"/>
        <v>4.2563398478478176E-3</v>
      </c>
      <c r="EE30" s="30">
        <f t="shared" si="44"/>
        <v>1.7240023556872478E-3</v>
      </c>
      <c r="EF30" s="30">
        <f t="shared" si="44"/>
        <v>1.2297590319821929E-3</v>
      </c>
      <c r="EG30" s="4"/>
    </row>
    <row r="31" spans="1:137" ht="18" customHeight="1">
      <c r="B31" s="25" t="s">
        <v>140</v>
      </c>
      <c r="C31" s="30">
        <f t="shared" ref="C31:AH31" si="45">C15^2</f>
        <v>1.0107218740567237E-3</v>
      </c>
      <c r="D31" s="30">
        <f t="shared" si="45"/>
        <v>1.540416948579232E-2</v>
      </c>
      <c r="E31" s="30">
        <f t="shared" si="45"/>
        <v>3.4420454790125191E-2</v>
      </c>
      <c r="F31" s="30">
        <f t="shared" si="45"/>
        <v>0.26781156113945886</v>
      </c>
      <c r="G31" s="30">
        <f t="shared" si="45"/>
        <v>0.22722398835826432</v>
      </c>
      <c r="H31" s="30">
        <f t="shared" si="45"/>
        <v>0.20905705167757771</v>
      </c>
      <c r="I31" s="30">
        <f t="shared" si="45"/>
        <v>0.27925812968053337</v>
      </c>
      <c r="J31" s="30">
        <f t="shared" si="45"/>
        <v>0.18401282128276944</v>
      </c>
      <c r="K31" s="30">
        <f t="shared" si="45"/>
        <v>0.1702538944131316</v>
      </c>
      <c r="L31" s="30">
        <f t="shared" si="45"/>
        <v>1.7337294129925646E-5</v>
      </c>
      <c r="M31" s="30">
        <f t="shared" si="45"/>
        <v>7.1780245295612185E-4</v>
      </c>
      <c r="N31" s="30">
        <f t="shared" si="45"/>
        <v>1.0916759471329109E-2</v>
      </c>
      <c r="O31" s="30">
        <f t="shared" si="45"/>
        <v>1.9546609838398269E-3</v>
      </c>
      <c r="P31" s="30">
        <f t="shared" si="45"/>
        <v>3.3996591296064122E-3</v>
      </c>
      <c r="Q31" s="30">
        <f t="shared" si="45"/>
        <v>4.7105324399250373E-3</v>
      </c>
      <c r="R31" s="30">
        <f t="shared" si="45"/>
        <v>1.5302414390929659E-3</v>
      </c>
      <c r="S31" s="30">
        <f t="shared" si="45"/>
        <v>2.0475252694962805E-4</v>
      </c>
      <c r="T31" s="30">
        <f t="shared" si="45"/>
        <v>2.2500143487146837E-3</v>
      </c>
      <c r="U31" s="30">
        <f t="shared" si="45"/>
        <v>3.4247632604073447E-5</v>
      </c>
      <c r="V31" s="30">
        <f t="shared" si="45"/>
        <v>7.1464744066359444E-3</v>
      </c>
      <c r="W31" s="30">
        <f t="shared" si="45"/>
        <v>4.4229533144573362E-2</v>
      </c>
      <c r="X31" s="30">
        <f t="shared" si="45"/>
        <v>8.9346545565326396E-2</v>
      </c>
      <c r="Y31" s="30">
        <f t="shared" si="45"/>
        <v>8.2367175574303564E-2</v>
      </c>
      <c r="Z31" s="30">
        <f t="shared" si="45"/>
        <v>5.9501532144016774E-2</v>
      </c>
      <c r="AA31" s="30">
        <f t="shared" si="45"/>
        <v>7.1125589942884135E-2</v>
      </c>
      <c r="AB31" s="30">
        <f t="shared" si="45"/>
        <v>7.1019478757556709E-2</v>
      </c>
      <c r="AC31" s="30">
        <f t="shared" si="45"/>
        <v>8.5069913013325962E-3</v>
      </c>
      <c r="AD31" s="30">
        <f t="shared" si="45"/>
        <v>1.317792388598389E-2</v>
      </c>
      <c r="AE31" s="30">
        <f t="shared" si="45"/>
        <v>1.4983694416101194E-2</v>
      </c>
      <c r="AF31" s="30">
        <f t="shared" si="45"/>
        <v>9.0711032285162013E-3</v>
      </c>
      <c r="AG31" s="30">
        <f t="shared" si="45"/>
        <v>6.2044685079414913E-3</v>
      </c>
      <c r="AH31" s="30">
        <f t="shared" si="45"/>
        <v>1.0467380176846668E-2</v>
      </c>
      <c r="AI31" s="30">
        <f t="shared" ref="AI31:BN31" si="46">AI15^2</f>
        <v>3.2789760220348144E-3</v>
      </c>
      <c r="AJ31" s="30">
        <f t="shared" si="46"/>
        <v>1.8923594278143154E-4</v>
      </c>
      <c r="AK31" s="30">
        <f t="shared" si="46"/>
        <v>5.6182180226001296E-3</v>
      </c>
      <c r="AL31" s="30">
        <f t="shared" si="46"/>
        <v>3.4446783624495756E-3</v>
      </c>
      <c r="AM31" s="30">
        <f t="shared" si="46"/>
        <v>2.8701973495734892E-5</v>
      </c>
      <c r="AN31" s="30">
        <f t="shared" si="46"/>
        <v>1.3250792970581553E-4</v>
      </c>
      <c r="AO31" s="30">
        <f t="shared" si="46"/>
        <v>1.9353710433311308E-3</v>
      </c>
      <c r="AP31" s="30">
        <f t="shared" si="46"/>
        <v>1.9225999718590036E-4</v>
      </c>
      <c r="AQ31" s="30">
        <f t="shared" si="46"/>
        <v>1.430851242382929E-3</v>
      </c>
      <c r="AR31" s="30">
        <f t="shared" si="46"/>
        <v>4.1607826003596481E-6</v>
      </c>
      <c r="AS31" s="30">
        <f t="shared" si="46"/>
        <v>1.8428145009084813E-2</v>
      </c>
      <c r="AT31" s="30">
        <f t="shared" si="46"/>
        <v>9.2659925042831697E-3</v>
      </c>
      <c r="AU31" s="30">
        <f t="shared" si="46"/>
        <v>1.2067556019375824E-2</v>
      </c>
      <c r="AV31" s="30">
        <f t="shared" si="46"/>
        <v>2.9213583766447143E-3</v>
      </c>
      <c r="AW31" s="30">
        <f t="shared" si="46"/>
        <v>8.2925711539657172E-3</v>
      </c>
      <c r="AX31" s="30">
        <f t="shared" si="46"/>
        <v>1.15328056607464E-5</v>
      </c>
      <c r="AY31" s="30">
        <f t="shared" si="46"/>
        <v>5.0692938028590066E-3</v>
      </c>
      <c r="AZ31" s="30">
        <f t="shared" si="46"/>
        <v>5.482066501257616E-3</v>
      </c>
      <c r="BA31" s="30">
        <f t="shared" si="46"/>
        <v>1.8157117862741115E-2</v>
      </c>
      <c r="BB31" s="30">
        <f t="shared" si="46"/>
        <v>3.4165707304458927E-2</v>
      </c>
      <c r="BC31" s="30">
        <f t="shared" si="46"/>
        <v>2.9555204800358996E-2</v>
      </c>
      <c r="BD31" s="30">
        <f t="shared" si="46"/>
        <v>3.619934228871223E-2</v>
      </c>
      <c r="BE31" s="30">
        <f t="shared" si="46"/>
        <v>3.3543477886841699E-2</v>
      </c>
      <c r="BF31" s="30">
        <f t="shared" si="46"/>
        <v>1.3667047979837461E-2</v>
      </c>
      <c r="BG31" s="30">
        <f t="shared" si="46"/>
        <v>1.5202964759658004E-2</v>
      </c>
      <c r="BH31" s="30">
        <f t="shared" si="46"/>
        <v>2.359179876742078E-2</v>
      </c>
      <c r="BI31" s="30">
        <f t="shared" si="46"/>
        <v>1.9698498851493169E-2</v>
      </c>
      <c r="BJ31" s="30">
        <f t="shared" si="46"/>
        <v>5.5063860796149389E-2</v>
      </c>
      <c r="BK31" s="30">
        <f t="shared" si="46"/>
        <v>7.4503752035115722E-2</v>
      </c>
      <c r="BL31" s="30">
        <f t="shared" si="46"/>
        <v>8.3831702025629562E-2</v>
      </c>
      <c r="BM31" s="30">
        <f t="shared" si="46"/>
        <v>3.5320215585009206E-3</v>
      </c>
      <c r="BN31" s="30">
        <f t="shared" si="46"/>
        <v>1.571981161598749E-2</v>
      </c>
      <c r="BO31" s="30">
        <f t="shared" ref="BO31:CT31" si="47">BO15^2</f>
        <v>8.9117938655602254E-3</v>
      </c>
      <c r="BP31" s="30">
        <f t="shared" si="47"/>
        <v>4.8943098922276057E-4</v>
      </c>
      <c r="BQ31" s="30">
        <f t="shared" si="47"/>
        <v>1.5200912539908699E-3</v>
      </c>
      <c r="BR31" s="30">
        <f t="shared" si="47"/>
        <v>1.5944596045789244E-3</v>
      </c>
      <c r="BS31" s="30">
        <f t="shared" si="47"/>
        <v>1.8194568184012085E-3</v>
      </c>
      <c r="BT31" s="30">
        <f t="shared" si="47"/>
        <v>1.3540322297754927E-3</v>
      </c>
      <c r="BU31" s="30">
        <f t="shared" si="47"/>
        <v>5.9065343858550872E-3</v>
      </c>
      <c r="BV31" s="30">
        <f t="shared" si="47"/>
        <v>7.5472053435359596E-3</v>
      </c>
      <c r="BW31" s="30">
        <f t="shared" si="47"/>
        <v>2.0578243104668638E-3</v>
      </c>
      <c r="BX31" s="30">
        <f t="shared" si="47"/>
        <v>1.1283282655913372E-3</v>
      </c>
      <c r="BY31" s="30">
        <f t="shared" si="47"/>
        <v>2.5847684350218756E-3</v>
      </c>
      <c r="BZ31" s="30">
        <f t="shared" si="47"/>
        <v>8.1496547640768548E-3</v>
      </c>
      <c r="CA31" s="30">
        <f t="shared" si="47"/>
        <v>9.1592959422478783E-3</v>
      </c>
      <c r="CB31" s="30">
        <f t="shared" si="47"/>
        <v>1.0084923375787341E-2</v>
      </c>
      <c r="CC31" s="30">
        <f t="shared" si="47"/>
        <v>1.8001183661768793E-2</v>
      </c>
      <c r="CD31" s="30">
        <f t="shared" si="47"/>
        <v>4.8741735341212809E-3</v>
      </c>
      <c r="CE31" s="30">
        <f t="shared" si="47"/>
        <v>2.8643698738699081E-3</v>
      </c>
      <c r="CF31" s="30">
        <f t="shared" si="47"/>
        <v>1.900747380858692E-2</v>
      </c>
      <c r="CG31" s="30">
        <f t="shared" si="47"/>
        <v>3.7454330309016348E-2</v>
      </c>
      <c r="CH31" s="30">
        <f t="shared" si="47"/>
        <v>6.8784755691751742E-2</v>
      </c>
      <c r="CI31" s="30">
        <f t="shared" si="47"/>
        <v>0.13115985964946891</v>
      </c>
      <c r="CJ31" s="30">
        <f t="shared" si="47"/>
        <v>2.9716990715045907E-2</v>
      </c>
      <c r="CK31" s="30">
        <f t="shared" si="47"/>
        <v>5.78379275112497E-2</v>
      </c>
      <c r="CL31" s="30">
        <f t="shared" si="47"/>
        <v>8.9016678917862725E-4</v>
      </c>
      <c r="CM31" s="30">
        <f t="shared" si="47"/>
        <v>2.3497181906612483E-3</v>
      </c>
      <c r="CN31" s="30">
        <f t="shared" si="47"/>
        <v>1.5481658792773313E-3</v>
      </c>
      <c r="CO31" s="30">
        <f t="shared" si="47"/>
        <v>1.3550812929448335E-2</v>
      </c>
      <c r="CP31" s="30">
        <f t="shared" si="47"/>
        <v>7.8146368272808179E-4</v>
      </c>
      <c r="CQ31" s="30">
        <f t="shared" si="47"/>
        <v>1.3800985222624471E-2</v>
      </c>
      <c r="CR31" s="30">
        <f t="shared" si="47"/>
        <v>8.7296016706973434E-4</v>
      </c>
      <c r="CS31" s="30">
        <f t="shared" si="47"/>
        <v>1.1559783965691165E-4</v>
      </c>
      <c r="CT31" s="30">
        <f t="shared" si="47"/>
        <v>2.611145956278716E-3</v>
      </c>
      <c r="CU31" s="30">
        <f t="shared" ref="CU31:DZ31" si="48">CU15^2</f>
        <v>1.1714638075554973E-2</v>
      </c>
      <c r="CV31" s="30">
        <f t="shared" si="48"/>
        <v>1.0021030032856079E-2</v>
      </c>
      <c r="CW31" s="30">
        <f t="shared" si="48"/>
        <v>6.7956708149962686E-3</v>
      </c>
      <c r="CX31" s="30">
        <f t="shared" si="48"/>
        <v>2.087057282343216E-2</v>
      </c>
      <c r="CY31" s="30">
        <f t="shared" si="48"/>
        <v>2.3823838623751684E-4</v>
      </c>
      <c r="CZ31" s="30">
        <f t="shared" si="48"/>
        <v>4.6834781421329266E-3</v>
      </c>
      <c r="DA31" s="30">
        <f t="shared" si="48"/>
        <v>1.671595293304563E-3</v>
      </c>
      <c r="DB31" s="30">
        <f t="shared" si="48"/>
        <v>8.1432851424950801E-3</v>
      </c>
      <c r="DC31" s="30">
        <f t="shared" si="48"/>
        <v>5.3158881109708145E-3</v>
      </c>
      <c r="DD31" s="30">
        <f t="shared" si="48"/>
        <v>5.491035847583068E-3</v>
      </c>
      <c r="DE31" s="30">
        <f t="shared" si="48"/>
        <v>1.4574201464018102E-3</v>
      </c>
      <c r="DF31" s="30">
        <f t="shared" si="48"/>
        <v>6.4587568532861166E-3</v>
      </c>
      <c r="DG31" s="30">
        <f t="shared" si="48"/>
        <v>7.1847359589927891E-3</v>
      </c>
      <c r="DH31" s="30">
        <f t="shared" si="48"/>
        <v>2.075879966695328E-3</v>
      </c>
      <c r="DI31" s="30">
        <f t="shared" si="48"/>
        <v>2.3359849150452681E-4</v>
      </c>
      <c r="DJ31" s="30">
        <f t="shared" si="48"/>
        <v>7.4594318265129239E-3</v>
      </c>
      <c r="DK31" s="30">
        <f t="shared" si="48"/>
        <v>6.9363899816193087E-3</v>
      </c>
      <c r="DL31" s="30">
        <f t="shared" si="48"/>
        <v>9.6539397134265834E-2</v>
      </c>
      <c r="DM31" s="30">
        <f t="shared" si="48"/>
        <v>0.23927342619351294</v>
      </c>
      <c r="DN31" s="30">
        <f t="shared" si="48"/>
        <v>0.38085872043722291</v>
      </c>
      <c r="DO31" s="30">
        <f t="shared" si="48"/>
        <v>0.4127017702113619</v>
      </c>
      <c r="DP31" s="30">
        <f t="shared" si="48"/>
        <v>0.26638733939188863</v>
      </c>
      <c r="DQ31" s="30">
        <f t="shared" si="48"/>
        <v>0.28655687730496221</v>
      </c>
      <c r="DR31" s="30">
        <f t="shared" si="48"/>
        <v>4.2606151359050763E-2</v>
      </c>
      <c r="DS31" s="30">
        <f t="shared" si="48"/>
        <v>1.3517121665540105E-3</v>
      </c>
      <c r="DT31" s="30">
        <f t="shared" si="48"/>
        <v>4.4843821505494917E-4</v>
      </c>
      <c r="DU31" s="30">
        <f t="shared" si="48"/>
        <v>1.2097599479109317E-2</v>
      </c>
      <c r="DV31" s="30">
        <f t="shared" si="48"/>
        <v>7.0335467043561497E-3</v>
      </c>
      <c r="DW31" s="30">
        <f t="shared" si="48"/>
        <v>3.1054993267371586E-2</v>
      </c>
      <c r="DX31" s="30">
        <f t="shared" si="48"/>
        <v>6.2718855947567473E-2</v>
      </c>
      <c r="DY31" s="30">
        <f t="shared" si="48"/>
        <v>2.2919783184943601E-2</v>
      </c>
      <c r="DZ31" s="30">
        <f t="shared" si="48"/>
        <v>1.3418395252430172E-2</v>
      </c>
      <c r="EA31" s="30">
        <f t="shared" ref="EA31:EF31" si="49">EA15^2</f>
        <v>3.2090232004291716E-3</v>
      </c>
      <c r="EB31" s="30">
        <f t="shared" si="49"/>
        <v>1.1734174856421395E-3</v>
      </c>
      <c r="EC31" s="30">
        <f t="shared" si="49"/>
        <v>3.026086740151943E-4</v>
      </c>
      <c r="ED31" s="30">
        <f t="shared" si="49"/>
        <v>1.6482462597483167E-3</v>
      </c>
      <c r="EE31" s="30">
        <f t="shared" si="49"/>
        <v>2.489638114141868E-3</v>
      </c>
      <c r="EF31" s="30">
        <f t="shared" si="49"/>
        <v>1.7352811925157672E-3</v>
      </c>
      <c r="EG31" s="4"/>
    </row>
    <row r="32" spans="1:137" ht="16" customHeight="1">
      <c r="A32" s="4"/>
    </row>
    <row r="33" spans="1:2" ht="16" customHeight="1">
      <c r="A33" s="45"/>
      <c r="B33" s="33">
        <f>1-SUM(C19:EF23)/SUM(C27:EF31)</f>
        <v>-4.913980770527937E-2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預測IC</vt:lpstr>
      <vt:lpstr>預測XGBoost勝率</vt:lpstr>
      <vt:lpstr>預測XGBoost累積報酬 </vt:lpstr>
      <vt:lpstr>XGBoost再投資累積報酬</vt:lpstr>
      <vt:lpstr>預測XGBoost夏普比率</vt:lpstr>
      <vt:lpstr>XGBoost樣本外R2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柏郡 黃</dc:creator>
  <cp:lastModifiedBy>黃柏郡</cp:lastModifiedBy>
  <dcterms:created xsi:type="dcterms:W3CDTF">2025-03-19T13:51:22Z</dcterms:created>
  <dcterms:modified xsi:type="dcterms:W3CDTF">2025-09-25T12:45:30Z</dcterms:modified>
</cp:coreProperties>
</file>