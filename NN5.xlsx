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5"/>
  <workbookPr/>
  <mc:AlternateContent xmlns:mc="http://schemas.openxmlformats.org/markup-compatibility/2006">
    <mc:Choice Requires="x15">
      <x15ac:absPath xmlns:x15ac="http://schemas.microsoft.com/office/spreadsheetml/2010/11/ac" url="/Users/Brian/Documents/Finance/"/>
    </mc:Choice>
  </mc:AlternateContent>
  <xr:revisionPtr revIDLastSave="0" documentId="13_ncr:1_{AE8012EA-9119-3043-AF6D-0FAC65AEC799}" xr6:coauthVersionLast="47" xr6:coauthVersionMax="47" xr10:uidLastSave="{00000000-0000-0000-0000-000000000000}"/>
  <bookViews>
    <workbookView xWindow="0" yWindow="740" windowWidth="29400" windowHeight="18380" activeTab="3" xr2:uid="{00000000-000D-0000-FFFF-FFFF00000000}"/>
  </bookViews>
  <sheets>
    <sheet name="真實IC" sheetId="1" r:id="rId1"/>
    <sheet name="預測IC" sheetId="2" r:id="rId2"/>
    <sheet name="NN5勝率" sheetId="4" r:id="rId3"/>
    <sheet name="NN5累積報酬 " sheetId="6" r:id="rId4"/>
    <sheet name="NN5再投資累積報酬" sheetId="10" r:id="rId5"/>
    <sheet name="NN5夏普比率" sheetId="7" r:id="rId6"/>
    <sheet name="NN5樣本外R2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G18" i="10" l="1" a="1"/>
  <c r="EG18" i="10" s="1"/>
  <c r="EF18" i="10" a="1"/>
  <c r="EF18" i="10" s="1"/>
  <c r="EE18" i="10" a="1"/>
  <c r="EE18" i="10" s="1"/>
  <c r="ED18" i="10" a="1"/>
  <c r="ED18" i="10" s="1"/>
  <c r="EC18" i="10" a="1"/>
  <c r="EC18" i="10" s="1"/>
  <c r="EB18" i="10" a="1"/>
  <c r="EB18" i="10" s="1"/>
  <c r="EA18" i="10" a="1"/>
  <c r="EA18" i="10" s="1"/>
  <c r="DZ18" i="10" a="1"/>
  <c r="DZ18" i="10" s="1"/>
  <c r="DY18" i="10" a="1"/>
  <c r="DY18" i="10" s="1"/>
  <c r="DX18" i="10" a="1"/>
  <c r="DX18" i="10" s="1"/>
  <c r="DW18" i="10" a="1"/>
  <c r="DW18" i="10" s="1"/>
  <c r="DV18" i="10" a="1"/>
  <c r="DV18" i="10" s="1"/>
  <c r="DU18" i="10" a="1"/>
  <c r="DU18" i="10" s="1"/>
  <c r="DT18" i="10" a="1"/>
  <c r="DT18" i="10" s="1"/>
  <c r="DS18" i="10" a="1"/>
  <c r="DS18" i="10" s="1"/>
  <c r="DR18" i="10" a="1"/>
  <c r="DR18" i="10" s="1"/>
  <c r="DQ18" i="10" a="1"/>
  <c r="DQ18" i="10" s="1"/>
  <c r="DP18" i="10" a="1"/>
  <c r="DP18" i="10" s="1"/>
  <c r="DO18" i="10" a="1"/>
  <c r="DO18" i="10" s="1"/>
  <c r="DN18" i="10" a="1"/>
  <c r="DN18" i="10" s="1"/>
  <c r="DM18" i="10" a="1"/>
  <c r="DM18" i="10" s="1"/>
  <c r="DL18" i="10" a="1"/>
  <c r="DL18" i="10" s="1"/>
  <c r="DK18" i="10" a="1"/>
  <c r="DK18" i="10" s="1"/>
  <c r="DJ18" i="10" a="1"/>
  <c r="DJ18" i="10" s="1"/>
  <c r="DI18" i="10" a="1"/>
  <c r="DI18" i="10" s="1"/>
  <c r="DH18" i="10" a="1"/>
  <c r="DH18" i="10" s="1"/>
  <c r="DG18" i="10" a="1"/>
  <c r="DG18" i="10" s="1"/>
  <c r="DF18" i="10" a="1"/>
  <c r="DF18" i="10" s="1"/>
  <c r="DE18" i="10" a="1"/>
  <c r="DE18" i="10" s="1"/>
  <c r="DD18" i="10" a="1"/>
  <c r="DD18" i="10" s="1"/>
  <c r="DC18" i="10" a="1"/>
  <c r="DC18" i="10" s="1"/>
  <c r="DB18" i="10" a="1"/>
  <c r="DB18" i="10" s="1"/>
  <c r="DA18" i="10" a="1"/>
  <c r="DA18" i="10" s="1"/>
  <c r="CZ18" i="10" a="1"/>
  <c r="CZ18" i="10" s="1"/>
  <c r="CY18" i="10" a="1"/>
  <c r="CY18" i="10" s="1"/>
  <c r="CX18" i="10" a="1"/>
  <c r="CX18" i="10" s="1"/>
  <c r="CW18" i="10" a="1"/>
  <c r="CW18" i="10" s="1"/>
  <c r="CV18" i="10" a="1"/>
  <c r="CV18" i="10" s="1"/>
  <c r="CU18" i="10" a="1"/>
  <c r="CU18" i="10" s="1"/>
  <c r="CT18" i="10" a="1"/>
  <c r="CT18" i="10" s="1"/>
  <c r="CS18" i="10" a="1"/>
  <c r="CS18" i="10" s="1"/>
  <c r="CR18" i="10" a="1"/>
  <c r="CR18" i="10" s="1"/>
  <c r="CQ18" i="10" a="1"/>
  <c r="CQ18" i="10" s="1"/>
  <c r="CP18" i="10" a="1"/>
  <c r="CP18" i="10" s="1"/>
  <c r="CO18" i="10" a="1"/>
  <c r="CO18" i="10" s="1"/>
  <c r="CN18" i="10" a="1"/>
  <c r="CN18" i="10" s="1"/>
  <c r="CM18" i="10" a="1"/>
  <c r="CM18" i="10" s="1"/>
  <c r="CL18" i="10" a="1"/>
  <c r="CL18" i="10" s="1"/>
  <c r="CK18" i="10" a="1"/>
  <c r="CK18" i="10" s="1"/>
  <c r="CJ18" i="10" a="1"/>
  <c r="CJ18" i="10" s="1"/>
  <c r="CI18" i="10" a="1"/>
  <c r="CI18" i="10" s="1"/>
  <c r="CH18" i="10" a="1"/>
  <c r="CH18" i="10" s="1"/>
  <c r="CG18" i="10" a="1"/>
  <c r="CG18" i="10" s="1"/>
  <c r="CF18" i="10" a="1"/>
  <c r="CF18" i="10" s="1"/>
  <c r="CE18" i="10" a="1"/>
  <c r="CE18" i="10" s="1"/>
  <c r="CD18" i="10" a="1"/>
  <c r="CD18" i="10" s="1"/>
  <c r="CC18" i="10" a="1"/>
  <c r="CC18" i="10" s="1"/>
  <c r="CB18" i="10" a="1"/>
  <c r="CB18" i="10" s="1"/>
  <c r="CA18" i="10" a="1"/>
  <c r="CA18" i="10" s="1"/>
  <c r="BZ18" i="10" a="1"/>
  <c r="BZ18" i="10" s="1"/>
  <c r="BY18" i="10" a="1"/>
  <c r="BY18" i="10" s="1"/>
  <c r="BX18" i="10" a="1"/>
  <c r="BX18" i="10" s="1"/>
  <c r="BW18" i="10" a="1"/>
  <c r="BW18" i="10" s="1"/>
  <c r="BV18" i="10" a="1"/>
  <c r="BV18" i="10" s="1"/>
  <c r="BU18" i="10" a="1"/>
  <c r="BU18" i="10" s="1"/>
  <c r="BT18" i="10" a="1"/>
  <c r="BT18" i="10" s="1"/>
  <c r="BS18" i="10" a="1"/>
  <c r="BS18" i="10" s="1"/>
  <c r="BR18" i="10" a="1"/>
  <c r="BR18" i="10" s="1"/>
  <c r="BQ18" i="10" a="1"/>
  <c r="BQ18" i="10" s="1"/>
  <c r="BP18" i="10" a="1"/>
  <c r="BP18" i="10" s="1"/>
  <c r="BO18" i="10" a="1"/>
  <c r="BO18" i="10" s="1"/>
  <c r="BN18" i="10" a="1"/>
  <c r="BN18" i="10" s="1"/>
  <c r="BM18" i="10" a="1"/>
  <c r="BM18" i="10" s="1"/>
  <c r="BL18" i="10" a="1"/>
  <c r="BL18" i="10" s="1"/>
  <c r="BK18" i="10" a="1"/>
  <c r="BK18" i="10" s="1"/>
  <c r="BJ18" i="10" a="1"/>
  <c r="BJ18" i="10" s="1"/>
  <c r="BI18" i="10" a="1"/>
  <c r="BI18" i="10" s="1"/>
  <c r="BH18" i="10" a="1"/>
  <c r="BH18" i="10" s="1"/>
  <c r="BG18" i="10" a="1"/>
  <c r="BG18" i="10" s="1"/>
  <c r="BF18" i="10" a="1"/>
  <c r="BF18" i="10" s="1"/>
  <c r="BE18" i="10" a="1"/>
  <c r="BE18" i="10" s="1"/>
  <c r="BD18" i="10" a="1"/>
  <c r="BD18" i="10" s="1"/>
  <c r="BC18" i="10" a="1"/>
  <c r="BC18" i="10" s="1"/>
  <c r="BB18" i="10" a="1"/>
  <c r="BB18" i="10" s="1"/>
  <c r="BA18" i="10" a="1"/>
  <c r="BA18" i="10" s="1"/>
  <c r="AZ18" i="10" a="1"/>
  <c r="AZ18" i="10" s="1"/>
  <c r="AY18" i="10" a="1"/>
  <c r="AY18" i="10" s="1"/>
  <c r="AX18" i="10" a="1"/>
  <c r="AX18" i="10" s="1"/>
  <c r="AW18" i="10" a="1"/>
  <c r="AW18" i="10" s="1"/>
  <c r="AV18" i="10" a="1"/>
  <c r="AV18" i="10" s="1"/>
  <c r="AU18" i="10" a="1"/>
  <c r="AU18" i="10" s="1"/>
  <c r="AT18" i="10" a="1"/>
  <c r="AT18" i="10" s="1"/>
  <c r="AS18" i="10" a="1"/>
  <c r="AS18" i="10" s="1"/>
  <c r="AR18" i="10" a="1"/>
  <c r="AR18" i="10" s="1"/>
  <c r="AQ18" i="10" a="1"/>
  <c r="AQ18" i="10" s="1"/>
  <c r="AP18" i="10" a="1"/>
  <c r="AP18" i="10" s="1"/>
  <c r="AO18" i="10" a="1"/>
  <c r="AO18" i="10" s="1"/>
  <c r="AN18" i="10" a="1"/>
  <c r="AN18" i="10" s="1"/>
  <c r="AM18" i="10" a="1"/>
  <c r="AM18" i="10" s="1"/>
  <c r="AL18" i="10" a="1"/>
  <c r="AL18" i="10" s="1"/>
  <c r="AK18" i="10" a="1"/>
  <c r="AK18" i="10" s="1"/>
  <c r="AJ18" i="10" a="1"/>
  <c r="AJ18" i="10" s="1"/>
  <c r="AI18" i="10" a="1"/>
  <c r="AI18" i="10" s="1"/>
  <c r="AH18" i="10" a="1"/>
  <c r="AH18" i="10" s="1"/>
  <c r="AG18" i="10" a="1"/>
  <c r="AG18" i="10" s="1"/>
  <c r="AF18" i="10" a="1"/>
  <c r="AF18" i="10" s="1"/>
  <c r="AE18" i="10" a="1"/>
  <c r="AE18" i="10" s="1"/>
  <c r="AD18" i="10" a="1"/>
  <c r="AD18" i="10" s="1"/>
  <c r="AC18" i="10" a="1"/>
  <c r="AC18" i="10" s="1"/>
  <c r="AB18" i="10" a="1"/>
  <c r="AB18" i="10" s="1"/>
  <c r="AA18" i="10" a="1"/>
  <c r="AA18" i="10" s="1"/>
  <c r="Z18" i="10" a="1"/>
  <c r="Z18" i="10" s="1"/>
  <c r="Y18" i="10" a="1"/>
  <c r="Y18" i="10" s="1"/>
  <c r="X18" i="10" a="1"/>
  <c r="X18" i="10" s="1"/>
  <c r="W18" i="10" a="1"/>
  <c r="W18" i="10" s="1"/>
  <c r="V18" i="10" a="1"/>
  <c r="V18" i="10" s="1"/>
  <c r="U18" i="10" a="1"/>
  <c r="U18" i="10" s="1"/>
  <c r="T18" i="10" a="1"/>
  <c r="T18" i="10" s="1"/>
  <c r="S18" i="10" a="1"/>
  <c r="S18" i="10" s="1"/>
  <c r="R18" i="10" a="1"/>
  <c r="R18" i="10" s="1"/>
  <c r="Q18" i="10" a="1"/>
  <c r="Q18" i="10" s="1"/>
  <c r="P18" i="10" a="1"/>
  <c r="P18" i="10" s="1"/>
  <c r="O18" i="10" a="1"/>
  <c r="O18" i="10" s="1"/>
  <c r="N18" i="10" a="1"/>
  <c r="N18" i="10" s="1"/>
  <c r="M18" i="10" a="1"/>
  <c r="M18" i="10" s="1"/>
  <c r="L18" i="10" a="1"/>
  <c r="L18" i="10" s="1"/>
  <c r="K18" i="10" a="1"/>
  <c r="K18" i="10" s="1"/>
  <c r="J18" i="10" a="1"/>
  <c r="J18" i="10" s="1"/>
  <c r="I18" i="10" a="1"/>
  <c r="I18" i="10" s="1"/>
  <c r="H18" i="10" a="1"/>
  <c r="H18" i="10" s="1"/>
  <c r="G18" i="10" a="1"/>
  <c r="G18" i="10" s="1"/>
  <c r="F18" i="10" a="1"/>
  <c r="F18" i="10" s="1"/>
  <c r="E18" i="10" a="1"/>
  <c r="E18" i="10" s="1"/>
  <c r="EG17" i="10" a="1"/>
  <c r="EG17" i="10" s="1"/>
  <c r="EF17" i="10" a="1"/>
  <c r="EF17" i="10" s="1"/>
  <c r="EE17" i="10" a="1"/>
  <c r="EE17" i="10" s="1"/>
  <c r="ED17" i="10" a="1"/>
  <c r="ED17" i="10" s="1"/>
  <c r="EC17" i="10" a="1"/>
  <c r="EC17" i="10" s="1"/>
  <c r="EB17" i="10" a="1"/>
  <c r="EB17" i="10" s="1"/>
  <c r="EA17" i="10" a="1"/>
  <c r="EA17" i="10" s="1"/>
  <c r="DZ17" i="10" a="1"/>
  <c r="DZ17" i="10" s="1"/>
  <c r="DY17" i="10" a="1"/>
  <c r="DY17" i="10" s="1"/>
  <c r="DX17" i="10" a="1"/>
  <c r="DX17" i="10" s="1"/>
  <c r="DW17" i="10" a="1"/>
  <c r="DW17" i="10" s="1"/>
  <c r="DV17" i="10" a="1"/>
  <c r="DV17" i="10" s="1"/>
  <c r="DU17" i="10" a="1"/>
  <c r="DU17" i="10" s="1"/>
  <c r="DT17" i="10" a="1"/>
  <c r="DT17" i="10" s="1"/>
  <c r="DS17" i="10" a="1"/>
  <c r="DS17" i="10" s="1"/>
  <c r="DR17" i="10" a="1"/>
  <c r="DR17" i="10" s="1"/>
  <c r="DQ17" i="10" a="1"/>
  <c r="DQ17" i="10" s="1"/>
  <c r="DP17" i="10" a="1"/>
  <c r="DP17" i="10" s="1"/>
  <c r="DO17" i="10" a="1"/>
  <c r="DO17" i="10" s="1"/>
  <c r="DN17" i="10" a="1"/>
  <c r="DN17" i="10" s="1"/>
  <c r="DM17" i="10" a="1"/>
  <c r="DM17" i="10" s="1"/>
  <c r="DL17" i="10" a="1"/>
  <c r="DL17" i="10" s="1"/>
  <c r="DK17" i="10" a="1"/>
  <c r="DK17" i="10" s="1"/>
  <c r="DJ17" i="10" a="1"/>
  <c r="DJ17" i="10" s="1"/>
  <c r="DI17" i="10" a="1"/>
  <c r="DI17" i="10" s="1"/>
  <c r="DH17" i="10" a="1"/>
  <c r="DH17" i="10" s="1"/>
  <c r="DG17" i="10" a="1"/>
  <c r="DG17" i="10" s="1"/>
  <c r="DF17" i="10" a="1"/>
  <c r="DF17" i="10" s="1"/>
  <c r="DE17" i="10" a="1"/>
  <c r="DE17" i="10" s="1"/>
  <c r="DD17" i="10" a="1"/>
  <c r="DD17" i="10" s="1"/>
  <c r="DC17" i="10" a="1"/>
  <c r="DC17" i="10" s="1"/>
  <c r="DB17" i="10" a="1"/>
  <c r="DB17" i="10" s="1"/>
  <c r="DA17" i="10" a="1"/>
  <c r="DA17" i="10" s="1"/>
  <c r="CZ17" i="10" a="1"/>
  <c r="CZ17" i="10" s="1"/>
  <c r="CY17" i="10" a="1"/>
  <c r="CY17" i="10" s="1"/>
  <c r="CX17" i="10" a="1"/>
  <c r="CX17" i="10" s="1"/>
  <c r="CW17" i="10" a="1"/>
  <c r="CW17" i="10" s="1"/>
  <c r="CV17" i="10" a="1"/>
  <c r="CV17" i="10" s="1"/>
  <c r="CU17" i="10" a="1"/>
  <c r="CU17" i="10" s="1"/>
  <c r="CT17" i="10" a="1"/>
  <c r="CT17" i="10" s="1"/>
  <c r="CS17" i="10" a="1"/>
  <c r="CS17" i="10" s="1"/>
  <c r="CR17" i="10" a="1"/>
  <c r="CR17" i="10" s="1"/>
  <c r="CQ17" i="10" a="1"/>
  <c r="CQ17" i="10" s="1"/>
  <c r="CP17" i="10" a="1"/>
  <c r="CP17" i="10" s="1"/>
  <c r="CO17" i="10" a="1"/>
  <c r="CO17" i="10" s="1"/>
  <c r="CN17" i="10" a="1"/>
  <c r="CN17" i="10" s="1"/>
  <c r="CM17" i="10" a="1"/>
  <c r="CM17" i="10" s="1"/>
  <c r="CL17" i="10" a="1"/>
  <c r="CL17" i="10" s="1"/>
  <c r="CK17" i="10" a="1"/>
  <c r="CK17" i="10" s="1"/>
  <c r="CJ17" i="10" a="1"/>
  <c r="CJ17" i="10" s="1"/>
  <c r="CI17" i="10" a="1"/>
  <c r="CI17" i="10" s="1"/>
  <c r="CH17" i="10" a="1"/>
  <c r="CH17" i="10" s="1"/>
  <c r="CG17" i="10" a="1"/>
  <c r="CG17" i="10" s="1"/>
  <c r="CF17" i="10" a="1"/>
  <c r="CF17" i="10" s="1"/>
  <c r="CE17" i="10" a="1"/>
  <c r="CE17" i="10" s="1"/>
  <c r="CD17" i="10" a="1"/>
  <c r="CD17" i="10" s="1"/>
  <c r="CC17" i="10" a="1"/>
  <c r="CC17" i="10" s="1"/>
  <c r="CB17" i="10" a="1"/>
  <c r="CB17" i="10" s="1"/>
  <c r="CA17" i="10" a="1"/>
  <c r="CA17" i="10" s="1"/>
  <c r="BZ17" i="10" a="1"/>
  <c r="BZ17" i="10" s="1"/>
  <c r="BY17" i="10" a="1"/>
  <c r="BY17" i="10" s="1"/>
  <c r="BX17" i="10" a="1"/>
  <c r="BX17" i="10" s="1"/>
  <c r="BW17" i="10" a="1"/>
  <c r="BW17" i="10" s="1"/>
  <c r="BV17" i="10" a="1"/>
  <c r="BV17" i="10" s="1"/>
  <c r="BU17" i="10" a="1"/>
  <c r="BU17" i="10" s="1"/>
  <c r="BT17" i="10" a="1"/>
  <c r="BT17" i="10" s="1"/>
  <c r="BS17" i="10" a="1"/>
  <c r="BS17" i="10" s="1"/>
  <c r="BR17" i="10" a="1"/>
  <c r="BR17" i="10" s="1"/>
  <c r="BQ17" i="10" a="1"/>
  <c r="BQ17" i="10" s="1"/>
  <c r="BP17" i="10" a="1"/>
  <c r="BP17" i="10" s="1"/>
  <c r="BO17" i="10" a="1"/>
  <c r="BO17" i="10" s="1"/>
  <c r="BN17" i="10" a="1"/>
  <c r="BN17" i="10" s="1"/>
  <c r="BM17" i="10" a="1"/>
  <c r="BM17" i="10" s="1"/>
  <c r="BL17" i="10" a="1"/>
  <c r="BL17" i="10" s="1"/>
  <c r="BK17" i="10" a="1"/>
  <c r="BK17" i="10" s="1"/>
  <c r="BJ17" i="10" a="1"/>
  <c r="BJ17" i="10" s="1"/>
  <c r="BI17" i="10" a="1"/>
  <c r="BI17" i="10" s="1"/>
  <c r="BH17" i="10" a="1"/>
  <c r="BH17" i="10" s="1"/>
  <c r="BG17" i="10" a="1"/>
  <c r="BG17" i="10" s="1"/>
  <c r="BF17" i="10" a="1"/>
  <c r="BF17" i="10" s="1"/>
  <c r="BE17" i="10" a="1"/>
  <c r="BE17" i="10" s="1"/>
  <c r="BD17" i="10" a="1"/>
  <c r="BD17" i="10" s="1"/>
  <c r="BC17" i="10" a="1"/>
  <c r="BC17" i="10" s="1"/>
  <c r="BB17" i="10" a="1"/>
  <c r="BB17" i="10" s="1"/>
  <c r="BA17" i="10" a="1"/>
  <c r="BA17" i="10" s="1"/>
  <c r="AZ17" i="10" a="1"/>
  <c r="AZ17" i="10" s="1"/>
  <c r="AY17" i="10" a="1"/>
  <c r="AY17" i="10" s="1"/>
  <c r="AX17" i="10" a="1"/>
  <c r="AX17" i="10" s="1"/>
  <c r="AW17" i="10" a="1"/>
  <c r="AW17" i="10" s="1"/>
  <c r="AV17" i="10" a="1"/>
  <c r="AV17" i="10" s="1"/>
  <c r="AU17" i="10" a="1"/>
  <c r="AU17" i="10" s="1"/>
  <c r="AT17" i="10" a="1"/>
  <c r="AT17" i="10" s="1"/>
  <c r="AS17" i="10" a="1"/>
  <c r="AS17" i="10" s="1"/>
  <c r="AR17" i="10" a="1"/>
  <c r="AR17" i="10" s="1"/>
  <c r="AQ17" i="10" a="1"/>
  <c r="AQ17" i="10" s="1"/>
  <c r="AP17" i="10" a="1"/>
  <c r="AP17" i="10" s="1"/>
  <c r="AO17" i="10" a="1"/>
  <c r="AO17" i="10" s="1"/>
  <c r="AN17" i="10" a="1"/>
  <c r="AN17" i="10" s="1"/>
  <c r="AM17" i="10" a="1"/>
  <c r="AM17" i="10" s="1"/>
  <c r="AL17" i="10" a="1"/>
  <c r="AL17" i="10" s="1"/>
  <c r="AK17" i="10" a="1"/>
  <c r="AK17" i="10" s="1"/>
  <c r="AJ17" i="10" a="1"/>
  <c r="AJ17" i="10" s="1"/>
  <c r="AI17" i="10" a="1"/>
  <c r="AI17" i="10" s="1"/>
  <c r="AH17" i="10" a="1"/>
  <c r="AH17" i="10" s="1"/>
  <c r="AG17" i="10" a="1"/>
  <c r="AG17" i="10" s="1"/>
  <c r="AF17" i="10" a="1"/>
  <c r="AF17" i="10" s="1"/>
  <c r="AE17" i="10" a="1"/>
  <c r="AE17" i="10" s="1"/>
  <c r="AD17" i="10" a="1"/>
  <c r="AD17" i="10" s="1"/>
  <c r="AC17" i="10" a="1"/>
  <c r="AC17" i="10" s="1"/>
  <c r="AB17" i="10" a="1"/>
  <c r="AB17" i="10" s="1"/>
  <c r="AA17" i="10" a="1"/>
  <c r="AA17" i="10" s="1"/>
  <c r="Z17" i="10" a="1"/>
  <c r="Z17" i="10" s="1"/>
  <c r="Y17" i="10" a="1"/>
  <c r="Y17" i="10" s="1"/>
  <c r="X17" i="10" a="1"/>
  <c r="X17" i="10" s="1"/>
  <c r="W17" i="10" a="1"/>
  <c r="W17" i="10" s="1"/>
  <c r="V17" i="10" a="1"/>
  <c r="V17" i="10" s="1"/>
  <c r="U17" i="10" a="1"/>
  <c r="U17" i="10" s="1"/>
  <c r="T17" i="10" a="1"/>
  <c r="T17" i="10" s="1"/>
  <c r="S17" i="10" a="1"/>
  <c r="S17" i="10" s="1"/>
  <c r="R17" i="10" a="1"/>
  <c r="R17" i="10" s="1"/>
  <c r="Q17" i="10" a="1"/>
  <c r="Q17" i="10" s="1"/>
  <c r="P17" i="10" a="1"/>
  <c r="P17" i="10" s="1"/>
  <c r="O17" i="10" a="1"/>
  <c r="O17" i="10" s="1"/>
  <c r="N17" i="10" a="1"/>
  <c r="N17" i="10" s="1"/>
  <c r="M17" i="10" a="1"/>
  <c r="M17" i="10" s="1"/>
  <c r="L17" i="10" a="1"/>
  <c r="L17" i="10" s="1"/>
  <c r="K17" i="10" a="1"/>
  <c r="K17" i="10" s="1"/>
  <c r="J17" i="10" a="1"/>
  <c r="J17" i="10" s="1"/>
  <c r="I17" i="10" a="1"/>
  <c r="I17" i="10" s="1"/>
  <c r="H17" i="10" a="1"/>
  <c r="H17" i="10" s="1"/>
  <c r="G17" i="10" a="1"/>
  <c r="G17" i="10" s="1"/>
  <c r="F17" i="10" a="1"/>
  <c r="F17" i="10" s="1"/>
  <c r="E17" i="10" a="1"/>
  <c r="E17" i="10" s="1"/>
  <c r="EG16" i="10" a="1"/>
  <c r="EG16" i="10" s="1"/>
  <c r="EF16" i="10" a="1"/>
  <c r="EF16" i="10" s="1"/>
  <c r="EE16" i="10" a="1"/>
  <c r="EE16" i="10" s="1"/>
  <c r="ED16" i="10" a="1"/>
  <c r="ED16" i="10" s="1"/>
  <c r="EC16" i="10" a="1"/>
  <c r="EC16" i="10" s="1"/>
  <c r="EB16" i="10" a="1"/>
  <c r="EB16" i="10" s="1"/>
  <c r="EA16" i="10" a="1"/>
  <c r="EA16" i="10" s="1"/>
  <c r="DZ16" i="10" a="1"/>
  <c r="DZ16" i="10" s="1"/>
  <c r="DY16" i="10" a="1"/>
  <c r="DY16" i="10" s="1"/>
  <c r="DX16" i="10" a="1"/>
  <c r="DX16" i="10" s="1"/>
  <c r="DW16" i="10" a="1"/>
  <c r="DW16" i="10" s="1"/>
  <c r="DV16" i="10" a="1"/>
  <c r="DV16" i="10" s="1"/>
  <c r="DU16" i="10" a="1"/>
  <c r="DU16" i="10" s="1"/>
  <c r="DT16" i="10" a="1"/>
  <c r="DT16" i="10" s="1"/>
  <c r="DS16" i="10" a="1"/>
  <c r="DS16" i="10" s="1"/>
  <c r="DR16" i="10" a="1"/>
  <c r="DR16" i="10" s="1"/>
  <c r="DQ16" i="10" a="1"/>
  <c r="DQ16" i="10" s="1"/>
  <c r="DP16" i="10" a="1"/>
  <c r="DP16" i="10" s="1"/>
  <c r="DO16" i="10" a="1"/>
  <c r="DO16" i="10" s="1"/>
  <c r="DN16" i="10" a="1"/>
  <c r="DN16" i="10" s="1"/>
  <c r="DM16" i="10" a="1"/>
  <c r="DM16" i="10" s="1"/>
  <c r="DL16" i="10" a="1"/>
  <c r="DL16" i="10" s="1"/>
  <c r="DK16" i="10" a="1"/>
  <c r="DK16" i="10" s="1"/>
  <c r="DJ16" i="10" a="1"/>
  <c r="DJ16" i="10" s="1"/>
  <c r="DI16" i="10" a="1"/>
  <c r="DI16" i="10" s="1"/>
  <c r="DH16" i="10" a="1"/>
  <c r="DH16" i="10" s="1"/>
  <c r="DG16" i="10" a="1"/>
  <c r="DG16" i="10" s="1"/>
  <c r="DF16" i="10" a="1"/>
  <c r="DF16" i="10" s="1"/>
  <c r="DE16" i="10" a="1"/>
  <c r="DE16" i="10" s="1"/>
  <c r="DD16" i="10" a="1"/>
  <c r="DD16" i="10" s="1"/>
  <c r="DC16" i="10" a="1"/>
  <c r="DC16" i="10" s="1"/>
  <c r="DB16" i="10" a="1"/>
  <c r="DB16" i="10" s="1"/>
  <c r="DA16" i="10" a="1"/>
  <c r="DA16" i="10" s="1"/>
  <c r="CZ16" i="10" a="1"/>
  <c r="CZ16" i="10" s="1"/>
  <c r="CY16" i="10" a="1"/>
  <c r="CY16" i="10" s="1"/>
  <c r="CX16" i="10" a="1"/>
  <c r="CX16" i="10" s="1"/>
  <c r="CW16" i="10" a="1"/>
  <c r="CW16" i="10" s="1"/>
  <c r="CV16" i="10" a="1"/>
  <c r="CV16" i="10" s="1"/>
  <c r="CU16" i="10" a="1"/>
  <c r="CU16" i="10" s="1"/>
  <c r="CT16" i="10" a="1"/>
  <c r="CT16" i="10" s="1"/>
  <c r="CS16" i="10" a="1"/>
  <c r="CS16" i="10" s="1"/>
  <c r="CR16" i="10" a="1"/>
  <c r="CR16" i="10" s="1"/>
  <c r="CQ16" i="10" a="1"/>
  <c r="CQ16" i="10" s="1"/>
  <c r="CP16" i="10" a="1"/>
  <c r="CP16" i="10" s="1"/>
  <c r="CO16" i="10" a="1"/>
  <c r="CO16" i="10" s="1"/>
  <c r="CN16" i="10" a="1"/>
  <c r="CN16" i="10" s="1"/>
  <c r="CM16" i="10" a="1"/>
  <c r="CM16" i="10" s="1"/>
  <c r="CL16" i="10" a="1"/>
  <c r="CL16" i="10" s="1"/>
  <c r="CK16" i="10" a="1"/>
  <c r="CK16" i="10" s="1"/>
  <c r="CJ16" i="10" a="1"/>
  <c r="CJ16" i="10" s="1"/>
  <c r="CI16" i="10" a="1"/>
  <c r="CI16" i="10" s="1"/>
  <c r="CH16" i="10" a="1"/>
  <c r="CH16" i="10" s="1"/>
  <c r="CG16" i="10" a="1"/>
  <c r="CG16" i="10" s="1"/>
  <c r="CF16" i="10" a="1"/>
  <c r="CF16" i="10" s="1"/>
  <c r="CE16" i="10"/>
  <c r="CE16" i="10" a="1"/>
  <c r="CD16" i="10" a="1"/>
  <c r="CD16" i="10" s="1"/>
  <c r="CC16" i="10" a="1"/>
  <c r="CC16" i="10" s="1"/>
  <c r="CB16" i="10" a="1"/>
  <c r="CB16" i="10" s="1"/>
  <c r="CA16" i="10" a="1"/>
  <c r="CA16" i="10" s="1"/>
  <c r="BZ16" i="10" a="1"/>
  <c r="BZ16" i="10" s="1"/>
  <c r="BY16" i="10" a="1"/>
  <c r="BY16" i="10" s="1"/>
  <c r="BX16" i="10" a="1"/>
  <c r="BX16" i="10" s="1"/>
  <c r="BW16" i="10" a="1"/>
  <c r="BW16" i="10" s="1"/>
  <c r="BV16" i="10" a="1"/>
  <c r="BV16" i="10" s="1"/>
  <c r="BU16" i="10" a="1"/>
  <c r="BU16" i="10" s="1"/>
  <c r="BT16" i="10" a="1"/>
  <c r="BT16" i="10" s="1"/>
  <c r="BS16" i="10"/>
  <c r="BS16" i="10" a="1"/>
  <c r="BR16" i="10" a="1"/>
  <c r="BR16" i="10" s="1"/>
  <c r="BQ16" i="10" a="1"/>
  <c r="BQ16" i="10" s="1"/>
  <c r="BP16" i="10" a="1"/>
  <c r="BP16" i="10" s="1"/>
  <c r="BO16" i="10"/>
  <c r="BO16" i="10" a="1"/>
  <c r="BN16" i="10" a="1"/>
  <c r="BN16" i="10" s="1"/>
  <c r="BM16" i="10" a="1"/>
  <c r="BM16" i="10" s="1"/>
  <c r="BL16" i="10" a="1"/>
  <c r="BL16" i="10" s="1"/>
  <c r="BK16" i="10"/>
  <c r="BK16" i="10" a="1"/>
  <c r="BJ16" i="10" a="1"/>
  <c r="BJ16" i="10" s="1"/>
  <c r="BI16" i="10" a="1"/>
  <c r="BI16" i="10" s="1"/>
  <c r="BH16" i="10" a="1"/>
  <c r="BH16" i="10" s="1"/>
  <c r="BG16" i="10"/>
  <c r="BG16" i="10" a="1"/>
  <c r="BF16" i="10" a="1"/>
  <c r="BF16" i="10" s="1"/>
  <c r="BE16" i="10" a="1"/>
  <c r="BE16" i="10" s="1"/>
  <c r="BD16" i="10"/>
  <c r="BD16" i="10" a="1"/>
  <c r="BC16" i="10"/>
  <c r="BC16" i="10" a="1"/>
  <c r="BB16" i="10" a="1"/>
  <c r="BB16" i="10" s="1"/>
  <c r="BA16" i="10" a="1"/>
  <c r="BA16" i="10" s="1"/>
  <c r="AZ16" i="10"/>
  <c r="AZ16" i="10" a="1"/>
  <c r="AY16" i="10"/>
  <c r="AY16" i="10" a="1"/>
  <c r="AX16" i="10" a="1"/>
  <c r="AX16" i="10" s="1"/>
  <c r="AW16" i="10" a="1"/>
  <c r="AW16" i="10" s="1"/>
  <c r="AV16" i="10"/>
  <c r="AV16" i="10" a="1"/>
  <c r="AU16" i="10"/>
  <c r="AU16" i="10" a="1"/>
  <c r="AT16" i="10" a="1"/>
  <c r="AT16" i="10" s="1"/>
  <c r="AS16" i="10" a="1"/>
  <c r="AS16" i="10" s="1"/>
  <c r="AR16" i="10" a="1"/>
  <c r="AR16" i="10" s="1"/>
  <c r="AQ16" i="10"/>
  <c r="AQ16" i="10" a="1"/>
  <c r="AP16" i="10" a="1"/>
  <c r="AP16" i="10" s="1"/>
  <c r="AO16" i="10" a="1"/>
  <c r="AO16" i="10" s="1"/>
  <c r="AN16" i="10"/>
  <c r="AN16" i="10" a="1"/>
  <c r="AM16" i="10"/>
  <c r="AM16" i="10" a="1"/>
  <c r="AL16" i="10" a="1"/>
  <c r="AL16" i="10" s="1"/>
  <c r="AK16" i="10" a="1"/>
  <c r="AK16" i="10" s="1"/>
  <c r="AJ16" i="10"/>
  <c r="AJ16" i="10" a="1"/>
  <c r="AI16" i="10"/>
  <c r="AI16" i="10" a="1"/>
  <c r="AH16" i="10" a="1"/>
  <c r="AH16" i="10" s="1"/>
  <c r="AG16" i="10" a="1"/>
  <c r="AG16" i="10" s="1"/>
  <c r="AF16" i="10"/>
  <c r="AF16" i="10" a="1"/>
  <c r="AE16" i="10"/>
  <c r="AE16" i="10" a="1"/>
  <c r="AD16" i="10" a="1"/>
  <c r="AD16" i="10" s="1"/>
  <c r="AC16" i="10" a="1"/>
  <c r="AC16" i="10" s="1"/>
  <c r="AB16" i="10" a="1"/>
  <c r="AB16" i="10" s="1"/>
  <c r="AA16" i="10"/>
  <c r="AA16" i="10" a="1"/>
  <c r="Z16" i="10" a="1"/>
  <c r="Z16" i="10" s="1"/>
  <c r="Y16" i="10" a="1"/>
  <c r="Y16" i="10" s="1"/>
  <c r="X16" i="10"/>
  <c r="X16" i="10" a="1"/>
  <c r="W16" i="10"/>
  <c r="W16" i="10" a="1"/>
  <c r="V16" i="10" a="1"/>
  <c r="V16" i="10" s="1"/>
  <c r="U16" i="10" a="1"/>
  <c r="U16" i="10" s="1"/>
  <c r="T16" i="10"/>
  <c r="T16" i="10" a="1"/>
  <c r="S16" i="10"/>
  <c r="S16" i="10" a="1"/>
  <c r="R16" i="10" a="1"/>
  <c r="R16" i="10" s="1"/>
  <c r="Q16" i="10" a="1"/>
  <c r="Q16" i="10" s="1"/>
  <c r="P16" i="10"/>
  <c r="P16" i="10" a="1"/>
  <c r="O16" i="10"/>
  <c r="O16" i="10" a="1"/>
  <c r="N16" i="10" a="1"/>
  <c r="N16" i="10" s="1"/>
  <c r="M16" i="10" a="1"/>
  <c r="M16" i="10" s="1"/>
  <c r="L16" i="10" a="1"/>
  <c r="L16" i="10" s="1"/>
  <c r="K16" i="10"/>
  <c r="K16" i="10" a="1"/>
  <c r="J16" i="10" a="1"/>
  <c r="J16" i="10" s="1"/>
  <c r="I16" i="10" a="1"/>
  <c r="I16" i="10" s="1"/>
  <c r="H16" i="10"/>
  <c r="H16" i="10" a="1"/>
  <c r="G16" i="10"/>
  <c r="G16" i="10" a="1"/>
  <c r="F16" i="10" a="1"/>
  <c r="F16" i="10" s="1"/>
  <c r="E16" i="10" a="1"/>
  <c r="E16" i="10" s="1"/>
  <c r="EG15" i="10"/>
  <c r="EG15" i="10" a="1"/>
  <c r="EF15" i="10"/>
  <c r="EF15" i="10" a="1"/>
  <c r="EE15" i="10" a="1"/>
  <c r="EE15" i="10" s="1"/>
  <c r="ED15" i="10" a="1"/>
  <c r="ED15" i="10" s="1"/>
  <c r="EC15" i="10"/>
  <c r="EC15" i="10" a="1"/>
  <c r="EB15" i="10"/>
  <c r="EB15" i="10" a="1"/>
  <c r="EA15" i="10" a="1"/>
  <c r="EA15" i="10" s="1"/>
  <c r="DZ15" i="10" a="1"/>
  <c r="DZ15" i="10" s="1"/>
  <c r="DY15" i="10" a="1"/>
  <c r="DY15" i="10" s="1"/>
  <c r="DX15" i="10"/>
  <c r="DX15" i="10" a="1"/>
  <c r="DW15" i="10" a="1"/>
  <c r="DW15" i="10" s="1"/>
  <c r="DV15" i="10" a="1"/>
  <c r="DV15" i="10" s="1"/>
  <c r="DU15" i="10"/>
  <c r="DU15" i="10" a="1"/>
  <c r="DT15" i="10"/>
  <c r="DT15" i="10" a="1"/>
  <c r="DS15" i="10" a="1"/>
  <c r="DS15" i="10" s="1"/>
  <c r="DR15" i="10" a="1"/>
  <c r="DR15" i="10" s="1"/>
  <c r="DQ15" i="10"/>
  <c r="DQ15" i="10" a="1"/>
  <c r="DP15" i="10"/>
  <c r="DP15" i="10" a="1"/>
  <c r="DO15" i="10" a="1"/>
  <c r="DO15" i="10" s="1"/>
  <c r="DN15" i="10" a="1"/>
  <c r="DN15" i="10" s="1"/>
  <c r="DM15" i="10"/>
  <c r="DM15" i="10" a="1"/>
  <c r="DL15" i="10"/>
  <c r="DL15" i="10" a="1"/>
  <c r="DK15" i="10" a="1"/>
  <c r="DK15" i="10" s="1"/>
  <c r="DJ15" i="10" a="1"/>
  <c r="DJ15" i="10" s="1"/>
  <c r="DI15" i="10" a="1"/>
  <c r="DI15" i="10" s="1"/>
  <c r="DH15" i="10"/>
  <c r="DH15" i="10" a="1"/>
  <c r="DG15" i="10" a="1"/>
  <c r="DG15" i="10" s="1"/>
  <c r="DF15" i="10" a="1"/>
  <c r="DF15" i="10" s="1"/>
  <c r="DE15" i="10"/>
  <c r="DE15" i="10" a="1"/>
  <c r="DD15" i="10"/>
  <c r="DD15" i="10" a="1"/>
  <c r="DC15" i="10" a="1"/>
  <c r="DC15" i="10" s="1"/>
  <c r="DB15" i="10" a="1"/>
  <c r="DB15" i="10" s="1"/>
  <c r="DA15" i="10"/>
  <c r="DA15" i="10" a="1"/>
  <c r="CZ15" i="10"/>
  <c r="CZ15" i="10" a="1"/>
  <c r="CY15" i="10" a="1"/>
  <c r="CY15" i="10" s="1"/>
  <c r="CX15" i="10" a="1"/>
  <c r="CX15" i="10" s="1"/>
  <c r="CW15" i="10"/>
  <c r="CW15" i="10" a="1"/>
  <c r="CV15" i="10"/>
  <c r="CV15" i="10" a="1"/>
  <c r="CU15" i="10" a="1"/>
  <c r="CU15" i="10" s="1"/>
  <c r="CT15" i="10" a="1"/>
  <c r="CT15" i="10" s="1"/>
  <c r="CS15" i="10" a="1"/>
  <c r="CS15" i="10" s="1"/>
  <c r="CR15" i="10" a="1"/>
  <c r="CR15" i="10" s="1"/>
  <c r="CQ15" i="10" a="1"/>
  <c r="CQ15" i="10" s="1"/>
  <c r="CP15" i="10" a="1"/>
  <c r="CP15" i="10" s="1"/>
  <c r="CO15" i="10"/>
  <c r="CO15" i="10" a="1"/>
  <c r="CN15" i="10" a="1"/>
  <c r="CN15" i="10" s="1"/>
  <c r="CM15" i="10" a="1"/>
  <c r="CM15" i="10" s="1"/>
  <c r="CL15" i="10" a="1"/>
  <c r="CL15" i="10" s="1"/>
  <c r="CK15" i="10"/>
  <c r="CK15" i="10" a="1"/>
  <c r="CJ15" i="10" a="1"/>
  <c r="CJ15" i="10" s="1"/>
  <c r="CI15" i="10" a="1"/>
  <c r="CI15" i="10" s="1"/>
  <c r="CH15" i="10" a="1"/>
  <c r="CH15" i="10" s="1"/>
  <c r="CG15" i="10"/>
  <c r="CG15" i="10" a="1"/>
  <c r="CF15" i="10" a="1"/>
  <c r="CF15" i="10" s="1"/>
  <c r="CE15" i="10" a="1"/>
  <c r="CE15" i="10" s="1"/>
  <c r="CD15" i="10" a="1"/>
  <c r="CD15" i="10" s="1"/>
  <c r="CC15" i="10"/>
  <c r="CC15" i="10" a="1"/>
  <c r="CB15" i="10" a="1"/>
  <c r="CB15" i="10" s="1"/>
  <c r="CA15" i="10" a="1"/>
  <c r="CA15" i="10" s="1"/>
  <c r="BZ15" i="10" a="1"/>
  <c r="BZ15" i="10" s="1"/>
  <c r="BY15" i="10"/>
  <c r="BY15" i="10" a="1"/>
  <c r="BX15" i="10" a="1"/>
  <c r="BX15" i="10" s="1"/>
  <c r="BW15" i="10" a="1"/>
  <c r="BW15" i="10" s="1"/>
  <c r="BV15" i="10" a="1"/>
  <c r="BV15" i="10" s="1"/>
  <c r="BU15" i="10"/>
  <c r="BU15" i="10" a="1"/>
  <c r="BT15" i="10" a="1"/>
  <c r="BT15" i="10" s="1"/>
  <c r="BS15" i="10" a="1"/>
  <c r="BS15" i="10" s="1"/>
  <c r="BR15" i="10" a="1"/>
  <c r="BR15" i="10" s="1"/>
  <c r="BQ15" i="10" a="1"/>
  <c r="BQ15" i="10" s="1"/>
  <c r="BP15" i="10" a="1"/>
  <c r="BP15" i="10" s="1"/>
  <c r="BO15" i="10" a="1"/>
  <c r="BO15" i="10" s="1"/>
  <c r="BN15" i="10" a="1"/>
  <c r="BN15" i="10" s="1"/>
  <c r="BM15" i="10" a="1"/>
  <c r="BM15" i="10" s="1"/>
  <c r="BL15" i="10" a="1"/>
  <c r="BL15" i="10" s="1"/>
  <c r="BK15" i="10" a="1"/>
  <c r="BK15" i="10" s="1"/>
  <c r="BJ15" i="10" a="1"/>
  <c r="BJ15" i="10" s="1"/>
  <c r="BI15" i="10"/>
  <c r="BI15" i="10" a="1"/>
  <c r="BH15" i="10" a="1"/>
  <c r="BH15" i="10" s="1"/>
  <c r="BG15" i="10" a="1"/>
  <c r="BG15" i="10" s="1"/>
  <c r="BF15" i="10" a="1"/>
  <c r="BF15" i="10" s="1"/>
  <c r="BE15" i="10"/>
  <c r="BE15" i="10" a="1"/>
  <c r="BD15" i="10" a="1"/>
  <c r="BD15" i="10" s="1"/>
  <c r="BC15" i="10" a="1"/>
  <c r="BC15" i="10" s="1"/>
  <c r="BB15" i="10" a="1"/>
  <c r="BB15" i="10" s="1"/>
  <c r="BA15" i="10"/>
  <c r="BA15" i="10" a="1"/>
  <c r="AZ15" i="10" a="1"/>
  <c r="AZ15" i="10" s="1"/>
  <c r="AY15" i="10" a="1"/>
  <c r="AY15" i="10" s="1"/>
  <c r="AX15" i="10" a="1"/>
  <c r="AX15" i="10" s="1"/>
  <c r="AW15" i="10"/>
  <c r="AW15" i="10" a="1"/>
  <c r="AV15" i="10" a="1"/>
  <c r="AV15" i="10" s="1"/>
  <c r="AU15" i="10" a="1"/>
  <c r="AU15" i="10" s="1"/>
  <c r="AT15" i="10" a="1"/>
  <c r="AT15" i="10" s="1"/>
  <c r="AS15" i="10"/>
  <c r="AS15" i="10" a="1"/>
  <c r="AR15" i="10" a="1"/>
  <c r="AR15" i="10" s="1"/>
  <c r="AQ15" i="10" a="1"/>
  <c r="AQ15" i="10" s="1"/>
  <c r="AP15" i="10" a="1"/>
  <c r="AP15" i="10" s="1"/>
  <c r="AO15" i="10"/>
  <c r="AO15" i="10" a="1"/>
  <c r="AN15" i="10" a="1"/>
  <c r="AN15" i="10" s="1"/>
  <c r="AM15" i="10" a="1"/>
  <c r="AM15" i="10" s="1"/>
  <c r="AL15" i="10" a="1"/>
  <c r="AL15" i="10" s="1"/>
  <c r="AK15" i="10" a="1"/>
  <c r="AK15" i="10" s="1"/>
  <c r="AJ15" i="10" a="1"/>
  <c r="AJ15" i="10" s="1"/>
  <c r="AI15" i="10" a="1"/>
  <c r="AI15" i="10" s="1"/>
  <c r="AH15" i="10" a="1"/>
  <c r="AH15" i="10" s="1"/>
  <c r="AG15" i="10" a="1"/>
  <c r="AG15" i="10" s="1"/>
  <c r="AF15" i="10" a="1"/>
  <c r="AF15" i="10" s="1"/>
  <c r="AE15" i="10" a="1"/>
  <c r="AE15" i="10" s="1"/>
  <c r="AD15" i="10" a="1"/>
  <c r="AD15" i="10" s="1"/>
  <c r="AC15" i="10"/>
  <c r="AC15" i="10" a="1"/>
  <c r="AB15" i="10" a="1"/>
  <c r="AB15" i="10" s="1"/>
  <c r="AA15" i="10" a="1"/>
  <c r="AA15" i="10" s="1"/>
  <c r="Z15" i="10" a="1"/>
  <c r="Z15" i="10" s="1"/>
  <c r="Y15" i="10"/>
  <c r="Y15" i="10" a="1"/>
  <c r="X15" i="10" a="1"/>
  <c r="X15" i="10" s="1"/>
  <c r="W15" i="10" a="1"/>
  <c r="W15" i="10" s="1"/>
  <c r="V15" i="10" a="1"/>
  <c r="V15" i="10" s="1"/>
  <c r="U15" i="10"/>
  <c r="U15" i="10" a="1"/>
  <c r="T15" i="10" a="1"/>
  <c r="T15" i="10" s="1"/>
  <c r="S15" i="10" a="1"/>
  <c r="S15" i="10" s="1"/>
  <c r="R15" i="10" a="1"/>
  <c r="R15" i="10" s="1"/>
  <c r="Q15" i="10"/>
  <c r="Q15" i="10" a="1"/>
  <c r="P15" i="10" a="1"/>
  <c r="P15" i="10" s="1"/>
  <c r="O15" i="10" a="1"/>
  <c r="O15" i="10" s="1"/>
  <c r="N15" i="10" a="1"/>
  <c r="N15" i="10" s="1"/>
  <c r="M15" i="10"/>
  <c r="M15" i="10" a="1"/>
  <c r="L15" i="10" a="1"/>
  <c r="L15" i="10" s="1"/>
  <c r="K15" i="10" a="1"/>
  <c r="K15" i="10" s="1"/>
  <c r="J15" i="10" a="1"/>
  <c r="J15" i="10" s="1"/>
  <c r="I15" i="10"/>
  <c r="I15" i="10" a="1"/>
  <c r="H15" i="10" a="1"/>
  <c r="H15" i="10" s="1"/>
  <c r="G15" i="10" a="1"/>
  <c r="G15" i="10" s="1"/>
  <c r="F15" i="10" a="1"/>
  <c r="F15" i="10" s="1"/>
  <c r="E15" i="10" a="1"/>
  <c r="E15" i="10" s="1"/>
  <c r="EG14" i="10" a="1"/>
  <c r="EG14" i="10" s="1"/>
  <c r="EF14" i="10" a="1"/>
  <c r="EF14" i="10" s="1"/>
  <c r="EE14" i="10" a="1"/>
  <c r="EE14" i="10" s="1"/>
  <c r="ED14" i="10" a="1"/>
  <c r="ED14" i="10" s="1"/>
  <c r="EC14" i="10" a="1"/>
  <c r="EC14" i="10" s="1"/>
  <c r="EB14" i="10" a="1"/>
  <c r="EB14" i="10" s="1"/>
  <c r="EA14" i="10" a="1"/>
  <c r="EA14" i="10" s="1"/>
  <c r="DZ14" i="10"/>
  <c r="DZ14" i="10" a="1"/>
  <c r="DY14" i="10" a="1"/>
  <c r="DY14" i="10" s="1"/>
  <c r="DX14" i="10" a="1"/>
  <c r="DX14" i="10" s="1"/>
  <c r="DW14" i="10" a="1"/>
  <c r="DW14" i="10" s="1"/>
  <c r="DV14" i="10"/>
  <c r="DV14" i="10" a="1"/>
  <c r="DU14" i="10" a="1"/>
  <c r="DU14" i="10" s="1"/>
  <c r="DT14" i="10" a="1"/>
  <c r="DT14" i="10" s="1"/>
  <c r="DS14" i="10" a="1"/>
  <c r="DS14" i="10" s="1"/>
  <c r="DR14" i="10"/>
  <c r="DR14" i="10" a="1"/>
  <c r="DQ14" i="10" a="1"/>
  <c r="DQ14" i="10" s="1"/>
  <c r="DP14" i="10" a="1"/>
  <c r="DP14" i="10" s="1"/>
  <c r="DO14" i="10" a="1"/>
  <c r="DO14" i="10" s="1"/>
  <c r="DN14" i="10"/>
  <c r="DN14" i="10" a="1"/>
  <c r="DM14" i="10" a="1"/>
  <c r="DM14" i="10" s="1"/>
  <c r="DL14" i="10" a="1"/>
  <c r="DL14" i="10" s="1"/>
  <c r="DK14" i="10" a="1"/>
  <c r="DK14" i="10" s="1"/>
  <c r="DJ14" i="10"/>
  <c r="DJ14" i="10" a="1"/>
  <c r="DI14" i="10" a="1"/>
  <c r="DI14" i="10" s="1"/>
  <c r="DH14" i="10" a="1"/>
  <c r="DH14" i="10" s="1"/>
  <c r="DG14" i="10" a="1"/>
  <c r="DG14" i="10" s="1"/>
  <c r="DF14" i="10"/>
  <c r="DF14" i="10" a="1"/>
  <c r="DE14" i="10" a="1"/>
  <c r="DE14" i="10" s="1"/>
  <c r="DD14" i="10" a="1"/>
  <c r="DD14" i="10" s="1"/>
  <c r="DC14" i="10" a="1"/>
  <c r="DC14" i="10" s="1"/>
  <c r="DB14" i="10" a="1"/>
  <c r="DB14" i="10" s="1"/>
  <c r="DA14" i="10" a="1"/>
  <c r="DA14" i="10" s="1"/>
  <c r="CZ14" i="10" a="1"/>
  <c r="CZ14" i="10" s="1"/>
  <c r="CY14" i="10" a="1"/>
  <c r="CY14" i="10" s="1"/>
  <c r="CX14" i="10" a="1"/>
  <c r="CX14" i="10" s="1"/>
  <c r="CW14" i="10" a="1"/>
  <c r="CW14" i="10" s="1"/>
  <c r="CV14" i="10" a="1"/>
  <c r="CV14" i="10" s="1"/>
  <c r="CU14" i="10" a="1"/>
  <c r="CU14" i="10" s="1"/>
  <c r="CT14" i="10"/>
  <c r="CT14" i="10" a="1"/>
  <c r="CS14" i="10" a="1"/>
  <c r="CS14" i="10" s="1"/>
  <c r="CR14" i="10" a="1"/>
  <c r="CR14" i="10" s="1"/>
  <c r="CQ14" i="10" a="1"/>
  <c r="CQ14" i="10" s="1"/>
  <c r="CP14" i="10"/>
  <c r="CP14" i="10" a="1"/>
  <c r="CO14" i="10" a="1"/>
  <c r="CO14" i="10" s="1"/>
  <c r="CN14" i="10" a="1"/>
  <c r="CN14" i="10" s="1"/>
  <c r="CM14" i="10" a="1"/>
  <c r="CM14" i="10" s="1"/>
  <c r="CL14" i="10"/>
  <c r="CL14" i="10" a="1"/>
  <c r="CK14" i="10" a="1"/>
  <c r="CK14" i="10" s="1"/>
  <c r="CJ14" i="10" a="1"/>
  <c r="CJ14" i="10" s="1"/>
  <c r="CI14" i="10" a="1"/>
  <c r="CI14" i="10" s="1"/>
  <c r="CH14" i="10"/>
  <c r="CH14" i="10" a="1"/>
  <c r="CG14" i="10" a="1"/>
  <c r="CG14" i="10" s="1"/>
  <c r="CF14" i="10" a="1"/>
  <c r="CF14" i="10" s="1"/>
  <c r="CE14" i="10" a="1"/>
  <c r="CE14" i="10" s="1"/>
  <c r="CD14" i="10"/>
  <c r="CD14" i="10" a="1"/>
  <c r="CC14" i="10" a="1"/>
  <c r="CC14" i="10" s="1"/>
  <c r="CB14" i="10" a="1"/>
  <c r="CB14" i="10" s="1"/>
  <c r="CA14" i="10" a="1"/>
  <c r="CA14" i="10" s="1"/>
  <c r="BZ14" i="10"/>
  <c r="BZ14" i="10" a="1"/>
  <c r="BY14" i="10" a="1"/>
  <c r="BY14" i="10" s="1"/>
  <c r="BX14" i="10" a="1"/>
  <c r="BX14" i="10" s="1"/>
  <c r="BW14" i="10" a="1"/>
  <c r="BW14" i="10" s="1"/>
  <c r="BV14" i="10" a="1"/>
  <c r="BV14" i="10" s="1"/>
  <c r="BU14" i="10" a="1"/>
  <c r="BU14" i="10" s="1"/>
  <c r="BT14" i="10" a="1"/>
  <c r="BT14" i="10" s="1"/>
  <c r="BS14" i="10" a="1"/>
  <c r="BS14" i="10" s="1"/>
  <c r="BR14" i="10" a="1"/>
  <c r="BR14" i="10" s="1"/>
  <c r="BQ14" i="10" a="1"/>
  <c r="BQ14" i="10" s="1"/>
  <c r="BP14" i="10" a="1"/>
  <c r="BP14" i="10" s="1"/>
  <c r="BO14" i="10" a="1"/>
  <c r="BO14" i="10" s="1"/>
  <c r="BN14" i="10"/>
  <c r="BN14" i="10" a="1"/>
  <c r="BM14" i="10" a="1"/>
  <c r="BM14" i="10" s="1"/>
  <c r="BL14" i="10" a="1"/>
  <c r="BL14" i="10" s="1"/>
  <c r="BK14" i="10" a="1"/>
  <c r="BK14" i="10" s="1"/>
  <c r="BJ14" i="10"/>
  <c r="BJ14" i="10" a="1"/>
  <c r="BI14" i="10" a="1"/>
  <c r="BI14" i="10" s="1"/>
  <c r="BH14" i="10" a="1"/>
  <c r="BH14" i="10" s="1"/>
  <c r="BG14" i="10" a="1"/>
  <c r="BG14" i="10" s="1"/>
  <c r="BF14" i="10"/>
  <c r="BF14" i="10" a="1"/>
  <c r="BE14" i="10" a="1"/>
  <c r="BE14" i="10" s="1"/>
  <c r="BD14" i="10" a="1"/>
  <c r="BD14" i="10" s="1"/>
  <c r="BC14" i="10" a="1"/>
  <c r="BC14" i="10" s="1"/>
  <c r="BB14" i="10"/>
  <c r="BB14" i="10" a="1"/>
  <c r="BA14" i="10" a="1"/>
  <c r="BA14" i="10" s="1"/>
  <c r="AZ14" i="10" a="1"/>
  <c r="AZ14" i="10" s="1"/>
  <c r="AY14" i="10" a="1"/>
  <c r="AY14" i="10" s="1"/>
  <c r="AX14" i="10"/>
  <c r="AX14" i="10" a="1"/>
  <c r="AW14" i="10" a="1"/>
  <c r="AW14" i="10" s="1"/>
  <c r="AV14" i="10" a="1"/>
  <c r="AV14" i="10" s="1"/>
  <c r="AU14" i="10" a="1"/>
  <c r="AU14" i="10" s="1"/>
  <c r="AT14" i="10"/>
  <c r="AT14" i="10" a="1"/>
  <c r="AS14" i="10" a="1"/>
  <c r="AS14" i="10" s="1"/>
  <c r="AR14" i="10" a="1"/>
  <c r="AR14" i="10" s="1"/>
  <c r="AQ14" i="10" a="1"/>
  <c r="AQ14" i="10" s="1"/>
  <c r="AP14" i="10" a="1"/>
  <c r="AP14" i="10" s="1"/>
  <c r="AO14" i="10" a="1"/>
  <c r="AO14" i="10" s="1"/>
  <c r="AN14" i="10" a="1"/>
  <c r="AN14" i="10" s="1"/>
  <c r="AM14" i="10" a="1"/>
  <c r="AM14" i="10" s="1"/>
  <c r="AL14" i="10" a="1"/>
  <c r="AL14" i="10" s="1"/>
  <c r="AK14" i="10" a="1"/>
  <c r="AK14" i="10" s="1"/>
  <c r="AJ14" i="10" a="1"/>
  <c r="AJ14" i="10" s="1"/>
  <c r="AI14" i="10" a="1"/>
  <c r="AI14" i="10" s="1"/>
  <c r="AH14" i="10"/>
  <c r="AH14" i="10" a="1"/>
  <c r="AG14" i="10" a="1"/>
  <c r="AG14" i="10" s="1"/>
  <c r="AF14" i="10" a="1"/>
  <c r="AF14" i="10" s="1"/>
  <c r="AE14" i="10" a="1"/>
  <c r="AE14" i="10" s="1"/>
  <c r="AD14" i="10"/>
  <c r="AD14" i="10" a="1"/>
  <c r="AC14" i="10" a="1"/>
  <c r="AC14" i="10" s="1"/>
  <c r="AB14" i="10" a="1"/>
  <c r="AB14" i="10" s="1"/>
  <c r="AA14" i="10" a="1"/>
  <c r="AA14" i="10" s="1"/>
  <c r="Z14" i="10"/>
  <c r="Z14" i="10" a="1"/>
  <c r="Y14" i="10" a="1"/>
  <c r="Y14" i="10" s="1"/>
  <c r="X14" i="10" a="1"/>
  <c r="X14" i="10" s="1"/>
  <c r="W14" i="10" a="1"/>
  <c r="W14" i="10" s="1"/>
  <c r="V14" i="10" a="1"/>
  <c r="V14" i="10" s="1"/>
  <c r="U14" i="10" a="1"/>
  <c r="U14" i="10" s="1"/>
  <c r="T14" i="10" a="1"/>
  <c r="T14" i="10" s="1"/>
  <c r="S14" i="10" a="1"/>
  <c r="S14" i="10" s="1"/>
  <c r="R14" i="10"/>
  <c r="R14" i="10" a="1"/>
  <c r="Q14" i="10" a="1"/>
  <c r="Q14" i="10" s="1"/>
  <c r="P14" i="10" a="1"/>
  <c r="P14" i="10" s="1"/>
  <c r="O14" i="10" a="1"/>
  <c r="O14" i="10" s="1"/>
  <c r="N14" i="10"/>
  <c r="N14" i="10" a="1"/>
  <c r="M14" i="10" a="1"/>
  <c r="M14" i="10" s="1"/>
  <c r="L14" i="10" a="1"/>
  <c r="L14" i="10" s="1"/>
  <c r="K14" i="10" a="1"/>
  <c r="K14" i="10" s="1"/>
  <c r="J14" i="10" a="1"/>
  <c r="J14" i="10" s="1"/>
  <c r="I14" i="10" a="1"/>
  <c r="I14" i="10" s="1"/>
  <c r="H14" i="10" a="1"/>
  <c r="H14" i="10" s="1"/>
  <c r="G14" i="10" a="1"/>
  <c r="G14" i="10" s="1"/>
  <c r="F14" i="10" a="1"/>
  <c r="F14" i="10" s="1"/>
  <c r="E14" i="10" a="1"/>
  <c r="E14" i="10" s="1"/>
  <c r="EG13" i="10" a="1"/>
  <c r="EG13" i="10" s="1"/>
  <c r="EF13" i="10" a="1"/>
  <c r="EF13" i="10" s="1"/>
  <c r="EE13" i="10"/>
  <c r="EE13" i="10" a="1"/>
  <c r="ED13" i="10" a="1"/>
  <c r="ED13" i="10" s="1"/>
  <c r="EC13" i="10" a="1"/>
  <c r="EC13" i="10" s="1"/>
  <c r="EB13" i="10" a="1"/>
  <c r="EB13" i="10" s="1"/>
  <c r="EA13" i="10"/>
  <c r="EA13" i="10" a="1"/>
  <c r="DZ13" i="10" a="1"/>
  <c r="DZ13" i="10" s="1"/>
  <c r="DY13" i="10" a="1"/>
  <c r="DY13" i="10" s="1"/>
  <c r="DX13" i="10" a="1"/>
  <c r="DX13" i="10" s="1"/>
  <c r="DW13" i="10"/>
  <c r="DW13" i="10" a="1"/>
  <c r="DV13" i="10" a="1"/>
  <c r="DV13" i="10" s="1"/>
  <c r="DU13" i="10" a="1"/>
  <c r="DU13" i="10" s="1"/>
  <c r="DT13" i="10" a="1"/>
  <c r="DT13" i="10" s="1"/>
  <c r="DS13" i="10" a="1"/>
  <c r="DS13" i="10" s="1"/>
  <c r="DR13" i="10" a="1"/>
  <c r="DR13" i="10" s="1"/>
  <c r="DQ13" i="10" a="1"/>
  <c r="DQ13" i="10" s="1"/>
  <c r="DP13" i="10" a="1"/>
  <c r="DP13" i="10" s="1"/>
  <c r="DO13" i="10"/>
  <c r="DO13" i="10" a="1"/>
  <c r="DN13" i="10" a="1"/>
  <c r="DN13" i="10" s="1"/>
  <c r="DM13" i="10" a="1"/>
  <c r="DM13" i="10" s="1"/>
  <c r="DL13" i="10" a="1"/>
  <c r="DL13" i="10" s="1"/>
  <c r="DK13" i="10"/>
  <c r="DK13" i="10" a="1"/>
  <c r="DJ13" i="10" a="1"/>
  <c r="DJ13" i="10" s="1"/>
  <c r="DI13" i="10" a="1"/>
  <c r="DI13" i="10" s="1"/>
  <c r="DH13" i="10" a="1"/>
  <c r="DH13" i="10" s="1"/>
  <c r="DG13" i="10" a="1"/>
  <c r="DG13" i="10" s="1"/>
  <c r="DF13" i="10" a="1"/>
  <c r="DF13" i="10" s="1"/>
  <c r="DE13" i="10" a="1"/>
  <c r="DE13" i="10" s="1"/>
  <c r="DD13" i="10" a="1"/>
  <c r="DD13" i="10" s="1"/>
  <c r="DC13" i="10" a="1"/>
  <c r="DC13" i="10" s="1"/>
  <c r="DB13" i="10" a="1"/>
  <c r="DB13" i="10" s="1"/>
  <c r="DA13" i="10" a="1"/>
  <c r="DA13" i="10" s="1"/>
  <c r="CZ13" i="10" a="1"/>
  <c r="CZ13" i="10" s="1"/>
  <c r="CY13" i="10"/>
  <c r="CY13" i="10" a="1"/>
  <c r="CX13" i="10" a="1"/>
  <c r="CX13" i="10" s="1"/>
  <c r="CW13" i="10" a="1"/>
  <c r="CW13" i="10" s="1"/>
  <c r="CV13" i="10" a="1"/>
  <c r="CV13" i="10" s="1"/>
  <c r="CU13" i="10"/>
  <c r="CU13" i="10" a="1"/>
  <c r="CT13" i="10" a="1"/>
  <c r="CT13" i="10" s="1"/>
  <c r="CS13" i="10" a="1"/>
  <c r="CS13" i="10" s="1"/>
  <c r="CR13" i="10" a="1"/>
  <c r="CR13" i="10" s="1"/>
  <c r="CQ13" i="10"/>
  <c r="CQ13" i="10" a="1"/>
  <c r="CP13" i="10" a="1"/>
  <c r="CP13" i="10" s="1"/>
  <c r="CO13" i="10" a="1"/>
  <c r="CO13" i="10" s="1"/>
  <c r="CN13" i="10" a="1"/>
  <c r="CN13" i="10" s="1"/>
  <c r="CM13" i="10"/>
  <c r="CM13" i="10" a="1"/>
  <c r="CL13" i="10" a="1"/>
  <c r="CL13" i="10" s="1"/>
  <c r="CK13" i="10" a="1"/>
  <c r="CK13" i="10" s="1"/>
  <c r="CJ13" i="10" a="1"/>
  <c r="CJ13" i="10" s="1"/>
  <c r="CI13" i="10"/>
  <c r="CI13" i="10" a="1"/>
  <c r="CH13" i="10" a="1"/>
  <c r="CH13" i="10" s="1"/>
  <c r="CG13" i="10" a="1"/>
  <c r="CG13" i="10" s="1"/>
  <c r="CF13" i="10" a="1"/>
  <c r="CF13" i="10" s="1"/>
  <c r="CE13" i="10"/>
  <c r="CE13" i="10" a="1"/>
  <c r="CD13" i="10" a="1"/>
  <c r="CD13" i="10" s="1"/>
  <c r="CC13" i="10" a="1"/>
  <c r="CC13" i="10" s="1"/>
  <c r="CB13" i="10" a="1"/>
  <c r="CB13" i="10" s="1"/>
  <c r="CA13" i="10" a="1"/>
  <c r="CA13" i="10" s="1"/>
  <c r="BZ13" i="10"/>
  <c r="BZ13" i="10" a="1"/>
  <c r="BY13" i="10" a="1"/>
  <c r="BY13" i="10" s="1"/>
  <c r="BX13" i="10" a="1"/>
  <c r="BX13" i="10" s="1"/>
  <c r="BW13" i="10" a="1"/>
  <c r="BW13" i="10" s="1"/>
  <c r="BV13" i="10" a="1"/>
  <c r="BV13" i="10" s="1"/>
  <c r="BU13" i="10" a="1"/>
  <c r="BU13" i="10" s="1"/>
  <c r="BT13" i="10" a="1"/>
  <c r="BT13" i="10" s="1"/>
  <c r="BS13" i="10"/>
  <c r="BS13" i="10" a="1"/>
  <c r="BR13" i="10" a="1"/>
  <c r="BR13" i="10" s="1"/>
  <c r="BQ13" i="10" a="1"/>
  <c r="BQ13" i="10" s="1"/>
  <c r="BP13" i="10" a="1"/>
  <c r="BP13" i="10" s="1"/>
  <c r="BO13" i="10"/>
  <c r="BO13" i="10" a="1"/>
  <c r="BN13" i="10"/>
  <c r="BN13" i="10" a="1"/>
  <c r="BM13" i="10" a="1"/>
  <c r="BM13" i="10" s="1"/>
  <c r="BL13" i="10" a="1"/>
  <c r="BL13" i="10" s="1"/>
  <c r="BK13" i="10" a="1"/>
  <c r="BK13" i="10" s="1"/>
  <c r="BJ13" i="10" a="1"/>
  <c r="BJ13" i="10" s="1"/>
  <c r="BI13" i="10" a="1"/>
  <c r="BI13" i="10" s="1"/>
  <c r="BH13" i="10" a="1"/>
  <c r="BH13" i="10" s="1"/>
  <c r="BG13" i="10" a="1"/>
  <c r="BG13" i="10" s="1"/>
  <c r="BF13" i="10" a="1"/>
  <c r="BF13" i="10" s="1"/>
  <c r="BE13" i="10" a="1"/>
  <c r="BE13" i="10" s="1"/>
  <c r="BD13" i="10" a="1"/>
  <c r="BD13" i="10" s="1"/>
  <c r="BC13" i="10" a="1"/>
  <c r="BC13" i="10" s="1"/>
  <c r="BB13" i="10"/>
  <c r="BB13" i="10" a="1"/>
  <c r="BA13" i="10" a="1"/>
  <c r="BA13" i="10" s="1"/>
  <c r="AZ13" i="10" a="1"/>
  <c r="AZ13" i="10" s="1"/>
  <c r="AY13" i="10" a="1"/>
  <c r="AY13" i="10" s="1"/>
  <c r="AX13" i="10" a="1"/>
  <c r="AX13" i="10" s="1"/>
  <c r="AW13" i="10" a="1"/>
  <c r="AW13" i="10" s="1"/>
  <c r="AV13" i="10" a="1"/>
  <c r="AV13" i="10" s="1"/>
  <c r="AU13" i="10" a="1"/>
  <c r="AU13" i="10" s="1"/>
  <c r="AT13" i="10" a="1"/>
  <c r="AT13" i="10" s="1"/>
  <c r="AS13" i="10" a="1"/>
  <c r="AS13" i="10" s="1"/>
  <c r="AR13" i="10" a="1"/>
  <c r="AR13" i="10" s="1"/>
  <c r="AQ13" i="10" a="1"/>
  <c r="AQ13" i="10" s="1"/>
  <c r="AP13" i="10" a="1"/>
  <c r="AP13" i="10" s="1"/>
  <c r="AO13" i="10" a="1"/>
  <c r="AO13" i="10" s="1"/>
  <c r="AN13" i="10" a="1"/>
  <c r="AN13" i="10" s="1"/>
  <c r="AM13" i="10" a="1"/>
  <c r="AM13" i="10" s="1"/>
  <c r="AL13" i="10" a="1"/>
  <c r="AL13" i="10" s="1"/>
  <c r="AK13" i="10" a="1"/>
  <c r="AK13" i="10" s="1"/>
  <c r="AJ13" i="10" a="1"/>
  <c r="AJ13" i="10" s="1"/>
  <c r="AI13" i="10"/>
  <c r="AI13" i="10" a="1"/>
  <c r="AH13" i="10" a="1"/>
  <c r="AH13" i="10" s="1"/>
  <c r="AG13" i="10" a="1"/>
  <c r="AG13" i="10" s="1"/>
  <c r="AF13" i="10" a="1"/>
  <c r="AF13" i="10" s="1"/>
  <c r="AE13" i="10" a="1"/>
  <c r="AE13" i="10" s="1"/>
  <c r="AD13" i="10" a="1"/>
  <c r="AD13" i="10" s="1"/>
  <c r="AC13" i="10" a="1"/>
  <c r="AC13" i="10" s="1"/>
  <c r="AB13" i="10" a="1"/>
  <c r="AB13" i="10" s="1"/>
  <c r="AA13" i="10" a="1"/>
  <c r="AA13" i="10" s="1"/>
  <c r="Z13" i="10" a="1"/>
  <c r="Z13" i="10" s="1"/>
  <c r="Y13" i="10" a="1"/>
  <c r="Y13" i="10" s="1"/>
  <c r="X13" i="10" a="1"/>
  <c r="X13" i="10" s="1"/>
  <c r="W13" i="10" a="1"/>
  <c r="W13" i="10" s="1"/>
  <c r="V13" i="10"/>
  <c r="V13" i="10" a="1"/>
  <c r="U13" i="10" a="1"/>
  <c r="U13" i="10" s="1"/>
  <c r="T13" i="10" a="1"/>
  <c r="T13" i="10" s="1"/>
  <c r="S13" i="10" a="1"/>
  <c r="S13" i="10" s="1"/>
  <c r="R13" i="10" a="1"/>
  <c r="R13" i="10" s="1"/>
  <c r="Q13" i="10" a="1"/>
  <c r="Q13" i="10" s="1"/>
  <c r="P13" i="10" a="1"/>
  <c r="P13" i="10" s="1"/>
  <c r="O13" i="10" a="1"/>
  <c r="O13" i="10" s="1"/>
  <c r="N13" i="10" a="1"/>
  <c r="N13" i="10" s="1"/>
  <c r="M13" i="10" a="1"/>
  <c r="M13" i="10" s="1"/>
  <c r="L13" i="10" a="1"/>
  <c r="L13" i="10" s="1"/>
  <c r="K13" i="10" a="1"/>
  <c r="K13" i="10" s="1"/>
  <c r="J13" i="10" a="1"/>
  <c r="J13" i="10" s="1"/>
  <c r="I13" i="10" a="1"/>
  <c r="I13" i="10" s="1"/>
  <c r="H13" i="10" a="1"/>
  <c r="H13" i="10" s="1"/>
  <c r="G13" i="10" a="1"/>
  <c r="G13" i="10" s="1"/>
  <c r="F13" i="10" a="1"/>
  <c r="F13" i="10" s="1"/>
  <c r="E13" i="10" a="1"/>
  <c r="E13" i="10" s="1"/>
  <c r="EG12" i="10" a="1"/>
  <c r="EG12" i="10" s="1"/>
  <c r="EF12" i="10"/>
  <c r="EF12" i="10" a="1"/>
  <c r="EE12" i="10" a="1"/>
  <c r="EE12" i="10" s="1"/>
  <c r="ED12" i="10" a="1"/>
  <c r="ED12" i="10" s="1"/>
  <c r="EC12" i="10" a="1"/>
  <c r="EC12" i="10" s="1"/>
  <c r="EB12" i="10" a="1"/>
  <c r="EB12" i="10" s="1"/>
  <c r="EA12" i="10" a="1"/>
  <c r="EA12" i="10" s="1"/>
  <c r="DZ12" i="10" a="1"/>
  <c r="DZ12" i="10" s="1"/>
  <c r="DY12" i="10" a="1"/>
  <c r="DY12" i="10" s="1"/>
  <c r="DX12" i="10" a="1"/>
  <c r="DX12" i="10" s="1"/>
  <c r="DW12" i="10" a="1"/>
  <c r="DW12" i="10" s="1"/>
  <c r="DV12" i="10" a="1"/>
  <c r="DV12" i="10" s="1"/>
  <c r="DU12" i="10" a="1"/>
  <c r="DU12" i="10" s="1"/>
  <c r="DT12" i="10" a="1"/>
  <c r="DT12" i="10" s="1"/>
  <c r="DS12" i="10" a="1"/>
  <c r="DS12" i="10" s="1"/>
  <c r="DR12" i="10" a="1"/>
  <c r="DR12" i="10" s="1"/>
  <c r="DQ12" i="10" a="1"/>
  <c r="DQ12" i="10" s="1"/>
  <c r="DP12" i="10" a="1"/>
  <c r="DP12" i="10" s="1"/>
  <c r="DO12" i="10" a="1"/>
  <c r="DO12" i="10" s="1"/>
  <c r="DN12" i="10" a="1"/>
  <c r="DN12" i="10" s="1"/>
  <c r="DM12" i="10" a="1"/>
  <c r="DM12" i="10" s="1"/>
  <c r="DL12" i="10" a="1"/>
  <c r="DL12" i="10" s="1"/>
  <c r="DK12" i="10" a="1"/>
  <c r="DK12" i="10" s="1"/>
  <c r="DJ12" i="10" a="1"/>
  <c r="DJ12" i="10" s="1"/>
  <c r="DI12" i="10" a="1"/>
  <c r="DI12" i="10" s="1"/>
  <c r="DH12" i="10" a="1"/>
  <c r="DH12" i="10" s="1"/>
  <c r="DG12" i="10" a="1"/>
  <c r="DG12" i="10" s="1"/>
  <c r="DF12" i="10" a="1"/>
  <c r="DF12" i="10" s="1"/>
  <c r="DE12" i="10" a="1"/>
  <c r="DE12" i="10" s="1"/>
  <c r="DD12" i="10" a="1"/>
  <c r="DD12" i="10" s="1"/>
  <c r="DC12" i="10" a="1"/>
  <c r="DC12" i="10" s="1"/>
  <c r="DB12" i="10" a="1"/>
  <c r="DB12" i="10" s="1"/>
  <c r="DA12" i="10" a="1"/>
  <c r="DA12" i="10" s="1"/>
  <c r="CZ12" i="10" a="1"/>
  <c r="CZ12" i="10" s="1"/>
  <c r="CY12" i="10" a="1"/>
  <c r="CY12" i="10" s="1"/>
  <c r="CX12" i="10" a="1"/>
  <c r="CX12" i="10" s="1"/>
  <c r="CW12" i="10" a="1"/>
  <c r="CW12" i="10" s="1"/>
  <c r="CV12" i="10" a="1"/>
  <c r="CV12" i="10" s="1"/>
  <c r="CU12" i="10" a="1"/>
  <c r="CU12" i="10" s="1"/>
  <c r="CT12" i="10" a="1"/>
  <c r="CT12" i="10" s="1"/>
  <c r="CS12" i="10" a="1"/>
  <c r="CS12" i="10" s="1"/>
  <c r="CR12" i="10" a="1"/>
  <c r="CR12" i="10" s="1"/>
  <c r="CQ12" i="10" a="1"/>
  <c r="CQ12" i="10" s="1"/>
  <c r="CP12" i="10" a="1"/>
  <c r="CP12" i="10" s="1"/>
  <c r="CO12" i="10" a="1"/>
  <c r="CO12" i="10" s="1"/>
  <c r="CN12" i="10" a="1"/>
  <c r="CN12" i="10" s="1"/>
  <c r="CM12" i="10" a="1"/>
  <c r="CM12" i="10" s="1"/>
  <c r="CL12" i="10" a="1"/>
  <c r="CL12" i="10" s="1"/>
  <c r="CK12" i="10" a="1"/>
  <c r="CK12" i="10" s="1"/>
  <c r="CJ12" i="10" a="1"/>
  <c r="CJ12" i="10" s="1"/>
  <c r="CI12" i="10" a="1"/>
  <c r="CI12" i="10" s="1"/>
  <c r="CH12" i="10" a="1"/>
  <c r="CH12" i="10" s="1"/>
  <c r="CG12" i="10" a="1"/>
  <c r="CG12" i="10" s="1"/>
  <c r="CF12" i="10" a="1"/>
  <c r="CF12" i="10" s="1"/>
  <c r="CE12" i="10" a="1"/>
  <c r="CE12" i="10" s="1"/>
  <c r="CD12" i="10" a="1"/>
  <c r="CD12" i="10" s="1"/>
  <c r="CC12" i="10" a="1"/>
  <c r="CC12" i="10" s="1"/>
  <c r="CB12" i="10" a="1"/>
  <c r="CB12" i="10" s="1"/>
  <c r="CA12" i="10" a="1"/>
  <c r="CA12" i="10" s="1"/>
  <c r="BZ12" i="10" a="1"/>
  <c r="BZ12" i="10" s="1"/>
  <c r="BY12" i="10" a="1"/>
  <c r="BY12" i="10" s="1"/>
  <c r="BX12" i="10" a="1"/>
  <c r="BX12" i="10" s="1"/>
  <c r="BW12" i="10" a="1"/>
  <c r="BW12" i="10" s="1"/>
  <c r="BV12" i="10" a="1"/>
  <c r="BV12" i="10" s="1"/>
  <c r="BU12" i="10" a="1"/>
  <c r="BU12" i="10" s="1"/>
  <c r="BT12" i="10" a="1"/>
  <c r="BT12" i="10" s="1"/>
  <c r="BS12" i="10" a="1"/>
  <c r="BS12" i="10" s="1"/>
  <c r="BR12" i="10" a="1"/>
  <c r="BR12" i="10" s="1"/>
  <c r="BQ12" i="10" a="1"/>
  <c r="BQ12" i="10" s="1"/>
  <c r="BP12" i="10" a="1"/>
  <c r="BP12" i="10" s="1"/>
  <c r="BO12" i="10" a="1"/>
  <c r="BO12" i="10" s="1"/>
  <c r="BN12" i="10" a="1"/>
  <c r="BN12" i="10" s="1"/>
  <c r="BM12" i="10" a="1"/>
  <c r="BM12" i="10" s="1"/>
  <c r="BL12" i="10" a="1"/>
  <c r="BL12" i="10" s="1"/>
  <c r="BK12" i="10" a="1"/>
  <c r="BK12" i="10" s="1"/>
  <c r="BJ12" i="10" a="1"/>
  <c r="BJ12" i="10" s="1"/>
  <c r="BI12" i="10" a="1"/>
  <c r="BI12" i="10" s="1"/>
  <c r="BH12" i="10" a="1"/>
  <c r="BH12" i="10" s="1"/>
  <c r="BG12" i="10" a="1"/>
  <c r="BG12" i="10" s="1"/>
  <c r="BF12" i="10" a="1"/>
  <c r="BF12" i="10" s="1"/>
  <c r="BE12" i="10" a="1"/>
  <c r="BE12" i="10" s="1"/>
  <c r="BD12" i="10" a="1"/>
  <c r="BD12" i="10" s="1"/>
  <c r="BC12" i="10" a="1"/>
  <c r="BC12" i="10" s="1"/>
  <c r="BB12" i="10" a="1"/>
  <c r="BB12" i="10" s="1"/>
  <c r="BA12" i="10" a="1"/>
  <c r="BA12" i="10" s="1"/>
  <c r="AZ12" i="10" a="1"/>
  <c r="AZ12" i="10" s="1"/>
  <c r="AY12" i="10" a="1"/>
  <c r="AY12" i="10" s="1"/>
  <c r="AX12" i="10" a="1"/>
  <c r="AX12" i="10" s="1"/>
  <c r="AW12" i="10" a="1"/>
  <c r="AW12" i="10" s="1"/>
  <c r="AV12" i="10" a="1"/>
  <c r="AV12" i="10" s="1"/>
  <c r="AU12" i="10" a="1"/>
  <c r="AU12" i="10" s="1"/>
  <c r="AT12" i="10" a="1"/>
  <c r="AT12" i="10" s="1"/>
  <c r="AS12" i="10" a="1"/>
  <c r="AS12" i="10" s="1"/>
  <c r="AR12" i="10" a="1"/>
  <c r="AR12" i="10" s="1"/>
  <c r="AQ12" i="10" a="1"/>
  <c r="AQ12" i="10" s="1"/>
  <c r="AP12" i="10" a="1"/>
  <c r="AP12" i="10" s="1"/>
  <c r="AO12" i="10" a="1"/>
  <c r="AO12" i="10" s="1"/>
  <c r="AN12" i="10" a="1"/>
  <c r="AN12" i="10" s="1"/>
  <c r="AM12" i="10" a="1"/>
  <c r="AM12" i="10" s="1"/>
  <c r="AL12" i="10" a="1"/>
  <c r="AL12" i="10" s="1"/>
  <c r="AK12" i="10" a="1"/>
  <c r="AK12" i="10" s="1"/>
  <c r="AJ12" i="10" a="1"/>
  <c r="AJ12" i="10" s="1"/>
  <c r="AI12" i="10" a="1"/>
  <c r="AI12" i="10" s="1"/>
  <c r="AH12" i="10" a="1"/>
  <c r="AH12" i="10" s="1"/>
  <c r="AG12" i="10" a="1"/>
  <c r="AG12" i="10" s="1"/>
  <c r="AF12" i="10" a="1"/>
  <c r="AF12" i="10" s="1"/>
  <c r="AE12" i="10" a="1"/>
  <c r="AE12" i="10" s="1"/>
  <c r="AD12" i="10" a="1"/>
  <c r="AD12" i="10" s="1"/>
  <c r="AC12" i="10" a="1"/>
  <c r="AC12" i="10" s="1"/>
  <c r="AB12" i="10" a="1"/>
  <c r="AB12" i="10" s="1"/>
  <c r="AA12" i="10" a="1"/>
  <c r="AA12" i="10" s="1"/>
  <c r="Z12" i="10" a="1"/>
  <c r="Z12" i="10" s="1"/>
  <c r="Y12" i="10" a="1"/>
  <c r="Y12" i="10" s="1"/>
  <c r="X12" i="10" a="1"/>
  <c r="X12" i="10" s="1"/>
  <c r="W12" i="10" a="1"/>
  <c r="W12" i="10" s="1"/>
  <c r="V12" i="10" a="1"/>
  <c r="V12" i="10" s="1"/>
  <c r="U12" i="10" a="1"/>
  <c r="U12" i="10" s="1"/>
  <c r="T12" i="10" a="1"/>
  <c r="T12" i="10" s="1"/>
  <c r="S12" i="10" a="1"/>
  <c r="S12" i="10" s="1"/>
  <c r="R12" i="10" a="1"/>
  <c r="R12" i="10" s="1"/>
  <c r="Q12" i="10" a="1"/>
  <c r="Q12" i="10" s="1"/>
  <c r="P12" i="10" a="1"/>
  <c r="P12" i="10" s="1"/>
  <c r="O12" i="10" a="1"/>
  <c r="O12" i="10" s="1"/>
  <c r="N12" i="10" a="1"/>
  <c r="N12" i="10" s="1"/>
  <c r="M12" i="10" a="1"/>
  <c r="M12" i="10" s="1"/>
  <c r="L12" i="10" a="1"/>
  <c r="L12" i="10" s="1"/>
  <c r="K12" i="10" a="1"/>
  <c r="K12" i="10" s="1"/>
  <c r="J12" i="10" a="1"/>
  <c r="J12" i="10" s="1"/>
  <c r="I12" i="10" a="1"/>
  <c r="I12" i="10" s="1"/>
  <c r="H12" i="10" a="1"/>
  <c r="H12" i="10" s="1"/>
  <c r="G12" i="10" a="1"/>
  <c r="G12" i="10" s="1"/>
  <c r="F12" i="10" a="1"/>
  <c r="F12" i="10" s="1"/>
  <c r="E12" i="10" a="1"/>
  <c r="E12" i="10" s="1"/>
  <c r="EG11" i="10" a="1"/>
  <c r="EG11" i="10" s="1"/>
  <c r="EF11" i="10" a="1"/>
  <c r="EF11" i="10" s="1"/>
  <c r="EE11" i="10" a="1"/>
  <c r="EE11" i="10" s="1"/>
  <c r="ED11" i="10" a="1"/>
  <c r="ED11" i="10" s="1"/>
  <c r="EC11" i="10" a="1"/>
  <c r="EC11" i="10" s="1"/>
  <c r="EB11" i="10" a="1"/>
  <c r="EB11" i="10" s="1"/>
  <c r="EA11" i="10" a="1"/>
  <c r="EA11" i="10" s="1"/>
  <c r="DZ11" i="10" a="1"/>
  <c r="DZ11" i="10" s="1"/>
  <c r="DY11" i="10" a="1"/>
  <c r="DY11" i="10" s="1"/>
  <c r="DX11" i="10" a="1"/>
  <c r="DX11" i="10" s="1"/>
  <c r="DW11" i="10" a="1"/>
  <c r="DW11" i="10" s="1"/>
  <c r="DV11" i="10" a="1"/>
  <c r="DV11" i="10" s="1"/>
  <c r="DU11" i="10" a="1"/>
  <c r="DU11" i="10" s="1"/>
  <c r="DT11" i="10" a="1"/>
  <c r="DT11" i="10" s="1"/>
  <c r="DS11" i="10" a="1"/>
  <c r="DS11" i="10" s="1"/>
  <c r="DR11" i="10" a="1"/>
  <c r="DR11" i="10" s="1"/>
  <c r="DQ11" i="10" a="1"/>
  <c r="DQ11" i="10" s="1"/>
  <c r="DP11" i="10" a="1"/>
  <c r="DP11" i="10" s="1"/>
  <c r="DO11" i="10" a="1"/>
  <c r="DO11" i="10" s="1"/>
  <c r="DN11" i="10" a="1"/>
  <c r="DN11" i="10" s="1"/>
  <c r="DM11" i="10" a="1"/>
  <c r="DM11" i="10" s="1"/>
  <c r="DL11" i="10" a="1"/>
  <c r="DL11" i="10" s="1"/>
  <c r="DK11" i="10" a="1"/>
  <c r="DK11" i="10" s="1"/>
  <c r="DJ11" i="10" a="1"/>
  <c r="DJ11" i="10" s="1"/>
  <c r="DI11" i="10" a="1"/>
  <c r="DI11" i="10" s="1"/>
  <c r="DH11" i="10" a="1"/>
  <c r="DH11" i="10" s="1"/>
  <c r="DG11" i="10" a="1"/>
  <c r="DG11" i="10" s="1"/>
  <c r="DF11" i="10" a="1"/>
  <c r="DF11" i="10" s="1"/>
  <c r="DE11" i="10" a="1"/>
  <c r="DE11" i="10" s="1"/>
  <c r="DD11" i="10" a="1"/>
  <c r="DD11" i="10" s="1"/>
  <c r="DC11" i="10" a="1"/>
  <c r="DC11" i="10" s="1"/>
  <c r="DB11" i="10" a="1"/>
  <c r="DB11" i="10" s="1"/>
  <c r="DA11" i="10" a="1"/>
  <c r="DA11" i="10" s="1"/>
  <c r="CZ11" i="10" a="1"/>
  <c r="CZ11" i="10" s="1"/>
  <c r="CY11" i="10" a="1"/>
  <c r="CY11" i="10" s="1"/>
  <c r="CX11" i="10" a="1"/>
  <c r="CX11" i="10" s="1"/>
  <c r="CW11" i="10" a="1"/>
  <c r="CW11" i="10" s="1"/>
  <c r="CV11" i="10" a="1"/>
  <c r="CV11" i="10" s="1"/>
  <c r="CU11" i="10" a="1"/>
  <c r="CU11" i="10" s="1"/>
  <c r="CT11" i="10" a="1"/>
  <c r="CT11" i="10" s="1"/>
  <c r="CS11" i="10" a="1"/>
  <c r="CS11" i="10" s="1"/>
  <c r="CR11" i="10" a="1"/>
  <c r="CR11" i="10" s="1"/>
  <c r="CQ11" i="10" a="1"/>
  <c r="CQ11" i="10" s="1"/>
  <c r="CP11" i="10" a="1"/>
  <c r="CP11" i="10" s="1"/>
  <c r="CO11" i="10" a="1"/>
  <c r="CO11" i="10" s="1"/>
  <c r="CN11" i="10" a="1"/>
  <c r="CN11" i="10" s="1"/>
  <c r="CM11" i="10" a="1"/>
  <c r="CM11" i="10" s="1"/>
  <c r="CL11" i="10" a="1"/>
  <c r="CL11" i="10" s="1"/>
  <c r="CK11" i="10" a="1"/>
  <c r="CK11" i="10" s="1"/>
  <c r="CJ11" i="10" a="1"/>
  <c r="CJ11" i="10" s="1"/>
  <c r="CI11" i="10" a="1"/>
  <c r="CI11" i="10" s="1"/>
  <c r="CH11" i="10" a="1"/>
  <c r="CH11" i="10" s="1"/>
  <c r="CG11" i="10" a="1"/>
  <c r="CG11" i="10" s="1"/>
  <c r="CF11" i="10" a="1"/>
  <c r="CF11" i="10" s="1"/>
  <c r="CE11" i="10" a="1"/>
  <c r="CE11" i="10" s="1"/>
  <c r="CD11" i="10" a="1"/>
  <c r="CD11" i="10" s="1"/>
  <c r="CC11" i="10" a="1"/>
  <c r="CC11" i="10" s="1"/>
  <c r="CB11" i="10" a="1"/>
  <c r="CB11" i="10" s="1"/>
  <c r="CA11" i="10" a="1"/>
  <c r="CA11" i="10" s="1"/>
  <c r="BZ11" i="10" a="1"/>
  <c r="BZ11" i="10" s="1"/>
  <c r="BY11" i="10" a="1"/>
  <c r="BY11" i="10" s="1"/>
  <c r="BX11" i="10" a="1"/>
  <c r="BX11" i="10" s="1"/>
  <c r="BW11" i="10" a="1"/>
  <c r="BW11" i="10" s="1"/>
  <c r="BV11" i="10" a="1"/>
  <c r="BV11" i="10" s="1"/>
  <c r="BU11" i="10" a="1"/>
  <c r="BU11" i="10" s="1"/>
  <c r="BT11" i="10" a="1"/>
  <c r="BT11" i="10" s="1"/>
  <c r="BS11" i="10" a="1"/>
  <c r="BS11" i="10" s="1"/>
  <c r="BR11" i="10" a="1"/>
  <c r="BR11" i="10" s="1"/>
  <c r="BQ11" i="10" a="1"/>
  <c r="BQ11" i="10" s="1"/>
  <c r="BP11" i="10" a="1"/>
  <c r="BP11" i="10" s="1"/>
  <c r="BO11" i="10" a="1"/>
  <c r="BO11" i="10" s="1"/>
  <c r="BN11" i="10" a="1"/>
  <c r="BN11" i="10" s="1"/>
  <c r="BM11" i="10" a="1"/>
  <c r="BM11" i="10" s="1"/>
  <c r="BL11" i="10" a="1"/>
  <c r="BL11" i="10" s="1"/>
  <c r="BK11" i="10" a="1"/>
  <c r="BK11" i="10" s="1"/>
  <c r="BJ11" i="10" a="1"/>
  <c r="BJ11" i="10" s="1"/>
  <c r="BI11" i="10" a="1"/>
  <c r="BI11" i="10" s="1"/>
  <c r="BH11" i="10" a="1"/>
  <c r="BH11" i="10" s="1"/>
  <c r="BG11" i="10" a="1"/>
  <c r="BG11" i="10" s="1"/>
  <c r="BF11" i="10" a="1"/>
  <c r="BF11" i="10" s="1"/>
  <c r="BE11" i="10" a="1"/>
  <c r="BE11" i="10" s="1"/>
  <c r="BD11" i="10" a="1"/>
  <c r="BD11" i="10" s="1"/>
  <c r="BC11" i="10" a="1"/>
  <c r="BC11" i="10" s="1"/>
  <c r="BB11" i="10" a="1"/>
  <c r="BB11" i="10" s="1"/>
  <c r="BA11" i="10" a="1"/>
  <c r="BA11" i="10" s="1"/>
  <c r="AZ11" i="10" a="1"/>
  <c r="AZ11" i="10" s="1"/>
  <c r="AY11" i="10"/>
  <c r="AY11" i="10" a="1"/>
  <c r="AX11" i="10" a="1"/>
  <c r="AX11" i="10" s="1"/>
  <c r="AW11" i="10" a="1"/>
  <c r="AW11" i="10" s="1"/>
  <c r="AV11" i="10" a="1"/>
  <c r="AV11" i="10" s="1"/>
  <c r="AU11" i="10"/>
  <c r="AU11" i="10" a="1"/>
  <c r="AT11" i="10" a="1"/>
  <c r="AT11" i="10" s="1"/>
  <c r="AS11" i="10" a="1"/>
  <c r="AS11" i="10" s="1"/>
  <c r="AR11" i="10" a="1"/>
  <c r="AR11" i="10" s="1"/>
  <c r="AQ11" i="10"/>
  <c r="AQ11" i="10" a="1"/>
  <c r="AP11" i="10" a="1"/>
  <c r="AP11" i="10" s="1"/>
  <c r="AO11" i="10" a="1"/>
  <c r="AO11" i="10" s="1"/>
  <c r="AN11" i="10" a="1"/>
  <c r="AN11" i="10" s="1"/>
  <c r="AM11" i="10" a="1"/>
  <c r="AM11" i="10" s="1"/>
  <c r="AL11" i="10" a="1"/>
  <c r="AL11" i="10" s="1"/>
  <c r="AK11" i="10" a="1"/>
  <c r="AK11" i="10" s="1"/>
  <c r="AJ11" i="10" a="1"/>
  <c r="AJ11" i="10" s="1"/>
  <c r="AI11" i="10"/>
  <c r="AI11" i="10" a="1"/>
  <c r="AH11" i="10" a="1"/>
  <c r="AH11" i="10" s="1"/>
  <c r="AG11" i="10" a="1"/>
  <c r="AG11" i="10" s="1"/>
  <c r="AF11" i="10" a="1"/>
  <c r="AF11" i="10" s="1"/>
  <c r="AE11" i="10"/>
  <c r="AE11" i="10" a="1"/>
  <c r="AD11" i="10" a="1"/>
  <c r="AD11" i="10" s="1"/>
  <c r="AC11" i="10" a="1"/>
  <c r="AC11" i="10" s="1"/>
  <c r="AB11" i="10" a="1"/>
  <c r="AB11" i="10" s="1"/>
  <c r="AA11" i="10"/>
  <c r="AA11" i="10" a="1"/>
  <c r="Z11" i="10" a="1"/>
  <c r="Z11" i="10" s="1"/>
  <c r="Y11" i="10" a="1"/>
  <c r="Y11" i="10" s="1"/>
  <c r="X11" i="10" a="1"/>
  <c r="X11" i="10" s="1"/>
  <c r="W11" i="10" a="1"/>
  <c r="W11" i="10" s="1"/>
  <c r="V11" i="10" a="1"/>
  <c r="V11" i="10" s="1"/>
  <c r="U11" i="10" a="1"/>
  <c r="U11" i="10" s="1"/>
  <c r="T11" i="10" a="1"/>
  <c r="T11" i="10" s="1"/>
  <c r="S11" i="10"/>
  <c r="S11" i="10" a="1"/>
  <c r="R11" i="10" a="1"/>
  <c r="R11" i="10" s="1"/>
  <c r="Q11" i="10" a="1"/>
  <c r="Q11" i="10" s="1"/>
  <c r="P11" i="10" a="1"/>
  <c r="P11" i="10" s="1"/>
  <c r="O11" i="10"/>
  <c r="O11" i="10" a="1"/>
  <c r="N11" i="10" a="1"/>
  <c r="N11" i="10" s="1"/>
  <c r="M11" i="10" a="1"/>
  <c r="M11" i="10" s="1"/>
  <c r="L11" i="10" a="1"/>
  <c r="L11" i="10" s="1"/>
  <c r="K11" i="10"/>
  <c r="K11" i="10" a="1"/>
  <c r="J11" i="10" a="1"/>
  <c r="J11" i="10" s="1"/>
  <c r="I11" i="10" a="1"/>
  <c r="I11" i="10" s="1"/>
  <c r="H11" i="10" a="1"/>
  <c r="H11" i="10" s="1"/>
  <c r="G11" i="10" a="1"/>
  <c r="G11" i="10" s="1"/>
  <c r="F11" i="10" a="1"/>
  <c r="F11" i="10" s="1"/>
  <c r="E11" i="10" a="1"/>
  <c r="E11" i="10" s="1"/>
  <c r="EG10" i="10" a="1"/>
  <c r="EG10" i="10" s="1"/>
  <c r="EF10" i="10"/>
  <c r="EF10" i="10" a="1"/>
  <c r="EE10" i="10" a="1"/>
  <c r="EE10" i="10" s="1"/>
  <c r="ED10" i="10" a="1"/>
  <c r="ED10" i="10" s="1"/>
  <c r="EC10" i="10" a="1"/>
  <c r="EC10" i="10" s="1"/>
  <c r="EB10" i="10"/>
  <c r="EB10" i="10" a="1"/>
  <c r="EA10" i="10" a="1"/>
  <c r="EA10" i="10" s="1"/>
  <c r="DZ10" i="10" a="1"/>
  <c r="DZ10" i="10" s="1"/>
  <c r="DY10" i="10" a="1"/>
  <c r="DY10" i="10" s="1"/>
  <c r="DX10" i="10"/>
  <c r="DX10" i="10" a="1"/>
  <c r="DW10" i="10" a="1"/>
  <c r="DW10" i="10" s="1"/>
  <c r="DV10" i="10" a="1"/>
  <c r="DV10" i="10" s="1"/>
  <c r="DU10" i="10" a="1"/>
  <c r="DU10" i="10" s="1"/>
  <c r="DT10" i="10" a="1"/>
  <c r="DT10" i="10" s="1"/>
  <c r="DS10" i="10" a="1"/>
  <c r="DS10" i="10" s="1"/>
  <c r="DR10" i="10" a="1"/>
  <c r="DR10" i="10" s="1"/>
  <c r="DQ10" i="10" a="1"/>
  <c r="DQ10" i="10" s="1"/>
  <c r="DP10" i="10"/>
  <c r="DP10" i="10" a="1"/>
  <c r="DO10" i="10" a="1"/>
  <c r="DO10" i="10" s="1"/>
  <c r="DN10" i="10" a="1"/>
  <c r="DN10" i="10" s="1"/>
  <c r="DM10" i="10" a="1"/>
  <c r="DM10" i="10" s="1"/>
  <c r="DL10" i="10"/>
  <c r="DL10" i="10" a="1"/>
  <c r="DK10" i="10" a="1"/>
  <c r="DK10" i="10" s="1"/>
  <c r="DJ10" i="10" a="1"/>
  <c r="DJ10" i="10" s="1"/>
  <c r="DI10" i="10" a="1"/>
  <c r="DI10" i="10" s="1"/>
  <c r="DH10" i="10"/>
  <c r="DH10" i="10" a="1"/>
  <c r="DG10" i="10" a="1"/>
  <c r="DG10" i="10" s="1"/>
  <c r="DF10" i="10" a="1"/>
  <c r="DF10" i="10" s="1"/>
  <c r="DE10" i="10" a="1"/>
  <c r="DE10" i="10" s="1"/>
  <c r="DD10" i="10" a="1"/>
  <c r="DD10" i="10" s="1"/>
  <c r="DC10" i="10" a="1"/>
  <c r="DC10" i="10" s="1"/>
  <c r="DB10" i="10" a="1"/>
  <c r="DB10" i="10" s="1"/>
  <c r="DA10" i="10" a="1"/>
  <c r="DA10" i="10" s="1"/>
  <c r="CZ10" i="10"/>
  <c r="CZ10" i="10" a="1"/>
  <c r="CY10" i="10" a="1"/>
  <c r="CY10" i="10" s="1"/>
  <c r="CX10" i="10" a="1"/>
  <c r="CX10" i="10" s="1"/>
  <c r="CW10" i="10" a="1"/>
  <c r="CW10" i="10" s="1"/>
  <c r="CV10" i="10"/>
  <c r="CV10" i="10" a="1"/>
  <c r="CU10" i="10" a="1"/>
  <c r="CU10" i="10" s="1"/>
  <c r="CT10" i="10" a="1"/>
  <c r="CT10" i="10" s="1"/>
  <c r="CS10" i="10" a="1"/>
  <c r="CS10" i="10" s="1"/>
  <c r="CR10" i="10"/>
  <c r="CR10" i="10" a="1"/>
  <c r="CQ10" i="10" a="1"/>
  <c r="CQ10" i="10" s="1"/>
  <c r="CP10" i="10" a="1"/>
  <c r="CP10" i="10" s="1"/>
  <c r="CO10" i="10" a="1"/>
  <c r="CO10" i="10" s="1"/>
  <c r="CN10" i="10" a="1"/>
  <c r="CN10" i="10" s="1"/>
  <c r="CM10" i="10" a="1"/>
  <c r="CM10" i="10" s="1"/>
  <c r="CL10" i="10" a="1"/>
  <c r="CL10" i="10" s="1"/>
  <c r="CK10" i="10" a="1"/>
  <c r="CK10" i="10" s="1"/>
  <c r="CJ10" i="10"/>
  <c r="CJ10" i="10" a="1"/>
  <c r="CI10" i="10" a="1"/>
  <c r="CI10" i="10" s="1"/>
  <c r="CH10" i="10" a="1"/>
  <c r="CH10" i="10" s="1"/>
  <c r="CG10" i="10" a="1"/>
  <c r="CG10" i="10" s="1"/>
  <c r="CF10" i="10"/>
  <c r="CF10" i="10" a="1"/>
  <c r="CE10" i="10" a="1"/>
  <c r="CE10" i="10" s="1"/>
  <c r="CD10" i="10" a="1"/>
  <c r="CD10" i="10" s="1"/>
  <c r="CC10" i="10" a="1"/>
  <c r="CC10" i="10" s="1"/>
  <c r="CB10" i="10"/>
  <c r="CB10" i="10" a="1"/>
  <c r="CA10" i="10" a="1"/>
  <c r="CA10" i="10" s="1"/>
  <c r="BZ10" i="10" a="1"/>
  <c r="BZ10" i="10" s="1"/>
  <c r="BY10" i="10" a="1"/>
  <c r="BY10" i="10" s="1"/>
  <c r="BX10" i="10" a="1"/>
  <c r="BX10" i="10" s="1"/>
  <c r="BW10" i="10" a="1"/>
  <c r="BW10" i="10" s="1"/>
  <c r="BV10" i="10" a="1"/>
  <c r="BV10" i="10" s="1"/>
  <c r="BU10" i="10" a="1"/>
  <c r="BU10" i="10" s="1"/>
  <c r="BT10" i="10"/>
  <c r="BT10" i="10" a="1"/>
  <c r="BS10" i="10" a="1"/>
  <c r="BS10" i="10" s="1"/>
  <c r="BR10" i="10" a="1"/>
  <c r="BR10" i="10" s="1"/>
  <c r="BQ10" i="10" a="1"/>
  <c r="BQ10" i="10" s="1"/>
  <c r="BP10" i="10"/>
  <c r="BP10" i="10" a="1"/>
  <c r="BO10" i="10" a="1"/>
  <c r="BO10" i="10" s="1"/>
  <c r="BN10" i="10" a="1"/>
  <c r="BN10" i="10" s="1"/>
  <c r="BM10" i="10" a="1"/>
  <c r="BM10" i="10" s="1"/>
  <c r="BL10" i="10"/>
  <c r="BL10" i="10" a="1"/>
  <c r="BK10" i="10" a="1"/>
  <c r="BK10" i="10" s="1"/>
  <c r="BJ10" i="10"/>
  <c r="BJ10" i="10" a="1"/>
  <c r="BI10" i="10" a="1"/>
  <c r="BI10" i="10" s="1"/>
  <c r="BH10" i="10" a="1"/>
  <c r="BH10" i="10" s="1"/>
  <c r="BG10" i="10" a="1"/>
  <c r="BG10" i="10" s="1"/>
  <c r="BF10" i="10" a="1"/>
  <c r="BF10" i="10" s="1"/>
  <c r="BE10" i="10" a="1"/>
  <c r="BE10" i="10" s="1"/>
  <c r="BD10" i="10"/>
  <c r="BD10" i="10" a="1"/>
  <c r="BC10" i="10" a="1"/>
  <c r="BC10" i="10" s="1"/>
  <c r="BB10" i="10" a="1"/>
  <c r="BB10" i="10" s="1"/>
  <c r="BA10" i="10" a="1"/>
  <c r="BA10" i="10" s="1"/>
  <c r="AZ10" i="10"/>
  <c r="AZ10" i="10" a="1"/>
  <c r="AY10" i="10" a="1"/>
  <c r="AY10" i="10" s="1"/>
  <c r="AX10" i="10" a="1"/>
  <c r="AX10" i="10" s="1"/>
  <c r="AW10" i="10" a="1"/>
  <c r="AW10" i="10" s="1"/>
  <c r="AV10" i="10"/>
  <c r="AV10" i="10" a="1"/>
  <c r="AU10" i="10" a="1"/>
  <c r="AU10" i="10" s="1"/>
  <c r="AT10" i="10"/>
  <c r="AT10" i="10" a="1"/>
  <c r="AS10" i="10" a="1"/>
  <c r="AS10" i="10" s="1"/>
  <c r="AR10" i="10" a="1"/>
  <c r="AR10" i="10" s="1"/>
  <c r="AQ10" i="10" a="1"/>
  <c r="AQ10" i="10" s="1"/>
  <c r="AP10" i="10" a="1"/>
  <c r="AP10" i="10" s="1"/>
  <c r="AO10" i="10" a="1"/>
  <c r="AO10" i="10" s="1"/>
  <c r="AN10" i="10"/>
  <c r="AN10" i="10" a="1"/>
  <c r="AM10" i="10" a="1"/>
  <c r="AM10" i="10" s="1"/>
  <c r="AL10" i="10" a="1"/>
  <c r="AL10" i="10" s="1"/>
  <c r="AK10" i="10" a="1"/>
  <c r="AK10" i="10" s="1"/>
  <c r="AJ10" i="10"/>
  <c r="AJ10" i="10" a="1"/>
  <c r="AI10" i="10" a="1"/>
  <c r="AI10" i="10" s="1"/>
  <c r="AH10" i="10" a="1"/>
  <c r="AH10" i="10" s="1"/>
  <c r="AG10" i="10" a="1"/>
  <c r="AG10" i="10" s="1"/>
  <c r="AF10" i="10"/>
  <c r="AF10" i="10" a="1"/>
  <c r="AE10" i="10" a="1"/>
  <c r="AE10" i="10" s="1"/>
  <c r="AD10" i="10"/>
  <c r="AD10" i="10" a="1"/>
  <c r="AC10" i="10" a="1"/>
  <c r="AC10" i="10" s="1"/>
  <c r="AB10" i="10" a="1"/>
  <c r="AB10" i="10" s="1"/>
  <c r="AA10" i="10" a="1"/>
  <c r="AA10" i="10" s="1"/>
  <c r="Z10" i="10" a="1"/>
  <c r="Z10" i="10" s="1"/>
  <c r="Y10" i="10" a="1"/>
  <c r="Y10" i="10" s="1"/>
  <c r="X10" i="10"/>
  <c r="X10" i="10" a="1"/>
  <c r="W10" i="10" a="1"/>
  <c r="W10" i="10" s="1"/>
  <c r="V10" i="10" a="1"/>
  <c r="V10" i="10" s="1"/>
  <c r="U10" i="10" a="1"/>
  <c r="U10" i="10" s="1"/>
  <c r="T10" i="10"/>
  <c r="T10" i="10" a="1"/>
  <c r="S10" i="10" a="1"/>
  <c r="S10" i="10" s="1"/>
  <c r="R10" i="10" a="1"/>
  <c r="R10" i="10" s="1"/>
  <c r="Q10" i="10" a="1"/>
  <c r="Q10" i="10" s="1"/>
  <c r="P10" i="10"/>
  <c r="P10" i="10" a="1"/>
  <c r="O10" i="10" a="1"/>
  <c r="O10" i="10" s="1"/>
  <c r="N10" i="10"/>
  <c r="N10" i="10" a="1"/>
  <c r="M10" i="10" a="1"/>
  <c r="M10" i="10" s="1"/>
  <c r="L10" i="10" a="1"/>
  <c r="L10" i="10" s="1"/>
  <c r="K10" i="10" a="1"/>
  <c r="K10" i="10" s="1"/>
  <c r="J10" i="10" a="1"/>
  <c r="J10" i="10" s="1"/>
  <c r="I10" i="10" a="1"/>
  <c r="I10" i="10" s="1"/>
  <c r="H10" i="10"/>
  <c r="H10" i="10" a="1"/>
  <c r="G10" i="10" a="1"/>
  <c r="G10" i="10" s="1"/>
  <c r="F10" i="10" a="1"/>
  <c r="F10" i="10" s="1"/>
  <c r="E10" i="10" a="1"/>
  <c r="E10" i="10" s="1"/>
  <c r="EG9" i="10"/>
  <c r="EG9" i="10" a="1"/>
  <c r="EF9" i="10" a="1"/>
  <c r="EF9" i="10" s="1"/>
  <c r="EE9" i="10" a="1"/>
  <c r="EE9" i="10" s="1"/>
  <c r="ED9" i="10" a="1"/>
  <c r="ED9" i="10" s="1"/>
  <c r="EC9" i="10"/>
  <c r="EC9" i="10" a="1"/>
  <c r="EB9" i="10" a="1"/>
  <c r="EB9" i="10" s="1"/>
  <c r="EA9" i="10"/>
  <c r="EA9" i="10" a="1"/>
  <c r="DZ9" i="10" a="1"/>
  <c r="DZ9" i="10" s="1"/>
  <c r="DY9" i="10" a="1"/>
  <c r="DY9" i="10" s="1"/>
  <c r="DX9" i="10" a="1"/>
  <c r="DX9" i="10" s="1"/>
  <c r="DW9" i="10" a="1"/>
  <c r="DW9" i="10" s="1"/>
  <c r="DV9" i="10" a="1"/>
  <c r="DV9" i="10" s="1"/>
  <c r="DU9" i="10"/>
  <c r="DU9" i="10" a="1"/>
  <c r="DT9" i="10" a="1"/>
  <c r="DT9" i="10" s="1"/>
  <c r="DS9" i="10" a="1"/>
  <c r="DS9" i="10" s="1"/>
  <c r="DR9" i="10" a="1"/>
  <c r="DR9" i="10" s="1"/>
  <c r="DQ9" i="10"/>
  <c r="DQ9" i="10" a="1"/>
  <c r="DP9" i="10" a="1"/>
  <c r="DP9" i="10" s="1"/>
  <c r="DO9" i="10" a="1"/>
  <c r="DO9" i="10" s="1"/>
  <c r="DN9" i="10" a="1"/>
  <c r="DN9" i="10" s="1"/>
  <c r="DM9" i="10"/>
  <c r="DM9" i="10" a="1"/>
  <c r="DL9" i="10" a="1"/>
  <c r="DL9" i="10" s="1"/>
  <c r="DK9" i="10"/>
  <c r="DK9" i="10" a="1"/>
  <c r="DJ9" i="10" a="1"/>
  <c r="DJ9" i="10" s="1"/>
  <c r="DI9" i="10" a="1"/>
  <c r="DI9" i="10" s="1"/>
  <c r="DH9" i="10" a="1"/>
  <c r="DH9" i="10" s="1"/>
  <c r="DG9" i="10" a="1"/>
  <c r="DG9" i="10" s="1"/>
  <c r="DF9" i="10" a="1"/>
  <c r="DF9" i="10" s="1"/>
  <c r="DE9" i="10"/>
  <c r="DE9" i="10" a="1"/>
  <c r="DD9" i="10" a="1"/>
  <c r="DD9" i="10" s="1"/>
  <c r="DC9" i="10" a="1"/>
  <c r="DC9" i="10" s="1"/>
  <c r="DB9" i="10" a="1"/>
  <c r="DB9" i="10" s="1"/>
  <c r="DA9" i="10" a="1"/>
  <c r="DA9" i="10" s="1"/>
  <c r="CZ9" i="10" a="1"/>
  <c r="CZ9" i="10" s="1"/>
  <c r="CY9" i="10" a="1"/>
  <c r="CY9" i="10" s="1"/>
  <c r="CX9" i="10" a="1"/>
  <c r="CX9" i="10" s="1"/>
  <c r="CW9" i="10"/>
  <c r="CW9" i="10" a="1"/>
  <c r="CV9" i="10" a="1"/>
  <c r="CV9" i="10" s="1"/>
  <c r="CU9" i="10" a="1"/>
  <c r="CU9" i="10" s="1"/>
  <c r="CT9" i="10" a="1"/>
  <c r="CT9" i="10" s="1"/>
  <c r="CS9" i="10" a="1"/>
  <c r="CS9" i="10" s="1"/>
  <c r="CR9" i="10" a="1"/>
  <c r="CR9" i="10" s="1"/>
  <c r="CQ9" i="10" a="1"/>
  <c r="CQ9" i="10" s="1"/>
  <c r="CP9" i="10" a="1"/>
  <c r="CP9" i="10" s="1"/>
  <c r="CO9" i="10"/>
  <c r="CO9" i="10" a="1"/>
  <c r="CN9" i="10" a="1"/>
  <c r="CN9" i="10" s="1"/>
  <c r="CM9" i="10" a="1"/>
  <c r="CM9" i="10" s="1"/>
  <c r="CL9" i="10" a="1"/>
  <c r="CL9" i="10" s="1"/>
  <c r="CK9" i="10" a="1"/>
  <c r="CK9" i="10" s="1"/>
  <c r="CJ9" i="10" a="1"/>
  <c r="CJ9" i="10" s="1"/>
  <c r="CI9" i="10" a="1"/>
  <c r="CI9" i="10" s="1"/>
  <c r="CH9" i="10" a="1"/>
  <c r="CH9" i="10" s="1"/>
  <c r="CG9" i="10"/>
  <c r="CG9" i="10" a="1"/>
  <c r="CF9" i="10" a="1"/>
  <c r="CF9" i="10" s="1"/>
  <c r="CE9" i="10" a="1"/>
  <c r="CE9" i="10" s="1"/>
  <c r="CD9" i="10" a="1"/>
  <c r="CD9" i="10" s="1"/>
  <c r="CC9" i="10" a="1"/>
  <c r="CC9" i="10" s="1"/>
  <c r="CB9" i="10" a="1"/>
  <c r="CB9" i="10" s="1"/>
  <c r="CA9" i="10" a="1"/>
  <c r="CA9" i="10" s="1"/>
  <c r="BZ9" i="10" a="1"/>
  <c r="BZ9" i="10" s="1"/>
  <c r="BY9" i="10"/>
  <c r="BY9" i="10" a="1"/>
  <c r="BX9" i="10" a="1"/>
  <c r="BX9" i="10" s="1"/>
  <c r="BW9" i="10"/>
  <c r="BW9" i="10" a="1"/>
  <c r="BV9" i="10" a="1"/>
  <c r="BV9" i="10" s="1"/>
  <c r="BU9" i="10" a="1"/>
  <c r="BU9" i="10" s="1"/>
  <c r="BT9" i="10" a="1"/>
  <c r="BT9" i="10" s="1"/>
  <c r="BS9" i="10" a="1"/>
  <c r="BS9" i="10" s="1"/>
  <c r="BR9" i="10" a="1"/>
  <c r="BR9" i="10" s="1"/>
  <c r="BQ9" i="10"/>
  <c r="BQ9" i="10" a="1"/>
  <c r="BP9" i="10" a="1"/>
  <c r="BP9" i="10" s="1"/>
  <c r="BO9" i="10" a="1"/>
  <c r="BO9" i="10" s="1"/>
  <c r="BN9" i="10" a="1"/>
  <c r="BN9" i="10" s="1"/>
  <c r="BM9" i="10" a="1"/>
  <c r="BM9" i="10" s="1"/>
  <c r="BL9" i="10" a="1"/>
  <c r="BL9" i="10" s="1"/>
  <c r="BK9" i="10" a="1"/>
  <c r="BK9" i="10" s="1"/>
  <c r="BJ9" i="10" a="1"/>
  <c r="BJ9" i="10" s="1"/>
  <c r="BI9" i="10"/>
  <c r="BI9" i="10" a="1"/>
  <c r="BH9" i="10" a="1"/>
  <c r="BH9" i="10" s="1"/>
  <c r="BG9" i="10" a="1"/>
  <c r="BG9" i="10" s="1"/>
  <c r="BF9" i="10" a="1"/>
  <c r="BF9" i="10" s="1"/>
  <c r="BE9" i="10"/>
  <c r="BE9" i="10" a="1"/>
  <c r="BD9" i="10" a="1"/>
  <c r="BD9" i="10" s="1"/>
  <c r="BC9" i="10" a="1"/>
  <c r="BC9" i="10" s="1"/>
  <c r="BB9" i="10" a="1"/>
  <c r="BB9" i="10" s="1"/>
  <c r="BA9" i="10"/>
  <c r="BA9" i="10" a="1"/>
  <c r="AZ9" i="10" a="1"/>
  <c r="AZ9" i="10" s="1"/>
  <c r="AY9" i="10"/>
  <c r="AY9" i="10" a="1"/>
  <c r="AX9" i="10" a="1"/>
  <c r="AX9" i="10" s="1"/>
  <c r="AW9" i="10" a="1"/>
  <c r="AW9" i="10" s="1"/>
  <c r="AV9" i="10" a="1"/>
  <c r="AV9" i="10" s="1"/>
  <c r="AU9" i="10" a="1"/>
  <c r="AU9" i="10" s="1"/>
  <c r="AT9" i="10" a="1"/>
  <c r="AT9" i="10" s="1"/>
  <c r="AS9" i="10"/>
  <c r="AS9" i="10" a="1"/>
  <c r="AR9" i="10" a="1"/>
  <c r="AR9" i="10" s="1"/>
  <c r="AQ9" i="10"/>
  <c r="AQ9" i="10" a="1"/>
  <c r="AP9" i="10" a="1"/>
  <c r="AP9" i="10" s="1"/>
  <c r="AO9" i="10" a="1"/>
  <c r="AO9" i="10" s="1"/>
  <c r="AN9" i="10" a="1"/>
  <c r="AN9" i="10" s="1"/>
  <c r="AM9" i="10" a="1"/>
  <c r="AM9" i="10" s="1"/>
  <c r="AL9" i="10" a="1"/>
  <c r="AL9" i="10" s="1"/>
  <c r="AK9" i="10"/>
  <c r="AK9" i="10" a="1"/>
  <c r="AJ9" i="10" a="1"/>
  <c r="AJ9" i="10" s="1"/>
  <c r="AI9" i="10" a="1"/>
  <c r="AI9" i="10" s="1"/>
  <c r="AH9" i="10" a="1"/>
  <c r="AH9" i="10" s="1"/>
  <c r="AG9" i="10" a="1"/>
  <c r="AG9" i="10" s="1"/>
  <c r="AF9" i="10" a="1"/>
  <c r="AF9" i="10" s="1"/>
  <c r="AE9" i="10" a="1"/>
  <c r="AE9" i="10" s="1"/>
  <c r="AD9" i="10" a="1"/>
  <c r="AD9" i="10" s="1"/>
  <c r="AC9" i="10"/>
  <c r="AC9" i="10" a="1"/>
  <c r="AB9" i="10" a="1"/>
  <c r="AB9" i="10" s="1"/>
  <c r="AA9" i="10" a="1"/>
  <c r="AA9" i="10" s="1"/>
  <c r="Z9" i="10" a="1"/>
  <c r="Z9" i="10" s="1"/>
  <c r="Y9" i="10"/>
  <c r="Y9" i="10" a="1"/>
  <c r="X9" i="10" a="1"/>
  <c r="X9" i="10" s="1"/>
  <c r="W9" i="10" a="1"/>
  <c r="W9" i="10" s="1"/>
  <c r="V9" i="10" a="1"/>
  <c r="V9" i="10" s="1"/>
  <c r="U9" i="10"/>
  <c r="U9" i="10" a="1"/>
  <c r="T9" i="10" a="1"/>
  <c r="T9" i="10" s="1"/>
  <c r="S9" i="10"/>
  <c r="S9" i="10" a="1"/>
  <c r="R9" i="10" a="1"/>
  <c r="R9" i="10" s="1"/>
  <c r="Q9" i="10" a="1"/>
  <c r="Q9" i="10" s="1"/>
  <c r="P9" i="10" a="1"/>
  <c r="P9" i="10" s="1"/>
  <c r="O9" i="10" a="1"/>
  <c r="O9" i="10" s="1"/>
  <c r="N9" i="10" a="1"/>
  <c r="N9" i="10" s="1"/>
  <c r="M9" i="10"/>
  <c r="M9" i="10" a="1"/>
  <c r="L9" i="10" a="1"/>
  <c r="L9" i="10" s="1"/>
  <c r="K9" i="10"/>
  <c r="K9" i="10" a="1"/>
  <c r="J9" i="10" a="1"/>
  <c r="J9" i="10" s="1"/>
  <c r="I9" i="10" a="1"/>
  <c r="I9" i="10" s="1"/>
  <c r="H9" i="10" a="1"/>
  <c r="H9" i="10" s="1"/>
  <c r="G9" i="10" a="1"/>
  <c r="G9" i="10" s="1"/>
  <c r="F9" i="10" a="1"/>
  <c r="F9" i="10" s="1"/>
  <c r="E9" i="10"/>
  <c r="E9" i="10" a="1"/>
  <c r="EG8" i="10" a="1"/>
  <c r="EG8" i="10" s="1"/>
  <c r="EF8" i="10" a="1"/>
  <c r="EF8" i="10" s="1"/>
  <c r="EE8" i="10" a="1"/>
  <c r="EE8" i="10" s="1"/>
  <c r="ED8" i="10" a="1"/>
  <c r="ED8" i="10" s="1"/>
  <c r="EC8" i="10" a="1"/>
  <c r="EC8" i="10" s="1"/>
  <c r="EB8" i="10" a="1"/>
  <c r="EB8" i="10" s="1"/>
  <c r="EA8" i="10" a="1"/>
  <c r="EA8" i="10" s="1"/>
  <c r="DZ8" i="10"/>
  <c r="DZ8" i="10" a="1"/>
  <c r="DY8" i="10" a="1"/>
  <c r="DY8" i="10" s="1"/>
  <c r="DX8" i="10" a="1"/>
  <c r="DX8" i="10" s="1"/>
  <c r="DW8" i="10" a="1"/>
  <c r="DW8" i="10" s="1"/>
  <c r="DV8" i="10"/>
  <c r="DV8" i="10" a="1"/>
  <c r="DU8" i="10" a="1"/>
  <c r="DU8" i="10" s="1"/>
  <c r="DT8" i="10" a="1"/>
  <c r="DT8" i="10" s="1"/>
  <c r="DS8" i="10" a="1"/>
  <c r="DS8" i="10" s="1"/>
  <c r="DR8" i="10"/>
  <c r="DR8" i="10" a="1"/>
  <c r="DQ8" i="10" a="1"/>
  <c r="DQ8" i="10" s="1"/>
  <c r="DP8" i="10"/>
  <c r="DP8" i="10" a="1"/>
  <c r="DO8" i="10" a="1"/>
  <c r="DO8" i="10" s="1"/>
  <c r="DN8" i="10" a="1"/>
  <c r="DN8" i="10" s="1"/>
  <c r="DM8" i="10" a="1"/>
  <c r="DM8" i="10" s="1"/>
  <c r="DL8" i="10" a="1"/>
  <c r="DL8" i="10" s="1"/>
  <c r="DK8" i="10" a="1"/>
  <c r="DK8" i="10" s="1"/>
  <c r="DJ8" i="10"/>
  <c r="DJ8" i="10" a="1"/>
  <c r="DI8" i="10" a="1"/>
  <c r="DI8" i="10" s="1"/>
  <c r="DH8" i="10" a="1"/>
  <c r="DH8" i="10" s="1"/>
  <c r="DG8" i="10" a="1"/>
  <c r="DG8" i="10" s="1"/>
  <c r="DF8" i="10" a="1"/>
  <c r="DF8" i="10" s="1"/>
  <c r="DE8" i="10" a="1"/>
  <c r="DE8" i="10" s="1"/>
  <c r="DD8" i="10" a="1"/>
  <c r="DD8" i="10" s="1"/>
  <c r="DC8" i="10" a="1"/>
  <c r="DC8" i="10" s="1"/>
  <c r="DB8" i="10"/>
  <c r="DB8" i="10" a="1"/>
  <c r="DA8" i="10" a="1"/>
  <c r="DA8" i="10" s="1"/>
  <c r="CZ8" i="10" a="1"/>
  <c r="CZ8" i="10" s="1"/>
  <c r="CY8" i="10" a="1"/>
  <c r="CY8" i="10" s="1"/>
  <c r="CX8" i="10" a="1"/>
  <c r="CX8" i="10" s="1"/>
  <c r="CW8" i="10" a="1"/>
  <c r="CW8" i="10" s="1"/>
  <c r="CV8" i="10" a="1"/>
  <c r="CV8" i="10" s="1"/>
  <c r="CU8" i="10" a="1"/>
  <c r="CU8" i="10" s="1"/>
  <c r="CT8" i="10"/>
  <c r="CT8" i="10" a="1"/>
  <c r="CS8" i="10" a="1"/>
  <c r="CS8" i="10" s="1"/>
  <c r="CR8" i="10" a="1"/>
  <c r="CR8" i="10" s="1"/>
  <c r="CQ8" i="10" a="1"/>
  <c r="CQ8" i="10" s="1"/>
  <c r="CP8" i="10" a="1"/>
  <c r="CP8" i="10" s="1"/>
  <c r="CO8" i="10" a="1"/>
  <c r="CO8" i="10" s="1"/>
  <c r="CN8" i="10" a="1"/>
  <c r="CN8" i="10" s="1"/>
  <c r="CM8" i="10" a="1"/>
  <c r="CM8" i="10" s="1"/>
  <c r="CL8" i="10"/>
  <c r="CL8" i="10" a="1"/>
  <c r="CK8" i="10" a="1"/>
  <c r="CK8" i="10" s="1"/>
  <c r="CJ8" i="10" a="1"/>
  <c r="CJ8" i="10" s="1"/>
  <c r="CI8" i="10" a="1"/>
  <c r="CI8" i="10" s="1"/>
  <c r="CH8" i="10" a="1"/>
  <c r="CH8" i="10" s="1"/>
  <c r="CG8" i="10" a="1"/>
  <c r="CG8" i="10" s="1"/>
  <c r="CF8" i="10" a="1"/>
  <c r="CF8" i="10" s="1"/>
  <c r="CE8" i="10" a="1"/>
  <c r="CE8" i="10" s="1"/>
  <c r="CD8" i="10"/>
  <c r="CD8" i="10" a="1"/>
  <c r="CC8" i="10" a="1"/>
  <c r="CC8" i="10" s="1"/>
  <c r="CB8" i="10"/>
  <c r="CB8" i="10" a="1"/>
  <c r="CA8" i="10" a="1"/>
  <c r="CA8" i="10" s="1"/>
  <c r="BZ8" i="10" a="1"/>
  <c r="BZ8" i="10" s="1"/>
  <c r="BY8" i="10" a="1"/>
  <c r="BY8" i="10" s="1"/>
  <c r="BX8" i="10" a="1"/>
  <c r="BX8" i="10" s="1"/>
  <c r="BW8" i="10" a="1"/>
  <c r="BW8" i="10" s="1"/>
  <c r="BV8" i="10"/>
  <c r="BV8" i="10" a="1"/>
  <c r="BU8" i="10" a="1"/>
  <c r="BU8" i="10" s="1"/>
  <c r="BT8" i="10" a="1"/>
  <c r="BT8" i="10" s="1"/>
  <c r="BS8" i="10" a="1"/>
  <c r="BS8" i="10" s="1"/>
  <c r="BR8" i="10" a="1"/>
  <c r="BR8" i="10" s="1"/>
  <c r="BQ8" i="10" a="1"/>
  <c r="BQ8" i="10" s="1"/>
  <c r="BP8" i="10" a="1"/>
  <c r="BP8" i="10" s="1"/>
  <c r="BO8" i="10" a="1"/>
  <c r="BO8" i="10" s="1"/>
  <c r="BN8" i="10"/>
  <c r="BN8" i="10" a="1"/>
  <c r="BM8" i="10" a="1"/>
  <c r="BM8" i="10" s="1"/>
  <c r="BL8" i="10" a="1"/>
  <c r="BL8" i="10" s="1"/>
  <c r="BK8" i="10" a="1"/>
  <c r="BK8" i="10" s="1"/>
  <c r="BJ8" i="10"/>
  <c r="BJ8" i="10" a="1"/>
  <c r="BI8" i="10" a="1"/>
  <c r="BI8" i="10" s="1"/>
  <c r="BH8" i="10" a="1"/>
  <c r="BH8" i="10" s="1"/>
  <c r="BG8" i="10" a="1"/>
  <c r="BG8" i="10" s="1"/>
  <c r="BF8" i="10"/>
  <c r="BF8" i="10" a="1"/>
  <c r="BE8" i="10" a="1"/>
  <c r="BE8" i="10" s="1"/>
  <c r="BD8" i="10"/>
  <c r="BD8" i="10" a="1"/>
  <c r="BC8" i="10" a="1"/>
  <c r="BC8" i="10" s="1"/>
  <c r="BB8" i="10" a="1"/>
  <c r="BB8" i="10" s="1"/>
  <c r="BA8" i="10" a="1"/>
  <c r="BA8" i="10" s="1"/>
  <c r="AZ8" i="10" a="1"/>
  <c r="AZ8" i="10" s="1"/>
  <c r="AY8" i="10" a="1"/>
  <c r="AY8" i="10" s="1"/>
  <c r="AX8" i="10"/>
  <c r="AX8" i="10" a="1"/>
  <c r="AW8" i="10" a="1"/>
  <c r="AW8" i="10" s="1"/>
  <c r="AV8" i="10"/>
  <c r="AV8" i="10" a="1"/>
  <c r="AU8" i="10" a="1"/>
  <c r="AU8" i="10" s="1"/>
  <c r="AT8" i="10" a="1"/>
  <c r="AT8" i="10" s="1"/>
  <c r="AS8" i="10" a="1"/>
  <c r="AS8" i="10" s="1"/>
  <c r="AR8" i="10" a="1"/>
  <c r="AR8" i="10" s="1"/>
  <c r="AQ8" i="10" a="1"/>
  <c r="AQ8" i="10" s="1"/>
  <c r="AP8" i="10"/>
  <c r="AP8" i="10" a="1"/>
  <c r="AO8" i="10" a="1"/>
  <c r="AO8" i="10" s="1"/>
  <c r="AN8" i="10" a="1"/>
  <c r="AN8" i="10" s="1"/>
  <c r="AM8" i="10" a="1"/>
  <c r="AM8" i="10" s="1"/>
  <c r="AL8" i="10" a="1"/>
  <c r="AL8" i="10" s="1"/>
  <c r="AK8" i="10" a="1"/>
  <c r="AK8" i="10" s="1"/>
  <c r="AJ8" i="10" a="1"/>
  <c r="AJ8" i="10" s="1"/>
  <c r="AI8" i="10" a="1"/>
  <c r="AI8" i="10" s="1"/>
  <c r="AH8" i="10"/>
  <c r="AH8" i="10" a="1"/>
  <c r="AG8" i="10" a="1"/>
  <c r="AG8" i="10" s="1"/>
  <c r="AF8" i="10" a="1"/>
  <c r="AF8" i="10" s="1"/>
  <c r="AE8" i="10" a="1"/>
  <c r="AE8" i="10" s="1"/>
  <c r="AD8" i="10"/>
  <c r="AD8" i="10" a="1"/>
  <c r="AC8" i="10" a="1"/>
  <c r="AC8" i="10" s="1"/>
  <c r="AB8" i="10" a="1"/>
  <c r="AB8" i="10" s="1"/>
  <c r="AA8" i="10" a="1"/>
  <c r="AA8" i="10" s="1"/>
  <c r="Z8" i="10"/>
  <c r="Z8" i="10" a="1"/>
  <c r="Y8" i="10" a="1"/>
  <c r="Y8" i="10" s="1"/>
  <c r="X8" i="10"/>
  <c r="X8" i="10" a="1"/>
  <c r="W8" i="10" a="1"/>
  <c r="W8" i="10" s="1"/>
  <c r="V8" i="10" a="1"/>
  <c r="V8" i="10" s="1"/>
  <c r="U8" i="10" a="1"/>
  <c r="U8" i="10" s="1"/>
  <c r="T8" i="10" a="1"/>
  <c r="T8" i="10" s="1"/>
  <c r="S8" i="10" a="1"/>
  <c r="S8" i="10" s="1"/>
  <c r="R8" i="10"/>
  <c r="R8" i="10" a="1"/>
  <c r="Q8" i="10" a="1"/>
  <c r="Q8" i="10" s="1"/>
  <c r="P8" i="10"/>
  <c r="P8" i="10" a="1"/>
  <c r="O8" i="10" a="1"/>
  <c r="O8" i="10" s="1"/>
  <c r="N8" i="10" a="1"/>
  <c r="N8" i="10" s="1"/>
  <c r="M8" i="10" a="1"/>
  <c r="M8" i="10" s="1"/>
  <c r="L8" i="10" a="1"/>
  <c r="L8" i="10" s="1"/>
  <c r="K8" i="10" a="1"/>
  <c r="K8" i="10" s="1"/>
  <c r="J8" i="10"/>
  <c r="J8" i="10" a="1"/>
  <c r="I8" i="10" a="1"/>
  <c r="I8" i="10" s="1"/>
  <c r="H8" i="10" a="1"/>
  <c r="H8" i="10" s="1"/>
  <c r="G8" i="10" a="1"/>
  <c r="G8" i="10" s="1"/>
  <c r="F8" i="10" a="1"/>
  <c r="F8" i="10" s="1"/>
  <c r="E8" i="10" a="1"/>
  <c r="E8" i="10" s="1"/>
  <c r="EG7" i="10" a="1"/>
  <c r="EG7" i="10" s="1"/>
  <c r="EF7" i="10" a="1"/>
  <c r="EF7" i="10" s="1"/>
  <c r="EE7" i="10"/>
  <c r="EE7" i="10" a="1"/>
  <c r="ED7" i="10" a="1"/>
  <c r="ED7" i="10" s="1"/>
  <c r="EC7" i="10" a="1"/>
  <c r="EC7" i="10" s="1"/>
  <c r="EB7" i="10" a="1"/>
  <c r="EB7" i="10" s="1"/>
  <c r="EA7" i="10"/>
  <c r="EA7" i="10" a="1"/>
  <c r="DZ7" i="10" a="1"/>
  <c r="DZ7" i="10" s="1"/>
  <c r="DY7" i="10" a="1"/>
  <c r="DY7" i="10" s="1"/>
  <c r="DX7" i="10" a="1"/>
  <c r="DX7" i="10" s="1"/>
  <c r="DW7" i="10"/>
  <c r="DW7" i="10" a="1"/>
  <c r="DV7" i="10" a="1"/>
  <c r="DV7" i="10" s="1"/>
  <c r="DU7" i="10"/>
  <c r="DU7" i="10" a="1"/>
  <c r="DT7" i="10" a="1"/>
  <c r="DT7" i="10" s="1"/>
  <c r="DS7" i="10" a="1"/>
  <c r="DS7" i="10" s="1"/>
  <c r="DR7" i="10" a="1"/>
  <c r="DR7" i="10" s="1"/>
  <c r="DQ7" i="10" a="1"/>
  <c r="DQ7" i="10" s="1"/>
  <c r="DP7" i="10" a="1"/>
  <c r="DP7" i="10" s="1"/>
  <c r="DO7" i="10"/>
  <c r="DO7" i="10" a="1"/>
  <c r="DN7" i="10" a="1"/>
  <c r="DN7" i="10" s="1"/>
  <c r="DM7" i="10" a="1"/>
  <c r="DM7" i="10" s="1"/>
  <c r="DL7" i="10" a="1"/>
  <c r="DL7" i="10" s="1"/>
  <c r="DK7" i="10" a="1"/>
  <c r="DK7" i="10" s="1"/>
  <c r="DJ7" i="10" a="1"/>
  <c r="DJ7" i="10" s="1"/>
  <c r="DI7" i="10" a="1"/>
  <c r="DI7" i="10" s="1"/>
  <c r="DH7" i="10" a="1"/>
  <c r="DH7" i="10" s="1"/>
  <c r="DG7" i="10"/>
  <c r="DG7" i="10" a="1"/>
  <c r="DF7" i="10" a="1"/>
  <c r="DF7" i="10" s="1"/>
  <c r="DE7" i="10" a="1"/>
  <c r="DE7" i="10" s="1"/>
  <c r="DD7" i="10" a="1"/>
  <c r="DD7" i="10" s="1"/>
  <c r="DC7" i="10" a="1"/>
  <c r="DC7" i="10" s="1"/>
  <c r="DB7" i="10" a="1"/>
  <c r="DB7" i="10" s="1"/>
  <c r="DA7" i="10" a="1"/>
  <c r="DA7" i="10" s="1"/>
  <c r="CZ7" i="10" a="1"/>
  <c r="CZ7" i="10" s="1"/>
  <c r="CY7" i="10"/>
  <c r="CY7" i="10" a="1"/>
  <c r="CX7" i="10" a="1"/>
  <c r="CX7" i="10" s="1"/>
  <c r="CW7" i="10" a="1"/>
  <c r="CW7" i="10" s="1"/>
  <c r="CV7" i="10" a="1"/>
  <c r="CV7" i="10" s="1"/>
  <c r="CU7" i="10" a="1"/>
  <c r="CU7" i="10" s="1"/>
  <c r="CT7" i="10" a="1"/>
  <c r="CT7" i="10" s="1"/>
  <c r="CS7" i="10" a="1"/>
  <c r="CS7" i="10" s="1"/>
  <c r="CR7" i="10" a="1"/>
  <c r="CR7" i="10" s="1"/>
  <c r="CQ7" i="10"/>
  <c r="CQ7" i="10" a="1"/>
  <c r="CP7" i="10" a="1"/>
  <c r="CP7" i="10" s="1"/>
  <c r="CO7" i="10" a="1"/>
  <c r="CO7" i="10" s="1"/>
  <c r="CN7" i="10" a="1"/>
  <c r="CN7" i="10" s="1"/>
  <c r="CM7" i="10" a="1"/>
  <c r="CM7" i="10" s="1"/>
  <c r="CL7" i="10" a="1"/>
  <c r="CL7" i="10" s="1"/>
  <c r="CK7" i="10" a="1"/>
  <c r="CK7" i="10" s="1"/>
  <c r="CJ7" i="10" a="1"/>
  <c r="CJ7" i="10" s="1"/>
  <c r="CI7" i="10"/>
  <c r="CI7" i="10" a="1"/>
  <c r="CH7" i="10" a="1"/>
  <c r="CH7" i="10" s="1"/>
  <c r="CG7" i="10"/>
  <c r="CG7" i="10" a="1"/>
  <c r="CF7" i="10" a="1"/>
  <c r="CF7" i="10" s="1"/>
  <c r="CE7" i="10" a="1"/>
  <c r="CE7" i="10" s="1"/>
  <c r="CD7" i="10" a="1"/>
  <c r="CD7" i="10" s="1"/>
  <c r="CC7" i="10" a="1"/>
  <c r="CC7" i="10" s="1"/>
  <c r="CB7" i="10" a="1"/>
  <c r="CB7" i="10" s="1"/>
  <c r="CA7" i="10"/>
  <c r="CA7" i="10" a="1"/>
  <c r="BZ7" i="10" a="1"/>
  <c r="BZ7" i="10" s="1"/>
  <c r="BY7" i="10" a="1"/>
  <c r="BY7" i="10" s="1"/>
  <c r="BX7" i="10" a="1"/>
  <c r="BX7" i="10" s="1"/>
  <c r="BW7" i="10" a="1"/>
  <c r="BW7" i="10" s="1"/>
  <c r="BV7" i="10" a="1"/>
  <c r="BV7" i="10" s="1"/>
  <c r="BU7" i="10" a="1"/>
  <c r="BU7" i="10" s="1"/>
  <c r="BT7" i="10" a="1"/>
  <c r="BT7" i="10" s="1"/>
  <c r="BS7" i="10"/>
  <c r="BS7" i="10" a="1"/>
  <c r="BR7" i="10" a="1"/>
  <c r="BR7" i="10" s="1"/>
  <c r="BQ7" i="10" a="1"/>
  <c r="BQ7" i="10" s="1"/>
  <c r="BP7" i="10" a="1"/>
  <c r="BP7" i="10" s="1"/>
  <c r="BO7" i="10"/>
  <c r="BO7" i="10" a="1"/>
  <c r="BN7" i="10" a="1"/>
  <c r="BN7" i="10" s="1"/>
  <c r="BM7" i="10" a="1"/>
  <c r="BM7" i="10" s="1"/>
  <c r="BL7" i="10" a="1"/>
  <c r="BL7" i="10" s="1"/>
  <c r="BK7" i="10"/>
  <c r="BK7" i="10" a="1"/>
  <c r="BJ7" i="10" a="1"/>
  <c r="BJ7" i="10" s="1"/>
  <c r="BI7" i="10"/>
  <c r="BI7" i="10" a="1"/>
  <c r="BH7" i="10" a="1"/>
  <c r="BH7" i="10" s="1"/>
  <c r="BG7" i="10" a="1"/>
  <c r="BG7" i="10" s="1"/>
  <c r="BF7" i="10" a="1"/>
  <c r="BF7" i="10" s="1"/>
  <c r="BE7" i="10" a="1"/>
  <c r="BE7" i="10" s="1"/>
  <c r="BD7" i="10" a="1"/>
  <c r="BD7" i="10" s="1"/>
  <c r="BC7" i="10"/>
  <c r="BC7" i="10" a="1"/>
  <c r="BB7" i="10" a="1"/>
  <c r="BB7" i="10" s="1"/>
  <c r="BA7" i="10"/>
  <c r="BA7" i="10" a="1"/>
  <c r="AZ7" i="10" a="1"/>
  <c r="AZ7" i="10" s="1"/>
  <c r="AY7" i="10" a="1"/>
  <c r="AY7" i="10" s="1"/>
  <c r="AX7" i="10" a="1"/>
  <c r="AX7" i="10" s="1"/>
  <c r="AW7" i="10" a="1"/>
  <c r="AW7" i="10" s="1"/>
  <c r="AV7" i="10" a="1"/>
  <c r="AV7" i="10" s="1"/>
  <c r="AU7" i="10"/>
  <c r="AU7" i="10" a="1"/>
  <c r="AT7" i="10" a="1"/>
  <c r="AT7" i="10" s="1"/>
  <c r="AS7" i="10" a="1"/>
  <c r="AS7" i="10" s="1"/>
  <c r="AR7" i="10" a="1"/>
  <c r="AR7" i="10" s="1"/>
  <c r="AQ7" i="10" a="1"/>
  <c r="AQ7" i="10" s="1"/>
  <c r="AP7" i="10" a="1"/>
  <c r="AP7" i="10" s="1"/>
  <c r="AO7" i="10" a="1"/>
  <c r="AO7" i="10" s="1"/>
  <c r="AN7" i="10" a="1"/>
  <c r="AN7" i="10" s="1"/>
  <c r="AM7" i="10"/>
  <c r="AM7" i="10" a="1"/>
  <c r="AL7" i="10" a="1"/>
  <c r="AL7" i="10" s="1"/>
  <c r="AK7" i="10"/>
  <c r="AK7" i="10" a="1"/>
  <c r="AJ7" i="10" a="1"/>
  <c r="AJ7" i="10" s="1"/>
  <c r="AI7" i="10"/>
  <c r="AI7" i="10" a="1"/>
  <c r="AH7" i="10" a="1"/>
  <c r="AH7" i="10" s="1"/>
  <c r="AG7" i="10"/>
  <c r="AG7" i="10" a="1"/>
  <c r="AF7" i="10"/>
  <c r="AF7" i="10" a="1"/>
  <c r="AE7" i="10"/>
  <c r="AE7" i="10" a="1"/>
  <c r="AD7" i="10" a="1"/>
  <c r="AD7" i="10" s="1"/>
  <c r="AC7" i="10"/>
  <c r="AC7" i="10" a="1"/>
  <c r="AB7" i="10" a="1"/>
  <c r="AB7" i="10" s="1"/>
  <c r="AA7" i="10"/>
  <c r="AA7" i="10" a="1"/>
  <c r="Z7" i="10" a="1"/>
  <c r="Z7" i="10" s="1"/>
  <c r="Y7" i="10"/>
  <c r="Y7" i="10" a="1"/>
  <c r="X7" i="10" a="1"/>
  <c r="X7" i="10" s="1"/>
  <c r="W7" i="10"/>
  <c r="W7" i="10" a="1"/>
  <c r="V7" i="10" a="1"/>
  <c r="V7" i="10" s="1"/>
  <c r="U7" i="10"/>
  <c r="U7" i="10" a="1"/>
  <c r="T7" i="10" a="1"/>
  <c r="T7" i="10" s="1"/>
  <c r="S7" i="10"/>
  <c r="S7" i="10" a="1"/>
  <c r="R7" i="10" a="1"/>
  <c r="R7" i="10" s="1"/>
  <c r="Q7" i="10"/>
  <c r="Q7" i="10" a="1"/>
  <c r="P7" i="10"/>
  <c r="P7" i="10" a="1"/>
  <c r="O7" i="10"/>
  <c r="O7" i="10" a="1"/>
  <c r="N7" i="10" a="1"/>
  <c r="N7" i="10" s="1"/>
  <c r="M7" i="10"/>
  <c r="M7" i="10" a="1"/>
  <c r="L7" i="10" a="1"/>
  <c r="L7" i="10" s="1"/>
  <c r="K7" i="10"/>
  <c r="K7" i="10" a="1"/>
  <c r="J7" i="10" a="1"/>
  <c r="J7" i="10" s="1"/>
  <c r="I7" i="10"/>
  <c r="I7" i="10" a="1"/>
  <c r="H7" i="10"/>
  <c r="H7" i="10" a="1"/>
  <c r="G7" i="10"/>
  <c r="G7" i="10" a="1"/>
  <c r="F7" i="10" a="1"/>
  <c r="F7" i="10" s="1"/>
  <c r="E7" i="10"/>
  <c r="E7" i="10" a="1"/>
  <c r="EG6" i="10" a="1"/>
  <c r="EG6" i="10" s="1"/>
  <c r="EF6" i="10"/>
  <c r="EF6" i="10" a="1"/>
  <c r="EE6" i="10" a="1"/>
  <c r="EE6" i="10" s="1"/>
  <c r="ED6" i="10"/>
  <c r="ED6" i="10" a="1"/>
  <c r="EC6" i="10"/>
  <c r="EC6" i="10" a="1"/>
  <c r="EB6" i="10"/>
  <c r="EB6" i="10" a="1"/>
  <c r="EA6" i="10" a="1"/>
  <c r="EA6" i="10" s="1"/>
  <c r="DZ6" i="10"/>
  <c r="DZ6" i="10" a="1"/>
  <c r="DY6" i="10" a="1"/>
  <c r="DY6" i="10" s="1"/>
  <c r="DX6" i="10"/>
  <c r="DX6" i="10" a="1"/>
  <c r="DW6" i="10" a="1"/>
  <c r="DW6" i="10" s="1"/>
  <c r="DV6" i="10"/>
  <c r="DV6" i="10" a="1"/>
  <c r="DU6" i="10" a="1"/>
  <c r="DU6" i="10" s="1"/>
  <c r="DT6" i="10"/>
  <c r="DT6" i="10" a="1"/>
  <c r="DS6" i="10" a="1"/>
  <c r="DS6" i="10" s="1"/>
  <c r="DR6" i="10"/>
  <c r="DR6" i="10" a="1"/>
  <c r="DQ6" i="10" a="1"/>
  <c r="DQ6" i="10" s="1"/>
  <c r="DP6" i="10"/>
  <c r="DP6" i="10" a="1"/>
  <c r="DO6" i="10" a="1"/>
  <c r="DO6" i="10" s="1"/>
  <c r="DN6" i="10"/>
  <c r="DN6" i="10" a="1"/>
  <c r="DM6" i="10"/>
  <c r="DM6" i="10" a="1"/>
  <c r="DL6" i="10"/>
  <c r="DL6" i="10" a="1"/>
  <c r="DK6" i="10" a="1"/>
  <c r="DK6" i="10" s="1"/>
  <c r="DJ6" i="10"/>
  <c r="DJ6" i="10" a="1"/>
  <c r="DI6" i="10" a="1"/>
  <c r="DI6" i="10" s="1"/>
  <c r="DH6" i="10"/>
  <c r="DH6" i="10" a="1"/>
  <c r="DG6" i="10" a="1"/>
  <c r="DG6" i="10" s="1"/>
  <c r="DF6" i="10"/>
  <c r="DF6" i="10" a="1"/>
  <c r="DE6" i="10"/>
  <c r="DE6" i="10" a="1"/>
  <c r="DD6" i="10"/>
  <c r="DD6" i="10" a="1"/>
  <c r="DC6" i="10" a="1"/>
  <c r="DC6" i="10" s="1"/>
  <c r="DB6" i="10"/>
  <c r="DB6" i="10" a="1"/>
  <c r="DA6" i="10" a="1"/>
  <c r="DA6" i="10" s="1"/>
  <c r="CZ6" i="10"/>
  <c r="CZ6" i="10" a="1"/>
  <c r="CY6" i="10" a="1"/>
  <c r="CY6" i="10" s="1"/>
  <c r="CX6" i="10"/>
  <c r="CX6" i="10" a="1"/>
  <c r="CW6" i="10"/>
  <c r="CW6" i="10" a="1"/>
  <c r="CV6" i="10"/>
  <c r="CV6" i="10" a="1"/>
  <c r="CU6" i="10" a="1"/>
  <c r="CU6" i="10" s="1"/>
  <c r="CT6" i="10"/>
  <c r="CT6" i="10" a="1"/>
  <c r="CS6" i="10" a="1"/>
  <c r="CS6" i="10" s="1"/>
  <c r="CR6" i="10"/>
  <c r="CR6" i="10" a="1"/>
  <c r="CQ6" i="10" a="1"/>
  <c r="CQ6" i="10" s="1"/>
  <c r="CP6" i="10"/>
  <c r="CP6" i="10" a="1"/>
  <c r="CO6" i="10" a="1"/>
  <c r="CO6" i="10" s="1"/>
  <c r="CN6" i="10"/>
  <c r="CN6" i="10" a="1"/>
  <c r="CM6" i="10" a="1"/>
  <c r="CM6" i="10" s="1"/>
  <c r="CL6" i="10"/>
  <c r="CL6" i="10" a="1"/>
  <c r="CK6" i="10" a="1"/>
  <c r="CK6" i="10" s="1"/>
  <c r="CJ6" i="10"/>
  <c r="CJ6" i="10" a="1"/>
  <c r="CI6" i="10" a="1"/>
  <c r="CI6" i="10" s="1"/>
  <c r="CH6" i="10"/>
  <c r="CH6" i="10" a="1"/>
  <c r="CG6" i="10"/>
  <c r="CG6" i="10" a="1"/>
  <c r="CF6" i="10"/>
  <c r="CF6" i="10" a="1"/>
  <c r="CE6" i="10" a="1"/>
  <c r="CE6" i="10" s="1"/>
  <c r="CD6" i="10"/>
  <c r="CD6" i="10" a="1"/>
  <c r="CC6" i="10" a="1"/>
  <c r="CC6" i="10" s="1"/>
  <c r="CB6" i="10"/>
  <c r="CB6" i="10" a="1"/>
  <c r="CA6" i="10" a="1"/>
  <c r="CA6" i="10" s="1"/>
  <c r="BZ6" i="10"/>
  <c r="BZ6" i="10" a="1"/>
  <c r="BY6" i="10"/>
  <c r="BY6" i="10" a="1"/>
  <c r="BX6" i="10"/>
  <c r="BX6" i="10" a="1"/>
  <c r="BW6" i="10" a="1"/>
  <c r="BW6" i="10" s="1"/>
  <c r="BV6" i="10"/>
  <c r="BV6" i="10" a="1"/>
  <c r="BU6" i="10" a="1"/>
  <c r="BU6" i="10" s="1"/>
  <c r="BT6" i="10"/>
  <c r="BT6" i="10" a="1"/>
  <c r="BS6" i="10" a="1"/>
  <c r="BS6" i="10" s="1"/>
  <c r="BR6" i="10"/>
  <c r="BR6" i="10" a="1"/>
  <c r="BQ6" i="10"/>
  <c r="BQ6" i="10" a="1"/>
  <c r="BP6" i="10"/>
  <c r="BP6" i="10" a="1"/>
  <c r="BO6" i="10" a="1"/>
  <c r="BO6" i="10" s="1"/>
  <c r="BN6" i="10"/>
  <c r="BN6" i="10" a="1"/>
  <c r="BM6" i="10" a="1"/>
  <c r="BM6" i="10" s="1"/>
  <c r="BL6" i="10" a="1"/>
  <c r="BL6" i="10" s="1"/>
  <c r="BK6" i="10" a="1"/>
  <c r="BK6" i="10" s="1"/>
  <c r="BJ6" i="10"/>
  <c r="BJ6" i="10" a="1"/>
  <c r="BI6" i="10" a="1"/>
  <c r="BI6" i="10" s="1"/>
  <c r="BH6" i="10"/>
  <c r="BH6" i="10" a="1"/>
  <c r="BG6" i="10" a="1"/>
  <c r="BG6" i="10" s="1"/>
  <c r="BF6" i="10"/>
  <c r="BF6" i="10" a="1"/>
  <c r="BE6" i="10" a="1"/>
  <c r="BE6" i="10" s="1"/>
  <c r="BD6" i="10" a="1"/>
  <c r="BD6" i="10" s="1"/>
  <c r="BC6" i="10" a="1"/>
  <c r="BC6" i="10" s="1"/>
  <c r="BB6" i="10"/>
  <c r="BB6" i="10" a="1"/>
  <c r="BA6" i="10"/>
  <c r="BA6" i="10" a="1"/>
  <c r="AZ6" i="10" a="1"/>
  <c r="AZ6" i="10" s="1"/>
  <c r="AY6" i="10" a="1"/>
  <c r="AY6" i="10" s="1"/>
  <c r="AX6" i="10" a="1"/>
  <c r="AX6" i="10" s="1"/>
  <c r="AW6" i="10" a="1"/>
  <c r="AW6" i="10" s="1"/>
  <c r="AV6" i="10" a="1"/>
  <c r="AV6" i="10" s="1"/>
  <c r="AU6" i="10" a="1"/>
  <c r="AU6" i="10" s="1"/>
  <c r="AT6" i="10"/>
  <c r="AT6" i="10" a="1"/>
  <c r="AS6" i="10"/>
  <c r="AS6" i="10" a="1"/>
  <c r="AR6" i="10"/>
  <c r="AR6" i="10" a="1"/>
  <c r="AQ6" i="10" a="1"/>
  <c r="AQ6" i="10" s="1"/>
  <c r="AP6" i="10" a="1"/>
  <c r="AP6" i="10" s="1"/>
  <c r="AO6" i="10" a="1"/>
  <c r="AO6" i="10" s="1"/>
  <c r="AN6" i="10" a="1"/>
  <c r="AN6" i="10" s="1"/>
  <c r="AM6" i="10" a="1"/>
  <c r="AM6" i="10" s="1"/>
  <c r="AL6" i="10" a="1"/>
  <c r="AL6" i="10" s="1"/>
  <c r="AK6" i="10"/>
  <c r="AK6" i="10" a="1"/>
  <c r="AJ6" i="10"/>
  <c r="AJ6" i="10" a="1"/>
  <c r="AI6" i="10" a="1"/>
  <c r="AI6" i="10" s="1"/>
  <c r="AH6" i="10" a="1"/>
  <c r="AH6" i="10" s="1"/>
  <c r="AG6" i="10" a="1"/>
  <c r="AG6" i="10" s="1"/>
  <c r="AF6" i="10" a="1"/>
  <c r="AF6" i="10" s="1"/>
  <c r="AE6" i="10" a="1"/>
  <c r="AE6" i="10" s="1"/>
  <c r="AD6" i="10"/>
  <c r="AD6" i="10" a="1"/>
  <c r="AC6" i="10" a="1"/>
  <c r="AC6" i="10" s="1"/>
  <c r="AB6" i="10"/>
  <c r="AB6" i="10" a="1"/>
  <c r="AA6" i="10" a="1"/>
  <c r="AA6" i="10" s="1"/>
  <c r="Z6" i="10" a="1"/>
  <c r="Z6" i="10" s="1"/>
  <c r="Y6" i="10" a="1"/>
  <c r="Y6" i="10" s="1"/>
  <c r="X6" i="10" a="1"/>
  <c r="X6" i="10" s="1"/>
  <c r="W6" i="10" a="1"/>
  <c r="W6" i="10" s="1"/>
  <c r="V6" i="10"/>
  <c r="V6" i="10" a="1"/>
  <c r="U6" i="10"/>
  <c r="U6" i="10" a="1"/>
  <c r="T6" i="10" a="1"/>
  <c r="T6" i="10" s="1"/>
  <c r="S6" i="10" a="1"/>
  <c r="S6" i="10" s="1"/>
  <c r="R6" i="10" a="1"/>
  <c r="R6" i="10" s="1"/>
  <c r="Q6" i="10" a="1"/>
  <c r="Q6" i="10" s="1"/>
  <c r="P6" i="10" a="1"/>
  <c r="P6" i="10" s="1"/>
  <c r="O6" i="10" a="1"/>
  <c r="O6" i="10" s="1"/>
  <c r="N6" i="10"/>
  <c r="N6" i="10" a="1"/>
  <c r="M6" i="10"/>
  <c r="M6" i="10" a="1"/>
  <c r="L6" i="10"/>
  <c r="L6" i="10" a="1"/>
  <c r="K6" i="10" a="1"/>
  <c r="K6" i="10" s="1"/>
  <c r="J6" i="10" a="1"/>
  <c r="J6" i="10" s="1"/>
  <c r="I6" i="10" a="1"/>
  <c r="I6" i="10" s="1"/>
  <c r="H6" i="10" a="1"/>
  <c r="H6" i="10" s="1"/>
  <c r="G6" i="10" a="1"/>
  <c r="G6" i="10" s="1"/>
  <c r="F6" i="10" a="1"/>
  <c r="F6" i="10" s="1"/>
  <c r="E6" i="10"/>
  <c r="E6" i="10" a="1"/>
  <c r="EG5" i="10"/>
  <c r="EG5" i="10" a="1"/>
  <c r="EF5" i="10" a="1"/>
  <c r="EF5" i="10" s="1"/>
  <c r="EE5" i="10" a="1"/>
  <c r="EE5" i="10" s="1"/>
  <c r="ED5" i="10" a="1"/>
  <c r="ED5" i="10" s="1"/>
  <c r="EC5" i="10" a="1"/>
  <c r="EC5" i="10" s="1"/>
  <c r="EB5" i="10" a="1"/>
  <c r="EB5" i="10" s="1"/>
  <c r="EA5" i="10"/>
  <c r="EA5" i="10" a="1"/>
  <c r="DZ5" i="10" a="1"/>
  <c r="DZ5" i="10" s="1"/>
  <c r="DY5" i="10"/>
  <c r="DY5" i="10" a="1"/>
  <c r="DX5" i="10" a="1"/>
  <c r="DX5" i="10" s="1"/>
  <c r="DW5" i="10" a="1"/>
  <c r="DW5" i="10" s="1"/>
  <c r="DV5" i="10" a="1"/>
  <c r="DV5" i="10" s="1"/>
  <c r="DU5" i="10" a="1"/>
  <c r="DU5" i="10" s="1"/>
  <c r="DT5" i="10" a="1"/>
  <c r="DT5" i="10" s="1"/>
  <c r="DS5" i="10"/>
  <c r="DS5" i="10" a="1"/>
  <c r="DR5" i="10"/>
  <c r="DR5" i="10" a="1"/>
  <c r="DQ5" i="10" a="1"/>
  <c r="DQ5" i="10" s="1"/>
  <c r="DP5" i="10" a="1"/>
  <c r="DP5" i="10" s="1"/>
  <c r="DO5" i="10" a="1"/>
  <c r="DO5" i="10" s="1"/>
  <c r="DN5" i="10" a="1"/>
  <c r="DN5" i="10" s="1"/>
  <c r="DM5" i="10" a="1"/>
  <c r="DM5" i="10" s="1"/>
  <c r="DL5" i="10" a="1"/>
  <c r="DL5" i="10" s="1"/>
  <c r="DK5" i="10"/>
  <c r="DK5" i="10" a="1"/>
  <c r="DJ5" i="10"/>
  <c r="DJ5" i="10" a="1"/>
  <c r="DI5" i="10"/>
  <c r="DI5" i="10" a="1"/>
  <c r="DH5" i="10" a="1"/>
  <c r="DH5" i="10" s="1"/>
  <c r="DG5" i="10" a="1"/>
  <c r="DG5" i="10" s="1"/>
  <c r="DF5" i="10" a="1"/>
  <c r="DF5" i="10" s="1"/>
  <c r="DE5" i="10" a="1"/>
  <c r="DE5" i="10" s="1"/>
  <c r="DD5" i="10" a="1"/>
  <c r="DD5" i="10" s="1"/>
  <c r="DC5" i="10" a="1"/>
  <c r="DC5" i="10" s="1"/>
  <c r="DB5" i="10"/>
  <c r="DB5" i="10" a="1"/>
  <c r="DA5" i="10"/>
  <c r="DA5" i="10" a="1"/>
  <c r="CZ5" i="10"/>
  <c r="CZ5" i="10" a="1"/>
  <c r="CY5" i="10" a="1"/>
  <c r="CY5" i="10" s="1"/>
  <c r="CX5" i="10"/>
  <c r="CX5" i="10" a="1"/>
  <c r="CW5" i="10"/>
  <c r="CW5" i="10" a="1"/>
  <c r="CV5" i="10"/>
  <c r="CV5" i="10" a="1"/>
  <c r="CU5" i="10" a="1"/>
  <c r="CU5" i="10" s="1"/>
  <c r="CT5" i="10"/>
  <c r="CT5" i="10" a="1"/>
  <c r="CS5" i="10"/>
  <c r="CS5" i="10" a="1"/>
  <c r="CR5" i="10"/>
  <c r="CR5" i="10" a="1"/>
  <c r="CQ5" i="10" a="1"/>
  <c r="CQ5" i="10" s="1"/>
  <c r="CP5" i="10"/>
  <c r="CP5" i="10" a="1"/>
  <c r="CO5" i="10"/>
  <c r="CO5" i="10" a="1"/>
  <c r="CN5" i="10"/>
  <c r="CN5" i="10" a="1"/>
  <c r="CM5" i="10" a="1"/>
  <c r="CM5" i="10" s="1"/>
  <c r="CL5" i="10"/>
  <c r="CL5" i="10" a="1"/>
  <c r="CK5" i="10"/>
  <c r="CK5" i="10" a="1"/>
  <c r="CJ5" i="10"/>
  <c r="CJ5" i="10" a="1"/>
  <c r="CI5" i="10" a="1"/>
  <c r="CI5" i="10" s="1"/>
  <c r="CH5" i="10"/>
  <c r="CH5" i="10" a="1"/>
  <c r="CG5" i="10" a="1"/>
  <c r="CG5" i="10" s="1"/>
  <c r="CF5" i="10"/>
  <c r="CF5" i="10" a="1"/>
  <c r="CE5" i="10" a="1"/>
  <c r="CE5" i="10" s="1"/>
  <c r="CD5" i="10"/>
  <c r="CD5" i="10" a="1"/>
  <c r="CC5" i="10" a="1"/>
  <c r="CC5" i="10" s="1"/>
  <c r="CB5" i="10"/>
  <c r="CB5" i="10" a="1"/>
  <c r="CA5" i="10" a="1"/>
  <c r="CA5" i="10" s="1"/>
  <c r="BZ5" i="10"/>
  <c r="BZ5" i="10" a="1"/>
  <c r="BY5" i="10" a="1"/>
  <c r="BY5" i="10" s="1"/>
  <c r="BX5" i="10"/>
  <c r="BX5" i="10" a="1"/>
  <c r="BW5" i="10" a="1"/>
  <c r="BW5" i="10" s="1"/>
  <c r="BV5" i="10"/>
  <c r="BV5" i="10" a="1"/>
  <c r="BU5" i="10" a="1"/>
  <c r="BU5" i="10" s="1"/>
  <c r="BT5" i="10"/>
  <c r="BT5" i="10" a="1"/>
  <c r="BS5" i="10" a="1"/>
  <c r="BS5" i="10" s="1"/>
  <c r="BR5" i="10"/>
  <c r="BR5" i="10" a="1"/>
  <c r="BQ5" i="10" a="1"/>
  <c r="BQ5" i="10" s="1"/>
  <c r="BP5" i="10"/>
  <c r="BP5" i="10" a="1"/>
  <c r="BO5" i="10" a="1"/>
  <c r="BO5" i="10" s="1"/>
  <c r="BN5" i="10"/>
  <c r="BN5" i="10" a="1"/>
  <c r="BM5" i="10" a="1"/>
  <c r="BM5" i="10" s="1"/>
  <c r="BL5" i="10"/>
  <c r="BL5" i="10" a="1"/>
  <c r="BK5" i="10" a="1"/>
  <c r="BK5" i="10" s="1"/>
  <c r="BJ5" i="10"/>
  <c r="BJ5" i="10" a="1"/>
  <c r="BI5" i="10" a="1"/>
  <c r="BI5" i="10" s="1"/>
  <c r="BH5" i="10"/>
  <c r="BH5" i="10" a="1"/>
  <c r="BG5" i="10" a="1"/>
  <c r="BG5" i="10" s="1"/>
  <c r="BF5" i="10"/>
  <c r="BF5" i="10" a="1"/>
  <c r="BE5" i="10" a="1"/>
  <c r="BE5" i="10" s="1"/>
  <c r="BD5" i="10"/>
  <c r="BD5" i="10" a="1"/>
  <c r="BC5" i="10" a="1"/>
  <c r="BC5" i="10" s="1"/>
  <c r="BB5" i="10"/>
  <c r="BB5" i="10" a="1"/>
  <c r="BA5" i="10" a="1"/>
  <c r="BA5" i="10" s="1"/>
  <c r="AZ5" i="10"/>
  <c r="AZ5" i="10" a="1"/>
  <c r="AY5" i="10" a="1"/>
  <c r="AY5" i="10" s="1"/>
  <c r="AX5" i="10"/>
  <c r="AX5" i="10" a="1"/>
  <c r="AW5" i="10" a="1"/>
  <c r="AW5" i="10" s="1"/>
  <c r="AV5" i="10"/>
  <c r="AV5" i="10" a="1"/>
  <c r="AU5" i="10" a="1"/>
  <c r="AU5" i="10" s="1"/>
  <c r="AT5" i="10"/>
  <c r="AT5" i="10" a="1"/>
  <c r="AS5" i="10" a="1"/>
  <c r="AS5" i="10" s="1"/>
  <c r="AR5" i="10"/>
  <c r="AR5" i="10" a="1"/>
  <c r="AQ5" i="10" a="1"/>
  <c r="AQ5" i="10" s="1"/>
  <c r="AP5" i="10"/>
  <c r="AP5" i="10" a="1"/>
  <c r="AO5" i="10" a="1"/>
  <c r="AO5" i="10" s="1"/>
  <c r="AN5" i="10"/>
  <c r="AN5" i="10" a="1"/>
  <c r="AM5" i="10" a="1"/>
  <c r="AM5" i="10" s="1"/>
  <c r="AL5" i="10"/>
  <c r="AL5" i="10" a="1"/>
  <c r="AK5" i="10" a="1"/>
  <c r="AK5" i="10" s="1"/>
  <c r="AJ5" i="10"/>
  <c r="AJ5" i="10" a="1"/>
  <c r="AI5" i="10" a="1"/>
  <c r="AI5" i="10" s="1"/>
  <c r="AH5" i="10"/>
  <c r="AH5" i="10" a="1"/>
  <c r="AG5" i="10" a="1"/>
  <c r="AG5" i="10" s="1"/>
  <c r="AF5" i="10"/>
  <c r="AF5" i="10" a="1"/>
  <c r="AE5" i="10" a="1"/>
  <c r="AE5" i="10" s="1"/>
  <c r="AD5" i="10"/>
  <c r="AD5" i="10" a="1"/>
  <c r="AC5" i="10" a="1"/>
  <c r="AC5" i="10" s="1"/>
  <c r="AB5" i="10"/>
  <c r="AB5" i="10" a="1"/>
  <c r="AA5" i="10" a="1"/>
  <c r="AA5" i="10" s="1"/>
  <c r="Z5" i="10"/>
  <c r="Z5" i="10" a="1"/>
  <c r="Y5" i="10" a="1"/>
  <c r="Y5" i="10" s="1"/>
  <c r="X5" i="10"/>
  <c r="X5" i="10" a="1"/>
  <c r="W5" i="10" a="1"/>
  <c r="W5" i="10" s="1"/>
  <c r="V5" i="10"/>
  <c r="V5" i="10" a="1"/>
  <c r="U5" i="10" a="1"/>
  <c r="U5" i="10" s="1"/>
  <c r="T5" i="10"/>
  <c r="T5" i="10" a="1"/>
  <c r="S5" i="10" a="1"/>
  <c r="S5" i="10" s="1"/>
  <c r="R5" i="10"/>
  <c r="R5" i="10" a="1"/>
  <c r="Q5" i="10" a="1"/>
  <c r="Q5" i="10" s="1"/>
  <c r="P5" i="10"/>
  <c r="P5" i="10" a="1"/>
  <c r="O5" i="10" a="1"/>
  <c r="O5" i="10" s="1"/>
  <c r="N5" i="10"/>
  <c r="N5" i="10" a="1"/>
  <c r="M5" i="10" a="1"/>
  <c r="M5" i="10" s="1"/>
  <c r="L5" i="10"/>
  <c r="L5" i="10" a="1"/>
  <c r="K5" i="10" a="1"/>
  <c r="K5" i="10" s="1"/>
  <c r="J5" i="10"/>
  <c r="J5" i="10" a="1"/>
  <c r="I5" i="10" a="1"/>
  <c r="I5" i="10" s="1"/>
  <c r="H5" i="10"/>
  <c r="H5" i="10" a="1"/>
  <c r="G5" i="10" a="1"/>
  <c r="G5" i="10" s="1"/>
  <c r="F5" i="10"/>
  <c r="F5" i="10" a="1"/>
  <c r="E5" i="10" a="1"/>
  <c r="E5" i="10" s="1"/>
  <c r="D18" i="10" a="1"/>
  <c r="D18" i="10" s="1"/>
  <c r="D6" i="10" a="1"/>
  <c r="D6" i="10" s="1"/>
  <c r="D7" i="10" a="1"/>
  <c r="D7" i="10" s="1"/>
  <c r="D8" i="10" a="1"/>
  <c r="D8" i="10" s="1"/>
  <c r="D9" i="10" a="1"/>
  <c r="D9" i="10"/>
  <c r="D10" i="10" a="1"/>
  <c r="D10" i="10" s="1"/>
  <c r="D11" i="10" a="1"/>
  <c r="D11" i="10" s="1"/>
  <c r="D12" i="10" a="1"/>
  <c r="D12" i="10" s="1"/>
  <c r="D13" i="10" a="1"/>
  <c r="D13" i="10"/>
  <c r="D14" i="10" a="1"/>
  <c r="D14" i="10" s="1"/>
  <c r="D15" i="10" a="1"/>
  <c r="D15" i="10" s="1"/>
  <c r="D16" i="10" a="1"/>
  <c r="D16" i="10" s="1"/>
  <c r="D17" i="10" a="1"/>
  <c r="D17" i="10"/>
  <c r="D5" i="10" a="1"/>
  <c r="D5" i="10" s="1"/>
  <c r="K25" i="6"/>
  <c r="L25" i="6" s="1"/>
  <c r="M25" i="6" s="1"/>
  <c r="N25" i="6" s="1"/>
  <c r="O25" i="6" s="1"/>
  <c r="P25" i="6" s="1"/>
  <c r="Q25" i="6" s="1"/>
  <c r="R25" i="6" s="1"/>
  <c r="S25" i="6" s="1"/>
  <c r="T25" i="6" s="1"/>
  <c r="U25" i="6" s="1"/>
  <c r="V25" i="6" s="1"/>
  <c r="W25" i="6" s="1"/>
  <c r="X25" i="6" s="1"/>
  <c r="Y25" i="6" s="1"/>
  <c r="Z25" i="6" s="1"/>
  <c r="AA25" i="6" s="1"/>
  <c r="AB25" i="6" s="1"/>
  <c r="AC25" i="6" s="1"/>
  <c r="AD25" i="6" s="1"/>
  <c r="AE25" i="6" s="1"/>
  <c r="AF25" i="6" s="1"/>
  <c r="AG25" i="6" s="1"/>
  <c r="AH25" i="6" s="1"/>
  <c r="AI25" i="6" s="1"/>
  <c r="AJ25" i="6" s="1"/>
  <c r="AK25" i="6" s="1"/>
  <c r="AL25" i="6" s="1"/>
  <c r="AM25" i="6" s="1"/>
  <c r="AN25" i="6" s="1"/>
  <c r="AO25" i="6" s="1"/>
  <c r="AP25" i="6" s="1"/>
  <c r="AQ25" i="6" s="1"/>
  <c r="AR25" i="6" s="1"/>
  <c r="AS25" i="6" s="1"/>
  <c r="AT25" i="6" s="1"/>
  <c r="AU25" i="6" s="1"/>
  <c r="AV25" i="6" s="1"/>
  <c r="AW25" i="6" s="1"/>
  <c r="AX25" i="6" s="1"/>
  <c r="AY25" i="6" s="1"/>
  <c r="AZ25" i="6" s="1"/>
  <c r="BA25" i="6" s="1"/>
  <c r="BB25" i="6" s="1"/>
  <c r="BC25" i="6" s="1"/>
  <c r="BD25" i="6" s="1"/>
  <c r="BE25" i="6" s="1"/>
  <c r="BF25" i="6" s="1"/>
  <c r="BG25" i="6" s="1"/>
  <c r="BH25" i="6" s="1"/>
  <c r="BI25" i="6" s="1"/>
  <c r="BJ25" i="6" s="1"/>
  <c r="BK25" i="6" s="1"/>
  <c r="BL25" i="6" s="1"/>
  <c r="BM25" i="6" s="1"/>
  <c r="BN25" i="6" s="1"/>
  <c r="BO25" i="6" s="1"/>
  <c r="BP25" i="6" s="1"/>
  <c r="BQ25" i="6" s="1"/>
  <c r="BR25" i="6" s="1"/>
  <c r="BS25" i="6" s="1"/>
  <c r="BT25" i="6" s="1"/>
  <c r="BU25" i="6" s="1"/>
  <c r="BV25" i="6" s="1"/>
  <c r="BW25" i="6" s="1"/>
  <c r="BX25" i="6" s="1"/>
  <c r="BY25" i="6" s="1"/>
  <c r="BZ25" i="6" s="1"/>
  <c r="CA25" i="6" s="1"/>
  <c r="CB25" i="6" s="1"/>
  <c r="CC25" i="6" s="1"/>
  <c r="CD25" i="6" s="1"/>
  <c r="CE25" i="6" s="1"/>
  <c r="CF25" i="6" s="1"/>
  <c r="CG25" i="6" s="1"/>
  <c r="CH25" i="6" s="1"/>
  <c r="CI25" i="6" s="1"/>
  <c r="CJ25" i="6" s="1"/>
  <c r="CK25" i="6" s="1"/>
  <c r="CL25" i="6" s="1"/>
  <c r="CM25" i="6" s="1"/>
  <c r="CN25" i="6" s="1"/>
  <c r="CO25" i="6" s="1"/>
  <c r="CP25" i="6" s="1"/>
  <c r="CQ25" i="6" s="1"/>
  <c r="CR25" i="6" s="1"/>
  <c r="CS25" i="6" s="1"/>
  <c r="CT25" i="6" s="1"/>
  <c r="CU25" i="6" s="1"/>
  <c r="CV25" i="6" s="1"/>
  <c r="CW25" i="6" s="1"/>
  <c r="CX25" i="6" s="1"/>
  <c r="CY25" i="6" s="1"/>
  <c r="CZ25" i="6" s="1"/>
  <c r="DA25" i="6" s="1"/>
  <c r="DB25" i="6" s="1"/>
  <c r="DC25" i="6" s="1"/>
  <c r="DD25" i="6" s="1"/>
  <c r="DE25" i="6" s="1"/>
  <c r="DF25" i="6" s="1"/>
  <c r="DG25" i="6" s="1"/>
  <c r="DH25" i="6" s="1"/>
  <c r="DI25" i="6" s="1"/>
  <c r="DJ25" i="6" s="1"/>
  <c r="DK25" i="6" s="1"/>
  <c r="DL25" i="6" s="1"/>
  <c r="DM25" i="6" s="1"/>
  <c r="DN25" i="6" s="1"/>
  <c r="DO25" i="6" s="1"/>
  <c r="DP25" i="6" s="1"/>
  <c r="DQ25" i="6" s="1"/>
  <c r="DR25" i="6" s="1"/>
  <c r="DS25" i="6" s="1"/>
  <c r="DT25" i="6" s="1"/>
  <c r="DU25" i="6" s="1"/>
  <c r="DV25" i="6" s="1"/>
  <c r="DW25" i="6" s="1"/>
  <c r="DX25" i="6" s="1"/>
  <c r="DY25" i="6" s="1"/>
  <c r="DZ25" i="6" s="1"/>
  <c r="EA25" i="6" s="1"/>
  <c r="EB25" i="6" s="1"/>
  <c r="EC25" i="6" s="1"/>
  <c r="ED25" i="6" s="1"/>
  <c r="EE25" i="6" s="1"/>
  <c r="J25" i="6"/>
  <c r="D25" i="6"/>
  <c r="E25" i="6" s="1"/>
  <c r="F25" i="6" s="1"/>
  <c r="G25" i="6" s="1"/>
  <c r="H25" i="6" s="1"/>
  <c r="I25" i="6" s="1"/>
  <c r="C25" i="6"/>
  <c r="I24" i="6"/>
  <c r="J24" i="6" s="1"/>
  <c r="K24" i="6" s="1"/>
  <c r="L24" i="6" s="1"/>
  <c r="M24" i="6" s="1"/>
  <c r="N24" i="6" s="1"/>
  <c r="O24" i="6" s="1"/>
  <c r="P24" i="6" s="1"/>
  <c r="Q24" i="6" s="1"/>
  <c r="R24" i="6" s="1"/>
  <c r="S24" i="6" s="1"/>
  <c r="T24" i="6" s="1"/>
  <c r="U24" i="6" s="1"/>
  <c r="V24" i="6" s="1"/>
  <c r="W24" i="6" s="1"/>
  <c r="X24" i="6" s="1"/>
  <c r="Y24" i="6" s="1"/>
  <c r="Z24" i="6" s="1"/>
  <c r="AA24" i="6" s="1"/>
  <c r="AB24" i="6" s="1"/>
  <c r="AC24" i="6" s="1"/>
  <c r="AD24" i="6" s="1"/>
  <c r="AE24" i="6" s="1"/>
  <c r="AF24" i="6" s="1"/>
  <c r="AG24" i="6" s="1"/>
  <c r="AH24" i="6" s="1"/>
  <c r="AI24" i="6" s="1"/>
  <c r="AJ24" i="6" s="1"/>
  <c r="AK24" i="6" s="1"/>
  <c r="AL24" i="6" s="1"/>
  <c r="AM24" i="6" s="1"/>
  <c r="AN24" i="6" s="1"/>
  <c r="AO24" i="6" s="1"/>
  <c r="AP24" i="6" s="1"/>
  <c r="AQ24" i="6" s="1"/>
  <c r="AR24" i="6" s="1"/>
  <c r="AS24" i="6" s="1"/>
  <c r="AT24" i="6" s="1"/>
  <c r="AU24" i="6" s="1"/>
  <c r="AV24" i="6" s="1"/>
  <c r="AW24" i="6" s="1"/>
  <c r="AX24" i="6" s="1"/>
  <c r="AY24" i="6" s="1"/>
  <c r="AZ24" i="6" s="1"/>
  <c r="BA24" i="6" s="1"/>
  <c r="BB24" i="6" s="1"/>
  <c r="BC24" i="6" s="1"/>
  <c r="BD24" i="6" s="1"/>
  <c r="BE24" i="6" s="1"/>
  <c r="BF24" i="6" s="1"/>
  <c r="BG24" i="6" s="1"/>
  <c r="BH24" i="6" s="1"/>
  <c r="BI24" i="6" s="1"/>
  <c r="BJ24" i="6" s="1"/>
  <c r="BK24" i="6" s="1"/>
  <c r="BL24" i="6" s="1"/>
  <c r="BM24" i="6" s="1"/>
  <c r="BN24" i="6" s="1"/>
  <c r="BO24" i="6" s="1"/>
  <c r="BP24" i="6" s="1"/>
  <c r="BQ24" i="6" s="1"/>
  <c r="BR24" i="6" s="1"/>
  <c r="BS24" i="6" s="1"/>
  <c r="BT24" i="6" s="1"/>
  <c r="BU24" i="6" s="1"/>
  <c r="BV24" i="6" s="1"/>
  <c r="BW24" i="6" s="1"/>
  <c r="BX24" i="6" s="1"/>
  <c r="BY24" i="6" s="1"/>
  <c r="BZ24" i="6" s="1"/>
  <c r="CA24" i="6" s="1"/>
  <c r="CB24" i="6" s="1"/>
  <c r="CC24" i="6" s="1"/>
  <c r="CD24" i="6" s="1"/>
  <c r="CE24" i="6" s="1"/>
  <c r="CF24" i="6" s="1"/>
  <c r="CG24" i="6" s="1"/>
  <c r="CH24" i="6" s="1"/>
  <c r="CI24" i="6" s="1"/>
  <c r="CJ24" i="6" s="1"/>
  <c r="CK24" i="6" s="1"/>
  <c r="CL24" i="6" s="1"/>
  <c r="CM24" i="6" s="1"/>
  <c r="CN24" i="6" s="1"/>
  <c r="CO24" i="6" s="1"/>
  <c r="CP24" i="6" s="1"/>
  <c r="CQ24" i="6" s="1"/>
  <c r="CR24" i="6" s="1"/>
  <c r="CS24" i="6" s="1"/>
  <c r="CT24" i="6" s="1"/>
  <c r="CU24" i="6" s="1"/>
  <c r="CV24" i="6" s="1"/>
  <c r="CW24" i="6" s="1"/>
  <c r="CX24" i="6" s="1"/>
  <c r="CY24" i="6" s="1"/>
  <c r="CZ24" i="6" s="1"/>
  <c r="DA24" i="6" s="1"/>
  <c r="DB24" i="6" s="1"/>
  <c r="DC24" i="6" s="1"/>
  <c r="DD24" i="6" s="1"/>
  <c r="DE24" i="6" s="1"/>
  <c r="DF24" i="6" s="1"/>
  <c r="DG24" i="6" s="1"/>
  <c r="DH24" i="6" s="1"/>
  <c r="DI24" i="6" s="1"/>
  <c r="DJ24" i="6" s="1"/>
  <c r="DK24" i="6" s="1"/>
  <c r="DL24" i="6" s="1"/>
  <c r="DM24" i="6" s="1"/>
  <c r="DN24" i="6" s="1"/>
  <c r="DO24" i="6" s="1"/>
  <c r="DP24" i="6" s="1"/>
  <c r="DQ24" i="6" s="1"/>
  <c r="DR24" i="6" s="1"/>
  <c r="DS24" i="6" s="1"/>
  <c r="DT24" i="6" s="1"/>
  <c r="DU24" i="6" s="1"/>
  <c r="DV24" i="6" s="1"/>
  <c r="DW24" i="6" s="1"/>
  <c r="DX24" i="6" s="1"/>
  <c r="DY24" i="6" s="1"/>
  <c r="DZ24" i="6" s="1"/>
  <c r="EA24" i="6" s="1"/>
  <c r="EB24" i="6" s="1"/>
  <c r="EC24" i="6" s="1"/>
  <c r="ED24" i="6" s="1"/>
  <c r="EE24" i="6" s="1"/>
  <c r="D24" i="6"/>
  <c r="E24" i="6" s="1"/>
  <c r="F24" i="6" s="1"/>
  <c r="G24" i="6" s="1"/>
  <c r="H24" i="6" s="1"/>
  <c r="AK23" i="6"/>
  <c r="AL23" i="6" s="1"/>
  <c r="AM23" i="6" s="1"/>
  <c r="AN23" i="6" s="1"/>
  <c r="AO23" i="6" s="1"/>
  <c r="AP23" i="6" s="1"/>
  <c r="AQ23" i="6" s="1"/>
  <c r="AR23" i="6" s="1"/>
  <c r="AS23" i="6" s="1"/>
  <c r="AT23" i="6" s="1"/>
  <c r="AU23" i="6" s="1"/>
  <c r="AV23" i="6" s="1"/>
  <c r="AW23" i="6" s="1"/>
  <c r="AX23" i="6" s="1"/>
  <c r="AY23" i="6" s="1"/>
  <c r="AZ23" i="6" s="1"/>
  <c r="BA23" i="6" s="1"/>
  <c r="BB23" i="6" s="1"/>
  <c r="BC23" i="6" s="1"/>
  <c r="BD23" i="6" s="1"/>
  <c r="BE23" i="6" s="1"/>
  <c r="BF23" i="6" s="1"/>
  <c r="BG23" i="6" s="1"/>
  <c r="BH23" i="6" s="1"/>
  <c r="BI23" i="6" s="1"/>
  <c r="BJ23" i="6" s="1"/>
  <c r="BK23" i="6" s="1"/>
  <c r="BL23" i="6" s="1"/>
  <c r="BM23" i="6" s="1"/>
  <c r="BN23" i="6" s="1"/>
  <c r="BO23" i="6" s="1"/>
  <c r="BP23" i="6" s="1"/>
  <c r="BQ23" i="6" s="1"/>
  <c r="BR23" i="6" s="1"/>
  <c r="BS23" i="6" s="1"/>
  <c r="BT23" i="6" s="1"/>
  <c r="BU23" i="6" s="1"/>
  <c r="BV23" i="6" s="1"/>
  <c r="BW23" i="6" s="1"/>
  <c r="BX23" i="6" s="1"/>
  <c r="BY23" i="6" s="1"/>
  <c r="BZ23" i="6" s="1"/>
  <c r="CA23" i="6" s="1"/>
  <c r="CB23" i="6" s="1"/>
  <c r="CC23" i="6" s="1"/>
  <c r="CD23" i="6" s="1"/>
  <c r="CE23" i="6" s="1"/>
  <c r="CF23" i="6" s="1"/>
  <c r="CG23" i="6" s="1"/>
  <c r="CH23" i="6" s="1"/>
  <c r="CI23" i="6" s="1"/>
  <c r="CJ23" i="6" s="1"/>
  <c r="CK23" i="6" s="1"/>
  <c r="CL23" i="6" s="1"/>
  <c r="CM23" i="6" s="1"/>
  <c r="CN23" i="6" s="1"/>
  <c r="CO23" i="6" s="1"/>
  <c r="CP23" i="6" s="1"/>
  <c r="CQ23" i="6" s="1"/>
  <c r="CR23" i="6" s="1"/>
  <c r="CS23" i="6" s="1"/>
  <c r="CT23" i="6" s="1"/>
  <c r="CU23" i="6" s="1"/>
  <c r="CV23" i="6" s="1"/>
  <c r="CW23" i="6" s="1"/>
  <c r="CX23" i="6" s="1"/>
  <c r="CY23" i="6" s="1"/>
  <c r="CZ23" i="6" s="1"/>
  <c r="DA23" i="6" s="1"/>
  <c r="DB23" i="6" s="1"/>
  <c r="DC23" i="6" s="1"/>
  <c r="DD23" i="6" s="1"/>
  <c r="DE23" i="6" s="1"/>
  <c r="DF23" i="6" s="1"/>
  <c r="DG23" i="6" s="1"/>
  <c r="DH23" i="6" s="1"/>
  <c r="DI23" i="6" s="1"/>
  <c r="DJ23" i="6" s="1"/>
  <c r="DK23" i="6" s="1"/>
  <c r="DL23" i="6" s="1"/>
  <c r="DM23" i="6" s="1"/>
  <c r="DN23" i="6" s="1"/>
  <c r="DO23" i="6" s="1"/>
  <c r="DP23" i="6" s="1"/>
  <c r="DQ23" i="6" s="1"/>
  <c r="DR23" i="6" s="1"/>
  <c r="DS23" i="6" s="1"/>
  <c r="DT23" i="6" s="1"/>
  <c r="DU23" i="6" s="1"/>
  <c r="DV23" i="6" s="1"/>
  <c r="DW23" i="6" s="1"/>
  <c r="DX23" i="6" s="1"/>
  <c r="DY23" i="6" s="1"/>
  <c r="DZ23" i="6" s="1"/>
  <c r="EA23" i="6" s="1"/>
  <c r="EB23" i="6" s="1"/>
  <c r="EC23" i="6" s="1"/>
  <c r="ED23" i="6" s="1"/>
  <c r="EE23" i="6" s="1"/>
  <c r="E23" i="6"/>
  <c r="F23" i="6" s="1"/>
  <c r="G23" i="6" s="1"/>
  <c r="H23" i="6" s="1"/>
  <c r="I23" i="6" s="1"/>
  <c r="J23" i="6" s="1"/>
  <c r="K23" i="6" s="1"/>
  <c r="L23" i="6" s="1"/>
  <c r="M23" i="6" s="1"/>
  <c r="N23" i="6" s="1"/>
  <c r="O23" i="6" s="1"/>
  <c r="P23" i="6" s="1"/>
  <c r="Q23" i="6" s="1"/>
  <c r="R23" i="6" s="1"/>
  <c r="S23" i="6" s="1"/>
  <c r="T23" i="6" s="1"/>
  <c r="U23" i="6" s="1"/>
  <c r="V23" i="6" s="1"/>
  <c r="W23" i="6" s="1"/>
  <c r="X23" i="6" s="1"/>
  <c r="Y23" i="6" s="1"/>
  <c r="Z23" i="6" s="1"/>
  <c r="AA23" i="6" s="1"/>
  <c r="AB23" i="6" s="1"/>
  <c r="AC23" i="6" s="1"/>
  <c r="AD23" i="6" s="1"/>
  <c r="AE23" i="6" s="1"/>
  <c r="AF23" i="6" s="1"/>
  <c r="AG23" i="6" s="1"/>
  <c r="AH23" i="6" s="1"/>
  <c r="AI23" i="6" s="1"/>
  <c r="AJ23" i="6" s="1"/>
  <c r="D23" i="6"/>
  <c r="F22" i="6"/>
  <c r="G22" i="6" s="1"/>
  <c r="H22" i="6" s="1"/>
  <c r="I22" i="6" s="1"/>
  <c r="J22" i="6" s="1"/>
  <c r="K22" i="6" s="1"/>
  <c r="L22" i="6" s="1"/>
  <c r="M22" i="6" s="1"/>
  <c r="N22" i="6" s="1"/>
  <c r="O22" i="6" s="1"/>
  <c r="P22" i="6" s="1"/>
  <c r="Q22" i="6" s="1"/>
  <c r="R22" i="6" s="1"/>
  <c r="S22" i="6" s="1"/>
  <c r="T22" i="6" s="1"/>
  <c r="U22" i="6" s="1"/>
  <c r="V22" i="6" s="1"/>
  <c r="W22" i="6" s="1"/>
  <c r="X22" i="6" s="1"/>
  <c r="Y22" i="6" s="1"/>
  <c r="Z22" i="6" s="1"/>
  <c r="AA22" i="6" s="1"/>
  <c r="AB22" i="6" s="1"/>
  <c r="AC22" i="6" s="1"/>
  <c r="AD22" i="6" s="1"/>
  <c r="AE22" i="6" s="1"/>
  <c r="AF22" i="6" s="1"/>
  <c r="AG22" i="6" s="1"/>
  <c r="AH22" i="6" s="1"/>
  <c r="AI22" i="6" s="1"/>
  <c r="AJ22" i="6" s="1"/>
  <c r="AK22" i="6" s="1"/>
  <c r="AL22" i="6" s="1"/>
  <c r="AM22" i="6" s="1"/>
  <c r="AN22" i="6" s="1"/>
  <c r="AO22" i="6" s="1"/>
  <c r="AP22" i="6" s="1"/>
  <c r="AQ22" i="6" s="1"/>
  <c r="AR22" i="6" s="1"/>
  <c r="AS22" i="6" s="1"/>
  <c r="AT22" i="6" s="1"/>
  <c r="AU22" i="6" s="1"/>
  <c r="AV22" i="6" s="1"/>
  <c r="AW22" i="6" s="1"/>
  <c r="AX22" i="6" s="1"/>
  <c r="AY22" i="6" s="1"/>
  <c r="AZ22" i="6" s="1"/>
  <c r="BA22" i="6" s="1"/>
  <c r="BB22" i="6" s="1"/>
  <c r="BC22" i="6" s="1"/>
  <c r="BD22" i="6" s="1"/>
  <c r="BE22" i="6" s="1"/>
  <c r="BF22" i="6" s="1"/>
  <c r="BG22" i="6" s="1"/>
  <c r="BH22" i="6" s="1"/>
  <c r="BI22" i="6" s="1"/>
  <c r="BJ22" i="6" s="1"/>
  <c r="BK22" i="6" s="1"/>
  <c r="BL22" i="6" s="1"/>
  <c r="BM22" i="6" s="1"/>
  <c r="BN22" i="6" s="1"/>
  <c r="BO22" i="6" s="1"/>
  <c r="BP22" i="6" s="1"/>
  <c r="BQ22" i="6" s="1"/>
  <c r="BR22" i="6" s="1"/>
  <c r="BS22" i="6" s="1"/>
  <c r="BT22" i="6" s="1"/>
  <c r="BU22" i="6" s="1"/>
  <c r="BV22" i="6" s="1"/>
  <c r="BW22" i="6" s="1"/>
  <c r="BX22" i="6" s="1"/>
  <c r="BY22" i="6" s="1"/>
  <c r="BZ22" i="6" s="1"/>
  <c r="CA22" i="6" s="1"/>
  <c r="CB22" i="6" s="1"/>
  <c r="CC22" i="6" s="1"/>
  <c r="CD22" i="6" s="1"/>
  <c r="CE22" i="6" s="1"/>
  <c r="CF22" i="6" s="1"/>
  <c r="CG22" i="6" s="1"/>
  <c r="CH22" i="6" s="1"/>
  <c r="CI22" i="6" s="1"/>
  <c r="CJ22" i="6" s="1"/>
  <c r="CK22" i="6" s="1"/>
  <c r="CL22" i="6" s="1"/>
  <c r="CM22" i="6" s="1"/>
  <c r="CN22" i="6" s="1"/>
  <c r="CO22" i="6" s="1"/>
  <c r="CP22" i="6" s="1"/>
  <c r="CQ22" i="6" s="1"/>
  <c r="CR22" i="6" s="1"/>
  <c r="CS22" i="6" s="1"/>
  <c r="CT22" i="6" s="1"/>
  <c r="CU22" i="6" s="1"/>
  <c r="CV22" i="6" s="1"/>
  <c r="CW22" i="6" s="1"/>
  <c r="CX22" i="6" s="1"/>
  <c r="CY22" i="6" s="1"/>
  <c r="CZ22" i="6" s="1"/>
  <c r="DA22" i="6" s="1"/>
  <c r="DB22" i="6" s="1"/>
  <c r="DC22" i="6" s="1"/>
  <c r="DD22" i="6" s="1"/>
  <c r="DE22" i="6" s="1"/>
  <c r="DF22" i="6" s="1"/>
  <c r="DG22" i="6" s="1"/>
  <c r="DH22" i="6" s="1"/>
  <c r="DI22" i="6" s="1"/>
  <c r="DJ22" i="6" s="1"/>
  <c r="DK22" i="6" s="1"/>
  <c r="DL22" i="6" s="1"/>
  <c r="DM22" i="6" s="1"/>
  <c r="DN22" i="6" s="1"/>
  <c r="DO22" i="6" s="1"/>
  <c r="DP22" i="6" s="1"/>
  <c r="DQ22" i="6" s="1"/>
  <c r="DR22" i="6" s="1"/>
  <c r="DS22" i="6" s="1"/>
  <c r="DT22" i="6" s="1"/>
  <c r="DU22" i="6" s="1"/>
  <c r="DV22" i="6" s="1"/>
  <c r="DW22" i="6" s="1"/>
  <c r="DX22" i="6" s="1"/>
  <c r="DY22" i="6" s="1"/>
  <c r="DZ22" i="6" s="1"/>
  <c r="EA22" i="6" s="1"/>
  <c r="EB22" i="6" s="1"/>
  <c r="EC22" i="6" s="1"/>
  <c r="ED22" i="6" s="1"/>
  <c r="EE22" i="6" s="1"/>
  <c r="D22" i="6"/>
  <c r="E22" i="6" s="1"/>
  <c r="E21" i="6"/>
  <c r="F21" i="6" s="1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AF21" i="6" s="1"/>
  <c r="AG21" i="6" s="1"/>
  <c r="AH21" i="6" s="1"/>
  <c r="AI21" i="6" s="1"/>
  <c r="AJ21" i="6" s="1"/>
  <c r="AK21" i="6" s="1"/>
  <c r="AL21" i="6" s="1"/>
  <c r="AM21" i="6" s="1"/>
  <c r="AN21" i="6" s="1"/>
  <c r="AO21" i="6" s="1"/>
  <c r="AP21" i="6" s="1"/>
  <c r="AQ21" i="6" s="1"/>
  <c r="AR21" i="6" s="1"/>
  <c r="AS21" i="6" s="1"/>
  <c r="AT21" i="6" s="1"/>
  <c r="AU21" i="6" s="1"/>
  <c r="AV21" i="6" s="1"/>
  <c r="AW21" i="6" s="1"/>
  <c r="AX21" i="6" s="1"/>
  <c r="AY21" i="6" s="1"/>
  <c r="AZ21" i="6" s="1"/>
  <c r="BA21" i="6" s="1"/>
  <c r="BB21" i="6" s="1"/>
  <c r="BC21" i="6" s="1"/>
  <c r="BD21" i="6" s="1"/>
  <c r="BE21" i="6" s="1"/>
  <c r="BF21" i="6" s="1"/>
  <c r="BG21" i="6" s="1"/>
  <c r="BH21" i="6" s="1"/>
  <c r="BI21" i="6" s="1"/>
  <c r="BJ21" i="6" s="1"/>
  <c r="BK21" i="6" s="1"/>
  <c r="BL21" i="6" s="1"/>
  <c r="BM21" i="6" s="1"/>
  <c r="BN21" i="6" s="1"/>
  <c r="BO21" i="6" s="1"/>
  <c r="BP21" i="6" s="1"/>
  <c r="BQ21" i="6" s="1"/>
  <c r="BR21" i="6" s="1"/>
  <c r="BS21" i="6" s="1"/>
  <c r="BT21" i="6" s="1"/>
  <c r="BU21" i="6" s="1"/>
  <c r="BV21" i="6" s="1"/>
  <c r="BW21" i="6" s="1"/>
  <c r="BX21" i="6" s="1"/>
  <c r="BY21" i="6" s="1"/>
  <c r="BZ21" i="6" s="1"/>
  <c r="CA21" i="6" s="1"/>
  <c r="CB21" i="6" s="1"/>
  <c r="CC21" i="6" s="1"/>
  <c r="CD21" i="6" s="1"/>
  <c r="CE21" i="6" s="1"/>
  <c r="CF21" i="6" s="1"/>
  <c r="CG21" i="6" s="1"/>
  <c r="CH21" i="6" s="1"/>
  <c r="CI21" i="6" s="1"/>
  <c r="CJ21" i="6" s="1"/>
  <c r="CK21" i="6" s="1"/>
  <c r="CL21" i="6" s="1"/>
  <c r="CM21" i="6" s="1"/>
  <c r="CN21" i="6" s="1"/>
  <c r="CO21" i="6" s="1"/>
  <c r="CP21" i="6" s="1"/>
  <c r="CQ21" i="6" s="1"/>
  <c r="CR21" i="6" s="1"/>
  <c r="CS21" i="6" s="1"/>
  <c r="CT21" i="6" s="1"/>
  <c r="CU21" i="6" s="1"/>
  <c r="CV21" i="6" s="1"/>
  <c r="CW21" i="6" s="1"/>
  <c r="CX21" i="6" s="1"/>
  <c r="CY21" i="6" s="1"/>
  <c r="CZ21" i="6" s="1"/>
  <c r="DA21" i="6" s="1"/>
  <c r="DB21" i="6" s="1"/>
  <c r="DC21" i="6" s="1"/>
  <c r="DD21" i="6" s="1"/>
  <c r="DE21" i="6" s="1"/>
  <c r="DF21" i="6" s="1"/>
  <c r="DG21" i="6" s="1"/>
  <c r="DH21" i="6" s="1"/>
  <c r="DI21" i="6" s="1"/>
  <c r="DJ21" i="6" s="1"/>
  <c r="DK21" i="6" s="1"/>
  <c r="DL21" i="6" s="1"/>
  <c r="DM21" i="6" s="1"/>
  <c r="DN21" i="6" s="1"/>
  <c r="DO21" i="6" s="1"/>
  <c r="DP21" i="6" s="1"/>
  <c r="DQ21" i="6" s="1"/>
  <c r="DR21" i="6" s="1"/>
  <c r="DS21" i="6" s="1"/>
  <c r="DT21" i="6" s="1"/>
  <c r="DU21" i="6" s="1"/>
  <c r="DV21" i="6" s="1"/>
  <c r="DW21" i="6" s="1"/>
  <c r="DX21" i="6" s="1"/>
  <c r="DY21" i="6" s="1"/>
  <c r="DZ21" i="6" s="1"/>
  <c r="EA21" i="6" s="1"/>
  <c r="EB21" i="6" s="1"/>
  <c r="EC21" i="6" s="1"/>
  <c r="ED21" i="6" s="1"/>
  <c r="EE21" i="6" s="1"/>
  <c r="D21" i="6"/>
  <c r="R19" i="6"/>
  <c r="S19" i="6" s="1"/>
  <c r="T19" i="6" s="1"/>
  <c r="U19" i="6" s="1"/>
  <c r="V19" i="6" s="1"/>
  <c r="W19" i="6" s="1"/>
  <c r="X19" i="6" s="1"/>
  <c r="Y19" i="6" s="1"/>
  <c r="Z19" i="6" s="1"/>
  <c r="AA19" i="6" s="1"/>
  <c r="AB19" i="6" s="1"/>
  <c r="AC19" i="6" s="1"/>
  <c r="AD19" i="6" s="1"/>
  <c r="AE19" i="6" s="1"/>
  <c r="AF19" i="6" s="1"/>
  <c r="AG19" i="6" s="1"/>
  <c r="AH19" i="6" s="1"/>
  <c r="AI19" i="6" s="1"/>
  <c r="AJ19" i="6" s="1"/>
  <c r="AK19" i="6" s="1"/>
  <c r="AL19" i="6" s="1"/>
  <c r="AM19" i="6" s="1"/>
  <c r="AN19" i="6" s="1"/>
  <c r="AO19" i="6" s="1"/>
  <c r="AP19" i="6" s="1"/>
  <c r="AQ19" i="6" s="1"/>
  <c r="AR19" i="6" s="1"/>
  <c r="AS19" i="6" s="1"/>
  <c r="AT19" i="6" s="1"/>
  <c r="AU19" i="6" s="1"/>
  <c r="AV19" i="6" s="1"/>
  <c r="AW19" i="6" s="1"/>
  <c r="AX19" i="6" s="1"/>
  <c r="AY19" i="6" s="1"/>
  <c r="AZ19" i="6" s="1"/>
  <c r="BA19" i="6" s="1"/>
  <c r="BB19" i="6" s="1"/>
  <c r="BC19" i="6" s="1"/>
  <c r="BD19" i="6" s="1"/>
  <c r="BE19" i="6" s="1"/>
  <c r="BF19" i="6" s="1"/>
  <c r="BG19" i="6" s="1"/>
  <c r="BH19" i="6" s="1"/>
  <c r="BI19" i="6" s="1"/>
  <c r="BJ19" i="6" s="1"/>
  <c r="BK19" i="6" s="1"/>
  <c r="BL19" i="6" s="1"/>
  <c r="BM19" i="6" s="1"/>
  <c r="BN19" i="6" s="1"/>
  <c r="BO19" i="6" s="1"/>
  <c r="BP19" i="6" s="1"/>
  <c r="BQ19" i="6" s="1"/>
  <c r="BR19" i="6" s="1"/>
  <c r="BS19" i="6" s="1"/>
  <c r="BT19" i="6" s="1"/>
  <c r="BU19" i="6" s="1"/>
  <c r="BV19" i="6" s="1"/>
  <c r="BW19" i="6" s="1"/>
  <c r="BX19" i="6" s="1"/>
  <c r="BY19" i="6" s="1"/>
  <c r="BZ19" i="6" s="1"/>
  <c r="CA19" i="6" s="1"/>
  <c r="CB19" i="6" s="1"/>
  <c r="CC19" i="6" s="1"/>
  <c r="CD19" i="6" s="1"/>
  <c r="CE19" i="6" s="1"/>
  <c r="CF19" i="6" s="1"/>
  <c r="CG19" i="6" s="1"/>
  <c r="CH19" i="6" s="1"/>
  <c r="CI19" i="6" s="1"/>
  <c r="CJ19" i="6" s="1"/>
  <c r="CK19" i="6" s="1"/>
  <c r="CL19" i="6" s="1"/>
  <c r="CM19" i="6" s="1"/>
  <c r="CN19" i="6" s="1"/>
  <c r="CO19" i="6" s="1"/>
  <c r="CP19" i="6" s="1"/>
  <c r="CQ19" i="6" s="1"/>
  <c r="CR19" i="6" s="1"/>
  <c r="CS19" i="6" s="1"/>
  <c r="CT19" i="6" s="1"/>
  <c r="CU19" i="6" s="1"/>
  <c r="CV19" i="6" s="1"/>
  <c r="CW19" i="6" s="1"/>
  <c r="CX19" i="6" s="1"/>
  <c r="CY19" i="6" s="1"/>
  <c r="CZ19" i="6" s="1"/>
  <c r="DA19" i="6" s="1"/>
  <c r="DB19" i="6" s="1"/>
  <c r="DC19" i="6" s="1"/>
  <c r="DD19" i="6" s="1"/>
  <c r="DE19" i="6" s="1"/>
  <c r="DF19" i="6" s="1"/>
  <c r="DG19" i="6" s="1"/>
  <c r="DH19" i="6" s="1"/>
  <c r="DI19" i="6" s="1"/>
  <c r="DJ19" i="6" s="1"/>
  <c r="DK19" i="6" s="1"/>
  <c r="DL19" i="6" s="1"/>
  <c r="DM19" i="6" s="1"/>
  <c r="DN19" i="6" s="1"/>
  <c r="DO19" i="6" s="1"/>
  <c r="DP19" i="6" s="1"/>
  <c r="DQ19" i="6" s="1"/>
  <c r="DR19" i="6" s="1"/>
  <c r="DS19" i="6" s="1"/>
  <c r="DT19" i="6" s="1"/>
  <c r="DU19" i="6" s="1"/>
  <c r="DV19" i="6" s="1"/>
  <c r="DW19" i="6" s="1"/>
  <c r="DX19" i="6" s="1"/>
  <c r="DY19" i="6" s="1"/>
  <c r="DZ19" i="6" s="1"/>
  <c r="EA19" i="6" s="1"/>
  <c r="EB19" i="6" s="1"/>
  <c r="EC19" i="6" s="1"/>
  <c r="ED19" i="6" s="1"/>
  <c r="EE19" i="6" s="1"/>
  <c r="G19" i="6"/>
  <c r="H19" i="6" s="1"/>
  <c r="I19" i="6" s="1"/>
  <c r="J19" i="6" s="1"/>
  <c r="K19" i="6" s="1"/>
  <c r="L19" i="6" s="1"/>
  <c r="M19" i="6" s="1"/>
  <c r="N19" i="6" s="1"/>
  <c r="O19" i="6" s="1"/>
  <c r="P19" i="6" s="1"/>
  <c r="Q19" i="6" s="1"/>
  <c r="D19" i="6"/>
  <c r="E19" i="6" s="1"/>
  <c r="F19" i="6" s="1"/>
  <c r="F18" i="6"/>
  <c r="G18" i="6" s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18" i="6"/>
  <c r="D18" i="6"/>
  <c r="K17" i="6"/>
  <c r="L17" i="6" s="1"/>
  <c r="M17" i="6" s="1"/>
  <c r="N17" i="6" s="1"/>
  <c r="O17" i="6" s="1"/>
  <c r="P17" i="6" s="1"/>
  <c r="Q17" i="6" s="1"/>
  <c r="R17" i="6" s="1"/>
  <c r="S17" i="6" s="1"/>
  <c r="T17" i="6" s="1"/>
  <c r="U17" i="6" s="1"/>
  <c r="V17" i="6" s="1"/>
  <c r="W17" i="6" s="1"/>
  <c r="X17" i="6" s="1"/>
  <c r="Y17" i="6" s="1"/>
  <c r="Z17" i="6" s="1"/>
  <c r="AA17" i="6" s="1"/>
  <c r="AB17" i="6" s="1"/>
  <c r="AC17" i="6" s="1"/>
  <c r="AD17" i="6" s="1"/>
  <c r="AE17" i="6" s="1"/>
  <c r="AF17" i="6" s="1"/>
  <c r="AG17" i="6" s="1"/>
  <c r="AH17" i="6" s="1"/>
  <c r="AI17" i="6" s="1"/>
  <c r="AJ17" i="6" s="1"/>
  <c r="AK17" i="6" s="1"/>
  <c r="AL17" i="6" s="1"/>
  <c r="AM17" i="6" s="1"/>
  <c r="AN17" i="6" s="1"/>
  <c r="AO17" i="6" s="1"/>
  <c r="AP17" i="6" s="1"/>
  <c r="AQ17" i="6" s="1"/>
  <c r="AR17" i="6" s="1"/>
  <c r="AS17" i="6" s="1"/>
  <c r="AT17" i="6" s="1"/>
  <c r="AU17" i="6" s="1"/>
  <c r="AV17" i="6" s="1"/>
  <c r="AW17" i="6" s="1"/>
  <c r="AX17" i="6" s="1"/>
  <c r="AY17" i="6" s="1"/>
  <c r="AZ17" i="6" s="1"/>
  <c r="BA17" i="6" s="1"/>
  <c r="BB17" i="6" s="1"/>
  <c r="BC17" i="6" s="1"/>
  <c r="BD17" i="6" s="1"/>
  <c r="BE17" i="6" s="1"/>
  <c r="BF17" i="6" s="1"/>
  <c r="BG17" i="6" s="1"/>
  <c r="BH17" i="6" s="1"/>
  <c r="BI17" i="6" s="1"/>
  <c r="BJ17" i="6" s="1"/>
  <c r="BK17" i="6" s="1"/>
  <c r="BL17" i="6" s="1"/>
  <c r="BM17" i="6" s="1"/>
  <c r="BN17" i="6" s="1"/>
  <c r="BO17" i="6" s="1"/>
  <c r="BP17" i="6" s="1"/>
  <c r="BQ17" i="6" s="1"/>
  <c r="BR17" i="6" s="1"/>
  <c r="BS17" i="6" s="1"/>
  <c r="BT17" i="6" s="1"/>
  <c r="BU17" i="6" s="1"/>
  <c r="BV17" i="6" s="1"/>
  <c r="BW17" i="6" s="1"/>
  <c r="BX17" i="6" s="1"/>
  <c r="BY17" i="6" s="1"/>
  <c r="BZ17" i="6" s="1"/>
  <c r="CA17" i="6" s="1"/>
  <c r="CB17" i="6" s="1"/>
  <c r="CC17" i="6" s="1"/>
  <c r="CD17" i="6" s="1"/>
  <c r="CE17" i="6" s="1"/>
  <c r="CF17" i="6" s="1"/>
  <c r="CG17" i="6" s="1"/>
  <c r="CH17" i="6" s="1"/>
  <c r="CI17" i="6" s="1"/>
  <c r="CJ17" i="6" s="1"/>
  <c r="CK17" i="6" s="1"/>
  <c r="CL17" i="6" s="1"/>
  <c r="CM17" i="6" s="1"/>
  <c r="CN17" i="6" s="1"/>
  <c r="CO17" i="6" s="1"/>
  <c r="CP17" i="6" s="1"/>
  <c r="CQ17" i="6" s="1"/>
  <c r="CR17" i="6" s="1"/>
  <c r="CS17" i="6" s="1"/>
  <c r="CT17" i="6" s="1"/>
  <c r="CU17" i="6" s="1"/>
  <c r="CV17" i="6" s="1"/>
  <c r="CW17" i="6" s="1"/>
  <c r="CX17" i="6" s="1"/>
  <c r="CY17" i="6" s="1"/>
  <c r="CZ17" i="6" s="1"/>
  <c r="DA17" i="6" s="1"/>
  <c r="DB17" i="6" s="1"/>
  <c r="DC17" i="6" s="1"/>
  <c r="DD17" i="6" s="1"/>
  <c r="DE17" i="6" s="1"/>
  <c r="DF17" i="6" s="1"/>
  <c r="DG17" i="6" s="1"/>
  <c r="DH17" i="6" s="1"/>
  <c r="DI17" i="6" s="1"/>
  <c r="DJ17" i="6" s="1"/>
  <c r="DK17" i="6" s="1"/>
  <c r="DL17" i="6" s="1"/>
  <c r="DM17" i="6" s="1"/>
  <c r="DN17" i="6" s="1"/>
  <c r="DO17" i="6" s="1"/>
  <c r="DP17" i="6" s="1"/>
  <c r="DQ17" i="6" s="1"/>
  <c r="DR17" i="6" s="1"/>
  <c r="DS17" i="6" s="1"/>
  <c r="DT17" i="6" s="1"/>
  <c r="DU17" i="6" s="1"/>
  <c r="DV17" i="6" s="1"/>
  <c r="DW17" i="6" s="1"/>
  <c r="DX17" i="6" s="1"/>
  <c r="DY17" i="6" s="1"/>
  <c r="DZ17" i="6" s="1"/>
  <c r="EA17" i="6" s="1"/>
  <c r="EB17" i="6" s="1"/>
  <c r="EC17" i="6" s="1"/>
  <c r="ED17" i="6" s="1"/>
  <c r="EE17" i="6" s="1"/>
  <c r="G17" i="6"/>
  <c r="H17" i="6" s="1"/>
  <c r="I17" i="6" s="1"/>
  <c r="J17" i="6" s="1"/>
  <c r="E17" i="6"/>
  <c r="F17" i="6" s="1"/>
  <c r="D17" i="6"/>
  <c r="Q16" i="6"/>
  <c r="R16" i="6" s="1"/>
  <c r="S16" i="6" s="1"/>
  <c r="T16" i="6" s="1"/>
  <c r="U16" i="6" s="1"/>
  <c r="V16" i="6" s="1"/>
  <c r="W16" i="6" s="1"/>
  <c r="X16" i="6" s="1"/>
  <c r="Y16" i="6" s="1"/>
  <c r="Z16" i="6" s="1"/>
  <c r="AA16" i="6" s="1"/>
  <c r="AB16" i="6" s="1"/>
  <c r="AC16" i="6" s="1"/>
  <c r="AD16" i="6" s="1"/>
  <c r="AE16" i="6" s="1"/>
  <c r="AF16" i="6" s="1"/>
  <c r="AG16" i="6" s="1"/>
  <c r="AH16" i="6" s="1"/>
  <c r="AI16" i="6" s="1"/>
  <c r="AJ16" i="6" s="1"/>
  <c r="AK16" i="6" s="1"/>
  <c r="AL16" i="6" s="1"/>
  <c r="AM16" i="6" s="1"/>
  <c r="AN16" i="6" s="1"/>
  <c r="AO16" i="6" s="1"/>
  <c r="AP16" i="6" s="1"/>
  <c r="AQ16" i="6" s="1"/>
  <c r="AR16" i="6" s="1"/>
  <c r="AS16" i="6" s="1"/>
  <c r="AT16" i="6" s="1"/>
  <c r="AU16" i="6" s="1"/>
  <c r="AV16" i="6" s="1"/>
  <c r="AW16" i="6" s="1"/>
  <c r="AX16" i="6" s="1"/>
  <c r="AY16" i="6" s="1"/>
  <c r="AZ16" i="6" s="1"/>
  <c r="BA16" i="6" s="1"/>
  <c r="BB16" i="6" s="1"/>
  <c r="BC16" i="6" s="1"/>
  <c r="BD16" i="6" s="1"/>
  <c r="BE16" i="6" s="1"/>
  <c r="BF16" i="6" s="1"/>
  <c r="BG16" i="6" s="1"/>
  <c r="BH16" i="6" s="1"/>
  <c r="BI16" i="6" s="1"/>
  <c r="BJ16" i="6" s="1"/>
  <c r="BK16" i="6" s="1"/>
  <c r="BL16" i="6" s="1"/>
  <c r="BM16" i="6" s="1"/>
  <c r="BN16" i="6" s="1"/>
  <c r="BO16" i="6" s="1"/>
  <c r="BP16" i="6" s="1"/>
  <c r="BQ16" i="6" s="1"/>
  <c r="BR16" i="6" s="1"/>
  <c r="BS16" i="6" s="1"/>
  <c r="BT16" i="6" s="1"/>
  <c r="BU16" i="6" s="1"/>
  <c r="BV16" i="6" s="1"/>
  <c r="BW16" i="6" s="1"/>
  <c r="BX16" i="6" s="1"/>
  <c r="BY16" i="6" s="1"/>
  <c r="BZ16" i="6" s="1"/>
  <c r="CA16" i="6" s="1"/>
  <c r="CB16" i="6" s="1"/>
  <c r="CC16" i="6" s="1"/>
  <c r="CD16" i="6" s="1"/>
  <c r="CE16" i="6" s="1"/>
  <c r="CF16" i="6" s="1"/>
  <c r="CG16" i="6" s="1"/>
  <c r="CH16" i="6" s="1"/>
  <c r="CI16" i="6" s="1"/>
  <c r="CJ16" i="6" s="1"/>
  <c r="CK16" i="6" s="1"/>
  <c r="CL16" i="6" s="1"/>
  <c r="CM16" i="6" s="1"/>
  <c r="CN16" i="6" s="1"/>
  <c r="CO16" i="6" s="1"/>
  <c r="CP16" i="6" s="1"/>
  <c r="CQ16" i="6" s="1"/>
  <c r="CR16" i="6" s="1"/>
  <c r="CS16" i="6" s="1"/>
  <c r="CT16" i="6" s="1"/>
  <c r="CU16" i="6" s="1"/>
  <c r="CV16" i="6" s="1"/>
  <c r="CW16" i="6" s="1"/>
  <c r="CX16" i="6" s="1"/>
  <c r="CY16" i="6" s="1"/>
  <c r="CZ16" i="6" s="1"/>
  <c r="DA16" i="6" s="1"/>
  <c r="DB16" i="6" s="1"/>
  <c r="DC16" i="6" s="1"/>
  <c r="DD16" i="6" s="1"/>
  <c r="DE16" i="6" s="1"/>
  <c r="DF16" i="6" s="1"/>
  <c r="DG16" i="6" s="1"/>
  <c r="DH16" i="6" s="1"/>
  <c r="DI16" i="6" s="1"/>
  <c r="DJ16" i="6" s="1"/>
  <c r="DK16" i="6" s="1"/>
  <c r="DL16" i="6" s="1"/>
  <c r="DM16" i="6" s="1"/>
  <c r="DN16" i="6" s="1"/>
  <c r="DO16" i="6" s="1"/>
  <c r="DP16" i="6" s="1"/>
  <c r="DQ16" i="6" s="1"/>
  <c r="DR16" i="6" s="1"/>
  <c r="DS16" i="6" s="1"/>
  <c r="DT16" i="6" s="1"/>
  <c r="DU16" i="6" s="1"/>
  <c r="DV16" i="6" s="1"/>
  <c r="DW16" i="6" s="1"/>
  <c r="DX16" i="6" s="1"/>
  <c r="DY16" i="6" s="1"/>
  <c r="DZ16" i="6" s="1"/>
  <c r="EA16" i="6" s="1"/>
  <c r="EB16" i="6" s="1"/>
  <c r="EC16" i="6" s="1"/>
  <c r="ED16" i="6" s="1"/>
  <c r="EE16" i="6" s="1"/>
  <c r="L16" i="6"/>
  <c r="M16" i="6" s="1"/>
  <c r="N16" i="6" s="1"/>
  <c r="O16" i="6" s="1"/>
  <c r="P16" i="6" s="1"/>
  <c r="K16" i="6"/>
  <c r="J16" i="6"/>
  <c r="E16" i="6"/>
  <c r="F16" i="6" s="1"/>
  <c r="G16" i="6" s="1"/>
  <c r="H16" i="6" s="1"/>
  <c r="I16" i="6" s="1"/>
  <c r="D16" i="6"/>
  <c r="J15" i="6"/>
  <c r="K15" i="6" s="1"/>
  <c r="L15" i="6" s="1"/>
  <c r="M15" i="6" s="1"/>
  <c r="N15" i="6" s="1"/>
  <c r="O15" i="6" s="1"/>
  <c r="P15" i="6" s="1"/>
  <c r="Q15" i="6" s="1"/>
  <c r="R15" i="6" s="1"/>
  <c r="S15" i="6" s="1"/>
  <c r="T15" i="6" s="1"/>
  <c r="U15" i="6" s="1"/>
  <c r="V15" i="6" s="1"/>
  <c r="W15" i="6" s="1"/>
  <c r="X15" i="6" s="1"/>
  <c r="Y15" i="6" s="1"/>
  <c r="Z15" i="6" s="1"/>
  <c r="AA15" i="6" s="1"/>
  <c r="AB15" i="6" s="1"/>
  <c r="AC15" i="6" s="1"/>
  <c r="AD15" i="6" s="1"/>
  <c r="AE15" i="6" s="1"/>
  <c r="AF15" i="6" s="1"/>
  <c r="AG15" i="6" s="1"/>
  <c r="AH15" i="6" s="1"/>
  <c r="AI15" i="6" s="1"/>
  <c r="AJ15" i="6" s="1"/>
  <c r="AK15" i="6" s="1"/>
  <c r="AL15" i="6" s="1"/>
  <c r="AM15" i="6" s="1"/>
  <c r="AN15" i="6" s="1"/>
  <c r="AO15" i="6" s="1"/>
  <c r="AP15" i="6" s="1"/>
  <c r="AQ15" i="6" s="1"/>
  <c r="AR15" i="6" s="1"/>
  <c r="AS15" i="6" s="1"/>
  <c r="AT15" i="6" s="1"/>
  <c r="AU15" i="6" s="1"/>
  <c r="AV15" i="6" s="1"/>
  <c r="AW15" i="6" s="1"/>
  <c r="AX15" i="6" s="1"/>
  <c r="AY15" i="6" s="1"/>
  <c r="AZ15" i="6" s="1"/>
  <c r="BA15" i="6" s="1"/>
  <c r="BB15" i="6" s="1"/>
  <c r="BC15" i="6" s="1"/>
  <c r="BD15" i="6" s="1"/>
  <c r="BE15" i="6" s="1"/>
  <c r="BF15" i="6" s="1"/>
  <c r="BG15" i="6" s="1"/>
  <c r="BH15" i="6" s="1"/>
  <c r="BI15" i="6" s="1"/>
  <c r="BJ15" i="6" s="1"/>
  <c r="BK15" i="6" s="1"/>
  <c r="BL15" i="6" s="1"/>
  <c r="BM15" i="6" s="1"/>
  <c r="BN15" i="6" s="1"/>
  <c r="BO15" i="6" s="1"/>
  <c r="BP15" i="6" s="1"/>
  <c r="BQ15" i="6" s="1"/>
  <c r="BR15" i="6" s="1"/>
  <c r="BS15" i="6" s="1"/>
  <c r="BT15" i="6" s="1"/>
  <c r="BU15" i="6" s="1"/>
  <c r="BV15" i="6" s="1"/>
  <c r="BW15" i="6" s="1"/>
  <c r="BX15" i="6" s="1"/>
  <c r="BY15" i="6" s="1"/>
  <c r="BZ15" i="6" s="1"/>
  <c r="CA15" i="6" s="1"/>
  <c r="CB15" i="6" s="1"/>
  <c r="CC15" i="6" s="1"/>
  <c r="CD15" i="6" s="1"/>
  <c r="CE15" i="6" s="1"/>
  <c r="CF15" i="6" s="1"/>
  <c r="CG15" i="6" s="1"/>
  <c r="CH15" i="6" s="1"/>
  <c r="CI15" i="6" s="1"/>
  <c r="CJ15" i="6" s="1"/>
  <c r="CK15" i="6" s="1"/>
  <c r="CL15" i="6" s="1"/>
  <c r="CM15" i="6" s="1"/>
  <c r="CN15" i="6" s="1"/>
  <c r="CO15" i="6" s="1"/>
  <c r="CP15" i="6" s="1"/>
  <c r="CQ15" i="6" s="1"/>
  <c r="CR15" i="6" s="1"/>
  <c r="CS15" i="6" s="1"/>
  <c r="CT15" i="6" s="1"/>
  <c r="CU15" i="6" s="1"/>
  <c r="CV15" i="6" s="1"/>
  <c r="CW15" i="6" s="1"/>
  <c r="CX15" i="6" s="1"/>
  <c r="CY15" i="6" s="1"/>
  <c r="CZ15" i="6" s="1"/>
  <c r="DA15" i="6" s="1"/>
  <c r="DB15" i="6" s="1"/>
  <c r="DC15" i="6" s="1"/>
  <c r="DD15" i="6" s="1"/>
  <c r="DE15" i="6" s="1"/>
  <c r="DF15" i="6" s="1"/>
  <c r="DG15" i="6" s="1"/>
  <c r="DH15" i="6" s="1"/>
  <c r="DI15" i="6" s="1"/>
  <c r="DJ15" i="6" s="1"/>
  <c r="DK15" i="6" s="1"/>
  <c r="DL15" i="6" s="1"/>
  <c r="DM15" i="6" s="1"/>
  <c r="DN15" i="6" s="1"/>
  <c r="DO15" i="6" s="1"/>
  <c r="DP15" i="6" s="1"/>
  <c r="DQ15" i="6" s="1"/>
  <c r="DR15" i="6" s="1"/>
  <c r="DS15" i="6" s="1"/>
  <c r="DT15" i="6" s="1"/>
  <c r="DU15" i="6" s="1"/>
  <c r="DV15" i="6" s="1"/>
  <c r="DW15" i="6" s="1"/>
  <c r="DX15" i="6" s="1"/>
  <c r="DY15" i="6" s="1"/>
  <c r="DZ15" i="6" s="1"/>
  <c r="EA15" i="6" s="1"/>
  <c r="EB15" i="6" s="1"/>
  <c r="EC15" i="6" s="1"/>
  <c r="ED15" i="6" s="1"/>
  <c r="EE15" i="6" s="1"/>
  <c r="G15" i="6"/>
  <c r="H15" i="6" s="1"/>
  <c r="I15" i="6" s="1"/>
  <c r="E15" i="6"/>
  <c r="F15" i="6" s="1"/>
  <c r="D15" i="6"/>
  <c r="I14" i="6"/>
  <c r="J14" i="6" s="1"/>
  <c r="K14" i="6" s="1"/>
  <c r="L14" i="6" s="1"/>
  <c r="M14" i="6" s="1"/>
  <c r="N14" i="6" s="1"/>
  <c r="O14" i="6" s="1"/>
  <c r="P14" i="6" s="1"/>
  <c r="Q14" i="6" s="1"/>
  <c r="R14" i="6" s="1"/>
  <c r="S14" i="6" s="1"/>
  <c r="T14" i="6" s="1"/>
  <c r="U14" i="6" s="1"/>
  <c r="V14" i="6" s="1"/>
  <c r="W14" i="6" s="1"/>
  <c r="X14" i="6" s="1"/>
  <c r="Y14" i="6" s="1"/>
  <c r="Z14" i="6" s="1"/>
  <c r="AA14" i="6" s="1"/>
  <c r="AB14" i="6" s="1"/>
  <c r="AC14" i="6" s="1"/>
  <c r="AD14" i="6" s="1"/>
  <c r="AE14" i="6" s="1"/>
  <c r="AF14" i="6" s="1"/>
  <c r="AG14" i="6" s="1"/>
  <c r="AH14" i="6" s="1"/>
  <c r="AI14" i="6" s="1"/>
  <c r="AJ14" i="6" s="1"/>
  <c r="AK14" i="6" s="1"/>
  <c r="AL14" i="6" s="1"/>
  <c r="AM14" i="6" s="1"/>
  <c r="AN14" i="6" s="1"/>
  <c r="AO14" i="6" s="1"/>
  <c r="AP14" i="6" s="1"/>
  <c r="AQ14" i="6" s="1"/>
  <c r="AR14" i="6" s="1"/>
  <c r="AS14" i="6" s="1"/>
  <c r="AT14" i="6" s="1"/>
  <c r="AU14" i="6" s="1"/>
  <c r="AV14" i="6" s="1"/>
  <c r="AW14" i="6" s="1"/>
  <c r="AX14" i="6" s="1"/>
  <c r="AY14" i="6" s="1"/>
  <c r="AZ14" i="6" s="1"/>
  <c r="BA14" i="6" s="1"/>
  <c r="BB14" i="6" s="1"/>
  <c r="BC14" i="6" s="1"/>
  <c r="BD14" i="6" s="1"/>
  <c r="BE14" i="6" s="1"/>
  <c r="BF14" i="6" s="1"/>
  <c r="BG14" i="6" s="1"/>
  <c r="BH14" i="6" s="1"/>
  <c r="BI14" i="6" s="1"/>
  <c r="BJ14" i="6" s="1"/>
  <c r="BK14" i="6" s="1"/>
  <c r="BL14" i="6" s="1"/>
  <c r="BM14" i="6" s="1"/>
  <c r="BN14" i="6" s="1"/>
  <c r="BO14" i="6" s="1"/>
  <c r="BP14" i="6" s="1"/>
  <c r="BQ14" i="6" s="1"/>
  <c r="BR14" i="6" s="1"/>
  <c r="BS14" i="6" s="1"/>
  <c r="BT14" i="6" s="1"/>
  <c r="BU14" i="6" s="1"/>
  <c r="BV14" i="6" s="1"/>
  <c r="BW14" i="6" s="1"/>
  <c r="BX14" i="6" s="1"/>
  <c r="BY14" i="6" s="1"/>
  <c r="BZ14" i="6" s="1"/>
  <c r="CA14" i="6" s="1"/>
  <c r="CB14" i="6" s="1"/>
  <c r="CC14" i="6" s="1"/>
  <c r="CD14" i="6" s="1"/>
  <c r="CE14" i="6" s="1"/>
  <c r="CF14" i="6" s="1"/>
  <c r="CG14" i="6" s="1"/>
  <c r="CH14" i="6" s="1"/>
  <c r="CI14" i="6" s="1"/>
  <c r="CJ14" i="6" s="1"/>
  <c r="CK14" i="6" s="1"/>
  <c r="CL14" i="6" s="1"/>
  <c r="CM14" i="6" s="1"/>
  <c r="CN14" i="6" s="1"/>
  <c r="CO14" i="6" s="1"/>
  <c r="CP14" i="6" s="1"/>
  <c r="CQ14" i="6" s="1"/>
  <c r="CR14" i="6" s="1"/>
  <c r="CS14" i="6" s="1"/>
  <c r="CT14" i="6" s="1"/>
  <c r="CU14" i="6" s="1"/>
  <c r="CV14" i="6" s="1"/>
  <c r="CW14" i="6" s="1"/>
  <c r="CX14" i="6" s="1"/>
  <c r="CY14" i="6" s="1"/>
  <c r="CZ14" i="6" s="1"/>
  <c r="DA14" i="6" s="1"/>
  <c r="DB14" i="6" s="1"/>
  <c r="DC14" i="6" s="1"/>
  <c r="DD14" i="6" s="1"/>
  <c r="DE14" i="6" s="1"/>
  <c r="DF14" i="6" s="1"/>
  <c r="DG14" i="6" s="1"/>
  <c r="DH14" i="6" s="1"/>
  <c r="DI14" i="6" s="1"/>
  <c r="DJ14" i="6" s="1"/>
  <c r="DK14" i="6" s="1"/>
  <c r="DL14" i="6" s="1"/>
  <c r="DM14" i="6" s="1"/>
  <c r="DN14" i="6" s="1"/>
  <c r="DO14" i="6" s="1"/>
  <c r="DP14" i="6" s="1"/>
  <c r="DQ14" i="6" s="1"/>
  <c r="DR14" i="6" s="1"/>
  <c r="DS14" i="6" s="1"/>
  <c r="DT14" i="6" s="1"/>
  <c r="DU14" i="6" s="1"/>
  <c r="DV14" i="6" s="1"/>
  <c r="DW14" i="6" s="1"/>
  <c r="DX14" i="6" s="1"/>
  <c r="DY14" i="6" s="1"/>
  <c r="DZ14" i="6" s="1"/>
  <c r="EA14" i="6" s="1"/>
  <c r="EB14" i="6" s="1"/>
  <c r="EC14" i="6" s="1"/>
  <c r="ED14" i="6" s="1"/>
  <c r="EE14" i="6" s="1"/>
  <c r="G14" i="6"/>
  <c r="H14" i="6" s="1"/>
  <c r="F14" i="6"/>
  <c r="E14" i="6"/>
  <c r="D14" i="6"/>
  <c r="D13" i="6"/>
  <c r="E13" i="6" s="1"/>
  <c r="F13" i="6" s="1"/>
  <c r="G13" i="6" s="1"/>
  <c r="H13" i="6" s="1"/>
  <c r="I13" i="6" s="1"/>
  <c r="J13" i="6" s="1"/>
  <c r="K13" i="6" s="1"/>
  <c r="L13" i="6" s="1"/>
  <c r="M13" i="6" s="1"/>
  <c r="N13" i="6" s="1"/>
  <c r="O13" i="6" s="1"/>
  <c r="P13" i="6" s="1"/>
  <c r="Q13" i="6" s="1"/>
  <c r="R13" i="6" s="1"/>
  <c r="S13" i="6" s="1"/>
  <c r="T13" i="6" s="1"/>
  <c r="U13" i="6" s="1"/>
  <c r="V13" i="6" s="1"/>
  <c r="W13" i="6" s="1"/>
  <c r="X13" i="6" s="1"/>
  <c r="Y13" i="6" s="1"/>
  <c r="Z13" i="6" s="1"/>
  <c r="AA13" i="6" s="1"/>
  <c r="AB13" i="6" s="1"/>
  <c r="AC13" i="6" s="1"/>
  <c r="AD13" i="6" s="1"/>
  <c r="AE13" i="6" s="1"/>
  <c r="AF13" i="6" s="1"/>
  <c r="AG13" i="6" s="1"/>
  <c r="AH13" i="6" s="1"/>
  <c r="AI13" i="6" s="1"/>
  <c r="AJ13" i="6" s="1"/>
  <c r="AK13" i="6" s="1"/>
  <c r="AL13" i="6" s="1"/>
  <c r="AM13" i="6" s="1"/>
  <c r="AN13" i="6" s="1"/>
  <c r="AO13" i="6" s="1"/>
  <c r="AP13" i="6" s="1"/>
  <c r="AQ13" i="6" s="1"/>
  <c r="AR13" i="6" s="1"/>
  <c r="AS13" i="6" s="1"/>
  <c r="AT13" i="6" s="1"/>
  <c r="AU13" i="6" s="1"/>
  <c r="AV13" i="6" s="1"/>
  <c r="AW13" i="6" s="1"/>
  <c r="AX13" i="6" s="1"/>
  <c r="AY13" i="6" s="1"/>
  <c r="AZ13" i="6" s="1"/>
  <c r="BA13" i="6" s="1"/>
  <c r="BB13" i="6" s="1"/>
  <c r="BC13" i="6" s="1"/>
  <c r="BD13" i="6" s="1"/>
  <c r="BE13" i="6" s="1"/>
  <c r="BF13" i="6" s="1"/>
  <c r="BG13" i="6" s="1"/>
  <c r="BH13" i="6" s="1"/>
  <c r="BI13" i="6" s="1"/>
  <c r="BJ13" i="6" s="1"/>
  <c r="BK13" i="6" s="1"/>
  <c r="BL13" i="6" s="1"/>
  <c r="BM13" i="6" s="1"/>
  <c r="BN13" i="6" s="1"/>
  <c r="BO13" i="6" s="1"/>
  <c r="BP13" i="6" s="1"/>
  <c r="BQ13" i="6" s="1"/>
  <c r="BR13" i="6" s="1"/>
  <c r="BS13" i="6" s="1"/>
  <c r="BT13" i="6" s="1"/>
  <c r="BU13" i="6" s="1"/>
  <c r="BV13" i="6" s="1"/>
  <c r="BW13" i="6" s="1"/>
  <c r="BX13" i="6" s="1"/>
  <c r="BY13" i="6" s="1"/>
  <c r="BZ13" i="6" s="1"/>
  <c r="CA13" i="6" s="1"/>
  <c r="CB13" i="6" s="1"/>
  <c r="CC13" i="6" s="1"/>
  <c r="CD13" i="6" s="1"/>
  <c r="CE13" i="6" s="1"/>
  <c r="CF13" i="6" s="1"/>
  <c r="CG13" i="6" s="1"/>
  <c r="CH13" i="6" s="1"/>
  <c r="CI13" i="6" s="1"/>
  <c r="CJ13" i="6" s="1"/>
  <c r="CK13" i="6" s="1"/>
  <c r="CL13" i="6" s="1"/>
  <c r="CM13" i="6" s="1"/>
  <c r="CN13" i="6" s="1"/>
  <c r="CO13" i="6" s="1"/>
  <c r="CP13" i="6" s="1"/>
  <c r="CQ13" i="6" s="1"/>
  <c r="CR13" i="6" s="1"/>
  <c r="CS13" i="6" s="1"/>
  <c r="CT13" i="6" s="1"/>
  <c r="CU13" i="6" s="1"/>
  <c r="CV13" i="6" s="1"/>
  <c r="CW13" i="6" s="1"/>
  <c r="CX13" i="6" s="1"/>
  <c r="CY13" i="6" s="1"/>
  <c r="CZ13" i="6" s="1"/>
  <c r="DA13" i="6" s="1"/>
  <c r="DB13" i="6" s="1"/>
  <c r="DC13" i="6" s="1"/>
  <c r="DD13" i="6" s="1"/>
  <c r="DE13" i="6" s="1"/>
  <c r="DF13" i="6" s="1"/>
  <c r="DG13" i="6" s="1"/>
  <c r="DH13" i="6" s="1"/>
  <c r="DI13" i="6" s="1"/>
  <c r="DJ13" i="6" s="1"/>
  <c r="DK13" i="6" s="1"/>
  <c r="DL13" i="6" s="1"/>
  <c r="DM13" i="6" s="1"/>
  <c r="DN13" i="6" s="1"/>
  <c r="DO13" i="6" s="1"/>
  <c r="DP13" i="6" s="1"/>
  <c r="DQ13" i="6" s="1"/>
  <c r="DR13" i="6" s="1"/>
  <c r="DS13" i="6" s="1"/>
  <c r="DT13" i="6" s="1"/>
  <c r="DU13" i="6" s="1"/>
  <c r="DV13" i="6" s="1"/>
  <c r="DW13" i="6" s="1"/>
  <c r="DX13" i="6" s="1"/>
  <c r="DY13" i="6" s="1"/>
  <c r="DZ13" i="6" s="1"/>
  <c r="EA13" i="6" s="1"/>
  <c r="EB13" i="6" s="1"/>
  <c r="EC13" i="6" s="1"/>
  <c r="ED13" i="6" s="1"/>
  <c r="EE13" i="6" s="1"/>
  <c r="E12" i="6"/>
  <c r="F12" i="6" s="1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D12" i="6"/>
  <c r="C13" i="6"/>
  <c r="C14" i="6"/>
  <c r="C15" i="6"/>
  <c r="C16" i="6"/>
  <c r="C17" i="6"/>
  <c r="C18" i="6"/>
  <c r="C19" i="6"/>
  <c r="C20" i="6"/>
  <c r="D20" i="6" s="1"/>
  <c r="E20" i="6" s="1"/>
  <c r="F20" i="6" s="1"/>
  <c r="G20" i="6" s="1"/>
  <c r="H20" i="6" s="1"/>
  <c r="I20" i="6" s="1"/>
  <c r="J20" i="6" s="1"/>
  <c r="K20" i="6" s="1"/>
  <c r="L20" i="6" s="1"/>
  <c r="M20" i="6" s="1"/>
  <c r="N20" i="6" s="1"/>
  <c r="O20" i="6" s="1"/>
  <c r="P20" i="6" s="1"/>
  <c r="Q20" i="6" s="1"/>
  <c r="R20" i="6" s="1"/>
  <c r="S20" i="6" s="1"/>
  <c r="T20" i="6" s="1"/>
  <c r="U20" i="6" s="1"/>
  <c r="V20" i="6" s="1"/>
  <c r="W20" i="6" s="1"/>
  <c r="X20" i="6" s="1"/>
  <c r="Y20" i="6" s="1"/>
  <c r="Z20" i="6" s="1"/>
  <c r="AA20" i="6" s="1"/>
  <c r="AB20" i="6" s="1"/>
  <c r="AC20" i="6" s="1"/>
  <c r="AD20" i="6" s="1"/>
  <c r="AE20" i="6" s="1"/>
  <c r="AF20" i="6" s="1"/>
  <c r="AG20" i="6" s="1"/>
  <c r="AH20" i="6" s="1"/>
  <c r="AI20" i="6" s="1"/>
  <c r="AJ20" i="6" s="1"/>
  <c r="AK20" i="6" s="1"/>
  <c r="AL20" i="6" s="1"/>
  <c r="AM20" i="6" s="1"/>
  <c r="AN20" i="6" s="1"/>
  <c r="AO20" i="6" s="1"/>
  <c r="AP20" i="6" s="1"/>
  <c r="AQ20" i="6" s="1"/>
  <c r="AR20" i="6" s="1"/>
  <c r="AS20" i="6" s="1"/>
  <c r="AT20" i="6" s="1"/>
  <c r="AU20" i="6" s="1"/>
  <c r="AV20" i="6" s="1"/>
  <c r="AW20" i="6" s="1"/>
  <c r="AX20" i="6" s="1"/>
  <c r="AY20" i="6" s="1"/>
  <c r="AZ20" i="6" s="1"/>
  <c r="BA20" i="6" s="1"/>
  <c r="BB20" i="6" s="1"/>
  <c r="BC20" i="6" s="1"/>
  <c r="BD20" i="6" s="1"/>
  <c r="BE20" i="6" s="1"/>
  <c r="BF20" i="6" s="1"/>
  <c r="BG20" i="6" s="1"/>
  <c r="BH20" i="6" s="1"/>
  <c r="BI20" i="6" s="1"/>
  <c r="BJ20" i="6" s="1"/>
  <c r="BK20" i="6" s="1"/>
  <c r="BL20" i="6" s="1"/>
  <c r="BM20" i="6" s="1"/>
  <c r="BN20" i="6" s="1"/>
  <c r="BO20" i="6" s="1"/>
  <c r="BP20" i="6" s="1"/>
  <c r="BQ20" i="6" s="1"/>
  <c r="BR20" i="6" s="1"/>
  <c r="BS20" i="6" s="1"/>
  <c r="BT20" i="6" s="1"/>
  <c r="BU20" i="6" s="1"/>
  <c r="BV20" i="6" s="1"/>
  <c r="BW20" i="6" s="1"/>
  <c r="BX20" i="6" s="1"/>
  <c r="BY20" i="6" s="1"/>
  <c r="BZ20" i="6" s="1"/>
  <c r="CA20" i="6" s="1"/>
  <c r="CB20" i="6" s="1"/>
  <c r="CC20" i="6" s="1"/>
  <c r="CD20" i="6" s="1"/>
  <c r="CE20" i="6" s="1"/>
  <c r="CF20" i="6" s="1"/>
  <c r="CG20" i="6" s="1"/>
  <c r="CH20" i="6" s="1"/>
  <c r="CI20" i="6" s="1"/>
  <c r="CJ20" i="6" s="1"/>
  <c r="CK20" i="6" s="1"/>
  <c r="CL20" i="6" s="1"/>
  <c r="CM20" i="6" s="1"/>
  <c r="CN20" i="6" s="1"/>
  <c r="CO20" i="6" s="1"/>
  <c r="CP20" i="6" s="1"/>
  <c r="CQ20" i="6" s="1"/>
  <c r="CR20" i="6" s="1"/>
  <c r="CS20" i="6" s="1"/>
  <c r="CT20" i="6" s="1"/>
  <c r="CU20" i="6" s="1"/>
  <c r="CV20" i="6" s="1"/>
  <c r="CW20" i="6" s="1"/>
  <c r="CX20" i="6" s="1"/>
  <c r="CY20" i="6" s="1"/>
  <c r="CZ20" i="6" s="1"/>
  <c r="DA20" i="6" s="1"/>
  <c r="DB20" i="6" s="1"/>
  <c r="DC20" i="6" s="1"/>
  <c r="DD20" i="6" s="1"/>
  <c r="DE20" i="6" s="1"/>
  <c r="DF20" i="6" s="1"/>
  <c r="DG20" i="6" s="1"/>
  <c r="DH20" i="6" s="1"/>
  <c r="DI20" i="6" s="1"/>
  <c r="DJ20" i="6" s="1"/>
  <c r="DK20" i="6" s="1"/>
  <c r="DL20" i="6" s="1"/>
  <c r="DM20" i="6" s="1"/>
  <c r="DN20" i="6" s="1"/>
  <c r="DO20" i="6" s="1"/>
  <c r="DP20" i="6" s="1"/>
  <c r="DQ20" i="6" s="1"/>
  <c r="DR20" i="6" s="1"/>
  <c r="DS20" i="6" s="1"/>
  <c r="DT20" i="6" s="1"/>
  <c r="DU20" i="6" s="1"/>
  <c r="DV20" i="6" s="1"/>
  <c r="DW20" i="6" s="1"/>
  <c r="DX20" i="6" s="1"/>
  <c r="DY20" i="6" s="1"/>
  <c r="DZ20" i="6" s="1"/>
  <c r="EA20" i="6" s="1"/>
  <c r="EB20" i="6" s="1"/>
  <c r="EC20" i="6" s="1"/>
  <c r="ED20" i="6" s="1"/>
  <c r="EE20" i="6" s="1"/>
  <c r="C21" i="6"/>
  <c r="C22" i="6"/>
  <c r="C23" i="6"/>
  <c r="C24" i="6"/>
  <c r="C12" i="6"/>
  <c r="BS7" i="7" l="1"/>
  <c r="BK7" i="7"/>
  <c r="G7" i="7"/>
  <c r="EF6" i="7" a="1"/>
  <c r="EF6" i="7" s="1"/>
  <c r="EE6" i="7" a="1"/>
  <c r="EE6" i="7" s="1"/>
  <c r="ED6" i="7" a="1"/>
  <c r="ED6" i="7" s="1"/>
  <c r="EC6" i="7" a="1"/>
  <c r="EC6" i="7" s="1"/>
  <c r="EB6" i="7" a="1"/>
  <c r="EB6" i="7" s="1"/>
  <c r="EA6" i="7" a="1"/>
  <c r="EA6" i="7" s="1"/>
  <c r="DZ6" i="7" a="1"/>
  <c r="DZ6" i="7" s="1"/>
  <c r="DY6" i="7" a="1"/>
  <c r="DY6" i="7" s="1"/>
  <c r="DX6" i="7" a="1"/>
  <c r="DX6" i="7" s="1"/>
  <c r="DW6" i="7" a="1"/>
  <c r="DW6" i="7" s="1"/>
  <c r="DV6" i="7" a="1"/>
  <c r="DV6" i="7" s="1"/>
  <c r="DU6" i="7" a="1"/>
  <c r="DU6" i="7" s="1"/>
  <c r="DT6" i="7" a="1"/>
  <c r="DT6" i="7" s="1"/>
  <c r="DS6" i="7" a="1"/>
  <c r="DS6" i="7" s="1"/>
  <c r="DR6" i="7" a="1"/>
  <c r="DR6" i="7" s="1"/>
  <c r="DQ6" i="7" a="1"/>
  <c r="DQ6" i="7" s="1"/>
  <c r="DP6" i="7" a="1"/>
  <c r="DP6" i="7" s="1"/>
  <c r="DO6" i="7" a="1"/>
  <c r="DO6" i="7" s="1"/>
  <c r="DO8" i="7" s="1"/>
  <c r="DN6" i="7" a="1"/>
  <c r="DN6" i="7" s="1"/>
  <c r="DM6" i="7" a="1"/>
  <c r="DM6" i="7" s="1"/>
  <c r="DL6" i="7" a="1"/>
  <c r="DL6" i="7" s="1"/>
  <c r="DK6" i="7" a="1"/>
  <c r="DK6" i="7" s="1"/>
  <c r="DJ6" i="7" a="1"/>
  <c r="DJ6" i="7" s="1"/>
  <c r="DI6" i="7" a="1"/>
  <c r="DI6" i="7" s="1"/>
  <c r="DH6" i="7" a="1"/>
  <c r="DH6" i="7" s="1"/>
  <c r="DG6" i="7" a="1"/>
  <c r="DG6" i="7" s="1"/>
  <c r="DG8" i="7" s="1"/>
  <c r="DF6" i="7" a="1"/>
  <c r="DF6" i="7" s="1"/>
  <c r="DE6" i="7" a="1"/>
  <c r="DE6" i="7" s="1"/>
  <c r="DD6" i="7" a="1"/>
  <c r="DD6" i="7" s="1"/>
  <c r="DC6" i="7" a="1"/>
  <c r="DC6" i="7" s="1"/>
  <c r="DB6" i="7" a="1"/>
  <c r="DB6" i="7" s="1"/>
  <c r="DA6" i="7" a="1"/>
  <c r="DA6" i="7" s="1"/>
  <c r="CZ6" i="7" a="1"/>
  <c r="CZ6" i="7" s="1"/>
  <c r="CY6" i="7" a="1"/>
  <c r="CY6" i="7" s="1"/>
  <c r="CY8" i="7" s="1"/>
  <c r="CX6" i="7" a="1"/>
  <c r="CX6" i="7" s="1"/>
  <c r="CW6" i="7" a="1"/>
  <c r="CW6" i="7" s="1"/>
  <c r="CV6" i="7" a="1"/>
  <c r="CV6" i="7" s="1"/>
  <c r="CU6" i="7" a="1"/>
  <c r="CU6" i="7" s="1"/>
  <c r="CT6" i="7" a="1"/>
  <c r="CT6" i="7" s="1"/>
  <c r="CS6" i="7" a="1"/>
  <c r="CS6" i="7" s="1"/>
  <c r="CR6" i="7" a="1"/>
  <c r="CR6" i="7" s="1"/>
  <c r="CQ6" i="7" a="1"/>
  <c r="CQ6" i="7" s="1"/>
  <c r="CQ8" i="7" s="1"/>
  <c r="CP6" i="7" a="1"/>
  <c r="CP6" i="7" s="1"/>
  <c r="CO6" i="7" a="1"/>
  <c r="CO6" i="7" s="1"/>
  <c r="CN6" i="7" a="1"/>
  <c r="CN6" i="7" s="1"/>
  <c r="CM6" i="7" a="1"/>
  <c r="CM6" i="7" s="1"/>
  <c r="CL6" i="7" a="1"/>
  <c r="CL6" i="7" s="1"/>
  <c r="CK6" i="7" a="1"/>
  <c r="CK6" i="7" s="1"/>
  <c r="CJ6" i="7" a="1"/>
  <c r="CJ6" i="7" s="1"/>
  <c r="CI6" i="7" a="1"/>
  <c r="CI6" i="7" s="1"/>
  <c r="CI8" i="7" s="1"/>
  <c r="CH6" i="7" a="1"/>
  <c r="CH6" i="7" s="1"/>
  <c r="CG6" i="7" a="1"/>
  <c r="CG6" i="7" s="1"/>
  <c r="CF6" i="7" a="1"/>
  <c r="CF6" i="7" s="1"/>
  <c r="CE6" i="7" a="1"/>
  <c r="CE6" i="7" s="1"/>
  <c r="CD6" i="7" a="1"/>
  <c r="CD6" i="7" s="1"/>
  <c r="CC6" i="7" a="1"/>
  <c r="CC6" i="7" s="1"/>
  <c r="CB6" i="7" a="1"/>
  <c r="CB6" i="7" s="1"/>
  <c r="CA6" i="7" a="1"/>
  <c r="CA6" i="7" s="1"/>
  <c r="CA8" i="7" s="1"/>
  <c r="BZ6" i="7" a="1"/>
  <c r="BZ6" i="7" s="1"/>
  <c r="BY6" i="7" a="1"/>
  <c r="BY6" i="7" s="1"/>
  <c r="BX6" i="7" a="1"/>
  <c r="BX6" i="7" s="1"/>
  <c r="BW6" i="7" a="1"/>
  <c r="BW6" i="7" s="1"/>
  <c r="BV6" i="7" a="1"/>
  <c r="BV6" i="7" s="1"/>
  <c r="BU6" i="7" a="1"/>
  <c r="BU6" i="7" s="1"/>
  <c r="BT6" i="7" a="1"/>
  <c r="BT6" i="7" s="1"/>
  <c r="BS6" i="7" a="1"/>
  <c r="BS6" i="7" s="1"/>
  <c r="BS8" i="7" s="1"/>
  <c r="BR6" i="7" a="1"/>
  <c r="BR6" i="7" s="1"/>
  <c r="BQ6" i="7" a="1"/>
  <c r="BQ6" i="7" s="1"/>
  <c r="BP6" i="7" a="1"/>
  <c r="BP6" i="7" s="1"/>
  <c r="BO6" i="7" a="1"/>
  <c r="BO6" i="7" s="1"/>
  <c r="BN6" i="7" a="1"/>
  <c r="BN6" i="7" s="1"/>
  <c r="BM6" i="7" a="1"/>
  <c r="BM6" i="7" s="1"/>
  <c r="BL6" i="7" a="1"/>
  <c r="BL6" i="7" s="1"/>
  <c r="BK6" i="7" a="1"/>
  <c r="BK6" i="7" s="1"/>
  <c r="BK8" i="7" s="1"/>
  <c r="BJ6" i="7" a="1"/>
  <c r="BJ6" i="7" s="1"/>
  <c r="BI6" i="7" a="1"/>
  <c r="BI6" i="7" s="1"/>
  <c r="BH6" i="7" a="1"/>
  <c r="BH6" i="7" s="1"/>
  <c r="BG6" i="7" a="1"/>
  <c r="BG6" i="7" s="1"/>
  <c r="BF6" i="7" a="1"/>
  <c r="BF6" i="7" s="1"/>
  <c r="BE6" i="7" a="1"/>
  <c r="BE6" i="7" s="1"/>
  <c r="BD6" i="7" a="1"/>
  <c r="BD6" i="7" s="1"/>
  <c r="BC6" i="7" a="1"/>
  <c r="BC6" i="7" s="1"/>
  <c r="BC8" i="7" s="1"/>
  <c r="BB6" i="7" a="1"/>
  <c r="BB6" i="7" s="1"/>
  <c r="BA6" i="7" a="1"/>
  <c r="BA6" i="7" s="1"/>
  <c r="AZ6" i="7" a="1"/>
  <c r="AZ6" i="7" s="1"/>
  <c r="AY6" i="7" a="1"/>
  <c r="AY6" i="7" s="1"/>
  <c r="AX6" i="7" a="1"/>
  <c r="AX6" i="7" s="1"/>
  <c r="AW6" i="7" a="1"/>
  <c r="AW6" i="7" s="1"/>
  <c r="AV6" i="7" a="1"/>
  <c r="AV6" i="7" s="1"/>
  <c r="AU6" i="7" a="1"/>
  <c r="AU6" i="7" s="1"/>
  <c r="AU8" i="7" s="1"/>
  <c r="AT6" i="7" a="1"/>
  <c r="AT6" i="7" s="1"/>
  <c r="AS6" i="7" a="1"/>
  <c r="AS6" i="7" s="1"/>
  <c r="AR6" i="7" a="1"/>
  <c r="AR6" i="7" s="1"/>
  <c r="AQ6" i="7" a="1"/>
  <c r="AQ6" i="7" s="1"/>
  <c r="AP6" i="7" a="1"/>
  <c r="AP6" i="7" s="1"/>
  <c r="AO6" i="7" a="1"/>
  <c r="AO6" i="7" s="1"/>
  <c r="AN6" i="7" a="1"/>
  <c r="AN6" i="7" s="1"/>
  <c r="AM6" i="7" a="1"/>
  <c r="AM6" i="7" s="1"/>
  <c r="AM8" i="7" s="1"/>
  <c r="AL6" i="7" a="1"/>
  <c r="AL6" i="7" s="1"/>
  <c r="AK6" i="7" a="1"/>
  <c r="AK6" i="7" s="1"/>
  <c r="AJ6" i="7" a="1"/>
  <c r="AJ6" i="7" s="1"/>
  <c r="AI6" i="7" a="1"/>
  <c r="AI6" i="7" s="1"/>
  <c r="AH6" i="7" a="1"/>
  <c r="AH6" i="7" s="1"/>
  <c r="AG6" i="7" a="1"/>
  <c r="AG6" i="7" s="1"/>
  <c r="AF6" i="7" a="1"/>
  <c r="AF6" i="7" s="1"/>
  <c r="AE6" i="7" a="1"/>
  <c r="AE6" i="7" s="1"/>
  <c r="AE8" i="7" s="1"/>
  <c r="AD6" i="7" a="1"/>
  <c r="AD6" i="7" s="1"/>
  <c r="AC6" i="7" a="1"/>
  <c r="AC6" i="7" s="1"/>
  <c r="AB6" i="7" a="1"/>
  <c r="AB6" i="7" s="1"/>
  <c r="AA6" i="7" a="1"/>
  <c r="AA6" i="7" s="1"/>
  <c r="Z6" i="7" a="1"/>
  <c r="Z6" i="7" s="1"/>
  <c r="Y6" i="7" a="1"/>
  <c r="Y6" i="7" s="1"/>
  <c r="X6" i="7" a="1"/>
  <c r="X6" i="7" s="1"/>
  <c r="W6" i="7" a="1"/>
  <c r="W6" i="7" s="1"/>
  <c r="W8" i="7" s="1"/>
  <c r="V6" i="7" a="1"/>
  <c r="V6" i="7" s="1"/>
  <c r="U6" i="7" a="1"/>
  <c r="U6" i="7" s="1"/>
  <c r="T6" i="7" a="1"/>
  <c r="T6" i="7" s="1"/>
  <c r="S6" i="7" a="1"/>
  <c r="S6" i="7" s="1"/>
  <c r="R6" i="7" a="1"/>
  <c r="R6" i="7" s="1"/>
  <c r="Q6" i="7" a="1"/>
  <c r="Q6" i="7" s="1"/>
  <c r="P6" i="7" a="1"/>
  <c r="P6" i="7" s="1"/>
  <c r="O6" i="7" a="1"/>
  <c r="O6" i="7" s="1"/>
  <c r="O8" i="7" s="1"/>
  <c r="N6" i="7" a="1"/>
  <c r="N6" i="7" s="1"/>
  <c r="M6" i="7" a="1"/>
  <c r="M6" i="7" s="1"/>
  <c r="L6" i="7" a="1"/>
  <c r="L6" i="7" s="1"/>
  <c r="K6" i="7" a="1"/>
  <c r="K6" i="7" s="1"/>
  <c r="J6" i="7" a="1"/>
  <c r="J6" i="7" s="1"/>
  <c r="I6" i="7" a="1"/>
  <c r="I6" i="7" s="1"/>
  <c r="H6" i="7" a="1"/>
  <c r="H6" i="7" s="1"/>
  <c r="G6" i="7" a="1"/>
  <c r="G6" i="7" s="1"/>
  <c r="G8" i="7" s="1"/>
  <c r="F6" i="7" a="1"/>
  <c r="F6" i="7" s="1"/>
  <c r="E6" i="7" a="1"/>
  <c r="E6" i="7" s="1"/>
  <c r="D6" i="7" a="1"/>
  <c r="D6" i="7" s="1"/>
  <c r="C6" i="7" a="1"/>
  <c r="C6" i="7" s="1"/>
  <c r="BK7" i="6"/>
  <c r="EF6" i="6" a="1"/>
  <c r="EF6" i="6" s="1"/>
  <c r="EE6" i="6" a="1"/>
  <c r="EE6" i="6" s="1"/>
  <c r="ED6" i="6" a="1"/>
  <c r="ED6" i="6" s="1"/>
  <c r="EC6" i="6" a="1"/>
  <c r="EC6" i="6" s="1"/>
  <c r="EB6" i="6" a="1"/>
  <c r="EB6" i="6" s="1"/>
  <c r="EA6" i="6" a="1"/>
  <c r="EA6" i="6" s="1"/>
  <c r="DZ6" i="6" a="1"/>
  <c r="DZ6" i="6" s="1"/>
  <c r="DY6" i="6" a="1"/>
  <c r="DY6" i="6" s="1"/>
  <c r="DX6" i="6" a="1"/>
  <c r="DX6" i="6" s="1"/>
  <c r="DW6" i="6" a="1"/>
  <c r="DW6" i="6" s="1"/>
  <c r="DV6" i="6" a="1"/>
  <c r="DV6" i="6" s="1"/>
  <c r="DU6" i="6" a="1"/>
  <c r="DU6" i="6" s="1"/>
  <c r="DT6" i="6" a="1"/>
  <c r="DT6" i="6" s="1"/>
  <c r="DS6" i="6" a="1"/>
  <c r="DS6" i="6" s="1"/>
  <c r="DR6" i="6" a="1"/>
  <c r="DR6" i="6" s="1"/>
  <c r="DQ6" i="6" a="1"/>
  <c r="DQ6" i="6" s="1"/>
  <c r="DP6" i="6" a="1"/>
  <c r="DP6" i="6" s="1"/>
  <c r="DO6" i="6" a="1"/>
  <c r="DO6" i="6" s="1"/>
  <c r="DO8" i="6" s="1"/>
  <c r="DN6" i="6" a="1"/>
  <c r="DN6" i="6" s="1"/>
  <c r="DM6" i="6" a="1"/>
  <c r="DM6" i="6" s="1"/>
  <c r="DL6" i="6" a="1"/>
  <c r="DL6" i="6" s="1"/>
  <c r="DK6" i="6" a="1"/>
  <c r="DK6" i="6" s="1"/>
  <c r="DJ6" i="6" a="1"/>
  <c r="DJ6" i="6" s="1"/>
  <c r="DI6" i="6" a="1"/>
  <c r="DI6" i="6" s="1"/>
  <c r="DH6" i="6" a="1"/>
  <c r="DH6" i="6" s="1"/>
  <c r="DG6" i="6" a="1"/>
  <c r="DG6" i="6" s="1"/>
  <c r="DG8" i="6" s="1"/>
  <c r="DF6" i="6" a="1"/>
  <c r="DF6" i="6" s="1"/>
  <c r="DE6" i="6" a="1"/>
  <c r="DE6" i="6" s="1"/>
  <c r="DD6" i="6" a="1"/>
  <c r="DD6" i="6" s="1"/>
  <c r="DC6" i="6" a="1"/>
  <c r="DC6" i="6" s="1"/>
  <c r="DB6" i="6" a="1"/>
  <c r="DB6" i="6" s="1"/>
  <c r="DA6" i="6" a="1"/>
  <c r="DA6" i="6" s="1"/>
  <c r="CZ6" i="6" a="1"/>
  <c r="CZ6" i="6" s="1"/>
  <c r="CY6" i="6" a="1"/>
  <c r="CY6" i="6" s="1"/>
  <c r="CY8" i="6" s="1"/>
  <c r="CX6" i="6" a="1"/>
  <c r="CX6" i="6" s="1"/>
  <c r="CW6" i="6" a="1"/>
  <c r="CW6" i="6" s="1"/>
  <c r="CV6" i="6" a="1"/>
  <c r="CV6" i="6" s="1"/>
  <c r="CU6" i="6" a="1"/>
  <c r="CU6" i="6" s="1"/>
  <c r="CT6" i="6" a="1"/>
  <c r="CT6" i="6" s="1"/>
  <c r="CS6" i="6" a="1"/>
  <c r="CS6" i="6" s="1"/>
  <c r="CR6" i="6" a="1"/>
  <c r="CR6" i="6" s="1"/>
  <c r="CQ6" i="6" a="1"/>
  <c r="CQ6" i="6" s="1"/>
  <c r="CQ8" i="6" s="1"/>
  <c r="CP6" i="6" a="1"/>
  <c r="CP6" i="6" s="1"/>
  <c r="CO6" i="6" a="1"/>
  <c r="CO6" i="6" s="1"/>
  <c r="CN6" i="6" a="1"/>
  <c r="CN6" i="6" s="1"/>
  <c r="CM6" i="6" a="1"/>
  <c r="CM6" i="6" s="1"/>
  <c r="CL6" i="6" a="1"/>
  <c r="CL6" i="6" s="1"/>
  <c r="CK6" i="6" a="1"/>
  <c r="CK6" i="6" s="1"/>
  <c r="CJ6" i="6" a="1"/>
  <c r="CJ6" i="6" s="1"/>
  <c r="CI6" i="6" a="1"/>
  <c r="CI6" i="6" s="1"/>
  <c r="CI8" i="6" s="1"/>
  <c r="CH6" i="6" a="1"/>
  <c r="CH6" i="6" s="1"/>
  <c r="CG6" i="6" a="1"/>
  <c r="CG6" i="6" s="1"/>
  <c r="CF6" i="6" a="1"/>
  <c r="CF6" i="6" s="1"/>
  <c r="CE6" i="6" a="1"/>
  <c r="CE6" i="6" s="1"/>
  <c r="CD6" i="6" a="1"/>
  <c r="CD6" i="6" s="1"/>
  <c r="CC6" i="6" a="1"/>
  <c r="CC6" i="6" s="1"/>
  <c r="CB6" i="6" a="1"/>
  <c r="CB6" i="6" s="1"/>
  <c r="CA6" i="6" a="1"/>
  <c r="CA6" i="6" s="1"/>
  <c r="CA8" i="6" s="1"/>
  <c r="BZ6" i="6" a="1"/>
  <c r="BZ6" i="6" s="1"/>
  <c r="BY6" i="6" a="1"/>
  <c r="BY6" i="6" s="1"/>
  <c r="BX6" i="6" a="1"/>
  <c r="BX6" i="6" s="1"/>
  <c r="BW6" i="6" a="1"/>
  <c r="BW6" i="6" s="1"/>
  <c r="BV6" i="6" a="1"/>
  <c r="BV6" i="6" s="1"/>
  <c r="BU6" i="6" a="1"/>
  <c r="BU6" i="6" s="1"/>
  <c r="BT6" i="6" a="1"/>
  <c r="BT6" i="6" s="1"/>
  <c r="BS6" i="6" a="1"/>
  <c r="BS6" i="6" s="1"/>
  <c r="BS8" i="6" s="1"/>
  <c r="BR6" i="6" a="1"/>
  <c r="BR6" i="6" s="1"/>
  <c r="BQ6" i="6" a="1"/>
  <c r="BQ6" i="6" s="1"/>
  <c r="BP6" i="6" a="1"/>
  <c r="BP6" i="6" s="1"/>
  <c r="BO6" i="6" a="1"/>
  <c r="BO6" i="6" s="1"/>
  <c r="BN6" i="6" a="1"/>
  <c r="BN6" i="6" s="1"/>
  <c r="BM6" i="6" a="1"/>
  <c r="BM6" i="6" s="1"/>
  <c r="BL6" i="6" a="1"/>
  <c r="BL6" i="6" s="1"/>
  <c r="BK6" i="6" a="1"/>
  <c r="BK6" i="6" s="1"/>
  <c r="BK8" i="6" s="1"/>
  <c r="BJ6" i="6" a="1"/>
  <c r="BJ6" i="6" s="1"/>
  <c r="BI6" i="6" a="1"/>
  <c r="BI6" i="6" s="1"/>
  <c r="BH6" i="6" a="1"/>
  <c r="BH6" i="6" s="1"/>
  <c r="BG6" i="6" a="1"/>
  <c r="BG6" i="6" s="1"/>
  <c r="BF6" i="6" a="1"/>
  <c r="BF6" i="6" s="1"/>
  <c r="BE6" i="6" a="1"/>
  <c r="BE6" i="6" s="1"/>
  <c r="BD6" i="6" a="1"/>
  <c r="BD6" i="6" s="1"/>
  <c r="BC6" i="6" a="1"/>
  <c r="BC6" i="6" s="1"/>
  <c r="BC8" i="6" s="1"/>
  <c r="BB6" i="6" a="1"/>
  <c r="BB6" i="6" s="1"/>
  <c r="BA6" i="6" a="1"/>
  <c r="BA6" i="6" s="1"/>
  <c r="AZ6" i="6" a="1"/>
  <c r="AZ6" i="6" s="1"/>
  <c r="AY6" i="6" a="1"/>
  <c r="AY6" i="6" s="1"/>
  <c r="AX6" i="6" a="1"/>
  <c r="AX6" i="6" s="1"/>
  <c r="AW6" i="6" a="1"/>
  <c r="AW6" i="6" s="1"/>
  <c r="AV6" i="6" a="1"/>
  <c r="AV6" i="6" s="1"/>
  <c r="AU6" i="6" a="1"/>
  <c r="AU6" i="6" s="1"/>
  <c r="AU8" i="6" s="1"/>
  <c r="AT6" i="6" a="1"/>
  <c r="AT6" i="6" s="1"/>
  <c r="AS6" i="6" a="1"/>
  <c r="AS6" i="6" s="1"/>
  <c r="AR6" i="6" a="1"/>
  <c r="AR6" i="6" s="1"/>
  <c r="AQ6" i="6" a="1"/>
  <c r="AQ6" i="6" s="1"/>
  <c r="AP6" i="6" a="1"/>
  <c r="AP6" i="6" s="1"/>
  <c r="AO6" i="6" a="1"/>
  <c r="AO6" i="6" s="1"/>
  <c r="AN6" i="6" a="1"/>
  <c r="AN6" i="6" s="1"/>
  <c r="AM6" i="6" a="1"/>
  <c r="AM6" i="6" s="1"/>
  <c r="AM8" i="6" s="1"/>
  <c r="AL6" i="6" a="1"/>
  <c r="AL6" i="6" s="1"/>
  <c r="AK6" i="6" a="1"/>
  <c r="AK6" i="6" s="1"/>
  <c r="AJ6" i="6" a="1"/>
  <c r="AJ6" i="6" s="1"/>
  <c r="AI6" i="6" a="1"/>
  <c r="AI6" i="6" s="1"/>
  <c r="AH6" i="6" a="1"/>
  <c r="AH6" i="6" s="1"/>
  <c r="AG6" i="6" a="1"/>
  <c r="AG6" i="6" s="1"/>
  <c r="AF6" i="6" a="1"/>
  <c r="AF6" i="6" s="1"/>
  <c r="AE6" i="6" a="1"/>
  <c r="AE6" i="6" s="1"/>
  <c r="AE8" i="6" s="1"/>
  <c r="AD6" i="6" a="1"/>
  <c r="AD6" i="6" s="1"/>
  <c r="AC6" i="6" a="1"/>
  <c r="AC6" i="6" s="1"/>
  <c r="AB6" i="6" a="1"/>
  <c r="AB6" i="6" s="1"/>
  <c r="AA6" i="6" a="1"/>
  <c r="AA6" i="6" s="1"/>
  <c r="Z6" i="6" a="1"/>
  <c r="Z6" i="6" s="1"/>
  <c r="Y6" i="6" a="1"/>
  <c r="Y6" i="6" s="1"/>
  <c r="X6" i="6" a="1"/>
  <c r="X6" i="6" s="1"/>
  <c r="W6" i="6" a="1"/>
  <c r="W6" i="6" s="1"/>
  <c r="W8" i="6" s="1"/>
  <c r="V6" i="6" a="1"/>
  <c r="V6" i="6" s="1"/>
  <c r="U6" i="6" a="1"/>
  <c r="U6" i="6" s="1"/>
  <c r="T6" i="6" a="1"/>
  <c r="T6" i="6" s="1"/>
  <c r="S6" i="6" a="1"/>
  <c r="S6" i="6" s="1"/>
  <c r="R6" i="6" a="1"/>
  <c r="R6" i="6" s="1"/>
  <c r="Q6" i="6" a="1"/>
  <c r="Q6" i="6" s="1"/>
  <c r="P6" i="6" a="1"/>
  <c r="P6" i="6" s="1"/>
  <c r="O6" i="6" a="1"/>
  <c r="O6" i="6" s="1"/>
  <c r="O8" i="6" s="1"/>
  <c r="N6" i="6" a="1"/>
  <c r="N6" i="6" s="1"/>
  <c r="M6" i="6" a="1"/>
  <c r="M6" i="6" s="1"/>
  <c r="L6" i="6" a="1"/>
  <c r="L6" i="6" s="1"/>
  <c r="K6" i="6" a="1"/>
  <c r="K6" i="6" s="1"/>
  <c r="J6" i="6" a="1"/>
  <c r="J6" i="6" s="1"/>
  <c r="I6" i="6" a="1"/>
  <c r="I6" i="6" s="1"/>
  <c r="H6" i="6" a="1"/>
  <c r="H6" i="6" s="1"/>
  <c r="G6" i="6" a="1"/>
  <c r="G6" i="6" s="1"/>
  <c r="G8" i="6" s="1"/>
  <c r="F6" i="6" a="1"/>
  <c r="F6" i="6" s="1"/>
  <c r="E6" i="6" a="1"/>
  <c r="E6" i="6" s="1"/>
  <c r="D6" i="6" a="1"/>
  <c r="D6" i="6" s="1"/>
  <c r="C6" i="6" a="1"/>
  <c r="C6" i="6" s="1"/>
  <c r="DW8" i="4"/>
  <c r="DC8" i="4"/>
  <c r="CQ8" i="4"/>
  <c r="BW8" i="4"/>
  <c r="BK8" i="4"/>
  <c r="AQ8" i="4"/>
  <c r="AE8" i="4"/>
  <c r="K8" i="4"/>
  <c r="DS7" i="4"/>
  <c r="CQ7" i="4"/>
  <c r="BG7" i="4"/>
  <c r="AE7" i="4"/>
  <c r="EF6" i="4" a="1"/>
  <c r="EF6" i="4" s="1"/>
  <c r="EE6" i="4" a="1"/>
  <c r="EE6" i="4" s="1"/>
  <c r="EE7" i="4" s="1"/>
  <c r="ED6" i="4" a="1"/>
  <c r="ED6" i="4" s="1"/>
  <c r="EC6" i="4" a="1"/>
  <c r="EC6" i="4" s="1"/>
  <c r="EB6" i="4" a="1"/>
  <c r="EB6" i="4" s="1"/>
  <c r="EA6" i="4" a="1"/>
  <c r="EA6" i="4" s="1"/>
  <c r="EA7" i="4" s="1"/>
  <c r="DZ6" i="4"/>
  <c r="DZ8" i="4" s="1"/>
  <c r="DZ6" i="4" a="1"/>
  <c r="DY6" i="4"/>
  <c r="DY8" i="4" s="1"/>
  <c r="DY6" i="4" a="1"/>
  <c r="DX6" i="4"/>
  <c r="DX7" i="4" s="1"/>
  <c r="DX6" i="4" a="1"/>
  <c r="DW6" i="4" a="1"/>
  <c r="DW6" i="4" s="1"/>
  <c r="DW7" i="4" s="1"/>
  <c r="DV6" i="4" a="1"/>
  <c r="DV6" i="4" s="1"/>
  <c r="DU6" i="4" a="1"/>
  <c r="DU6" i="4" s="1"/>
  <c r="DT6" i="4" a="1"/>
  <c r="DT6" i="4" s="1"/>
  <c r="DS6" i="4" a="1"/>
  <c r="DS6" i="4" s="1"/>
  <c r="DS8" i="4" s="1"/>
  <c r="DR6" i="4"/>
  <c r="DR8" i="4" s="1"/>
  <c r="DR6" i="4" a="1"/>
  <c r="DQ6" i="4"/>
  <c r="DQ8" i="4" s="1"/>
  <c r="DQ6" i="4" a="1"/>
  <c r="DP6" i="4"/>
  <c r="DP7" i="4" s="1"/>
  <c r="DP6" i="4" a="1"/>
  <c r="DO6" i="4" a="1"/>
  <c r="DO6" i="4" s="1"/>
  <c r="DO7" i="4" s="1"/>
  <c r="DN6" i="4" a="1"/>
  <c r="DN6" i="4" s="1"/>
  <c r="DM6" i="4" a="1"/>
  <c r="DM6" i="4" s="1"/>
  <c r="DL6" i="4" a="1"/>
  <c r="DL6" i="4" s="1"/>
  <c r="DK6" i="4" a="1"/>
  <c r="DK6" i="4" s="1"/>
  <c r="DK8" i="4" s="1"/>
  <c r="DJ6" i="4"/>
  <c r="DJ8" i="4" s="1"/>
  <c r="DJ6" i="4" a="1"/>
  <c r="DI6" i="4"/>
  <c r="DI8" i="4" s="1"/>
  <c r="DI6" i="4" a="1"/>
  <c r="DH6" i="4"/>
  <c r="DH7" i="4" s="1"/>
  <c r="DH6" i="4" a="1"/>
  <c r="DG6" i="4" a="1"/>
  <c r="DG6" i="4" s="1"/>
  <c r="DG7" i="4" s="1"/>
  <c r="DF6" i="4" a="1"/>
  <c r="DF6" i="4" s="1"/>
  <c r="DE6" i="4" a="1"/>
  <c r="DE6" i="4" s="1"/>
  <c r="DD6" i="4" a="1"/>
  <c r="DD6" i="4" s="1"/>
  <c r="DC6" i="4" a="1"/>
  <c r="DC6" i="4" s="1"/>
  <c r="DC7" i="4" s="1"/>
  <c r="DB6" i="4"/>
  <c r="DB8" i="4" s="1"/>
  <c r="DB6" i="4" a="1"/>
  <c r="DA6" i="4"/>
  <c r="DA8" i="4" s="1"/>
  <c r="DA6" i="4" a="1"/>
  <c r="CZ6" i="4"/>
  <c r="CZ7" i="4" s="1"/>
  <c r="CZ6" i="4" a="1"/>
  <c r="CY6" i="4" a="1"/>
  <c r="CY6" i="4" s="1"/>
  <c r="CY7" i="4" s="1"/>
  <c r="CX6" i="4" a="1"/>
  <c r="CX6" i="4" s="1"/>
  <c r="CW6" i="4" a="1"/>
  <c r="CW6" i="4" s="1"/>
  <c r="CV6" i="4" a="1"/>
  <c r="CV6" i="4" s="1"/>
  <c r="CU6" i="4" a="1"/>
  <c r="CU6" i="4" s="1"/>
  <c r="CU7" i="4" s="1"/>
  <c r="CT6" i="4"/>
  <c r="CT8" i="4" s="1"/>
  <c r="CT6" i="4" a="1"/>
  <c r="CS6" i="4"/>
  <c r="CS8" i="4" s="1"/>
  <c r="CS6" i="4" a="1"/>
  <c r="CR6" i="4"/>
  <c r="CR7" i="4" s="1"/>
  <c r="CR6" i="4" a="1"/>
  <c r="CQ6" i="4" a="1"/>
  <c r="CQ6" i="4" s="1"/>
  <c r="CP6" i="4" a="1"/>
  <c r="CP6" i="4" s="1"/>
  <c r="CO6" i="4" a="1"/>
  <c r="CO6" i="4" s="1"/>
  <c r="CN6" i="4" a="1"/>
  <c r="CN6" i="4" s="1"/>
  <c r="CM6" i="4" a="1"/>
  <c r="CM6" i="4" s="1"/>
  <c r="CM8" i="4" s="1"/>
  <c r="CL6" i="4"/>
  <c r="CL8" i="4" s="1"/>
  <c r="CL6" i="4" a="1"/>
  <c r="CK6" i="4"/>
  <c r="CK8" i="4" s="1"/>
  <c r="CK6" i="4" a="1"/>
  <c r="CJ6" i="4"/>
  <c r="CJ7" i="4" s="1"/>
  <c r="CJ6" i="4" a="1"/>
  <c r="CI6" i="4" a="1"/>
  <c r="CI6" i="4" s="1"/>
  <c r="CI8" i="4" s="1"/>
  <c r="CH6" i="4" a="1"/>
  <c r="CH6" i="4" s="1"/>
  <c r="CG6" i="4" a="1"/>
  <c r="CG6" i="4" s="1"/>
  <c r="CF6" i="4" a="1"/>
  <c r="CF6" i="4" s="1"/>
  <c r="CE6" i="4" a="1"/>
  <c r="CE6" i="4" s="1"/>
  <c r="CE8" i="4" s="1"/>
  <c r="CD6" i="4"/>
  <c r="CD8" i="4" s="1"/>
  <c r="CD6" i="4" a="1"/>
  <c r="CC6" i="4"/>
  <c r="CC8" i="4" s="1"/>
  <c r="CC6" i="4" a="1"/>
  <c r="CB6" i="4"/>
  <c r="CB7" i="4" s="1"/>
  <c r="CB6" i="4" a="1"/>
  <c r="CA6" i="4" a="1"/>
  <c r="CA6" i="4" s="1"/>
  <c r="CA8" i="4" s="1"/>
  <c r="BZ6" i="4" a="1"/>
  <c r="BZ6" i="4" s="1"/>
  <c r="BY6" i="4" a="1"/>
  <c r="BY6" i="4" s="1"/>
  <c r="BX6" i="4" a="1"/>
  <c r="BX6" i="4" s="1"/>
  <c r="BW6" i="4" a="1"/>
  <c r="BW6" i="4" s="1"/>
  <c r="BW7" i="4" s="1"/>
  <c r="BV6" i="4"/>
  <c r="BV8" i="4" s="1"/>
  <c r="BV6" i="4" a="1"/>
  <c r="BU6" i="4"/>
  <c r="BU8" i="4" s="1"/>
  <c r="BU6" i="4" a="1"/>
  <c r="BT6" i="4"/>
  <c r="BT7" i="4" s="1"/>
  <c r="BT6" i="4" a="1"/>
  <c r="BS6" i="4" a="1"/>
  <c r="BS6" i="4" s="1"/>
  <c r="BS8" i="4" s="1"/>
  <c r="BR6" i="4" a="1"/>
  <c r="BR6" i="4" s="1"/>
  <c r="BQ6" i="4" a="1"/>
  <c r="BQ6" i="4" s="1"/>
  <c r="BP6" i="4" a="1"/>
  <c r="BP6" i="4" s="1"/>
  <c r="BO6" i="4" a="1"/>
  <c r="BO6" i="4" s="1"/>
  <c r="BO7" i="4" s="1"/>
  <c r="BN6" i="4"/>
  <c r="BN8" i="4" s="1"/>
  <c r="BN6" i="4" a="1"/>
  <c r="BM6" i="4"/>
  <c r="BM8" i="4" s="1"/>
  <c r="BM6" i="4" a="1"/>
  <c r="BL6" i="4"/>
  <c r="BL7" i="4" s="1"/>
  <c r="BL6" i="4" a="1"/>
  <c r="BK6" i="4" a="1"/>
  <c r="BK6" i="4" s="1"/>
  <c r="BK7" i="4" s="1"/>
  <c r="BJ6" i="4" a="1"/>
  <c r="BJ6" i="4" s="1"/>
  <c r="BI6" i="4" a="1"/>
  <c r="BI6" i="4" s="1"/>
  <c r="BH6" i="4" a="1"/>
  <c r="BH6" i="4" s="1"/>
  <c r="BG6" i="4" a="1"/>
  <c r="BG6" i="4" s="1"/>
  <c r="BG8" i="4" s="1"/>
  <c r="BF6" i="4"/>
  <c r="BF8" i="4" s="1"/>
  <c r="BF6" i="4" a="1"/>
  <c r="BE6" i="4"/>
  <c r="BE8" i="4" s="1"/>
  <c r="BE6" i="4" a="1"/>
  <c r="BD6" i="4"/>
  <c r="BD7" i="4" s="1"/>
  <c r="BD6" i="4" a="1"/>
  <c r="BC6" i="4" a="1"/>
  <c r="BC6" i="4" s="1"/>
  <c r="BC7" i="4" s="1"/>
  <c r="BB6" i="4" a="1"/>
  <c r="BB6" i="4" s="1"/>
  <c r="BA6" i="4" a="1"/>
  <c r="BA6" i="4" s="1"/>
  <c r="AZ6" i="4" a="1"/>
  <c r="AZ6" i="4" s="1"/>
  <c r="AY6" i="4" a="1"/>
  <c r="AY6" i="4" s="1"/>
  <c r="AY8" i="4" s="1"/>
  <c r="AX6" i="4"/>
  <c r="AX8" i="4" s="1"/>
  <c r="AX6" i="4" a="1"/>
  <c r="AW6" i="4"/>
  <c r="AW8" i="4" s="1"/>
  <c r="AW6" i="4" a="1"/>
  <c r="AV6" i="4"/>
  <c r="AV7" i="4" s="1"/>
  <c r="AV6" i="4" a="1"/>
  <c r="AU6" i="4" a="1"/>
  <c r="AU6" i="4" s="1"/>
  <c r="AU7" i="4" s="1"/>
  <c r="AT6" i="4" a="1"/>
  <c r="AT6" i="4" s="1"/>
  <c r="AS6" i="4" a="1"/>
  <c r="AS6" i="4" s="1"/>
  <c r="AR6" i="4" a="1"/>
  <c r="AR6" i="4" s="1"/>
  <c r="AQ6" i="4" a="1"/>
  <c r="AQ6" i="4" s="1"/>
  <c r="AQ7" i="4" s="1"/>
  <c r="AP6" i="4"/>
  <c r="AP8" i="4" s="1"/>
  <c r="AP6" i="4" a="1"/>
  <c r="AO6" i="4"/>
  <c r="AO8" i="4" s="1"/>
  <c r="AO6" i="4" a="1"/>
  <c r="AN6" i="4"/>
  <c r="AN7" i="4" s="1"/>
  <c r="AN6" i="4" a="1"/>
  <c r="AM6" i="4" a="1"/>
  <c r="AM6" i="4" s="1"/>
  <c r="AM7" i="4" s="1"/>
  <c r="AL6" i="4" a="1"/>
  <c r="AL6" i="4" s="1"/>
  <c r="AK6" i="4" a="1"/>
  <c r="AK6" i="4" s="1"/>
  <c r="AJ6" i="4" a="1"/>
  <c r="AJ6" i="4" s="1"/>
  <c r="AI6" i="4" a="1"/>
  <c r="AI6" i="4" s="1"/>
  <c r="AI7" i="4" s="1"/>
  <c r="AH6" i="4"/>
  <c r="AH8" i="4" s="1"/>
  <c r="AH6" i="4" a="1"/>
  <c r="AG6" i="4"/>
  <c r="AG8" i="4" s="1"/>
  <c r="AG6" i="4" a="1"/>
  <c r="AF6" i="4"/>
  <c r="AF7" i="4" s="1"/>
  <c r="AF6" i="4" a="1"/>
  <c r="AE6" i="4" a="1"/>
  <c r="AE6" i="4" s="1"/>
  <c r="AD6" i="4" a="1"/>
  <c r="AD6" i="4" s="1"/>
  <c r="AC6" i="4" a="1"/>
  <c r="AC6" i="4" s="1"/>
  <c r="AB6" i="4" a="1"/>
  <c r="AB6" i="4" s="1"/>
  <c r="AA6" i="4" a="1"/>
  <c r="AA6" i="4" s="1"/>
  <c r="AA8" i="4" s="1"/>
  <c r="Z6" i="4"/>
  <c r="Z8" i="4" s="1"/>
  <c r="Z6" i="4" a="1"/>
  <c r="Y6" i="4"/>
  <c r="Y8" i="4" s="1"/>
  <c r="Y6" i="4" a="1"/>
  <c r="X6" i="4"/>
  <c r="X7" i="4" s="1"/>
  <c r="X6" i="4" a="1"/>
  <c r="W6" i="4" a="1"/>
  <c r="W6" i="4" s="1"/>
  <c r="W8" i="4" s="1"/>
  <c r="V6" i="4" a="1"/>
  <c r="V6" i="4" s="1"/>
  <c r="U6" i="4" a="1"/>
  <c r="U6" i="4" s="1"/>
  <c r="T6" i="4" a="1"/>
  <c r="T6" i="4" s="1"/>
  <c r="S6" i="4" a="1"/>
  <c r="S6" i="4" s="1"/>
  <c r="S8" i="4" s="1"/>
  <c r="R6" i="4"/>
  <c r="R8" i="4" s="1"/>
  <c r="R6" i="4" a="1"/>
  <c r="Q6" i="4"/>
  <c r="Q8" i="4" s="1"/>
  <c r="Q6" i="4" a="1"/>
  <c r="P6" i="4"/>
  <c r="P7" i="4" s="1"/>
  <c r="P6" i="4" a="1"/>
  <c r="O6" i="4" a="1"/>
  <c r="O6" i="4" s="1"/>
  <c r="O8" i="4" s="1"/>
  <c r="N6" i="4" a="1"/>
  <c r="N6" i="4" s="1"/>
  <c r="M6" i="4" a="1"/>
  <c r="M6" i="4" s="1"/>
  <c r="L6" i="4" a="1"/>
  <c r="L6" i="4" s="1"/>
  <c r="K6" i="4" a="1"/>
  <c r="K6" i="4" s="1"/>
  <c r="K7" i="4" s="1"/>
  <c r="J6" i="4"/>
  <c r="J8" i="4" s="1"/>
  <c r="J6" i="4" a="1"/>
  <c r="I6" i="4"/>
  <c r="I8" i="4" s="1"/>
  <c r="I6" i="4" a="1"/>
  <c r="H6" i="4"/>
  <c r="H7" i="4" s="1"/>
  <c r="H6" i="4" a="1"/>
  <c r="G6" i="4" a="1"/>
  <c r="G6" i="4" s="1"/>
  <c r="G8" i="4" s="1"/>
  <c r="F6" i="4" a="1"/>
  <c r="F6" i="4" s="1"/>
  <c r="E6" i="4" a="1"/>
  <c r="E6" i="4" s="1"/>
  <c r="D6" i="4" a="1"/>
  <c r="D6" i="4" s="1"/>
  <c r="C6" i="4" a="1"/>
  <c r="C6" i="4" s="1"/>
  <c r="C7" i="4" s="1"/>
  <c r="BL8" i="7" l="1"/>
  <c r="BL7" i="7"/>
  <c r="X8" i="7"/>
  <c r="X7" i="7"/>
  <c r="AV8" i="7"/>
  <c r="AV7" i="7"/>
  <c r="CB8" i="7"/>
  <c r="CB7" i="7"/>
  <c r="CR8" i="7"/>
  <c r="CR7" i="7"/>
  <c r="DH8" i="7"/>
  <c r="DH7" i="7"/>
  <c r="DX8" i="7"/>
  <c r="DX7" i="7"/>
  <c r="I7" i="7"/>
  <c r="I8" i="7"/>
  <c r="Y7" i="7"/>
  <c r="Y8" i="7"/>
  <c r="AO7" i="7"/>
  <c r="AO8" i="7"/>
  <c r="BE7" i="7"/>
  <c r="BE8" i="7"/>
  <c r="BM7" i="7"/>
  <c r="BM8" i="7"/>
  <c r="CC7" i="7"/>
  <c r="CC8" i="7"/>
  <c r="CK7" i="7"/>
  <c r="CK8" i="7"/>
  <c r="CS7" i="7"/>
  <c r="CS8" i="7"/>
  <c r="DA7" i="7"/>
  <c r="DA8" i="7"/>
  <c r="DI7" i="7"/>
  <c r="DI8" i="7"/>
  <c r="DQ7" i="7"/>
  <c r="DQ8" i="7"/>
  <c r="DY7" i="7"/>
  <c r="DY8" i="7"/>
  <c r="J7" i="7"/>
  <c r="J8" i="7"/>
  <c r="R7" i="7"/>
  <c r="R8" i="7"/>
  <c r="Z7" i="7"/>
  <c r="Z8" i="7"/>
  <c r="AH7" i="7"/>
  <c r="AH8" i="7"/>
  <c r="AP7" i="7"/>
  <c r="AP8" i="7"/>
  <c r="AX7" i="7"/>
  <c r="AX8" i="7"/>
  <c r="BF7" i="7"/>
  <c r="BF8" i="7"/>
  <c r="BN7" i="7"/>
  <c r="BN8" i="7"/>
  <c r="BV7" i="7"/>
  <c r="BV8" i="7"/>
  <c r="CD7" i="7"/>
  <c r="CD8" i="7"/>
  <c r="CL7" i="7"/>
  <c r="CL8" i="7"/>
  <c r="CT7" i="7"/>
  <c r="CT8" i="7"/>
  <c r="DB7" i="7"/>
  <c r="DB8" i="7"/>
  <c r="DJ7" i="7"/>
  <c r="DJ8" i="7"/>
  <c r="DR7" i="7"/>
  <c r="DR8" i="7"/>
  <c r="DZ7" i="7"/>
  <c r="DZ8" i="7"/>
  <c r="O7" i="7"/>
  <c r="CA7" i="7"/>
  <c r="AF8" i="7"/>
  <c r="AF7" i="7"/>
  <c r="BT8" i="7"/>
  <c r="BT7" i="7"/>
  <c r="CJ8" i="7"/>
  <c r="CJ7" i="7"/>
  <c r="CZ8" i="7"/>
  <c r="CZ7" i="7"/>
  <c r="DP8" i="7"/>
  <c r="DP7" i="7"/>
  <c r="EF8" i="7"/>
  <c r="EF7" i="7"/>
  <c r="Q7" i="7"/>
  <c r="Q8" i="7"/>
  <c r="AG7" i="7"/>
  <c r="AG8" i="7"/>
  <c r="AW7" i="7"/>
  <c r="AW8" i="7"/>
  <c r="BU7" i="7"/>
  <c r="BU8" i="7"/>
  <c r="C7" i="7"/>
  <c r="C8" i="7"/>
  <c r="K7" i="7"/>
  <c r="K8" i="7"/>
  <c r="S7" i="7"/>
  <c r="S8" i="7"/>
  <c r="AA7" i="7"/>
  <c r="AA8" i="7"/>
  <c r="AI7" i="7"/>
  <c r="AI8" i="7"/>
  <c r="AQ7" i="7"/>
  <c r="AQ8" i="7"/>
  <c r="AY7" i="7"/>
  <c r="AY8" i="7"/>
  <c r="BG7" i="7"/>
  <c r="BG8" i="7"/>
  <c r="BO7" i="7"/>
  <c r="BO8" i="7"/>
  <c r="BW7" i="7"/>
  <c r="BW8" i="7"/>
  <c r="CE7" i="7"/>
  <c r="CE8" i="7"/>
  <c r="CM7" i="7"/>
  <c r="CM8" i="7"/>
  <c r="CU7" i="7"/>
  <c r="CU8" i="7"/>
  <c r="DC7" i="7"/>
  <c r="DC8" i="7"/>
  <c r="DK7" i="7"/>
  <c r="DK8" i="7"/>
  <c r="DS7" i="7"/>
  <c r="DS8" i="7"/>
  <c r="EA7" i="7"/>
  <c r="EA8" i="7"/>
  <c r="W7" i="7"/>
  <c r="CI7" i="7"/>
  <c r="D7" i="7"/>
  <c r="D8" i="7"/>
  <c r="AB7" i="7"/>
  <c r="AB8" i="7"/>
  <c r="AJ7" i="7"/>
  <c r="AJ8" i="7"/>
  <c r="AR7" i="7"/>
  <c r="AR8" i="7"/>
  <c r="AZ7" i="7"/>
  <c r="AZ8" i="7"/>
  <c r="BH7" i="7"/>
  <c r="BH8" i="7"/>
  <c r="BP7" i="7"/>
  <c r="BP8" i="7"/>
  <c r="BX7" i="7"/>
  <c r="BX8" i="7"/>
  <c r="CF7" i="7"/>
  <c r="CF8" i="7"/>
  <c r="CN7" i="7"/>
  <c r="CN8" i="7"/>
  <c r="CV7" i="7"/>
  <c r="CV8" i="7"/>
  <c r="DD7" i="7"/>
  <c r="DD8" i="7"/>
  <c r="DL7" i="7"/>
  <c r="DL8" i="7"/>
  <c r="DT7" i="7"/>
  <c r="DT8" i="7"/>
  <c r="EB7" i="7"/>
  <c r="EB8" i="7"/>
  <c r="AE7" i="7"/>
  <c r="CQ7" i="7"/>
  <c r="AN8" i="7"/>
  <c r="AN7" i="7"/>
  <c r="M7" i="7"/>
  <c r="M8" i="7"/>
  <c r="AC7" i="7"/>
  <c r="AC8" i="7"/>
  <c r="AK7" i="7"/>
  <c r="AK8" i="7"/>
  <c r="AS7" i="7"/>
  <c r="AS8" i="7"/>
  <c r="BA7" i="7"/>
  <c r="BA8" i="7"/>
  <c r="BI7" i="7"/>
  <c r="BI8" i="7"/>
  <c r="BQ7" i="7"/>
  <c r="BQ8" i="7"/>
  <c r="BY7" i="7"/>
  <c r="BY8" i="7"/>
  <c r="CG7" i="7"/>
  <c r="CG8" i="7"/>
  <c r="CO7" i="7"/>
  <c r="CO8" i="7"/>
  <c r="CW7" i="7"/>
  <c r="CW8" i="7"/>
  <c r="DE7" i="7"/>
  <c r="DE8" i="7"/>
  <c r="DM7" i="7"/>
  <c r="DM8" i="7"/>
  <c r="DU7" i="7"/>
  <c r="DU8" i="7"/>
  <c r="EC7" i="7"/>
  <c r="EC8" i="7"/>
  <c r="AM7" i="7"/>
  <c r="CY7" i="7"/>
  <c r="H8" i="7"/>
  <c r="H7" i="7"/>
  <c r="T7" i="7"/>
  <c r="T8" i="7"/>
  <c r="F7" i="7"/>
  <c r="F8" i="7"/>
  <c r="AD7" i="7"/>
  <c r="AD8" i="7"/>
  <c r="AT7" i="7"/>
  <c r="AT8" i="7"/>
  <c r="BB7" i="7"/>
  <c r="BB8" i="7"/>
  <c r="BJ7" i="7"/>
  <c r="BJ8" i="7"/>
  <c r="BR7" i="7"/>
  <c r="BR8" i="7"/>
  <c r="BZ7" i="7"/>
  <c r="BZ8" i="7"/>
  <c r="CH7" i="7"/>
  <c r="CH8" i="7"/>
  <c r="CP7" i="7"/>
  <c r="CP8" i="7"/>
  <c r="CX7" i="7"/>
  <c r="CX8" i="7"/>
  <c r="DF7" i="7"/>
  <c r="DF8" i="7"/>
  <c r="DN7" i="7"/>
  <c r="DN8" i="7"/>
  <c r="DV7" i="7"/>
  <c r="DV8" i="7"/>
  <c r="ED7" i="7"/>
  <c r="ED8" i="7"/>
  <c r="AU7" i="7"/>
  <c r="DG7" i="7"/>
  <c r="P8" i="7"/>
  <c r="P7" i="7"/>
  <c r="BD8" i="7"/>
  <c r="BD7" i="7"/>
  <c r="L7" i="7"/>
  <c r="L8" i="7"/>
  <c r="E7" i="7"/>
  <c r="E8" i="7"/>
  <c r="U7" i="7"/>
  <c r="U8" i="7"/>
  <c r="N7" i="7"/>
  <c r="N8" i="7"/>
  <c r="V7" i="7"/>
  <c r="V8" i="7"/>
  <c r="AL7" i="7"/>
  <c r="AL8" i="7"/>
  <c r="DW8" i="7"/>
  <c r="DW7" i="7"/>
  <c r="EE8" i="7"/>
  <c r="EE7" i="7"/>
  <c r="BC7" i="7"/>
  <c r="DO7" i="7"/>
  <c r="AV8" i="6"/>
  <c r="AV7" i="6"/>
  <c r="I7" i="6"/>
  <c r="I8" i="6"/>
  <c r="AG7" i="6"/>
  <c r="AG8" i="6"/>
  <c r="BE7" i="6"/>
  <c r="BE8" i="6"/>
  <c r="BU7" i="6"/>
  <c r="BU8" i="6"/>
  <c r="CC7" i="6"/>
  <c r="CC8" i="6"/>
  <c r="CK7" i="6"/>
  <c r="CK8" i="6"/>
  <c r="CS7" i="6"/>
  <c r="CS8" i="6"/>
  <c r="DA7" i="6"/>
  <c r="DA8" i="6"/>
  <c r="DI7" i="6"/>
  <c r="DI8" i="6"/>
  <c r="DQ7" i="6"/>
  <c r="DQ8" i="6"/>
  <c r="DY7" i="6"/>
  <c r="DY8" i="6"/>
  <c r="G7" i="6"/>
  <c r="BS7" i="6"/>
  <c r="X8" i="6"/>
  <c r="X7" i="6"/>
  <c r="BT8" i="6"/>
  <c r="BT7" i="6"/>
  <c r="CR8" i="6"/>
  <c r="CR7" i="6"/>
  <c r="DP8" i="6"/>
  <c r="DP7" i="6"/>
  <c r="DX8" i="6"/>
  <c r="DX7" i="6"/>
  <c r="Q7" i="6"/>
  <c r="Q8" i="6"/>
  <c r="Y7" i="6"/>
  <c r="Y8" i="6"/>
  <c r="AO7" i="6"/>
  <c r="AO8" i="6"/>
  <c r="AW7" i="6"/>
  <c r="AW8" i="6"/>
  <c r="BM7" i="6"/>
  <c r="BM8" i="6"/>
  <c r="J7" i="6"/>
  <c r="J8" i="6"/>
  <c r="R7" i="6"/>
  <c r="R8" i="6"/>
  <c r="Z7" i="6"/>
  <c r="Z8" i="6"/>
  <c r="AH7" i="6"/>
  <c r="AH8" i="6"/>
  <c r="AP7" i="6"/>
  <c r="AP8" i="6"/>
  <c r="AX7" i="6"/>
  <c r="AX8" i="6"/>
  <c r="BF7" i="6"/>
  <c r="BF8" i="6"/>
  <c r="BN7" i="6"/>
  <c r="BN8" i="6"/>
  <c r="BV7" i="6"/>
  <c r="BV8" i="6"/>
  <c r="CD7" i="6"/>
  <c r="CD8" i="6"/>
  <c r="CL7" i="6"/>
  <c r="CL8" i="6"/>
  <c r="CT7" i="6"/>
  <c r="CT8" i="6"/>
  <c r="DB7" i="6"/>
  <c r="DB8" i="6"/>
  <c r="DJ7" i="6"/>
  <c r="DJ8" i="6"/>
  <c r="DR7" i="6"/>
  <c r="DR8" i="6"/>
  <c r="DZ7" i="6"/>
  <c r="DZ8" i="6"/>
  <c r="O7" i="6"/>
  <c r="CA7" i="6"/>
  <c r="AN8" i="6"/>
  <c r="AN7" i="6"/>
  <c r="S7" i="6"/>
  <c r="S8" i="6"/>
  <c r="AA7" i="6"/>
  <c r="AA8" i="6"/>
  <c r="AI7" i="6"/>
  <c r="AI8" i="6"/>
  <c r="AQ7" i="6"/>
  <c r="AQ8" i="6"/>
  <c r="AY7" i="6"/>
  <c r="AY8" i="6"/>
  <c r="BG7" i="6"/>
  <c r="BG8" i="6"/>
  <c r="BO7" i="6"/>
  <c r="BO8" i="6"/>
  <c r="BW7" i="6"/>
  <c r="BW8" i="6"/>
  <c r="CE7" i="6"/>
  <c r="CE8" i="6"/>
  <c r="CM7" i="6"/>
  <c r="CM8" i="6"/>
  <c r="CU7" i="6"/>
  <c r="CU8" i="6"/>
  <c r="DC7" i="6"/>
  <c r="DC8" i="6"/>
  <c r="DK7" i="6"/>
  <c r="DK8" i="6"/>
  <c r="DS7" i="6"/>
  <c r="DS8" i="6"/>
  <c r="EA7" i="6"/>
  <c r="EA8" i="6"/>
  <c r="W7" i="6"/>
  <c r="CI7" i="6"/>
  <c r="AF8" i="6"/>
  <c r="AF7" i="6"/>
  <c r="T7" i="6"/>
  <c r="T8" i="6"/>
  <c r="AR7" i="6"/>
  <c r="AR8" i="6"/>
  <c r="BP7" i="6"/>
  <c r="BP8" i="6"/>
  <c r="CN7" i="6"/>
  <c r="CN8" i="6"/>
  <c r="CV7" i="6"/>
  <c r="CV8" i="6"/>
  <c r="DD7" i="6"/>
  <c r="DD8" i="6"/>
  <c r="DL7" i="6"/>
  <c r="DL8" i="6"/>
  <c r="DT7" i="6"/>
  <c r="DT8" i="6"/>
  <c r="EB7" i="6"/>
  <c r="EB8" i="6"/>
  <c r="AE7" i="6"/>
  <c r="CQ7" i="6"/>
  <c r="H8" i="6"/>
  <c r="H7" i="6"/>
  <c r="BD8" i="6"/>
  <c r="BD7" i="6"/>
  <c r="CJ8" i="6"/>
  <c r="CJ7" i="6"/>
  <c r="CZ8" i="6"/>
  <c r="CZ7" i="6"/>
  <c r="EF8" i="6"/>
  <c r="EF7" i="6"/>
  <c r="D7" i="6"/>
  <c r="D8" i="6"/>
  <c r="L7" i="6"/>
  <c r="L8" i="6"/>
  <c r="AB7" i="6"/>
  <c r="AB8" i="6"/>
  <c r="AJ7" i="6"/>
  <c r="AJ8" i="6"/>
  <c r="AZ7" i="6"/>
  <c r="AZ8" i="6"/>
  <c r="BH7" i="6"/>
  <c r="BH8" i="6"/>
  <c r="BX7" i="6"/>
  <c r="BX8" i="6"/>
  <c r="CF7" i="6"/>
  <c r="CF8" i="6"/>
  <c r="E7" i="6"/>
  <c r="E8" i="6"/>
  <c r="M7" i="6"/>
  <c r="M8" i="6"/>
  <c r="U7" i="6"/>
  <c r="U8" i="6"/>
  <c r="AC7" i="6"/>
  <c r="AC8" i="6"/>
  <c r="AK7" i="6"/>
  <c r="AK8" i="6"/>
  <c r="AS7" i="6"/>
  <c r="AS8" i="6"/>
  <c r="BA7" i="6"/>
  <c r="BA8" i="6"/>
  <c r="BI7" i="6"/>
  <c r="BI8" i="6"/>
  <c r="BQ7" i="6"/>
  <c r="BQ8" i="6"/>
  <c r="BY7" i="6"/>
  <c r="BY8" i="6"/>
  <c r="CG7" i="6"/>
  <c r="CG8" i="6"/>
  <c r="CO7" i="6"/>
  <c r="CO8" i="6"/>
  <c r="CW7" i="6"/>
  <c r="CW8" i="6"/>
  <c r="DE7" i="6"/>
  <c r="DE8" i="6"/>
  <c r="DM7" i="6"/>
  <c r="DM8" i="6"/>
  <c r="DU7" i="6"/>
  <c r="DU8" i="6"/>
  <c r="EC7" i="6"/>
  <c r="EC8" i="6"/>
  <c r="AM7" i="6"/>
  <c r="CY7" i="6"/>
  <c r="CB8" i="6"/>
  <c r="CB7" i="6"/>
  <c r="C7" i="6"/>
  <c r="C8" i="6"/>
  <c r="AD7" i="6"/>
  <c r="AD8" i="6"/>
  <c r="BB7" i="6"/>
  <c r="BB8" i="6"/>
  <c r="BR7" i="6"/>
  <c r="BR8" i="6"/>
  <c r="BZ7" i="6"/>
  <c r="BZ8" i="6"/>
  <c r="CH7" i="6"/>
  <c r="CH8" i="6"/>
  <c r="CP7" i="6"/>
  <c r="CP8" i="6"/>
  <c r="CX7" i="6"/>
  <c r="CX8" i="6"/>
  <c r="DF7" i="6"/>
  <c r="DF8" i="6"/>
  <c r="DN7" i="6"/>
  <c r="DN8" i="6"/>
  <c r="DV7" i="6"/>
  <c r="DV8" i="6"/>
  <c r="ED7" i="6"/>
  <c r="ED8" i="6"/>
  <c r="AU7" i="6"/>
  <c r="DG7" i="6"/>
  <c r="P8" i="6"/>
  <c r="P7" i="6"/>
  <c r="BL8" i="6"/>
  <c r="BL7" i="6"/>
  <c r="DH8" i="6"/>
  <c r="DH7" i="6"/>
  <c r="K7" i="6"/>
  <c r="K8" i="6"/>
  <c r="F7" i="6"/>
  <c r="F8" i="6"/>
  <c r="N7" i="6"/>
  <c r="N8" i="6"/>
  <c r="V7" i="6"/>
  <c r="V8" i="6"/>
  <c r="AL7" i="6"/>
  <c r="AL8" i="6"/>
  <c r="AT7" i="6"/>
  <c r="AT8" i="6"/>
  <c r="BJ7" i="6"/>
  <c r="BJ8" i="6"/>
  <c r="DW8" i="6"/>
  <c r="DW7" i="6"/>
  <c r="EE8" i="6"/>
  <c r="EE7" i="6"/>
  <c r="BC7" i="6"/>
  <c r="DO7" i="6"/>
  <c r="AD8" i="4"/>
  <c r="AD7" i="4"/>
  <c r="BX7" i="4"/>
  <c r="BX8" i="4"/>
  <c r="E8" i="4"/>
  <c r="E7" i="4"/>
  <c r="AB8" i="4"/>
  <c r="AB7" i="4"/>
  <c r="AT7" i="4"/>
  <c r="AT8" i="4"/>
  <c r="BQ8" i="4"/>
  <c r="BQ7" i="4"/>
  <c r="CN8" i="4"/>
  <c r="CN7" i="4"/>
  <c r="DF7" i="4"/>
  <c r="DF8" i="4"/>
  <c r="EC8" i="4"/>
  <c r="EC7" i="4"/>
  <c r="F8" i="4"/>
  <c r="F7" i="4"/>
  <c r="AC8" i="4"/>
  <c r="AC7" i="4"/>
  <c r="AZ8" i="4"/>
  <c r="AZ7" i="4"/>
  <c r="BR8" i="4"/>
  <c r="BR7" i="4"/>
  <c r="CO8" i="4"/>
  <c r="CO7" i="4"/>
  <c r="DL8" i="4"/>
  <c r="DL7" i="4"/>
  <c r="ED8" i="4"/>
  <c r="ED7" i="4"/>
  <c r="BA7" i="4"/>
  <c r="BA8" i="4"/>
  <c r="BB7" i="4"/>
  <c r="BB8" i="4"/>
  <c r="EF7" i="4"/>
  <c r="EF8" i="4"/>
  <c r="M8" i="4"/>
  <c r="M7" i="4"/>
  <c r="AJ7" i="4"/>
  <c r="AJ8" i="4"/>
  <c r="BY8" i="4"/>
  <c r="BY7" i="4"/>
  <c r="CV7" i="4"/>
  <c r="CV8" i="4"/>
  <c r="DN7" i="4"/>
  <c r="DN8" i="4"/>
  <c r="N8" i="4"/>
  <c r="N7" i="4"/>
  <c r="AK7" i="4"/>
  <c r="AK8" i="4"/>
  <c r="BH8" i="4"/>
  <c r="BH7" i="4"/>
  <c r="BZ8" i="4"/>
  <c r="BZ7" i="4"/>
  <c r="CW7" i="4"/>
  <c r="CW8" i="4"/>
  <c r="DT8" i="4"/>
  <c r="DT7" i="4"/>
  <c r="T8" i="4"/>
  <c r="T7" i="4"/>
  <c r="AL7" i="4"/>
  <c r="AL8" i="4"/>
  <c r="BI8" i="4"/>
  <c r="BI7" i="4"/>
  <c r="CF8" i="4"/>
  <c r="CF7" i="4"/>
  <c r="CX7" i="4"/>
  <c r="CX8" i="4"/>
  <c r="DU8" i="4"/>
  <c r="DU7" i="4"/>
  <c r="U7" i="4"/>
  <c r="U8" i="4"/>
  <c r="AR7" i="4"/>
  <c r="AR8" i="4"/>
  <c r="BJ8" i="4"/>
  <c r="BJ7" i="4"/>
  <c r="CG7" i="4"/>
  <c r="CG8" i="4"/>
  <c r="DD7" i="4"/>
  <c r="DD8" i="4"/>
  <c r="DV8" i="4"/>
  <c r="DV7" i="4"/>
  <c r="L7" i="4"/>
  <c r="L8" i="4"/>
  <c r="CP8" i="4"/>
  <c r="CP7" i="4"/>
  <c r="DM7" i="4"/>
  <c r="DM8" i="4"/>
  <c r="D8" i="4"/>
  <c r="D7" i="4"/>
  <c r="V8" i="4"/>
  <c r="V7" i="4"/>
  <c r="AS7" i="4"/>
  <c r="AS8" i="4"/>
  <c r="BP8" i="4"/>
  <c r="BP7" i="4"/>
  <c r="CH8" i="4"/>
  <c r="CH7" i="4"/>
  <c r="DE7" i="4"/>
  <c r="DE8" i="4"/>
  <c r="EB7" i="4"/>
  <c r="EB8" i="4"/>
  <c r="AO7" i="4"/>
  <c r="AX7" i="4"/>
  <c r="DA7" i="4"/>
  <c r="DJ7" i="4"/>
  <c r="W7" i="4"/>
  <c r="AG7" i="4"/>
  <c r="AP7" i="4"/>
  <c r="AY7" i="4"/>
  <c r="CI7" i="4"/>
  <c r="CS7" i="4"/>
  <c r="DB7" i="4"/>
  <c r="DK7" i="4"/>
  <c r="AF8" i="4"/>
  <c r="BL8" i="4"/>
  <c r="CR8" i="4"/>
  <c r="DX8" i="4"/>
  <c r="O7" i="4"/>
  <c r="Y7" i="4"/>
  <c r="AH7" i="4"/>
  <c r="CA7" i="4"/>
  <c r="CK7" i="4"/>
  <c r="CT7" i="4"/>
  <c r="C8" i="4"/>
  <c r="AI8" i="4"/>
  <c r="BC8" i="4"/>
  <c r="BO8" i="4"/>
  <c r="CU8" i="4"/>
  <c r="DO8" i="4"/>
  <c r="EA8" i="4"/>
  <c r="G7" i="4"/>
  <c r="Q7" i="4"/>
  <c r="Z7" i="4"/>
  <c r="BS7" i="4"/>
  <c r="CC7" i="4"/>
  <c r="CL7" i="4"/>
  <c r="X8" i="4"/>
  <c r="BD8" i="4"/>
  <c r="CJ8" i="4"/>
  <c r="DP8" i="4"/>
  <c r="I7" i="4"/>
  <c r="R7" i="4"/>
  <c r="AA7" i="4"/>
  <c r="BU7" i="4"/>
  <c r="CD7" i="4"/>
  <c r="CM7" i="4"/>
  <c r="DY7" i="4"/>
  <c r="AU8" i="4"/>
  <c r="DG8" i="4"/>
  <c r="J7" i="4"/>
  <c r="S7" i="4"/>
  <c r="BM7" i="4"/>
  <c r="BV7" i="4"/>
  <c r="CE7" i="4"/>
  <c r="DZ7" i="4"/>
  <c r="P8" i="4"/>
  <c r="AV8" i="4"/>
  <c r="CB8" i="4"/>
  <c r="DH8" i="4"/>
  <c r="BE7" i="4"/>
  <c r="BN7" i="4"/>
  <c r="DQ7" i="4"/>
  <c r="AM8" i="4"/>
  <c r="CY8" i="4"/>
  <c r="EE8" i="4"/>
  <c r="AW7" i="4"/>
  <c r="BF7" i="4"/>
  <c r="DI7" i="4"/>
  <c r="DR7" i="4"/>
  <c r="H8" i="4"/>
  <c r="AN8" i="4"/>
  <c r="BT8" i="4"/>
  <c r="CZ8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CW12" i="4"/>
  <c r="CX12" i="4"/>
  <c r="CY12" i="4"/>
  <c r="CZ12" i="4"/>
  <c r="DA12" i="4"/>
  <c r="DB12" i="4"/>
  <c r="DC12" i="4"/>
  <c r="DD12" i="4"/>
  <c r="DE12" i="4"/>
  <c r="DF12" i="4"/>
  <c r="DG12" i="4"/>
  <c r="DH12" i="4"/>
  <c r="DI12" i="4"/>
  <c r="DJ12" i="4"/>
  <c r="DK12" i="4"/>
  <c r="DL12" i="4"/>
  <c r="DM12" i="4"/>
  <c r="DN12" i="4"/>
  <c r="DO12" i="4"/>
  <c r="DP12" i="4"/>
  <c r="DQ12" i="4"/>
  <c r="DR12" i="4"/>
  <c r="DS12" i="4"/>
  <c r="DT12" i="4"/>
  <c r="DU12" i="4"/>
  <c r="DV12" i="4"/>
  <c r="DW12" i="4"/>
  <c r="DX12" i="4"/>
  <c r="DY12" i="4"/>
  <c r="DZ12" i="4"/>
  <c r="EA12" i="4"/>
  <c r="EB12" i="4"/>
  <c r="EC12" i="4"/>
  <c r="ED12" i="4"/>
  <c r="EE12" i="4"/>
  <c r="EF12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CU13" i="4"/>
  <c r="CV13" i="4"/>
  <c r="CW13" i="4"/>
  <c r="CX13" i="4"/>
  <c r="CY13" i="4"/>
  <c r="CZ13" i="4"/>
  <c r="DA13" i="4"/>
  <c r="DB13" i="4"/>
  <c r="DC13" i="4"/>
  <c r="DD13" i="4"/>
  <c r="DE13" i="4"/>
  <c r="DF13" i="4"/>
  <c r="DG13" i="4"/>
  <c r="DH13" i="4"/>
  <c r="DI13" i="4"/>
  <c r="DJ13" i="4"/>
  <c r="DK13" i="4"/>
  <c r="DL13" i="4"/>
  <c r="DM13" i="4"/>
  <c r="DN13" i="4"/>
  <c r="DO13" i="4"/>
  <c r="DP13" i="4"/>
  <c r="DQ13" i="4"/>
  <c r="DR13" i="4"/>
  <c r="DS13" i="4"/>
  <c r="DT13" i="4"/>
  <c r="DU13" i="4"/>
  <c r="DV13" i="4"/>
  <c r="DW13" i="4"/>
  <c r="DX13" i="4"/>
  <c r="DY13" i="4"/>
  <c r="DZ13" i="4"/>
  <c r="EA13" i="4"/>
  <c r="EB13" i="4"/>
  <c r="EC13" i="4"/>
  <c r="ED13" i="4"/>
  <c r="EE13" i="4"/>
  <c r="EF13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B14" i="4"/>
  <c r="CC14" i="4"/>
  <c r="CD14" i="4"/>
  <c r="CE14" i="4"/>
  <c r="CF14" i="4"/>
  <c r="CG14" i="4"/>
  <c r="CH14" i="4"/>
  <c r="CI14" i="4"/>
  <c r="CJ14" i="4"/>
  <c r="CK14" i="4"/>
  <c r="CL14" i="4"/>
  <c r="CM14" i="4"/>
  <c r="CN14" i="4"/>
  <c r="CO14" i="4"/>
  <c r="CP14" i="4"/>
  <c r="CQ14" i="4"/>
  <c r="CR14" i="4"/>
  <c r="CS14" i="4"/>
  <c r="CT14" i="4"/>
  <c r="CU14" i="4"/>
  <c r="CV14" i="4"/>
  <c r="CW14" i="4"/>
  <c r="CX14" i="4"/>
  <c r="CY14" i="4"/>
  <c r="CZ14" i="4"/>
  <c r="DA14" i="4"/>
  <c r="DB14" i="4"/>
  <c r="DC14" i="4"/>
  <c r="DD14" i="4"/>
  <c r="DE14" i="4"/>
  <c r="DF14" i="4"/>
  <c r="DG14" i="4"/>
  <c r="DH14" i="4"/>
  <c r="DI14" i="4"/>
  <c r="DJ14" i="4"/>
  <c r="DK14" i="4"/>
  <c r="DL14" i="4"/>
  <c r="DM14" i="4"/>
  <c r="DN14" i="4"/>
  <c r="DO14" i="4"/>
  <c r="DP14" i="4"/>
  <c r="DQ14" i="4"/>
  <c r="DR14" i="4"/>
  <c r="DS14" i="4"/>
  <c r="DT14" i="4"/>
  <c r="DU14" i="4"/>
  <c r="DV14" i="4"/>
  <c r="DW14" i="4"/>
  <c r="DX14" i="4"/>
  <c r="DY14" i="4"/>
  <c r="DZ14" i="4"/>
  <c r="EA14" i="4"/>
  <c r="EB14" i="4"/>
  <c r="EC14" i="4"/>
  <c r="ED14" i="4"/>
  <c r="EE14" i="4"/>
  <c r="EF14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CA15" i="4"/>
  <c r="CB15" i="4"/>
  <c r="CC15" i="4"/>
  <c r="CD15" i="4"/>
  <c r="CE15" i="4"/>
  <c r="CF15" i="4"/>
  <c r="CG15" i="4"/>
  <c r="CH15" i="4"/>
  <c r="CI15" i="4"/>
  <c r="CJ15" i="4"/>
  <c r="CK15" i="4"/>
  <c r="CL15" i="4"/>
  <c r="CM15" i="4"/>
  <c r="CN15" i="4"/>
  <c r="CO15" i="4"/>
  <c r="CP15" i="4"/>
  <c r="CQ15" i="4"/>
  <c r="CR15" i="4"/>
  <c r="CS15" i="4"/>
  <c r="CT15" i="4"/>
  <c r="CU15" i="4"/>
  <c r="CV15" i="4"/>
  <c r="CW15" i="4"/>
  <c r="CX15" i="4"/>
  <c r="CY15" i="4"/>
  <c r="CZ15" i="4"/>
  <c r="DA15" i="4"/>
  <c r="DB15" i="4"/>
  <c r="DC15" i="4"/>
  <c r="DD15" i="4"/>
  <c r="DE15" i="4"/>
  <c r="DF15" i="4"/>
  <c r="DG15" i="4"/>
  <c r="DH15" i="4"/>
  <c r="DI15" i="4"/>
  <c r="DJ15" i="4"/>
  <c r="DK15" i="4"/>
  <c r="DL15" i="4"/>
  <c r="DM15" i="4"/>
  <c r="DN15" i="4"/>
  <c r="DO15" i="4"/>
  <c r="DP15" i="4"/>
  <c r="DQ15" i="4"/>
  <c r="DR15" i="4"/>
  <c r="DS15" i="4"/>
  <c r="DT15" i="4"/>
  <c r="DU15" i="4"/>
  <c r="DV15" i="4"/>
  <c r="DW15" i="4"/>
  <c r="DX15" i="4"/>
  <c r="DY15" i="4"/>
  <c r="DZ15" i="4"/>
  <c r="EA15" i="4"/>
  <c r="EB15" i="4"/>
  <c r="EC15" i="4"/>
  <c r="ED15" i="4"/>
  <c r="EE15" i="4"/>
  <c r="EF15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Q16" i="4"/>
  <c r="CR16" i="4"/>
  <c r="CS16" i="4"/>
  <c r="CT16" i="4"/>
  <c r="CU16" i="4"/>
  <c r="CV16" i="4"/>
  <c r="CW16" i="4"/>
  <c r="CX16" i="4"/>
  <c r="CY16" i="4"/>
  <c r="CZ16" i="4"/>
  <c r="DA16" i="4"/>
  <c r="DB16" i="4"/>
  <c r="DC16" i="4"/>
  <c r="DD16" i="4"/>
  <c r="DE16" i="4"/>
  <c r="DF16" i="4"/>
  <c r="DG16" i="4"/>
  <c r="DH16" i="4"/>
  <c r="DI16" i="4"/>
  <c r="DJ16" i="4"/>
  <c r="DK16" i="4"/>
  <c r="DL16" i="4"/>
  <c r="DM16" i="4"/>
  <c r="DN16" i="4"/>
  <c r="DO16" i="4"/>
  <c r="DP16" i="4"/>
  <c r="DQ16" i="4"/>
  <c r="DR16" i="4"/>
  <c r="DS16" i="4"/>
  <c r="DT16" i="4"/>
  <c r="DU16" i="4"/>
  <c r="DV16" i="4"/>
  <c r="DW16" i="4"/>
  <c r="DX16" i="4"/>
  <c r="DY16" i="4"/>
  <c r="DZ16" i="4"/>
  <c r="EA16" i="4"/>
  <c r="EB16" i="4"/>
  <c r="EC16" i="4"/>
  <c r="ED16" i="4"/>
  <c r="EE16" i="4"/>
  <c r="EF16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CA17" i="4"/>
  <c r="CB17" i="4"/>
  <c r="CC17" i="4"/>
  <c r="CD17" i="4"/>
  <c r="CE17" i="4"/>
  <c r="CF17" i="4"/>
  <c r="CG17" i="4"/>
  <c r="CH17" i="4"/>
  <c r="CI17" i="4"/>
  <c r="CJ17" i="4"/>
  <c r="CK17" i="4"/>
  <c r="CL17" i="4"/>
  <c r="CM17" i="4"/>
  <c r="CN17" i="4"/>
  <c r="CO17" i="4"/>
  <c r="CP17" i="4"/>
  <c r="CQ17" i="4"/>
  <c r="CR17" i="4"/>
  <c r="CS17" i="4"/>
  <c r="CT17" i="4"/>
  <c r="CU17" i="4"/>
  <c r="CV17" i="4"/>
  <c r="CW17" i="4"/>
  <c r="CX17" i="4"/>
  <c r="CY17" i="4"/>
  <c r="CZ17" i="4"/>
  <c r="DA17" i="4"/>
  <c r="DB17" i="4"/>
  <c r="DC17" i="4"/>
  <c r="DD17" i="4"/>
  <c r="DE17" i="4"/>
  <c r="DF17" i="4"/>
  <c r="DG17" i="4"/>
  <c r="DH17" i="4"/>
  <c r="DI17" i="4"/>
  <c r="DJ17" i="4"/>
  <c r="DK17" i="4"/>
  <c r="DL17" i="4"/>
  <c r="DM17" i="4"/>
  <c r="DN17" i="4"/>
  <c r="DO17" i="4"/>
  <c r="DP17" i="4"/>
  <c r="DQ17" i="4"/>
  <c r="DR17" i="4"/>
  <c r="DS17" i="4"/>
  <c r="DT17" i="4"/>
  <c r="DU17" i="4"/>
  <c r="DV17" i="4"/>
  <c r="DW17" i="4"/>
  <c r="DX17" i="4"/>
  <c r="DY17" i="4"/>
  <c r="DZ17" i="4"/>
  <c r="EA17" i="4"/>
  <c r="EB17" i="4"/>
  <c r="EC17" i="4"/>
  <c r="ED17" i="4"/>
  <c r="EE17" i="4"/>
  <c r="EF17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N18" i="4"/>
  <c r="CO18" i="4"/>
  <c r="CP18" i="4"/>
  <c r="CQ18" i="4"/>
  <c r="CR18" i="4"/>
  <c r="CS18" i="4"/>
  <c r="CT18" i="4"/>
  <c r="CU18" i="4"/>
  <c r="CV18" i="4"/>
  <c r="CW18" i="4"/>
  <c r="CX18" i="4"/>
  <c r="CY18" i="4"/>
  <c r="CZ18" i="4"/>
  <c r="DA18" i="4"/>
  <c r="DB18" i="4"/>
  <c r="DC18" i="4"/>
  <c r="DD18" i="4"/>
  <c r="DE18" i="4"/>
  <c r="DF18" i="4"/>
  <c r="DG18" i="4"/>
  <c r="DH18" i="4"/>
  <c r="DI18" i="4"/>
  <c r="DJ18" i="4"/>
  <c r="DK18" i="4"/>
  <c r="DL18" i="4"/>
  <c r="DM18" i="4"/>
  <c r="DN18" i="4"/>
  <c r="DO18" i="4"/>
  <c r="DP18" i="4"/>
  <c r="DQ18" i="4"/>
  <c r="DR18" i="4"/>
  <c r="DS18" i="4"/>
  <c r="DT18" i="4"/>
  <c r="DU18" i="4"/>
  <c r="DV18" i="4"/>
  <c r="DW18" i="4"/>
  <c r="DX18" i="4"/>
  <c r="DY18" i="4"/>
  <c r="DZ18" i="4"/>
  <c r="EA18" i="4"/>
  <c r="EB18" i="4"/>
  <c r="EC18" i="4"/>
  <c r="ED18" i="4"/>
  <c r="EE18" i="4"/>
  <c r="EF18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N19" i="4"/>
  <c r="CO19" i="4"/>
  <c r="CP19" i="4"/>
  <c r="CQ19" i="4"/>
  <c r="CR19" i="4"/>
  <c r="CS19" i="4"/>
  <c r="CT19" i="4"/>
  <c r="CU19" i="4"/>
  <c r="CV19" i="4"/>
  <c r="CW19" i="4"/>
  <c r="CX19" i="4"/>
  <c r="CY19" i="4"/>
  <c r="CZ19" i="4"/>
  <c r="DA19" i="4"/>
  <c r="DB19" i="4"/>
  <c r="DC19" i="4"/>
  <c r="DD19" i="4"/>
  <c r="DE19" i="4"/>
  <c r="DF19" i="4"/>
  <c r="DG19" i="4"/>
  <c r="DH19" i="4"/>
  <c r="DI19" i="4"/>
  <c r="DJ19" i="4"/>
  <c r="DK19" i="4"/>
  <c r="DL19" i="4"/>
  <c r="DM19" i="4"/>
  <c r="DN19" i="4"/>
  <c r="DO19" i="4"/>
  <c r="DP19" i="4"/>
  <c r="DQ19" i="4"/>
  <c r="DR19" i="4"/>
  <c r="DS19" i="4"/>
  <c r="DT19" i="4"/>
  <c r="DU19" i="4"/>
  <c r="DV19" i="4"/>
  <c r="DW19" i="4"/>
  <c r="DX19" i="4"/>
  <c r="DY19" i="4"/>
  <c r="DZ19" i="4"/>
  <c r="EA19" i="4"/>
  <c r="EB19" i="4"/>
  <c r="EC19" i="4"/>
  <c r="ED19" i="4"/>
  <c r="EE19" i="4"/>
  <c r="EF19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N20" i="4"/>
  <c r="CO20" i="4"/>
  <c r="CP20" i="4"/>
  <c r="CQ20" i="4"/>
  <c r="CR20" i="4"/>
  <c r="CS20" i="4"/>
  <c r="CT20" i="4"/>
  <c r="CU20" i="4"/>
  <c r="CV20" i="4"/>
  <c r="CW20" i="4"/>
  <c r="CX20" i="4"/>
  <c r="CY20" i="4"/>
  <c r="CZ20" i="4"/>
  <c r="DA20" i="4"/>
  <c r="DB20" i="4"/>
  <c r="DC20" i="4"/>
  <c r="DD20" i="4"/>
  <c r="DE20" i="4"/>
  <c r="DF20" i="4"/>
  <c r="DG20" i="4"/>
  <c r="DH20" i="4"/>
  <c r="DI20" i="4"/>
  <c r="DJ20" i="4"/>
  <c r="DK20" i="4"/>
  <c r="DL20" i="4"/>
  <c r="DM20" i="4"/>
  <c r="DN20" i="4"/>
  <c r="DO20" i="4"/>
  <c r="DP20" i="4"/>
  <c r="DQ20" i="4"/>
  <c r="DR20" i="4"/>
  <c r="DS20" i="4"/>
  <c r="DT20" i="4"/>
  <c r="DU20" i="4"/>
  <c r="DV20" i="4"/>
  <c r="DW20" i="4"/>
  <c r="DX20" i="4"/>
  <c r="DY20" i="4"/>
  <c r="DZ20" i="4"/>
  <c r="EA20" i="4"/>
  <c r="EB20" i="4"/>
  <c r="EC20" i="4"/>
  <c r="ED20" i="4"/>
  <c r="EE20" i="4"/>
  <c r="EF20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CL21" i="4"/>
  <c r="CM21" i="4"/>
  <c r="CN21" i="4"/>
  <c r="CO21" i="4"/>
  <c r="CP21" i="4"/>
  <c r="CQ21" i="4"/>
  <c r="CR21" i="4"/>
  <c r="CS21" i="4"/>
  <c r="CT21" i="4"/>
  <c r="CU21" i="4"/>
  <c r="CV21" i="4"/>
  <c r="CW21" i="4"/>
  <c r="CX21" i="4"/>
  <c r="CY21" i="4"/>
  <c r="CZ21" i="4"/>
  <c r="DA21" i="4"/>
  <c r="DB21" i="4"/>
  <c r="DC21" i="4"/>
  <c r="DD21" i="4"/>
  <c r="DE21" i="4"/>
  <c r="DF21" i="4"/>
  <c r="DG21" i="4"/>
  <c r="DH21" i="4"/>
  <c r="DI21" i="4"/>
  <c r="DJ21" i="4"/>
  <c r="DK21" i="4"/>
  <c r="DL21" i="4"/>
  <c r="DM21" i="4"/>
  <c r="DN21" i="4"/>
  <c r="DO21" i="4"/>
  <c r="DP21" i="4"/>
  <c r="DQ21" i="4"/>
  <c r="DR21" i="4"/>
  <c r="DS21" i="4"/>
  <c r="DT21" i="4"/>
  <c r="DU21" i="4"/>
  <c r="DV21" i="4"/>
  <c r="DW21" i="4"/>
  <c r="DX21" i="4"/>
  <c r="DY21" i="4"/>
  <c r="DZ21" i="4"/>
  <c r="EA21" i="4"/>
  <c r="EB21" i="4"/>
  <c r="EC21" i="4"/>
  <c r="ED21" i="4"/>
  <c r="EE21" i="4"/>
  <c r="EF21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P22" i="4"/>
  <c r="CQ22" i="4"/>
  <c r="CR22" i="4"/>
  <c r="CS22" i="4"/>
  <c r="CT22" i="4"/>
  <c r="CU22" i="4"/>
  <c r="CV22" i="4"/>
  <c r="CW22" i="4"/>
  <c r="CX22" i="4"/>
  <c r="CY22" i="4"/>
  <c r="CZ22" i="4"/>
  <c r="DA22" i="4"/>
  <c r="DB22" i="4"/>
  <c r="DC22" i="4"/>
  <c r="DD22" i="4"/>
  <c r="DE22" i="4"/>
  <c r="DF22" i="4"/>
  <c r="DG22" i="4"/>
  <c r="DH22" i="4"/>
  <c r="DI22" i="4"/>
  <c r="DJ22" i="4"/>
  <c r="DK22" i="4"/>
  <c r="DL22" i="4"/>
  <c r="DM22" i="4"/>
  <c r="DN22" i="4"/>
  <c r="DO22" i="4"/>
  <c r="DP22" i="4"/>
  <c r="DQ22" i="4"/>
  <c r="DR22" i="4"/>
  <c r="DS22" i="4"/>
  <c r="DT22" i="4"/>
  <c r="DU22" i="4"/>
  <c r="DV22" i="4"/>
  <c r="DW22" i="4"/>
  <c r="DX22" i="4"/>
  <c r="DY22" i="4"/>
  <c r="DZ22" i="4"/>
  <c r="EA22" i="4"/>
  <c r="EB22" i="4"/>
  <c r="EC22" i="4"/>
  <c r="ED22" i="4"/>
  <c r="EE22" i="4"/>
  <c r="EF22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CR23" i="4"/>
  <c r="CS23" i="4"/>
  <c r="CT23" i="4"/>
  <c r="CU23" i="4"/>
  <c r="CV23" i="4"/>
  <c r="CW23" i="4"/>
  <c r="CX23" i="4"/>
  <c r="CY23" i="4"/>
  <c r="CZ23" i="4"/>
  <c r="DA23" i="4"/>
  <c r="DB23" i="4"/>
  <c r="DC23" i="4"/>
  <c r="DD23" i="4"/>
  <c r="DE23" i="4"/>
  <c r="DF23" i="4"/>
  <c r="DG23" i="4"/>
  <c r="DH23" i="4"/>
  <c r="DI23" i="4"/>
  <c r="DJ23" i="4"/>
  <c r="DK23" i="4"/>
  <c r="DL23" i="4"/>
  <c r="DM23" i="4"/>
  <c r="DN23" i="4"/>
  <c r="DO23" i="4"/>
  <c r="DP23" i="4"/>
  <c r="DQ23" i="4"/>
  <c r="DR23" i="4"/>
  <c r="DS23" i="4"/>
  <c r="DT23" i="4"/>
  <c r="DU23" i="4"/>
  <c r="DV23" i="4"/>
  <c r="DW23" i="4"/>
  <c r="DX23" i="4"/>
  <c r="DY23" i="4"/>
  <c r="DZ23" i="4"/>
  <c r="EA23" i="4"/>
  <c r="EB23" i="4"/>
  <c r="EC23" i="4"/>
  <c r="ED23" i="4"/>
  <c r="EE23" i="4"/>
  <c r="EF23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P24" i="4"/>
  <c r="CQ24" i="4"/>
  <c r="CR24" i="4"/>
  <c r="CS24" i="4"/>
  <c r="CT24" i="4"/>
  <c r="CU24" i="4"/>
  <c r="CV24" i="4"/>
  <c r="CW24" i="4"/>
  <c r="CX24" i="4"/>
  <c r="CY24" i="4"/>
  <c r="CZ24" i="4"/>
  <c r="DA24" i="4"/>
  <c r="DB24" i="4"/>
  <c r="DC24" i="4"/>
  <c r="DD24" i="4"/>
  <c r="DE24" i="4"/>
  <c r="DF24" i="4"/>
  <c r="DG24" i="4"/>
  <c r="DH24" i="4"/>
  <c r="DI24" i="4"/>
  <c r="DJ24" i="4"/>
  <c r="DK24" i="4"/>
  <c r="DL24" i="4"/>
  <c r="DM24" i="4"/>
  <c r="DN24" i="4"/>
  <c r="DO24" i="4"/>
  <c r="DP24" i="4"/>
  <c r="DQ24" i="4"/>
  <c r="DR24" i="4"/>
  <c r="DS24" i="4"/>
  <c r="DT24" i="4"/>
  <c r="DU24" i="4"/>
  <c r="DV24" i="4"/>
  <c r="DW24" i="4"/>
  <c r="DX24" i="4"/>
  <c r="DY24" i="4"/>
  <c r="DZ24" i="4"/>
  <c r="EA24" i="4"/>
  <c r="EB24" i="4"/>
  <c r="EC24" i="4"/>
  <c r="ED24" i="4"/>
  <c r="EE24" i="4"/>
  <c r="EF24" i="4"/>
  <c r="C13" i="4"/>
  <c r="C14" i="4"/>
  <c r="C15" i="4"/>
  <c r="C16" i="4"/>
  <c r="C17" i="4"/>
  <c r="C18" i="4"/>
  <c r="C19" i="4"/>
  <c r="C20" i="4"/>
  <c r="C21" i="4"/>
  <c r="C22" i="4"/>
  <c r="C23" i="4"/>
  <c r="C24" i="4"/>
  <c r="C12" i="4"/>
  <c r="D6" i="2" a="1"/>
  <c r="D6" i="2"/>
  <c r="D8" i="2" s="1"/>
  <c r="E6" i="2" a="1"/>
  <c r="E6" i="2"/>
  <c r="E8" i="2" s="1"/>
  <c r="F6" i="2" a="1"/>
  <c r="F6" i="2" s="1"/>
  <c r="G6" i="2" a="1"/>
  <c r="G6" i="2"/>
  <c r="H6" i="2" a="1"/>
  <c r="H6" i="2"/>
  <c r="H7" i="2" s="1"/>
  <c r="I6" i="2" a="1"/>
  <c r="I6" i="2" s="1"/>
  <c r="J6" i="2" a="1"/>
  <c r="J6" i="2" s="1"/>
  <c r="J7" i="2" s="1"/>
  <c r="K6" i="2" a="1"/>
  <c r="K6" i="2"/>
  <c r="K8" i="2" s="1"/>
  <c r="L6" i="2" a="1"/>
  <c r="L6" i="2"/>
  <c r="L8" i="2" s="1"/>
  <c r="M6" i="2" a="1"/>
  <c r="M6" i="2" s="1"/>
  <c r="N6" i="2" a="1"/>
  <c r="N6" i="2" s="1"/>
  <c r="O6" i="2" a="1"/>
  <c r="O6" i="2"/>
  <c r="P6" i="2" a="1"/>
  <c r="P6" i="2"/>
  <c r="P7" i="2" s="1"/>
  <c r="Q6" i="2" a="1"/>
  <c r="Q6" i="2" s="1"/>
  <c r="R6" i="2" a="1"/>
  <c r="R6" i="2" s="1"/>
  <c r="R7" i="2" s="1"/>
  <c r="S6" i="2" a="1"/>
  <c r="S6" i="2"/>
  <c r="S8" i="2" s="1"/>
  <c r="T6" i="2" a="1"/>
  <c r="T6" i="2"/>
  <c r="T8" i="2" s="1"/>
  <c r="U6" i="2" a="1"/>
  <c r="U6" i="2"/>
  <c r="U8" i="2" s="1"/>
  <c r="V6" i="2" a="1"/>
  <c r="V6" i="2" s="1"/>
  <c r="V7" i="2" s="1"/>
  <c r="W6" i="2" a="1"/>
  <c r="W6" i="2"/>
  <c r="X6" i="2" a="1"/>
  <c r="X6" i="2"/>
  <c r="X7" i="2" s="1"/>
  <c r="Y6" i="2" a="1"/>
  <c r="Y6" i="2" s="1"/>
  <c r="Z6" i="2" a="1"/>
  <c r="Z6" i="2" s="1"/>
  <c r="Z7" i="2" s="1"/>
  <c r="AA6" i="2" a="1"/>
  <c r="AA6" i="2"/>
  <c r="AA8" i="2" s="1"/>
  <c r="AB6" i="2" a="1"/>
  <c r="AB6" i="2"/>
  <c r="AB8" i="2" s="1"/>
  <c r="AC6" i="2" a="1"/>
  <c r="AC6" i="2" s="1"/>
  <c r="AD6" i="2" a="1"/>
  <c r="AD6" i="2" s="1"/>
  <c r="AE6" i="2" a="1"/>
  <c r="AE6" i="2"/>
  <c r="AF6" i="2" a="1"/>
  <c r="AF6" i="2"/>
  <c r="AF7" i="2" s="1"/>
  <c r="AG6" i="2" a="1"/>
  <c r="AG6" i="2" s="1"/>
  <c r="AH6" i="2" a="1"/>
  <c r="AH6" i="2" s="1"/>
  <c r="AH7" i="2" s="1"/>
  <c r="AI6" i="2" a="1"/>
  <c r="AI6" i="2"/>
  <c r="AI8" i="2" s="1"/>
  <c r="AJ6" i="2" a="1"/>
  <c r="AJ6" i="2"/>
  <c r="AJ8" i="2" s="1"/>
  <c r="AK6" i="2" a="1"/>
  <c r="AK6" i="2"/>
  <c r="AK7" i="2" s="1"/>
  <c r="AL6" i="2" a="1"/>
  <c r="AL6" i="2" s="1"/>
  <c r="AM6" i="2" a="1"/>
  <c r="AM6" i="2"/>
  <c r="AN6" i="2" a="1"/>
  <c r="AN6" i="2"/>
  <c r="AN7" i="2" s="1"/>
  <c r="AO6" i="2" a="1"/>
  <c r="AO6" i="2" s="1"/>
  <c r="AP6" i="2" a="1"/>
  <c r="AP6" i="2" s="1"/>
  <c r="AQ6" i="2" a="1"/>
  <c r="AQ6" i="2"/>
  <c r="AQ8" i="2" s="1"/>
  <c r="AR6" i="2" a="1"/>
  <c r="AR6" i="2"/>
  <c r="AR8" i="2" s="1"/>
  <c r="AS6" i="2" a="1"/>
  <c r="AS6" i="2" s="1"/>
  <c r="AT6" i="2" a="1"/>
  <c r="AT6" i="2" s="1"/>
  <c r="AU6" i="2" a="1"/>
  <c r="AU6" i="2"/>
  <c r="AV6" i="2" a="1"/>
  <c r="AV6" i="2"/>
  <c r="AV7" i="2" s="1"/>
  <c r="AW6" i="2" a="1"/>
  <c r="AW6" i="2" s="1"/>
  <c r="AX6" i="2" a="1"/>
  <c r="AX6" i="2" s="1"/>
  <c r="AY6" i="2" a="1"/>
  <c r="AY6" i="2"/>
  <c r="AY8" i="2" s="1"/>
  <c r="AZ6" i="2" a="1"/>
  <c r="AZ6" i="2"/>
  <c r="AZ8" i="2" s="1"/>
  <c r="BA6" i="2" a="1"/>
  <c r="BA6" i="2" s="1"/>
  <c r="BB6" i="2" a="1"/>
  <c r="BB6" i="2" s="1"/>
  <c r="BC6" i="2" a="1"/>
  <c r="BC6" i="2"/>
  <c r="BD6" i="2" a="1"/>
  <c r="BD6" i="2"/>
  <c r="BD7" i="2" s="1"/>
  <c r="BE6" i="2" a="1"/>
  <c r="BE6" i="2" s="1"/>
  <c r="BF6" i="2" a="1"/>
  <c r="BF6" i="2" s="1"/>
  <c r="BG6" i="2" a="1"/>
  <c r="BG6" i="2"/>
  <c r="BG8" i="2" s="1"/>
  <c r="BH6" i="2" a="1"/>
  <c r="BH6" i="2"/>
  <c r="BH8" i="2" s="1"/>
  <c r="BI6" i="2" a="1"/>
  <c r="BI6" i="2" s="1"/>
  <c r="BJ6" i="2" a="1"/>
  <c r="BJ6" i="2" s="1"/>
  <c r="BK6" i="2" a="1"/>
  <c r="BK6" i="2"/>
  <c r="BL6" i="2" a="1"/>
  <c r="BL6" i="2"/>
  <c r="BL7" i="2" s="1"/>
  <c r="BM6" i="2" a="1"/>
  <c r="BM6" i="2" s="1"/>
  <c r="BN6" i="2" a="1"/>
  <c r="BN6" i="2" s="1"/>
  <c r="BO6" i="2" a="1"/>
  <c r="BO6" i="2"/>
  <c r="BO8" i="2" s="1"/>
  <c r="BP6" i="2" a="1"/>
  <c r="BP6" i="2"/>
  <c r="BP8" i="2" s="1"/>
  <c r="BQ6" i="2" a="1"/>
  <c r="BQ6" i="2" s="1"/>
  <c r="BR6" i="2" a="1"/>
  <c r="BR6" i="2" s="1"/>
  <c r="BS6" i="2" a="1"/>
  <c r="BS6" i="2"/>
  <c r="BT6" i="2" a="1"/>
  <c r="BT6" i="2"/>
  <c r="BT7" i="2" s="1"/>
  <c r="BU6" i="2" a="1"/>
  <c r="BU6" i="2" s="1"/>
  <c r="BV6" i="2" a="1"/>
  <c r="BV6" i="2" s="1"/>
  <c r="BW6" i="2" a="1"/>
  <c r="BW6" i="2"/>
  <c r="BW8" i="2" s="1"/>
  <c r="BX6" i="2" a="1"/>
  <c r="BX6" i="2"/>
  <c r="BX8" i="2" s="1"/>
  <c r="BY6" i="2" a="1"/>
  <c r="BY6" i="2" s="1"/>
  <c r="BZ6" i="2" a="1"/>
  <c r="BZ6" i="2" s="1"/>
  <c r="CA6" i="2" a="1"/>
  <c r="CA6" i="2"/>
  <c r="CB6" i="2" a="1"/>
  <c r="CB6" i="2"/>
  <c r="CB7" i="2" s="1"/>
  <c r="CC6" i="2" a="1"/>
  <c r="CC6" i="2" s="1"/>
  <c r="CD6" i="2" a="1"/>
  <c r="CD6" i="2" s="1"/>
  <c r="CE6" i="2" a="1"/>
  <c r="CE6" i="2"/>
  <c r="CE8" i="2" s="1"/>
  <c r="CF6" i="2" a="1"/>
  <c r="CF6" i="2"/>
  <c r="CF8" i="2" s="1"/>
  <c r="CG6" i="2" a="1"/>
  <c r="CG6" i="2" s="1"/>
  <c r="CH6" i="2" a="1"/>
  <c r="CH6" i="2" s="1"/>
  <c r="CI6" i="2" a="1"/>
  <c r="CI6" i="2"/>
  <c r="CJ6" i="2" a="1"/>
  <c r="CJ6" i="2"/>
  <c r="CJ7" i="2" s="1"/>
  <c r="CK6" i="2" a="1"/>
  <c r="CK6" i="2" s="1"/>
  <c r="CL6" i="2" a="1"/>
  <c r="CL6" i="2" s="1"/>
  <c r="CM6" i="2" a="1"/>
  <c r="CM6" i="2"/>
  <c r="CM8" i="2" s="1"/>
  <c r="CN6" i="2" a="1"/>
  <c r="CN6" i="2"/>
  <c r="CN8" i="2" s="1"/>
  <c r="CO6" i="2" a="1"/>
  <c r="CO6" i="2" s="1"/>
  <c r="CP6" i="2" a="1"/>
  <c r="CP6" i="2" s="1"/>
  <c r="CQ6" i="2" a="1"/>
  <c r="CQ6" i="2"/>
  <c r="CR6" i="2" a="1"/>
  <c r="CR6" i="2"/>
  <c r="CR7" i="2" s="1"/>
  <c r="CS6" i="2" a="1"/>
  <c r="CS6" i="2" s="1"/>
  <c r="CT6" i="2" a="1"/>
  <c r="CT6" i="2" s="1"/>
  <c r="CU6" i="2" a="1"/>
  <c r="CU6" i="2"/>
  <c r="CU8" i="2" s="1"/>
  <c r="CV6" i="2" a="1"/>
  <c r="CV6" i="2"/>
  <c r="CV8" i="2" s="1"/>
  <c r="CW6" i="2" a="1"/>
  <c r="CW6" i="2" s="1"/>
  <c r="CX6" i="2" a="1"/>
  <c r="CX6" i="2" s="1"/>
  <c r="CY6" i="2" a="1"/>
  <c r="CY6" i="2"/>
  <c r="CZ6" i="2" a="1"/>
  <c r="CZ6" i="2"/>
  <c r="CZ7" i="2" s="1"/>
  <c r="DA6" i="2" a="1"/>
  <c r="DA6" i="2" s="1"/>
  <c r="DB6" i="2" a="1"/>
  <c r="DB6" i="2" s="1"/>
  <c r="DC6" i="2" a="1"/>
  <c r="DC6" i="2"/>
  <c r="DC8" i="2" s="1"/>
  <c r="DD6" i="2" a="1"/>
  <c r="DD6" i="2"/>
  <c r="DD8" i="2" s="1"/>
  <c r="DE6" i="2" a="1"/>
  <c r="DE6" i="2" s="1"/>
  <c r="DF6" i="2" a="1"/>
  <c r="DF6" i="2" s="1"/>
  <c r="DG6" i="2" a="1"/>
  <c r="DG6" i="2"/>
  <c r="DH6" i="2" a="1"/>
  <c r="DH6" i="2"/>
  <c r="DH7" i="2" s="1"/>
  <c r="DI6" i="2" a="1"/>
  <c r="DI6" i="2" s="1"/>
  <c r="DJ6" i="2" a="1"/>
  <c r="DJ6" i="2" s="1"/>
  <c r="DK6" i="2" a="1"/>
  <c r="DK6" i="2"/>
  <c r="DK8" i="2" s="1"/>
  <c r="DL6" i="2" a="1"/>
  <c r="DL6" i="2"/>
  <c r="DL8" i="2" s="1"/>
  <c r="DM6" i="2" a="1"/>
  <c r="DM6" i="2" s="1"/>
  <c r="DN6" i="2" a="1"/>
  <c r="DN6" i="2" s="1"/>
  <c r="DO6" i="2" a="1"/>
  <c r="DO6" i="2"/>
  <c r="DP6" i="2" a="1"/>
  <c r="DP6" i="2"/>
  <c r="DP7" i="2" s="1"/>
  <c r="DQ6" i="2" a="1"/>
  <c r="DQ6" i="2" s="1"/>
  <c r="DR6" i="2" a="1"/>
  <c r="DR6" i="2" s="1"/>
  <c r="DS6" i="2" a="1"/>
  <c r="DS6" i="2"/>
  <c r="DS8" i="2" s="1"/>
  <c r="DT6" i="2" a="1"/>
  <c r="DT6" i="2"/>
  <c r="DT8" i="2" s="1"/>
  <c r="DU6" i="2" a="1"/>
  <c r="DU6" i="2" s="1"/>
  <c r="DV6" i="2" a="1"/>
  <c r="DV6" i="2" s="1"/>
  <c r="DW6" i="2" a="1"/>
  <c r="DW6" i="2"/>
  <c r="DX6" i="2" a="1"/>
  <c r="DX6" i="2"/>
  <c r="DX7" i="2" s="1"/>
  <c r="DY6" i="2" a="1"/>
  <c r="DY6" i="2" s="1"/>
  <c r="DZ6" i="2" a="1"/>
  <c r="DZ6" i="2" s="1"/>
  <c r="EA6" i="2" a="1"/>
  <c r="EA6" i="2"/>
  <c r="EA8" i="2" s="1"/>
  <c r="EB6" i="2" a="1"/>
  <c r="EB6" i="2"/>
  <c r="EB8" i="2" s="1"/>
  <c r="EC6" i="2" a="1"/>
  <c r="EC6" i="2" s="1"/>
  <c r="ED6" i="2" a="1"/>
  <c r="ED6" i="2" s="1"/>
  <c r="EE6" i="2" a="1"/>
  <c r="EE6" i="2"/>
  <c r="EF6" i="2" a="1"/>
  <c r="EF6" i="2"/>
  <c r="EF7" i="2" s="1"/>
  <c r="D7" i="2"/>
  <c r="E7" i="2"/>
  <c r="F7" i="2"/>
  <c r="G7" i="2"/>
  <c r="K7" i="2"/>
  <c r="N7" i="2"/>
  <c r="O7" i="2"/>
  <c r="S7" i="2"/>
  <c r="T7" i="2"/>
  <c r="U7" i="2"/>
  <c r="W7" i="2"/>
  <c r="AA7" i="2"/>
  <c r="AB7" i="2"/>
  <c r="AD7" i="2"/>
  <c r="AE7" i="2"/>
  <c r="AI7" i="2"/>
  <c r="AL7" i="2"/>
  <c r="AM7" i="2"/>
  <c r="AQ7" i="2"/>
  <c r="AR7" i="2"/>
  <c r="AU7" i="2"/>
  <c r="AY7" i="2"/>
  <c r="AZ7" i="2"/>
  <c r="BC7" i="2"/>
  <c r="BG7" i="2"/>
  <c r="BH7" i="2"/>
  <c r="BK7" i="2"/>
  <c r="BO7" i="2"/>
  <c r="BP7" i="2"/>
  <c r="BS7" i="2"/>
  <c r="BW7" i="2"/>
  <c r="CA7" i="2"/>
  <c r="CE7" i="2"/>
  <c r="CF7" i="2"/>
  <c r="CI7" i="2"/>
  <c r="CM7" i="2"/>
  <c r="CN7" i="2"/>
  <c r="CQ7" i="2"/>
  <c r="CU7" i="2"/>
  <c r="CY7" i="2"/>
  <c r="DC7" i="2"/>
  <c r="DG7" i="2"/>
  <c r="DK7" i="2"/>
  <c r="DO7" i="2"/>
  <c r="DS7" i="2"/>
  <c r="DT7" i="2"/>
  <c r="DW7" i="2"/>
  <c r="EA7" i="2"/>
  <c r="EB7" i="2"/>
  <c r="EE7" i="2"/>
  <c r="F8" i="2"/>
  <c r="G8" i="2"/>
  <c r="H8" i="2"/>
  <c r="J8" i="2"/>
  <c r="N8" i="2"/>
  <c r="O8" i="2"/>
  <c r="P8" i="2"/>
  <c r="V8" i="2"/>
  <c r="W8" i="2"/>
  <c r="X8" i="2"/>
  <c r="Z8" i="2"/>
  <c r="AD8" i="2"/>
  <c r="AE8" i="2"/>
  <c r="AF8" i="2"/>
  <c r="AH8" i="2"/>
  <c r="AK8" i="2"/>
  <c r="AL8" i="2"/>
  <c r="AM8" i="2"/>
  <c r="AU8" i="2"/>
  <c r="AV8" i="2"/>
  <c r="BC8" i="2"/>
  <c r="BD8" i="2"/>
  <c r="BK8" i="2"/>
  <c r="BL8" i="2"/>
  <c r="BS8" i="2"/>
  <c r="CA8" i="2"/>
  <c r="CB8" i="2"/>
  <c r="CI8" i="2"/>
  <c r="CJ8" i="2"/>
  <c r="CQ8" i="2"/>
  <c r="CR8" i="2"/>
  <c r="CY8" i="2"/>
  <c r="DG8" i="2"/>
  <c r="DH8" i="2"/>
  <c r="DO8" i="2"/>
  <c r="DP8" i="2"/>
  <c r="DW8" i="2"/>
  <c r="EE8" i="2"/>
  <c r="C8" i="2"/>
  <c r="C7" i="2"/>
  <c r="C6" i="2" a="1"/>
  <c r="C6" i="2" s="1"/>
  <c r="DY7" i="2" l="1"/>
  <c r="DY8" i="2"/>
  <c r="DI7" i="2"/>
  <c r="DI8" i="2"/>
  <c r="CS7" i="2"/>
  <c r="CS8" i="2"/>
  <c r="CC7" i="2"/>
  <c r="CC8" i="2"/>
  <c r="BM7" i="2"/>
  <c r="BM8" i="2"/>
  <c r="AW7" i="2"/>
  <c r="AW8" i="2"/>
  <c r="M8" i="2"/>
  <c r="M7" i="2"/>
  <c r="ED8" i="2"/>
  <c r="ED7" i="2"/>
  <c r="DN7" i="2"/>
  <c r="DN8" i="2"/>
  <c r="CX7" i="2"/>
  <c r="CX8" i="2"/>
  <c r="CH7" i="2"/>
  <c r="CH8" i="2"/>
  <c r="BR7" i="2"/>
  <c r="BR8" i="2"/>
  <c r="BB8" i="2"/>
  <c r="BB7" i="2"/>
  <c r="AG7" i="2"/>
  <c r="AG8" i="2"/>
  <c r="EC7" i="2"/>
  <c r="EC8" i="2"/>
  <c r="DM8" i="2"/>
  <c r="DM7" i="2"/>
  <c r="CW8" i="2"/>
  <c r="CW7" i="2"/>
  <c r="CG7" i="2"/>
  <c r="CG8" i="2"/>
  <c r="BQ7" i="2"/>
  <c r="BQ8" i="2"/>
  <c r="BA7" i="2"/>
  <c r="BA8" i="2"/>
  <c r="Q7" i="2"/>
  <c r="Q8" i="2"/>
  <c r="DR7" i="2"/>
  <c r="DR8" i="2"/>
  <c r="DB7" i="2"/>
  <c r="DB8" i="2"/>
  <c r="CL7" i="2"/>
  <c r="CL8" i="2"/>
  <c r="BV7" i="2"/>
  <c r="BV8" i="2"/>
  <c r="BF7" i="2"/>
  <c r="BF8" i="2"/>
  <c r="AP7" i="2"/>
  <c r="AP8" i="2"/>
  <c r="DQ7" i="2"/>
  <c r="DQ8" i="2"/>
  <c r="DA7" i="2"/>
  <c r="DA8" i="2"/>
  <c r="CK7" i="2"/>
  <c r="CK8" i="2"/>
  <c r="BU7" i="2"/>
  <c r="BU8" i="2"/>
  <c r="BE7" i="2"/>
  <c r="BE8" i="2"/>
  <c r="AO7" i="2"/>
  <c r="AO8" i="2"/>
  <c r="DV8" i="2"/>
  <c r="DV7" i="2"/>
  <c r="DF7" i="2"/>
  <c r="DF8" i="2"/>
  <c r="CP7" i="2"/>
  <c r="CP8" i="2"/>
  <c r="BZ7" i="2"/>
  <c r="BZ8" i="2"/>
  <c r="BJ8" i="2"/>
  <c r="BJ7" i="2"/>
  <c r="AT8" i="2"/>
  <c r="AT7" i="2"/>
  <c r="Y7" i="2"/>
  <c r="Y8" i="2"/>
  <c r="DU8" i="2"/>
  <c r="DU7" i="2"/>
  <c r="DE8" i="2"/>
  <c r="DE7" i="2"/>
  <c r="CO8" i="2"/>
  <c r="CO7" i="2"/>
  <c r="BY7" i="2"/>
  <c r="BY8" i="2"/>
  <c r="BI8" i="2"/>
  <c r="BI7" i="2"/>
  <c r="AS8" i="2"/>
  <c r="AS7" i="2"/>
  <c r="I7" i="2"/>
  <c r="I8" i="2"/>
  <c r="DZ7" i="2"/>
  <c r="DZ8" i="2"/>
  <c r="DJ7" i="2"/>
  <c r="DJ8" i="2"/>
  <c r="CT7" i="2"/>
  <c r="CT8" i="2"/>
  <c r="CD7" i="2"/>
  <c r="CD8" i="2"/>
  <c r="BN7" i="2"/>
  <c r="BN8" i="2"/>
  <c r="AX7" i="2"/>
  <c r="AX8" i="2"/>
  <c r="AC8" i="2"/>
  <c r="AC7" i="2"/>
  <c r="DL7" i="2"/>
  <c r="R8" i="2"/>
  <c r="BX7" i="2"/>
  <c r="L7" i="2"/>
  <c r="DX8" i="2"/>
  <c r="EF8" i="2"/>
  <c r="CZ8" i="2"/>
  <c r="BT8" i="2"/>
  <c r="AN8" i="2"/>
  <c r="CV7" i="2"/>
  <c r="AJ7" i="2"/>
  <c r="DD7" i="2"/>
  <c r="EF23" i="9" l="1"/>
  <c r="EE23" i="9"/>
  <c r="ED23" i="9"/>
  <c r="EC23" i="9"/>
  <c r="EB23" i="9"/>
  <c r="EA23" i="9"/>
  <c r="DZ23" i="9"/>
  <c r="DY23" i="9"/>
  <c r="DX23" i="9"/>
  <c r="DW23" i="9"/>
  <c r="DV23" i="9"/>
  <c r="DU23" i="9"/>
  <c r="DT23" i="9"/>
  <c r="DS23" i="9"/>
  <c r="DR23" i="9"/>
  <c r="DQ23" i="9"/>
  <c r="DP23" i="9"/>
  <c r="DO23" i="9"/>
  <c r="DN23" i="9"/>
  <c r="DM23" i="9"/>
  <c r="DL23" i="9"/>
  <c r="DK23" i="9"/>
  <c r="DJ23" i="9"/>
  <c r="DI23" i="9"/>
  <c r="DH23" i="9"/>
  <c r="DG23" i="9"/>
  <c r="DF23" i="9"/>
  <c r="DE23" i="9"/>
  <c r="DD23" i="9"/>
  <c r="DC23" i="9"/>
  <c r="DB23" i="9"/>
  <c r="DA23" i="9"/>
  <c r="CZ23" i="9"/>
  <c r="CY23" i="9"/>
  <c r="CX23" i="9"/>
  <c r="CW23" i="9"/>
  <c r="CV23" i="9"/>
  <c r="CU23" i="9"/>
  <c r="CT23" i="9"/>
  <c r="CS23" i="9"/>
  <c r="CR23" i="9"/>
  <c r="CQ23" i="9"/>
  <c r="CP23" i="9"/>
  <c r="CO23" i="9"/>
  <c r="CN23" i="9"/>
  <c r="CM23" i="9"/>
  <c r="CL23" i="9"/>
  <c r="CK23" i="9"/>
  <c r="CJ23" i="9"/>
  <c r="CI23" i="9"/>
  <c r="CH23" i="9"/>
  <c r="CG23" i="9"/>
  <c r="CF23" i="9"/>
  <c r="CE23" i="9"/>
  <c r="CD23" i="9"/>
  <c r="CC23" i="9"/>
  <c r="CB23" i="9"/>
  <c r="CA23" i="9"/>
  <c r="BZ23" i="9"/>
  <c r="BY23" i="9"/>
  <c r="BX23" i="9"/>
  <c r="BW23" i="9"/>
  <c r="BV23" i="9"/>
  <c r="BU23" i="9"/>
  <c r="BT23" i="9"/>
  <c r="BS23" i="9"/>
  <c r="BR23" i="9"/>
  <c r="BQ23" i="9"/>
  <c r="BP23" i="9"/>
  <c r="BO23" i="9"/>
  <c r="BN23" i="9"/>
  <c r="BM23" i="9"/>
  <c r="BL23" i="9"/>
  <c r="BK23" i="9"/>
  <c r="BJ23" i="9"/>
  <c r="BI23" i="9"/>
  <c r="BH23" i="9"/>
  <c r="BG23" i="9"/>
  <c r="BF23" i="9"/>
  <c r="BE23" i="9"/>
  <c r="BD23" i="9"/>
  <c r="BC23" i="9"/>
  <c r="BB23" i="9"/>
  <c r="BA23" i="9"/>
  <c r="AZ23" i="9"/>
  <c r="AY23" i="9"/>
  <c r="AX23" i="9"/>
  <c r="AW23" i="9"/>
  <c r="AV23" i="9"/>
  <c r="AU23" i="9"/>
  <c r="AT23" i="9"/>
  <c r="AS23" i="9"/>
  <c r="AR23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EF22" i="9"/>
  <c r="EE22" i="9"/>
  <c r="ED22" i="9"/>
  <c r="EC22" i="9"/>
  <c r="EB22" i="9"/>
  <c r="EA22" i="9"/>
  <c r="DZ22" i="9"/>
  <c r="DY22" i="9"/>
  <c r="DX22" i="9"/>
  <c r="DW22" i="9"/>
  <c r="DV22" i="9"/>
  <c r="DU22" i="9"/>
  <c r="DT22" i="9"/>
  <c r="DS22" i="9"/>
  <c r="DR22" i="9"/>
  <c r="DQ22" i="9"/>
  <c r="DP22" i="9"/>
  <c r="DO22" i="9"/>
  <c r="DN22" i="9"/>
  <c r="DM22" i="9"/>
  <c r="DL22" i="9"/>
  <c r="DK22" i="9"/>
  <c r="DJ22" i="9"/>
  <c r="DI22" i="9"/>
  <c r="DH22" i="9"/>
  <c r="DG22" i="9"/>
  <c r="DF22" i="9"/>
  <c r="DE22" i="9"/>
  <c r="DD22" i="9"/>
  <c r="DC22" i="9"/>
  <c r="DB22" i="9"/>
  <c r="DA22" i="9"/>
  <c r="CZ22" i="9"/>
  <c r="CY22" i="9"/>
  <c r="CX22" i="9"/>
  <c r="CW22" i="9"/>
  <c r="CV22" i="9"/>
  <c r="CU22" i="9"/>
  <c r="CT22" i="9"/>
  <c r="CS22" i="9"/>
  <c r="CR22" i="9"/>
  <c r="CQ22" i="9"/>
  <c r="CP22" i="9"/>
  <c r="CO22" i="9"/>
  <c r="CN22" i="9"/>
  <c r="CM22" i="9"/>
  <c r="CL22" i="9"/>
  <c r="CK22" i="9"/>
  <c r="CJ22" i="9"/>
  <c r="CI22" i="9"/>
  <c r="CH22" i="9"/>
  <c r="CG22" i="9"/>
  <c r="CF22" i="9"/>
  <c r="CE22" i="9"/>
  <c r="CD22" i="9"/>
  <c r="CC22" i="9"/>
  <c r="CB22" i="9"/>
  <c r="CA22" i="9"/>
  <c r="BZ22" i="9"/>
  <c r="BY22" i="9"/>
  <c r="BX22" i="9"/>
  <c r="BW22" i="9"/>
  <c r="BV22" i="9"/>
  <c r="BU22" i="9"/>
  <c r="BT22" i="9"/>
  <c r="BS22" i="9"/>
  <c r="BR22" i="9"/>
  <c r="BQ22" i="9"/>
  <c r="BP22" i="9"/>
  <c r="BO22" i="9"/>
  <c r="BN22" i="9"/>
  <c r="BM22" i="9"/>
  <c r="BL22" i="9"/>
  <c r="BK22" i="9"/>
  <c r="BJ22" i="9"/>
  <c r="BI22" i="9"/>
  <c r="BH22" i="9"/>
  <c r="BG22" i="9"/>
  <c r="BF22" i="9"/>
  <c r="BE22" i="9"/>
  <c r="BD22" i="9"/>
  <c r="BC22" i="9"/>
  <c r="BB22" i="9"/>
  <c r="BA22" i="9"/>
  <c r="AZ22" i="9"/>
  <c r="AY22" i="9"/>
  <c r="AX22" i="9"/>
  <c r="AW22" i="9"/>
  <c r="AV22" i="9"/>
  <c r="AU22" i="9"/>
  <c r="AT22" i="9"/>
  <c r="AS22" i="9"/>
  <c r="AR22" i="9"/>
  <c r="AQ22" i="9"/>
  <c r="AP22" i="9"/>
  <c r="AO22" i="9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EF21" i="9"/>
  <c r="EE21" i="9"/>
  <c r="ED21" i="9"/>
  <c r="EC21" i="9"/>
  <c r="EB21" i="9"/>
  <c r="EA21" i="9"/>
  <c r="DZ21" i="9"/>
  <c r="DY21" i="9"/>
  <c r="DX21" i="9"/>
  <c r="DW21" i="9"/>
  <c r="DV21" i="9"/>
  <c r="DU21" i="9"/>
  <c r="DT21" i="9"/>
  <c r="DS21" i="9"/>
  <c r="DR21" i="9"/>
  <c r="DQ21" i="9"/>
  <c r="DP21" i="9"/>
  <c r="DO21" i="9"/>
  <c r="DN21" i="9"/>
  <c r="DM21" i="9"/>
  <c r="DL21" i="9"/>
  <c r="DK21" i="9"/>
  <c r="DJ21" i="9"/>
  <c r="DI21" i="9"/>
  <c r="DH21" i="9"/>
  <c r="DG21" i="9"/>
  <c r="DF21" i="9"/>
  <c r="DE21" i="9"/>
  <c r="DD21" i="9"/>
  <c r="DC21" i="9"/>
  <c r="DB21" i="9"/>
  <c r="DA21" i="9"/>
  <c r="CZ21" i="9"/>
  <c r="CY21" i="9"/>
  <c r="CX21" i="9"/>
  <c r="CW21" i="9"/>
  <c r="CV21" i="9"/>
  <c r="CU21" i="9"/>
  <c r="CT21" i="9"/>
  <c r="CS21" i="9"/>
  <c r="CR21" i="9"/>
  <c r="CQ21" i="9"/>
  <c r="CP21" i="9"/>
  <c r="CO21" i="9"/>
  <c r="CN21" i="9"/>
  <c r="CM21" i="9"/>
  <c r="CL21" i="9"/>
  <c r="CK21" i="9"/>
  <c r="CJ21" i="9"/>
  <c r="CI21" i="9"/>
  <c r="CH21" i="9"/>
  <c r="CG21" i="9"/>
  <c r="CF21" i="9"/>
  <c r="CE21" i="9"/>
  <c r="CD21" i="9"/>
  <c r="CC21" i="9"/>
  <c r="CB21" i="9"/>
  <c r="CA21" i="9"/>
  <c r="BZ21" i="9"/>
  <c r="BY21" i="9"/>
  <c r="BX21" i="9"/>
  <c r="BW21" i="9"/>
  <c r="BV21" i="9"/>
  <c r="BU21" i="9"/>
  <c r="BT21" i="9"/>
  <c r="BS21" i="9"/>
  <c r="BR21" i="9"/>
  <c r="BQ21" i="9"/>
  <c r="BP21" i="9"/>
  <c r="BO21" i="9"/>
  <c r="BN21" i="9"/>
  <c r="BM21" i="9"/>
  <c r="BL21" i="9"/>
  <c r="BK21" i="9"/>
  <c r="BJ21" i="9"/>
  <c r="BI21" i="9"/>
  <c r="BH21" i="9"/>
  <c r="BG21" i="9"/>
  <c r="BF21" i="9"/>
  <c r="BE21" i="9"/>
  <c r="BD21" i="9"/>
  <c r="BC21" i="9"/>
  <c r="BB21" i="9"/>
  <c r="BA21" i="9"/>
  <c r="AZ21" i="9"/>
  <c r="AY21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EF17" i="9"/>
  <c r="EE17" i="9"/>
  <c r="ED17" i="9"/>
  <c r="EC17" i="9"/>
  <c r="EB17" i="9"/>
  <c r="EA17" i="9"/>
  <c r="DZ17" i="9"/>
  <c r="DY17" i="9"/>
  <c r="DX17" i="9"/>
  <c r="DW17" i="9"/>
  <c r="DV17" i="9"/>
  <c r="DU17" i="9"/>
  <c r="DT17" i="9"/>
  <c r="DS17" i="9"/>
  <c r="DR17" i="9"/>
  <c r="DQ17" i="9"/>
  <c r="DP17" i="9"/>
  <c r="DO17" i="9"/>
  <c r="DN17" i="9"/>
  <c r="DM17" i="9"/>
  <c r="DL17" i="9"/>
  <c r="DK17" i="9"/>
  <c r="DJ17" i="9"/>
  <c r="DI17" i="9"/>
  <c r="DH17" i="9"/>
  <c r="DG17" i="9"/>
  <c r="DF17" i="9"/>
  <c r="DE17" i="9"/>
  <c r="DD17" i="9"/>
  <c r="DC17" i="9"/>
  <c r="DB17" i="9"/>
  <c r="DA17" i="9"/>
  <c r="CZ17" i="9"/>
  <c r="CY17" i="9"/>
  <c r="CX17" i="9"/>
  <c r="CW17" i="9"/>
  <c r="CV17" i="9"/>
  <c r="CU17" i="9"/>
  <c r="CT17" i="9"/>
  <c r="CS17" i="9"/>
  <c r="CR17" i="9"/>
  <c r="CQ17" i="9"/>
  <c r="CP17" i="9"/>
  <c r="CO17" i="9"/>
  <c r="CN17" i="9"/>
  <c r="CM17" i="9"/>
  <c r="CL17" i="9"/>
  <c r="CK17" i="9"/>
  <c r="CJ17" i="9"/>
  <c r="CI17" i="9"/>
  <c r="CH17" i="9"/>
  <c r="CG17" i="9"/>
  <c r="CF17" i="9"/>
  <c r="CE17" i="9"/>
  <c r="CD17" i="9"/>
  <c r="CC17" i="9"/>
  <c r="CB17" i="9"/>
  <c r="CA17" i="9"/>
  <c r="BZ17" i="9"/>
  <c r="BY17" i="9"/>
  <c r="BX17" i="9"/>
  <c r="BW17" i="9"/>
  <c r="BV17" i="9"/>
  <c r="BU17" i="9"/>
  <c r="BT17" i="9"/>
  <c r="BS17" i="9"/>
  <c r="BR17" i="9"/>
  <c r="BQ17" i="9"/>
  <c r="BP17" i="9"/>
  <c r="BO17" i="9"/>
  <c r="BN17" i="9"/>
  <c r="BM17" i="9"/>
  <c r="BL17" i="9"/>
  <c r="BK17" i="9"/>
  <c r="BJ17" i="9"/>
  <c r="BI17" i="9"/>
  <c r="BH17" i="9"/>
  <c r="BG17" i="9"/>
  <c r="BF17" i="9"/>
  <c r="BE17" i="9"/>
  <c r="BD17" i="9"/>
  <c r="BC17" i="9"/>
  <c r="BB17" i="9"/>
  <c r="BA17" i="9"/>
  <c r="AZ17" i="9"/>
  <c r="AY17" i="9"/>
  <c r="AX17" i="9"/>
  <c r="AW17" i="9"/>
  <c r="AV17" i="9"/>
  <c r="AU17" i="9"/>
  <c r="AT17" i="9"/>
  <c r="AS17" i="9"/>
  <c r="AR17" i="9"/>
  <c r="AQ17" i="9"/>
  <c r="AP17" i="9"/>
  <c r="AO17" i="9"/>
  <c r="AN17" i="9"/>
  <c r="AM17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EF16" i="9"/>
  <c r="EE16" i="9"/>
  <c r="ED16" i="9"/>
  <c r="EC16" i="9"/>
  <c r="EB16" i="9"/>
  <c r="EA16" i="9"/>
  <c r="DZ16" i="9"/>
  <c r="DY16" i="9"/>
  <c r="DX16" i="9"/>
  <c r="DW16" i="9"/>
  <c r="DV16" i="9"/>
  <c r="DU16" i="9"/>
  <c r="DT16" i="9"/>
  <c r="DS16" i="9"/>
  <c r="DR16" i="9"/>
  <c r="DQ16" i="9"/>
  <c r="DP16" i="9"/>
  <c r="DO16" i="9"/>
  <c r="DN16" i="9"/>
  <c r="DM16" i="9"/>
  <c r="DL16" i="9"/>
  <c r="DK16" i="9"/>
  <c r="DJ16" i="9"/>
  <c r="DI16" i="9"/>
  <c r="DH16" i="9"/>
  <c r="DG16" i="9"/>
  <c r="DF16" i="9"/>
  <c r="DE16" i="9"/>
  <c r="DD16" i="9"/>
  <c r="DC16" i="9"/>
  <c r="DB16" i="9"/>
  <c r="DA16" i="9"/>
  <c r="CZ16" i="9"/>
  <c r="CY16" i="9"/>
  <c r="CX16" i="9"/>
  <c r="CW16" i="9"/>
  <c r="CV16" i="9"/>
  <c r="CU16" i="9"/>
  <c r="CT16" i="9"/>
  <c r="CS16" i="9"/>
  <c r="CR16" i="9"/>
  <c r="CQ16" i="9"/>
  <c r="CP16" i="9"/>
  <c r="CO16" i="9"/>
  <c r="CN16" i="9"/>
  <c r="CM16" i="9"/>
  <c r="CL16" i="9"/>
  <c r="CK16" i="9"/>
  <c r="CJ16" i="9"/>
  <c r="CI16" i="9"/>
  <c r="CH16" i="9"/>
  <c r="CG16" i="9"/>
  <c r="CF16" i="9"/>
  <c r="CE16" i="9"/>
  <c r="CD16" i="9"/>
  <c r="CC16" i="9"/>
  <c r="CB16" i="9"/>
  <c r="CA16" i="9"/>
  <c r="BZ16" i="9"/>
  <c r="BY16" i="9"/>
  <c r="BX16" i="9"/>
  <c r="BW16" i="9"/>
  <c r="BV16" i="9"/>
  <c r="BU16" i="9"/>
  <c r="BT16" i="9"/>
  <c r="BS16" i="9"/>
  <c r="BR16" i="9"/>
  <c r="BQ16" i="9"/>
  <c r="BP16" i="9"/>
  <c r="BO16" i="9"/>
  <c r="BN16" i="9"/>
  <c r="BM16" i="9"/>
  <c r="BL16" i="9"/>
  <c r="BK16" i="9"/>
  <c r="BJ16" i="9"/>
  <c r="BI16" i="9"/>
  <c r="BH16" i="9"/>
  <c r="BG16" i="9"/>
  <c r="BF16" i="9"/>
  <c r="BE16" i="9"/>
  <c r="BD16" i="9"/>
  <c r="BC16" i="9"/>
  <c r="BB16" i="9"/>
  <c r="BA16" i="9"/>
  <c r="AZ16" i="9"/>
  <c r="AY16" i="9"/>
  <c r="AX16" i="9"/>
  <c r="AW16" i="9"/>
  <c r="AV16" i="9"/>
  <c r="AU16" i="9"/>
  <c r="AT16" i="9"/>
  <c r="AS16" i="9"/>
  <c r="AR16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EF15" i="9"/>
  <c r="EE15" i="9"/>
  <c r="ED15" i="9"/>
  <c r="EC15" i="9"/>
  <c r="EB15" i="9"/>
  <c r="EA15" i="9"/>
  <c r="DZ15" i="9"/>
  <c r="DY15" i="9"/>
  <c r="DX15" i="9"/>
  <c r="DW15" i="9"/>
  <c r="DV15" i="9"/>
  <c r="DU15" i="9"/>
  <c r="DT15" i="9"/>
  <c r="DS15" i="9"/>
  <c r="DR15" i="9"/>
  <c r="DQ15" i="9"/>
  <c r="DP15" i="9"/>
  <c r="DO15" i="9"/>
  <c r="DN15" i="9"/>
  <c r="DM15" i="9"/>
  <c r="DL15" i="9"/>
  <c r="DK15" i="9"/>
  <c r="DJ15" i="9"/>
  <c r="DI15" i="9"/>
  <c r="DH15" i="9"/>
  <c r="DG15" i="9"/>
  <c r="DF15" i="9"/>
  <c r="DE15" i="9"/>
  <c r="DD15" i="9"/>
  <c r="DC15" i="9"/>
  <c r="DB15" i="9"/>
  <c r="DA15" i="9"/>
  <c r="CZ15" i="9"/>
  <c r="CY15" i="9"/>
  <c r="CX15" i="9"/>
  <c r="CW15" i="9"/>
  <c r="CV15" i="9"/>
  <c r="CU15" i="9"/>
  <c r="CT15" i="9"/>
  <c r="CS15" i="9"/>
  <c r="CR15" i="9"/>
  <c r="CQ15" i="9"/>
  <c r="CP15" i="9"/>
  <c r="CO15" i="9"/>
  <c r="CN15" i="9"/>
  <c r="CM15" i="9"/>
  <c r="CL15" i="9"/>
  <c r="CK15" i="9"/>
  <c r="CJ15" i="9"/>
  <c r="CI15" i="9"/>
  <c r="CH15" i="9"/>
  <c r="CG15" i="9"/>
  <c r="CF15" i="9"/>
  <c r="CE15" i="9"/>
  <c r="CD15" i="9"/>
  <c r="CC15" i="9"/>
  <c r="CB15" i="9"/>
  <c r="CA15" i="9"/>
  <c r="BZ15" i="9"/>
  <c r="BY15" i="9"/>
  <c r="BX15" i="9"/>
  <c r="BW15" i="9"/>
  <c r="BV15" i="9"/>
  <c r="BU15" i="9"/>
  <c r="BT15" i="9"/>
  <c r="BS15" i="9"/>
  <c r="BR15" i="9"/>
  <c r="BQ15" i="9"/>
  <c r="BP15" i="9"/>
  <c r="BO15" i="9"/>
  <c r="BN15" i="9"/>
  <c r="BM15" i="9"/>
  <c r="BL15" i="9"/>
  <c r="BK15" i="9"/>
  <c r="BJ15" i="9"/>
  <c r="BI15" i="9"/>
  <c r="BH15" i="9"/>
  <c r="BG15" i="9"/>
  <c r="BF15" i="9"/>
  <c r="BE15" i="9"/>
  <c r="BD15" i="9"/>
  <c r="BC15" i="9"/>
  <c r="BB15" i="9"/>
  <c r="BA15" i="9"/>
  <c r="AZ15" i="9"/>
  <c r="AY15" i="9"/>
  <c r="AX15" i="9"/>
  <c r="AW15" i="9"/>
  <c r="AV15" i="9"/>
  <c r="AU15" i="9"/>
  <c r="AT15" i="9"/>
  <c r="AS15" i="9"/>
  <c r="AR15" i="9"/>
  <c r="AQ15" i="9"/>
  <c r="AP15" i="9"/>
  <c r="AO15" i="9"/>
  <c r="AN15" i="9"/>
  <c r="AM15" i="9"/>
  <c r="AL15" i="9"/>
  <c r="AK15" i="9"/>
  <c r="AJ15" i="9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EH25" i="7"/>
  <c r="EG25" i="7"/>
  <c r="EI25" i="7" s="1"/>
  <c r="EH24" i="7"/>
  <c r="EG24" i="7"/>
  <c r="EH23" i="7"/>
  <c r="EG23" i="7"/>
  <c r="EH22" i="7"/>
  <c r="EG22" i="7"/>
  <c r="EH21" i="7"/>
  <c r="EG21" i="7"/>
  <c r="EI21" i="7" s="1"/>
  <c r="EH20" i="7"/>
  <c r="EI20" i="7" s="1"/>
  <c r="EG20" i="7"/>
  <c r="EH19" i="7"/>
  <c r="EG19" i="7"/>
  <c r="EH18" i="7"/>
  <c r="EG18" i="7"/>
  <c r="EH17" i="7"/>
  <c r="EG17" i="7"/>
  <c r="EH16" i="7"/>
  <c r="EG16" i="7"/>
  <c r="EH15" i="7"/>
  <c r="EG15" i="7"/>
  <c r="EH14" i="7"/>
  <c r="EG14" i="7"/>
  <c r="EI13" i="7"/>
  <c r="EH13" i="7"/>
  <c r="EG13" i="7"/>
  <c r="EH12" i="7"/>
  <c r="EG12" i="7"/>
  <c r="EH24" i="4"/>
  <c r="EG23" i="4"/>
  <c r="EH22" i="4"/>
  <c r="EH21" i="4"/>
  <c r="EH20" i="4"/>
  <c r="EH19" i="4"/>
  <c r="EF7" i="1"/>
  <c r="EE6" i="1" a="1"/>
  <c r="EE6" i="1" s="1"/>
  <c r="ED6" i="1" a="1"/>
  <c r="ED6" i="1" s="1"/>
  <c r="EC6" i="1" a="1"/>
  <c r="EC6" i="1" s="1"/>
  <c r="EB6" i="1" a="1"/>
  <c r="EB6" i="1"/>
  <c r="EB7" i="1" s="1"/>
  <c r="EA6" i="1" a="1"/>
  <c r="EA6" i="1" s="1"/>
  <c r="DZ6" i="1" a="1"/>
  <c r="DZ6" i="1" s="1"/>
  <c r="DY6" i="1" a="1"/>
  <c r="DY6" i="1" s="1"/>
  <c r="DX6" i="1" a="1"/>
  <c r="DX6" i="1"/>
  <c r="DX7" i="1" s="1"/>
  <c r="DW6" i="1" a="1"/>
  <c r="DW6" i="1" s="1"/>
  <c r="DV6" i="1" a="1"/>
  <c r="DV6" i="1" s="1"/>
  <c r="DU6" i="1" a="1"/>
  <c r="DU6" i="1" s="1"/>
  <c r="DT6" i="1" a="1"/>
  <c r="DT6" i="1"/>
  <c r="DT7" i="1" s="1"/>
  <c r="DS6" i="1" a="1"/>
  <c r="DS6" i="1" s="1"/>
  <c r="DR6" i="1" a="1"/>
  <c r="DR6" i="1" s="1"/>
  <c r="DQ6" i="1" a="1"/>
  <c r="DQ6" i="1" s="1"/>
  <c r="DP6" i="1" a="1"/>
  <c r="DP6" i="1"/>
  <c r="DP7" i="1" s="1"/>
  <c r="DO6" i="1" a="1"/>
  <c r="DO6" i="1" s="1"/>
  <c r="DN6" i="1" a="1"/>
  <c r="DN6" i="1" s="1"/>
  <c r="DM6" i="1" a="1"/>
  <c r="DM6" i="1" s="1"/>
  <c r="DL6" i="1" a="1"/>
  <c r="DL6" i="1"/>
  <c r="DL7" i="1" s="1"/>
  <c r="DK6" i="1" a="1"/>
  <c r="DK6" i="1" s="1"/>
  <c r="DJ6" i="1" a="1"/>
  <c r="DJ6" i="1" s="1"/>
  <c r="DI6" i="1" a="1"/>
  <c r="DI6" i="1" s="1"/>
  <c r="DH6" i="1" a="1"/>
  <c r="DH6" i="1"/>
  <c r="DH7" i="1" s="1"/>
  <c r="DG6" i="1" a="1"/>
  <c r="DG6" i="1" s="1"/>
  <c r="DF6" i="1" a="1"/>
  <c r="DF6" i="1" s="1"/>
  <c r="DE6" i="1" a="1"/>
  <c r="DE6" i="1" s="1"/>
  <c r="DD6" i="1" a="1"/>
  <c r="DD6" i="1"/>
  <c r="DD7" i="1" s="1"/>
  <c r="DC6" i="1" a="1"/>
  <c r="DC6" i="1" s="1"/>
  <c r="DB6" i="1" a="1"/>
  <c r="DB6" i="1" s="1"/>
  <c r="DA6" i="1" a="1"/>
  <c r="DA6" i="1" s="1"/>
  <c r="CZ6" i="1" a="1"/>
  <c r="CZ6" i="1"/>
  <c r="CZ7" i="1" s="1"/>
  <c r="CY6" i="1" a="1"/>
  <c r="CY6" i="1" s="1"/>
  <c r="CX6" i="1" a="1"/>
  <c r="CX6" i="1" s="1"/>
  <c r="CW6" i="1" a="1"/>
  <c r="CW6" i="1" s="1"/>
  <c r="CV6" i="1" a="1"/>
  <c r="CV6" i="1"/>
  <c r="CV7" i="1" s="1"/>
  <c r="CU6" i="1" a="1"/>
  <c r="CU6" i="1" s="1"/>
  <c r="CT6" i="1" a="1"/>
  <c r="CT6" i="1" s="1"/>
  <c r="CS6" i="1" a="1"/>
  <c r="CS6" i="1" s="1"/>
  <c r="CR6" i="1" a="1"/>
  <c r="CR6" i="1"/>
  <c r="CR7" i="1" s="1"/>
  <c r="CQ6" i="1" a="1"/>
  <c r="CQ6" i="1" s="1"/>
  <c r="CP6" i="1" a="1"/>
  <c r="CP6" i="1" s="1"/>
  <c r="CO6" i="1" a="1"/>
  <c r="CO6" i="1" s="1"/>
  <c r="CN6" i="1" a="1"/>
  <c r="CN6" i="1"/>
  <c r="CN7" i="1" s="1"/>
  <c r="CM6" i="1" a="1"/>
  <c r="CM6" i="1" s="1"/>
  <c r="CL6" i="1" a="1"/>
  <c r="CL6" i="1" s="1"/>
  <c r="CK6" i="1" a="1"/>
  <c r="CK6" i="1" s="1"/>
  <c r="CJ6" i="1" a="1"/>
  <c r="CJ6" i="1"/>
  <c r="CJ7" i="1" s="1"/>
  <c r="CI6" i="1" a="1"/>
  <c r="CI6" i="1" s="1"/>
  <c r="CH6" i="1" a="1"/>
  <c r="CH6" i="1" s="1"/>
  <c r="CG6" i="1" a="1"/>
  <c r="CG6" i="1" s="1"/>
  <c r="CF6" i="1" a="1"/>
  <c r="CF6" i="1"/>
  <c r="CF7" i="1" s="1"/>
  <c r="CE6" i="1" a="1"/>
  <c r="CE6" i="1" s="1"/>
  <c r="CD6" i="1" a="1"/>
  <c r="CD6" i="1" s="1"/>
  <c r="CC6" i="1" a="1"/>
  <c r="CC6" i="1" s="1"/>
  <c r="CB6" i="1" a="1"/>
  <c r="CB6" i="1"/>
  <c r="CB7" i="1" s="1"/>
  <c r="CA6" i="1" a="1"/>
  <c r="CA6" i="1" s="1"/>
  <c r="BZ6" i="1" a="1"/>
  <c r="BZ6" i="1" s="1"/>
  <c r="BY6" i="1" a="1"/>
  <c r="BY6" i="1" s="1"/>
  <c r="BX6" i="1" a="1"/>
  <c r="BX6" i="1"/>
  <c r="BX7" i="1" s="1"/>
  <c r="BW6" i="1" a="1"/>
  <c r="BW6" i="1" s="1"/>
  <c r="BV6" i="1" a="1"/>
  <c r="BV6" i="1" s="1"/>
  <c r="BU6" i="1" a="1"/>
  <c r="BU6" i="1" s="1"/>
  <c r="BT6" i="1" a="1"/>
  <c r="BT6" i="1"/>
  <c r="BT7" i="1" s="1"/>
  <c r="BS6" i="1" a="1"/>
  <c r="BS6" i="1" s="1"/>
  <c r="BR6" i="1" a="1"/>
  <c r="BR6" i="1" s="1"/>
  <c r="BQ6" i="1" a="1"/>
  <c r="BQ6" i="1" s="1"/>
  <c r="BP6" i="1" a="1"/>
  <c r="BP6" i="1"/>
  <c r="BP7" i="1" s="1"/>
  <c r="BO6" i="1" a="1"/>
  <c r="BO6" i="1" s="1"/>
  <c r="BN6" i="1" a="1"/>
  <c r="BN6" i="1" s="1"/>
  <c r="BM6" i="1" a="1"/>
  <c r="BM6" i="1" s="1"/>
  <c r="BL6" i="1" a="1"/>
  <c r="BL6" i="1"/>
  <c r="BL7" i="1" s="1"/>
  <c r="BK6" i="1" a="1"/>
  <c r="BK6" i="1" s="1"/>
  <c r="BJ6" i="1" a="1"/>
  <c r="BJ6" i="1" s="1"/>
  <c r="BI6" i="1" a="1"/>
  <c r="BI6" i="1" s="1"/>
  <c r="BH6" i="1" a="1"/>
  <c r="BH6" i="1"/>
  <c r="BH7" i="1" s="1"/>
  <c r="BG6" i="1" a="1"/>
  <c r="BG6" i="1" s="1"/>
  <c r="BF6" i="1" a="1"/>
  <c r="BF6" i="1" s="1"/>
  <c r="BE6" i="1" a="1"/>
  <c r="BE6" i="1" s="1"/>
  <c r="BD6" i="1" a="1"/>
  <c r="BD6" i="1"/>
  <c r="BD7" i="1" s="1"/>
  <c r="BC6" i="1" a="1"/>
  <c r="BC6" i="1" s="1"/>
  <c r="BB6" i="1" a="1"/>
  <c r="BB6" i="1" s="1"/>
  <c r="BA6" i="1" a="1"/>
  <c r="BA6" i="1" s="1"/>
  <c r="AZ6" i="1" a="1"/>
  <c r="AZ6" i="1"/>
  <c r="AZ7" i="1" s="1"/>
  <c r="AY6" i="1" a="1"/>
  <c r="AY6" i="1" s="1"/>
  <c r="AX6" i="1" a="1"/>
  <c r="AX6" i="1" s="1"/>
  <c r="AW6" i="1" a="1"/>
  <c r="AW6" i="1" s="1"/>
  <c r="AV6" i="1" a="1"/>
  <c r="AV6" i="1"/>
  <c r="AV7" i="1" s="1"/>
  <c r="AU6" i="1" a="1"/>
  <c r="AU6" i="1" s="1"/>
  <c r="AT6" i="1" a="1"/>
  <c r="AT6" i="1" s="1"/>
  <c r="AS6" i="1" a="1"/>
  <c r="AS6" i="1" s="1"/>
  <c r="AR6" i="1" a="1"/>
  <c r="AR6" i="1"/>
  <c r="AR7" i="1" s="1"/>
  <c r="AQ6" i="1" a="1"/>
  <c r="AQ6" i="1" s="1"/>
  <c r="AP6" i="1" a="1"/>
  <c r="AP6" i="1" s="1"/>
  <c r="AO6" i="1" a="1"/>
  <c r="AO6" i="1" s="1"/>
  <c r="AN6" i="1" a="1"/>
  <c r="AN6" i="1"/>
  <c r="AN7" i="1" s="1"/>
  <c r="AM6" i="1" a="1"/>
  <c r="AM6" i="1" s="1"/>
  <c r="AL6" i="1" a="1"/>
  <c r="AL6" i="1" s="1"/>
  <c r="AK6" i="1" a="1"/>
  <c r="AK6" i="1" s="1"/>
  <c r="AJ6" i="1" a="1"/>
  <c r="AJ6" i="1"/>
  <c r="AJ7" i="1" s="1"/>
  <c r="AI6" i="1" a="1"/>
  <c r="AI6" i="1" s="1"/>
  <c r="AH6" i="1" a="1"/>
  <c r="AH6" i="1" s="1"/>
  <c r="AG6" i="1" a="1"/>
  <c r="AG6" i="1" s="1"/>
  <c r="AF6" i="1" a="1"/>
  <c r="AF6" i="1"/>
  <c r="AF7" i="1" s="1"/>
  <c r="AE6" i="1" a="1"/>
  <c r="AE6" i="1" s="1"/>
  <c r="AD6" i="1" a="1"/>
  <c r="AD6" i="1" s="1"/>
  <c r="AC6" i="1" a="1"/>
  <c r="AC6" i="1" s="1"/>
  <c r="AB6" i="1" a="1"/>
  <c r="AB6" i="1"/>
  <c r="AB7" i="1" s="1"/>
  <c r="AA6" i="1" a="1"/>
  <c r="AA6" i="1" s="1"/>
  <c r="Z6" i="1" a="1"/>
  <c r="Z6" i="1" s="1"/>
  <c r="Y6" i="1" a="1"/>
  <c r="Y6" i="1" s="1"/>
  <c r="X6" i="1" a="1"/>
  <c r="X6" i="1"/>
  <c r="X7" i="1" s="1"/>
  <c r="W6" i="1" a="1"/>
  <c r="W6" i="1" s="1"/>
  <c r="V6" i="1" a="1"/>
  <c r="V6" i="1" s="1"/>
  <c r="U6" i="1" a="1"/>
  <c r="U6" i="1" s="1"/>
  <c r="T6" i="1" a="1"/>
  <c r="T6" i="1"/>
  <c r="T7" i="1" s="1"/>
  <c r="S6" i="1" a="1"/>
  <c r="S6" i="1" s="1"/>
  <c r="R6" i="1" a="1"/>
  <c r="R6" i="1" s="1"/>
  <c r="Q6" i="1" a="1"/>
  <c r="Q6" i="1" s="1"/>
  <c r="P6" i="1" a="1"/>
  <c r="P6" i="1"/>
  <c r="P7" i="1" s="1"/>
  <c r="O6" i="1" a="1"/>
  <c r="O6" i="1" s="1"/>
  <c r="N6" i="1" a="1"/>
  <c r="N6" i="1" s="1"/>
  <c r="M6" i="1" a="1"/>
  <c r="M6" i="1" s="1"/>
  <c r="L6" i="1" a="1"/>
  <c r="L6" i="1"/>
  <c r="L7" i="1" s="1"/>
  <c r="K6" i="1" a="1"/>
  <c r="K6" i="1" s="1"/>
  <c r="J6" i="1" a="1"/>
  <c r="J6" i="1" s="1"/>
  <c r="I6" i="1" a="1"/>
  <c r="I6" i="1" s="1"/>
  <c r="H6" i="1" a="1"/>
  <c r="H6" i="1"/>
  <c r="H7" i="1" s="1"/>
  <c r="G6" i="1" a="1"/>
  <c r="G6" i="1" s="1"/>
  <c r="F6" i="1" a="1"/>
  <c r="F6" i="1" s="1"/>
  <c r="E6" i="1" a="1"/>
  <c r="E6" i="1" s="1"/>
  <c r="D6" i="1" a="1"/>
  <c r="D6" i="1"/>
  <c r="D7" i="1" s="1"/>
  <c r="C6" i="1" a="1"/>
  <c r="C6" i="1" s="1"/>
  <c r="EI14" i="7" l="1"/>
  <c r="EI15" i="7"/>
  <c r="EI19" i="7"/>
  <c r="EI23" i="7"/>
  <c r="EI12" i="7"/>
  <c r="EI17" i="7"/>
  <c r="C7" i="1"/>
  <c r="C8" i="1"/>
  <c r="V8" i="1"/>
  <c r="V7" i="1"/>
  <c r="AI8" i="1"/>
  <c r="AI7" i="1"/>
  <c r="F8" i="1"/>
  <c r="F7" i="1"/>
  <c r="S7" i="1"/>
  <c r="S8" i="1"/>
  <c r="Y7" i="1"/>
  <c r="Y8" i="1"/>
  <c r="AL8" i="1"/>
  <c r="AL7" i="1"/>
  <c r="AY7" i="1"/>
  <c r="AY8" i="1"/>
  <c r="BE7" i="1"/>
  <c r="BE8" i="1"/>
  <c r="BR8" i="1"/>
  <c r="BR7" i="1"/>
  <c r="CE7" i="1"/>
  <c r="CE8" i="1"/>
  <c r="CK7" i="1"/>
  <c r="CK8" i="1"/>
  <c r="CX8" i="1"/>
  <c r="CX7" i="1"/>
  <c r="DK7" i="1"/>
  <c r="DK8" i="1"/>
  <c r="DQ7" i="1"/>
  <c r="DQ8" i="1"/>
  <c r="ED8" i="1"/>
  <c r="ED7" i="1"/>
  <c r="BY7" i="1"/>
  <c r="BY8" i="1"/>
  <c r="Z7" i="1"/>
  <c r="Z8" i="1"/>
  <c r="AM8" i="1"/>
  <c r="AM7" i="1"/>
  <c r="BF7" i="1"/>
  <c r="BF8" i="1"/>
  <c r="BS8" i="1"/>
  <c r="BS7" i="1"/>
  <c r="CL7" i="1"/>
  <c r="CL8" i="1"/>
  <c r="CY8" i="1"/>
  <c r="CY7" i="1"/>
  <c r="DE7" i="1"/>
  <c r="DE8" i="1"/>
  <c r="DR7" i="1"/>
  <c r="DR8" i="1"/>
  <c r="EE8" i="1"/>
  <c r="EE7" i="1"/>
  <c r="N8" i="1"/>
  <c r="N7" i="1"/>
  <c r="AA7" i="1"/>
  <c r="AA8" i="1"/>
  <c r="AG7" i="1"/>
  <c r="AG8" i="1"/>
  <c r="AT8" i="1"/>
  <c r="AT7" i="1"/>
  <c r="BG8" i="1"/>
  <c r="BG7" i="1"/>
  <c r="BM7" i="1"/>
  <c r="BM8" i="1"/>
  <c r="BZ8" i="1"/>
  <c r="BZ7" i="1"/>
  <c r="CM8" i="1"/>
  <c r="CM7" i="1"/>
  <c r="CS7" i="1"/>
  <c r="CS8" i="1"/>
  <c r="DF8" i="1"/>
  <c r="DF7" i="1"/>
  <c r="DS8" i="1"/>
  <c r="DS7" i="1"/>
  <c r="DY7" i="1"/>
  <c r="DY8" i="1"/>
  <c r="G8" i="1"/>
  <c r="G7" i="1"/>
  <c r="AS7" i="1"/>
  <c r="AS8" i="1"/>
  <c r="O8" i="1"/>
  <c r="O7" i="1"/>
  <c r="U7" i="1"/>
  <c r="U8" i="1"/>
  <c r="AH7" i="1"/>
  <c r="AH8" i="1"/>
  <c r="AU8" i="1"/>
  <c r="AU7" i="1"/>
  <c r="BA7" i="1"/>
  <c r="BA8" i="1"/>
  <c r="BN7" i="1"/>
  <c r="BN8" i="1"/>
  <c r="CA8" i="1"/>
  <c r="CA7" i="1"/>
  <c r="CG7" i="1"/>
  <c r="CG8" i="1"/>
  <c r="CT7" i="1"/>
  <c r="CT8" i="1"/>
  <c r="DG8" i="1"/>
  <c r="DG7" i="1"/>
  <c r="DM7" i="1"/>
  <c r="DM8" i="1"/>
  <c r="DZ7" i="1"/>
  <c r="DZ8" i="1"/>
  <c r="CU7" i="1"/>
  <c r="CU8" i="1"/>
  <c r="I7" i="1"/>
  <c r="I8" i="1"/>
  <c r="DA7" i="1"/>
  <c r="DA8" i="1"/>
  <c r="J7" i="1"/>
  <c r="J8" i="1"/>
  <c r="AC7" i="1"/>
  <c r="AC8" i="1"/>
  <c r="AP7" i="1"/>
  <c r="AP8" i="1"/>
  <c r="BC8" i="1"/>
  <c r="BC7" i="1"/>
  <c r="BI7" i="1"/>
  <c r="BI8" i="1"/>
  <c r="BV7" i="1"/>
  <c r="BV8" i="1"/>
  <c r="CO7" i="1"/>
  <c r="CO8" i="1"/>
  <c r="DB7" i="1"/>
  <c r="DB8" i="1"/>
  <c r="DO8" i="1"/>
  <c r="DO7" i="1"/>
  <c r="DU7" i="1"/>
  <c r="DU8" i="1"/>
  <c r="M7" i="1"/>
  <c r="M8" i="1"/>
  <c r="BB8" i="1"/>
  <c r="BB7" i="1"/>
  <c r="BO7" i="1"/>
  <c r="BO8" i="1"/>
  <c r="BU7" i="1"/>
  <c r="BU8" i="1"/>
  <c r="CH8" i="1"/>
  <c r="CH7" i="1"/>
  <c r="DN8" i="1"/>
  <c r="DN7" i="1"/>
  <c r="W8" i="1"/>
  <c r="W7" i="1"/>
  <c r="K8" i="1"/>
  <c r="K7" i="1"/>
  <c r="Q7" i="1"/>
  <c r="Q8" i="1"/>
  <c r="AD8" i="1"/>
  <c r="AD7" i="1"/>
  <c r="AQ8" i="1"/>
  <c r="AQ7" i="1"/>
  <c r="AW7" i="1"/>
  <c r="AW8" i="1"/>
  <c r="BJ8" i="1"/>
  <c r="BJ7" i="1"/>
  <c r="BW8" i="1"/>
  <c r="BW7" i="1"/>
  <c r="CC7" i="1"/>
  <c r="CC8" i="1"/>
  <c r="CP8" i="1"/>
  <c r="CP7" i="1"/>
  <c r="DC8" i="1"/>
  <c r="DC7" i="1"/>
  <c r="DI7" i="1"/>
  <c r="DI8" i="1"/>
  <c r="DV8" i="1"/>
  <c r="DV7" i="1"/>
  <c r="AO7" i="1"/>
  <c r="AO8" i="1"/>
  <c r="EA8" i="1"/>
  <c r="EA7" i="1"/>
  <c r="CI8" i="1"/>
  <c r="CI7" i="1"/>
  <c r="E7" i="1"/>
  <c r="E8" i="1"/>
  <c r="R7" i="1"/>
  <c r="R8" i="1"/>
  <c r="AE8" i="1"/>
  <c r="AE7" i="1"/>
  <c r="AK7" i="1"/>
  <c r="AK8" i="1"/>
  <c r="AX7" i="1"/>
  <c r="AX8" i="1"/>
  <c r="BK8" i="1"/>
  <c r="BK7" i="1"/>
  <c r="BQ7" i="1"/>
  <c r="BQ8" i="1"/>
  <c r="CD7" i="1"/>
  <c r="CD8" i="1"/>
  <c r="CQ8" i="1"/>
  <c r="CQ7" i="1"/>
  <c r="CW7" i="1"/>
  <c r="CW8" i="1"/>
  <c r="DJ7" i="1"/>
  <c r="DJ8" i="1"/>
  <c r="DW8" i="1"/>
  <c r="DW7" i="1"/>
  <c r="EC7" i="1"/>
  <c r="EC8" i="1"/>
  <c r="H8" i="1"/>
  <c r="P8" i="1"/>
  <c r="X8" i="1"/>
  <c r="AF8" i="1"/>
  <c r="AV8" i="1"/>
  <c r="BD8" i="1"/>
  <c r="BL8" i="1"/>
  <c r="BT8" i="1"/>
  <c r="CB8" i="1"/>
  <c r="CJ8" i="1"/>
  <c r="CR8" i="1"/>
  <c r="CZ8" i="1"/>
  <c r="DH8" i="1"/>
  <c r="DP8" i="1"/>
  <c r="DX8" i="1"/>
  <c r="EH15" i="4"/>
  <c r="EG15" i="4"/>
  <c r="AN8" i="1"/>
  <c r="EH14" i="4"/>
  <c r="EG14" i="4"/>
  <c r="EH18" i="4"/>
  <c r="EG18" i="4"/>
  <c r="D8" i="1"/>
  <c r="L8" i="1"/>
  <c r="T8" i="1"/>
  <c r="AB8" i="1"/>
  <c r="AJ8" i="1"/>
  <c r="AR8" i="1"/>
  <c r="AZ8" i="1"/>
  <c r="BH8" i="1"/>
  <c r="BP8" i="1"/>
  <c r="BX8" i="1"/>
  <c r="CF8" i="1"/>
  <c r="CN8" i="1"/>
  <c r="CV8" i="1"/>
  <c r="DD8" i="1"/>
  <c r="DL8" i="1"/>
  <c r="DT8" i="1"/>
  <c r="EB8" i="1"/>
  <c r="EH13" i="4"/>
  <c r="EG13" i="4"/>
  <c r="EH17" i="4"/>
  <c r="EG17" i="4"/>
  <c r="EH12" i="4"/>
  <c r="EG12" i="4"/>
  <c r="EH16" i="4"/>
  <c r="EG16" i="4"/>
  <c r="EG19" i="4"/>
  <c r="EG20" i="4"/>
  <c r="EG21" i="4"/>
  <c r="EG22" i="4"/>
  <c r="EH23" i="4"/>
  <c r="EG24" i="4"/>
  <c r="EI18" i="7"/>
  <c r="EI24" i="7"/>
  <c r="EI16" i="7"/>
  <c r="EI22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<sst xmlns="http://schemas.openxmlformats.org/spreadsheetml/2006/main" count="2513" uniqueCount="239">
  <si>
    <t>Real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</si>
  <si>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</si>
  <si>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</si>
  <si>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</si>
  <si>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</si>
  <si>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</si>
  <si>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</si>
  <si>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</si>
  <si>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</si>
  <si>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</si>
  <si>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</si>
  <si>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</si>
  <si>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</si>
  <si>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</si>
  <si>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</si>
  <si>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</si>
  <si>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</si>
  <si>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</si>
  <si>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</si>
  <si>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</si>
  <si>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</si>
  <si>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</si>
  <si>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</si>
  <si>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</si>
  <si>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</si>
  <si>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</si>
  <si>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</si>
  <si>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</si>
  <si>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</si>
  <si>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</si>
  <si>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</si>
  <si>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</si>
  <si>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</si>
  <si>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</si>
  <si>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</si>
  <si>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</si>
  <si>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</si>
  <si>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</si>
  <si>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</si>
  <si>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</si>
  <si>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</si>
  <si>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</si>
  <si>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</si>
  <si>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</si>
  <si>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</si>
  <si>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</si>
  <si>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</si>
  <si>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</si>
  <si>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</si>
  <si>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</si>
  <si>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</si>
  <si>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</si>
  <si>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</si>
  <si>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</si>
  <si>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</si>
  <si>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</si>
  <si>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</si>
  <si>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</si>
  <si>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</si>
  <si>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</si>
  <si>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</si>
  <si>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</si>
  <si>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</si>
  <si>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</si>
  <si>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</si>
  <si>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</si>
  <si>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</si>
  <si>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</si>
  <si>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</si>
  <si>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</si>
  <si>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</si>
  <si>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</si>
  <si>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</si>
  <si>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</si>
  <si>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</si>
  <si>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</si>
  <si>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</si>
  <si>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</si>
  <si>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</si>
  <si>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</si>
  <si>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</si>
  <si>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</si>
  <si>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</si>
  <si>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</si>
  <si>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</si>
  <si>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</si>
  <si>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</si>
  <si>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</si>
  <si>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</si>
  <si>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</si>
  <si>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</si>
  <si>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</si>
  <si>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</si>
  <si>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</si>
  <si>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</si>
  <si>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</si>
  <si>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</si>
  <si>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</si>
  <si>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</si>
  <si>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</si>
  <si>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</si>
  <si>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</si>
  <si>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</si>
  <si>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</si>
  <si>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</si>
  <si>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</si>
  <si>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</si>
  <si>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</si>
  <si>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</si>
  <si>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</si>
  <si>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</si>
  <si>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</si>
  <si>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</si>
  <si>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</si>
  <si>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</si>
  <si>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</si>
  <si>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</si>
  <si>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</si>
  <si>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</si>
  <si>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</si>
  <si>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</si>
  <si>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</si>
  <si>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</si>
  <si>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</si>
  <si>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</si>
  <si>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</si>
  <si>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</si>
  <si>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</si>
  <si>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</si>
  <si>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</si>
  <si>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</si>
  <si>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</si>
  <si>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</si>
  <si>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</si>
  <si>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</si>
  <si>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</si>
  <si>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bm</t>
  </si>
  <si>
    <t>size</t>
  </si>
  <si>
    <t>mom</t>
  </si>
  <si>
    <t>選絕對值最大</t>
  </si>
  <si>
    <t>投資組合</t>
  </si>
  <si>
    <t>公司數</t>
  </si>
  <si>
    <t>等分</t>
  </si>
  <si>
    <t>家數</t>
  </si>
  <si>
    <t>2025/02</t>
  </si>
  <si>
    <t>大盤</t>
  </si>
  <si>
    <t>TWⅡ</t>
  </si>
  <si>
    <t>Predict</t>
  </si>
  <si>
    <t>SUM</t>
  </si>
  <si>
    <t>勝率</t>
  </si>
  <si>
    <t>時間</t>
  </si>
  <si>
    <t>10等分</t>
  </si>
  <si>
    <t>20等分</t>
  </si>
  <si>
    <t>50等分</t>
  </si>
  <si>
    <t>100等分</t>
  </si>
  <si>
    <t>107等分</t>
  </si>
  <si>
    <t>120等分</t>
  </si>
  <si>
    <t>137等分</t>
  </si>
  <si>
    <t>160等分</t>
  </si>
  <si>
    <t>192等分</t>
  </si>
  <si>
    <t>241等分</t>
  </si>
  <si>
    <t>321等分</t>
  </si>
  <si>
    <t>482等分</t>
  </si>
  <si>
    <t>964等分</t>
  </si>
  <si>
    <t>平均值</t>
  </si>
  <si>
    <t>標準差</t>
  </si>
  <si>
    <t>夏普比率</t>
  </si>
  <si>
    <t>(預測-真實)^2</t>
  </si>
  <si>
    <t>真實^2</t>
  </si>
  <si>
    <r>
      <rPr>
        <b/>
        <sz val="12"/>
        <color theme="1"/>
        <rFont val="新細明體"/>
        <family val="2"/>
        <charset val="136"/>
      </rPr>
      <t>等分</t>
    </r>
  </si>
  <si>
    <r>
      <rPr>
        <b/>
        <sz val="12"/>
        <color theme="1"/>
        <rFont val="新細明體"/>
        <family val="2"/>
        <charset val="136"/>
      </rPr>
      <t>大盤</t>
    </r>
  </si>
  <si>
    <t>台泥</t>
  </si>
  <si>
    <t>希華</t>
  </si>
  <si>
    <t>天仁</t>
  </si>
  <si>
    <t>瑞昱</t>
  </si>
  <si>
    <t>志信</t>
  </si>
  <si>
    <t>華泰</t>
  </si>
  <si>
    <t>威健</t>
  </si>
  <si>
    <t>郡都開發</t>
  </si>
  <si>
    <t>建國</t>
  </si>
  <si>
    <t>憶聲</t>
  </si>
  <si>
    <t>盟立</t>
  </si>
  <si>
    <t>工信</t>
  </si>
  <si>
    <t>凱衛</t>
  </si>
  <si>
    <t>奇鋐</t>
  </si>
  <si>
    <t>創見</t>
  </si>
  <si>
    <t>飛寶企業</t>
  </si>
  <si>
    <t>寬魚國際</t>
  </si>
  <si>
    <t>美好證</t>
  </si>
  <si>
    <t>新潤</t>
  </si>
  <si>
    <t>豐謙</t>
  </si>
  <si>
    <t>明安</t>
  </si>
  <si>
    <t>力特</t>
  </si>
  <si>
    <t>神基</t>
  </si>
  <si>
    <t>聯上發</t>
  </si>
  <si>
    <t>北基</t>
  </si>
  <si>
    <t>久元</t>
  </si>
  <si>
    <t>三星</t>
  </si>
  <si>
    <t>立康</t>
  </si>
  <si>
    <t>天揚</t>
  </si>
  <si>
    <t>臺鹽</t>
  </si>
  <si>
    <t>鉅橡</t>
  </si>
  <si>
    <t>力成</t>
  </si>
  <si>
    <t>嘉晶</t>
  </si>
  <si>
    <t>揚博</t>
  </si>
  <si>
    <t>中光電</t>
  </si>
  <si>
    <t>驊訊</t>
  </si>
  <si>
    <t>光聯</t>
  </si>
  <si>
    <t>寶成</t>
  </si>
  <si>
    <t>陞泰</t>
  </si>
  <si>
    <t>基泰</t>
  </si>
  <si>
    <t>沛亨</t>
  </si>
  <si>
    <t>昱捷</t>
  </si>
  <si>
    <t>皇田</t>
  </si>
  <si>
    <t>倚強科</t>
  </si>
  <si>
    <t>廣宇</t>
  </si>
  <si>
    <t>中鋼</t>
  </si>
  <si>
    <t>瑞軒</t>
  </si>
  <si>
    <t>寶徠</t>
  </si>
  <si>
    <t>南紡</t>
  </si>
  <si>
    <t>京城</t>
  </si>
  <si>
    <t>台南</t>
  </si>
  <si>
    <t>宏璟</t>
  </si>
  <si>
    <t>聚亨</t>
  </si>
  <si>
    <t>燁輝</t>
  </si>
  <si>
    <t>光洋科</t>
  </si>
  <si>
    <t>漢平</t>
  </si>
  <si>
    <t>國產</t>
  </si>
  <si>
    <t>中華食</t>
  </si>
  <si>
    <t>來思達</t>
  </si>
  <si>
    <t>華友聯</t>
  </si>
  <si>
    <t>上福</t>
  </si>
  <si>
    <t>環泰</t>
  </si>
  <si>
    <t>京城銀</t>
  </si>
  <si>
    <t>桂盟</t>
  </si>
  <si>
    <t>建榮</t>
  </si>
  <si>
    <t>統懋</t>
  </si>
  <si>
    <t>精金</t>
  </si>
  <si>
    <t>台富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</si>
</sst>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14">
    <font>
      <sz val="12"/>
      <color theme="1"/>
      <name val="新細明體"/>
      <family val="2"/>
      <charset val="136"/>
      <scheme val="minor"/>
    </font>
    <font>
      <sz val="12"/>
      <color theme="1"/>
      <name val="Calibri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Calibri"/>
      <family val="2"/>
    </font>
    <font>
      <b/>
      <sz val="12"/>
      <color theme="1"/>
      <name val="Microsoft JhengHei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sz val="12"/>
      <color theme="1"/>
      <name val="Cha"/>
    </font>
    <font>
      <sz val="11"/>
      <color rgb="FF000000"/>
      <name val="Cha"/>
    </font>
    <font>
      <b/>
      <sz val="12"/>
      <color theme="1"/>
      <name val="Microsoft JhengHei"/>
      <family val="2"/>
      <charset val="136"/>
    </font>
    <font>
      <b/>
      <sz val="12"/>
      <color theme="1"/>
      <name val="Noto Sans HK Black"/>
      <family val="2"/>
      <charset val="136"/>
    </font>
    <font>
      <sz val="12"/>
      <name val="Calibri"/>
      <family val="2"/>
      <charset val="136"/>
    </font>
    <font>
      <b/>
      <sz val="12"/>
      <color theme="1"/>
      <name val="新細明體"/>
      <family val="2"/>
      <charset val="136"/>
    </font>
    <font>
      <sz val="12"/>
      <color theme="1"/>
      <name val="細明體"/>
      <family val="3"/>
      <charset val="136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3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Alignment="1"/>
    <xf numFmtId="0" fontId="1" fillId="0" borderId="0" xfId="0" applyFont="1" applyAlignment="1"/>
    <xf numFmtId="0" fontId="1" fillId="5" borderId="5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7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176" fontId="1" fillId="0" borderId="0" xfId="0" applyNumberFormat="1" applyFont="1">
      <alignment vertical="center"/>
    </xf>
    <xf numFmtId="176" fontId="6" fillId="0" borderId="2" xfId="0" applyNumberFormat="1" applyFont="1" applyBorder="1" applyAlignment="1">
      <alignment horizontal="center" vertical="top" wrapText="1"/>
    </xf>
    <xf numFmtId="176" fontId="6" fillId="0" borderId="6" xfId="0" applyNumberFormat="1" applyFont="1" applyBorder="1" applyAlignment="1">
      <alignment horizontal="center" vertical="top" wrapText="1"/>
    </xf>
    <xf numFmtId="176" fontId="6" fillId="0" borderId="1" xfId="0" applyNumberFormat="1" applyFont="1" applyBorder="1" applyAlignment="1">
      <alignment horizontal="center" vertical="top" wrapText="1"/>
    </xf>
    <xf numFmtId="176" fontId="1" fillId="5" borderId="1" xfId="0" applyNumberFormat="1" applyFont="1" applyFill="1" applyBorder="1" applyAlignment="1">
      <alignment horizontal="center"/>
    </xf>
    <xf numFmtId="176" fontId="1" fillId="5" borderId="3" xfId="0" applyNumberFormat="1" applyFont="1" applyFill="1" applyBorder="1" applyAlignment="1">
      <alignment horizontal="center"/>
    </xf>
    <xf numFmtId="176" fontId="1" fillId="0" borderId="0" xfId="0" applyNumberFormat="1" applyFont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top" wrapText="1"/>
    </xf>
    <xf numFmtId="176" fontId="1" fillId="5" borderId="5" xfId="0" applyNumberFormat="1" applyFont="1" applyFill="1" applyBorder="1" applyAlignment="1">
      <alignment horizontal="center" vertical="center"/>
    </xf>
    <xf numFmtId="176" fontId="1" fillId="5" borderId="7" xfId="0" applyNumberFormat="1" applyFont="1" applyFill="1" applyBorder="1" applyAlignment="1">
      <alignment horizontal="center" vertical="center"/>
    </xf>
    <xf numFmtId="176" fontId="1" fillId="5" borderId="1" xfId="0" applyNumberFormat="1" applyFont="1" applyFill="1" applyBorder="1" applyAlignment="1">
      <alignment horizontal="center" vertical="center"/>
    </xf>
    <xf numFmtId="176" fontId="1" fillId="5" borderId="3" xfId="0" applyNumberFormat="1" applyFont="1" applyFill="1" applyBorder="1" applyAlignment="1">
      <alignment horizontal="center" vertical="center"/>
    </xf>
    <xf numFmtId="176" fontId="10" fillId="4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/>
    </xf>
    <xf numFmtId="176" fontId="10" fillId="7" borderId="0" xfId="0" applyNumberFormat="1" applyFont="1" applyFill="1" applyAlignment="1">
      <alignment horizontal="center" vertical="center"/>
    </xf>
    <xf numFmtId="176" fontId="10" fillId="8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3" fillId="6" borderId="1" xfId="0" applyNumberFormat="1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4" xfId="0" applyBorder="1" applyAlignment="1"/>
    <xf numFmtId="176" fontId="3" fillId="3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'NN5累積報酬 '!$A$21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'NN5累積報酬 '!$B$21:$EE$21</c:f>
              <c:numCache>
                <c:formatCode>General</c:formatCode>
                <c:ptCount val="134"/>
                <c:pt idx="0">
                  <c:v>-0.19764916434148611</c:v>
                </c:pt>
                <c:pt idx="1">
                  <c:v>-0.19801687373664528</c:v>
                </c:pt>
                <c:pt idx="2">
                  <c:v>-0.1843267034508547</c:v>
                </c:pt>
                <c:pt idx="3">
                  <c:v>-0.23542418729726292</c:v>
                </c:pt>
                <c:pt idx="4">
                  <c:v>-0.24272032532511437</c:v>
                </c:pt>
                <c:pt idx="5">
                  <c:v>-0.28056440235340679</c:v>
                </c:pt>
                <c:pt idx="6">
                  <c:v>-0.13330879422593381</c:v>
                </c:pt>
                <c:pt idx="7">
                  <c:v>-7.2873468534291497E-2</c:v>
                </c:pt>
                <c:pt idx="8">
                  <c:v>-7.1403172574155585E-2</c:v>
                </c:pt>
                <c:pt idx="9">
                  <c:v>3.8276434880074317E-2</c:v>
                </c:pt>
                <c:pt idx="10">
                  <c:v>-0.15759406866908787</c:v>
                </c:pt>
                <c:pt idx="11">
                  <c:v>-5.8006656546146299E-2</c:v>
                </c:pt>
                <c:pt idx="12">
                  <c:v>5.4152617915166304E-2</c:v>
                </c:pt>
                <c:pt idx="13">
                  <c:v>9.9579810932669391E-2</c:v>
                </c:pt>
                <c:pt idx="14">
                  <c:v>0.37366325620335905</c:v>
                </c:pt>
                <c:pt idx="15">
                  <c:v>0.26782754583658447</c:v>
                </c:pt>
                <c:pt idx="16">
                  <c:v>0.47698702131154896</c:v>
                </c:pt>
                <c:pt idx="17">
                  <c:v>0.46294665697134407</c:v>
                </c:pt>
                <c:pt idx="18">
                  <c:v>0.472771297705741</c:v>
                </c:pt>
                <c:pt idx="19">
                  <c:v>0.60452178635824338</c:v>
                </c:pt>
                <c:pt idx="20">
                  <c:v>0.76488694206380115</c:v>
                </c:pt>
                <c:pt idx="21">
                  <c:v>0.55708567471046333</c:v>
                </c:pt>
                <c:pt idx="22">
                  <c:v>0.54694201433726075</c:v>
                </c:pt>
                <c:pt idx="23">
                  <c:v>0.58639973001721779</c:v>
                </c:pt>
                <c:pt idx="24">
                  <c:v>0.60589077355731169</c:v>
                </c:pt>
                <c:pt idx="25">
                  <c:v>0.73403401853220163</c:v>
                </c:pt>
                <c:pt idx="26">
                  <c:v>0.80833514832422404</c:v>
                </c:pt>
                <c:pt idx="27">
                  <c:v>0.93715981397178194</c:v>
                </c:pt>
                <c:pt idx="28">
                  <c:v>0.69670370347859523</c:v>
                </c:pt>
                <c:pt idx="29">
                  <c:v>0.66313687809461463</c:v>
                </c:pt>
                <c:pt idx="30">
                  <c:v>0.70743965588440871</c:v>
                </c:pt>
                <c:pt idx="31">
                  <c:v>0.59985829331961038</c:v>
                </c:pt>
                <c:pt idx="32">
                  <c:v>0.67945250265290147</c:v>
                </c:pt>
                <c:pt idx="33">
                  <c:v>0.60904716070643272</c:v>
                </c:pt>
                <c:pt idx="34">
                  <c:v>0.71403577085872616</c:v>
                </c:pt>
                <c:pt idx="35">
                  <c:v>0.69425495729887465</c:v>
                </c:pt>
                <c:pt idx="36">
                  <c:v>0.75911193510523045</c:v>
                </c:pt>
                <c:pt idx="37">
                  <c:v>0.87106799116832478</c:v>
                </c:pt>
                <c:pt idx="38">
                  <c:v>0.91879438681205139</c:v>
                </c:pt>
                <c:pt idx="39">
                  <c:v>0.85640383311311519</c:v>
                </c:pt>
                <c:pt idx="40">
                  <c:v>0.88099497353624168</c:v>
                </c:pt>
                <c:pt idx="41">
                  <c:v>1.086177251766723</c:v>
                </c:pt>
                <c:pt idx="42">
                  <c:v>1.1506331204133524</c:v>
                </c:pt>
                <c:pt idx="43">
                  <c:v>1.1481402091361974</c:v>
                </c:pt>
                <c:pt idx="44">
                  <c:v>1.1959498406451545</c:v>
                </c:pt>
                <c:pt idx="45">
                  <c:v>1.1404290605830207</c:v>
                </c:pt>
                <c:pt idx="46">
                  <c:v>1.150220090537118</c:v>
                </c:pt>
                <c:pt idx="47">
                  <c:v>1.0070724030673612</c:v>
                </c:pt>
                <c:pt idx="48">
                  <c:v>1.0540936940453993</c:v>
                </c:pt>
                <c:pt idx="49">
                  <c:v>0.7991824241482629</c:v>
                </c:pt>
                <c:pt idx="50">
                  <c:v>0.72815024250017701</c:v>
                </c:pt>
                <c:pt idx="51">
                  <c:v>1.0226628794774988</c:v>
                </c:pt>
                <c:pt idx="52">
                  <c:v>1.0609840272026927</c:v>
                </c:pt>
                <c:pt idx="53">
                  <c:v>1.0392331638320649</c:v>
                </c:pt>
                <c:pt idx="54">
                  <c:v>0.9986448313282531</c:v>
                </c:pt>
                <c:pt idx="55">
                  <c:v>1.0022219315086878</c:v>
                </c:pt>
                <c:pt idx="56">
                  <c:v>0.90993636000143407</c:v>
                </c:pt>
                <c:pt idx="57">
                  <c:v>0.83361499686267881</c:v>
                </c:pt>
                <c:pt idx="58">
                  <c:v>0.66764540068428702</c:v>
                </c:pt>
                <c:pt idx="59">
                  <c:v>0.64406637450256932</c:v>
                </c:pt>
                <c:pt idx="60">
                  <c:v>0.57561649412303451</c:v>
                </c:pt>
                <c:pt idx="61">
                  <c:v>0.71833758676938431</c:v>
                </c:pt>
                <c:pt idx="62">
                  <c:v>0.87345759069048412</c:v>
                </c:pt>
                <c:pt idx="63">
                  <c:v>0.84766682424203721</c:v>
                </c:pt>
                <c:pt idx="64">
                  <c:v>0.85833521579522709</c:v>
                </c:pt>
                <c:pt idx="65">
                  <c:v>0.96284434521464135</c:v>
                </c:pt>
                <c:pt idx="66">
                  <c:v>1.0173865760491463</c:v>
                </c:pt>
                <c:pt idx="67">
                  <c:v>1.0313498331887616</c:v>
                </c:pt>
                <c:pt idx="68">
                  <c:v>1.0062699787782647</c:v>
                </c:pt>
                <c:pt idx="69">
                  <c:v>0.94544923623573995</c:v>
                </c:pt>
                <c:pt idx="70">
                  <c:v>1.066270175585929</c:v>
                </c:pt>
                <c:pt idx="71">
                  <c:v>1.2084131757713823</c:v>
                </c:pt>
                <c:pt idx="72">
                  <c:v>0.80628225993232294</c:v>
                </c:pt>
                <c:pt idx="73">
                  <c:v>0.88344726245291982</c:v>
                </c:pt>
                <c:pt idx="74">
                  <c:v>0.86853088353608288</c:v>
                </c:pt>
                <c:pt idx="75">
                  <c:v>0.96668759397598125</c:v>
                </c:pt>
                <c:pt idx="76">
                  <c:v>0.94213152542319378</c:v>
                </c:pt>
                <c:pt idx="77">
                  <c:v>0.82988791462403544</c:v>
                </c:pt>
                <c:pt idx="78">
                  <c:v>0.77658033668458137</c:v>
                </c:pt>
                <c:pt idx="79">
                  <c:v>1.0646364010470546</c:v>
                </c:pt>
                <c:pt idx="80">
                  <c:v>1.1261512834012088</c:v>
                </c:pt>
                <c:pt idx="81">
                  <c:v>1.253321759492817</c:v>
                </c:pt>
                <c:pt idx="82">
                  <c:v>1.1095705703351313</c:v>
                </c:pt>
                <c:pt idx="83">
                  <c:v>0.95294412970816267</c:v>
                </c:pt>
                <c:pt idx="84">
                  <c:v>0.82965078329661568</c:v>
                </c:pt>
                <c:pt idx="85">
                  <c:v>0.75789612134056994</c:v>
                </c:pt>
                <c:pt idx="86">
                  <c:v>0.8849466680707041</c:v>
                </c:pt>
                <c:pt idx="87">
                  <c:v>1.2470304189689005</c:v>
                </c:pt>
                <c:pt idx="88">
                  <c:v>1.4725334073722718</c:v>
                </c:pt>
                <c:pt idx="89">
                  <c:v>1.4419945171684962</c:v>
                </c:pt>
                <c:pt idx="90">
                  <c:v>0.92712926857090361</c:v>
                </c:pt>
                <c:pt idx="91">
                  <c:v>0.82882196244685324</c:v>
                </c:pt>
                <c:pt idx="92">
                  <c:v>0.83211005417194406</c:v>
                </c:pt>
                <c:pt idx="93">
                  <c:v>0.820494265311841</c:v>
                </c:pt>
                <c:pt idx="94">
                  <c:v>0.8901406614586127</c:v>
                </c:pt>
                <c:pt idx="95">
                  <c:v>0.97243353431295165</c:v>
                </c:pt>
                <c:pt idx="96">
                  <c:v>0.90975997414346033</c:v>
                </c:pt>
                <c:pt idx="97">
                  <c:v>1.0413875053054169</c:v>
                </c:pt>
                <c:pt idx="98">
                  <c:v>1.010635023997378</c:v>
                </c:pt>
                <c:pt idx="99">
                  <c:v>1.0240305479584371</c:v>
                </c:pt>
                <c:pt idx="100">
                  <c:v>0.92152538687687402</c:v>
                </c:pt>
                <c:pt idx="101">
                  <c:v>1.1118187735200167</c:v>
                </c:pt>
                <c:pt idx="102">
                  <c:v>1.1130110299767484</c:v>
                </c:pt>
                <c:pt idx="103">
                  <c:v>1.1844722437507464</c:v>
                </c:pt>
                <c:pt idx="104">
                  <c:v>1.1459259730858331</c:v>
                </c:pt>
                <c:pt idx="105">
                  <c:v>1.0788984768850916</c:v>
                </c:pt>
                <c:pt idx="106">
                  <c:v>1.0911365854734105</c:v>
                </c:pt>
                <c:pt idx="107">
                  <c:v>1.0988651447450293</c:v>
                </c:pt>
                <c:pt idx="108">
                  <c:v>1.1582746635899428</c:v>
                </c:pt>
                <c:pt idx="109">
                  <c:v>1.1723514838023974</c:v>
                </c:pt>
                <c:pt idx="110">
                  <c:v>1.2067589620825769</c:v>
                </c:pt>
                <c:pt idx="111">
                  <c:v>1.1688476488920168</c:v>
                </c:pt>
                <c:pt idx="112">
                  <c:v>1.3083503557109213</c:v>
                </c:pt>
                <c:pt idx="113">
                  <c:v>1.3405585589604818</c:v>
                </c:pt>
                <c:pt idx="114">
                  <c:v>1.3107244393182416</c:v>
                </c:pt>
                <c:pt idx="115">
                  <c:v>1.37268522076503</c:v>
                </c:pt>
                <c:pt idx="116">
                  <c:v>1.7043120256436759</c:v>
                </c:pt>
                <c:pt idx="117">
                  <c:v>1.728578180737242</c:v>
                </c:pt>
                <c:pt idx="118">
                  <c:v>1.6008247876385897</c:v>
                </c:pt>
                <c:pt idx="119">
                  <c:v>1.6509956466756703</c:v>
                </c:pt>
                <c:pt idx="120">
                  <c:v>1.6493235519963489</c:v>
                </c:pt>
                <c:pt idx="121">
                  <c:v>1.4787527493108881</c:v>
                </c:pt>
                <c:pt idx="122">
                  <c:v>1.4506624553145093</c:v>
                </c:pt>
                <c:pt idx="123">
                  <c:v>1.5909384321843874</c:v>
                </c:pt>
                <c:pt idx="124">
                  <c:v>1.7102856495583911</c:v>
                </c:pt>
                <c:pt idx="125">
                  <c:v>1.5243194355272078</c:v>
                </c:pt>
                <c:pt idx="126">
                  <c:v>1.4997234399891919</c:v>
                </c:pt>
                <c:pt idx="127">
                  <c:v>1.4468793734289029</c:v>
                </c:pt>
                <c:pt idx="128">
                  <c:v>1.4206284769476425</c:v>
                </c:pt>
                <c:pt idx="129">
                  <c:v>1.3173329179236348</c:v>
                </c:pt>
                <c:pt idx="130">
                  <c:v>1.3203978864264336</c:v>
                </c:pt>
                <c:pt idx="131">
                  <c:v>1.2658990300782529</c:v>
                </c:pt>
                <c:pt idx="132">
                  <c:v>1.2872096223861202</c:v>
                </c:pt>
                <c:pt idx="133">
                  <c:v>1.2792180195300884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24-4BFC-9986-183AF23E200A}"/>
            </c:ext>
          </c:extLst>
        </c:ser>
        <c:ser>
          <c:idx val="1"/>
          <c:order val="1"/>
          <c:tx>
            <c:strRef>
              <c:f>'NN5累積報酬 '!$A$22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'NN5累積報酬 '!$B$22:$EE$22</c:f>
              <c:numCache>
                <c:formatCode>General</c:formatCode>
                <c:ptCount val="134"/>
                <c:pt idx="0">
                  <c:v>6.4235717628454689E-2</c:v>
                </c:pt>
                <c:pt idx="1">
                  <c:v>1.9554820724968169E-2</c:v>
                </c:pt>
                <c:pt idx="2">
                  <c:v>3.6909919641427147E-2</c:v>
                </c:pt>
                <c:pt idx="3">
                  <c:v>-6.0524075937559305E-2</c:v>
                </c:pt>
                <c:pt idx="4">
                  <c:v>-9.3478900187357911E-2</c:v>
                </c:pt>
                <c:pt idx="5">
                  <c:v>-0.3232844446787585</c:v>
                </c:pt>
                <c:pt idx="6">
                  <c:v>-0.19979127534068869</c:v>
                </c:pt>
                <c:pt idx="7">
                  <c:v>-0.14719268607534577</c:v>
                </c:pt>
                <c:pt idx="8">
                  <c:v>-0.11853590595895178</c:v>
                </c:pt>
                <c:pt idx="9">
                  <c:v>5.2647453466949434E-2</c:v>
                </c:pt>
                <c:pt idx="10">
                  <c:v>-0.17251115159663227</c:v>
                </c:pt>
                <c:pt idx="11">
                  <c:v>-3.9230732573385774E-2</c:v>
                </c:pt>
                <c:pt idx="12">
                  <c:v>0.10424961343088662</c:v>
                </c:pt>
                <c:pt idx="13">
                  <c:v>0.19488048785752093</c:v>
                </c:pt>
                <c:pt idx="14">
                  <c:v>0.32215137808891114</c:v>
                </c:pt>
                <c:pt idx="15">
                  <c:v>0.28552294381732307</c:v>
                </c:pt>
                <c:pt idx="16">
                  <c:v>0.53257957334705264</c:v>
                </c:pt>
                <c:pt idx="17">
                  <c:v>0.46092767295741133</c:v>
                </c:pt>
                <c:pt idx="18">
                  <c:v>0.4084387664617895</c:v>
                </c:pt>
                <c:pt idx="19">
                  <c:v>0.58406366893220185</c:v>
                </c:pt>
                <c:pt idx="20">
                  <c:v>0.7915439359564993</c:v>
                </c:pt>
                <c:pt idx="21">
                  <c:v>0.53434158474300231</c:v>
                </c:pt>
                <c:pt idx="22">
                  <c:v>0.46448825304020147</c:v>
                </c:pt>
                <c:pt idx="23">
                  <c:v>0.48835437483055788</c:v>
                </c:pt>
                <c:pt idx="24">
                  <c:v>0.49540239171741463</c:v>
                </c:pt>
                <c:pt idx="25">
                  <c:v>0.62983860443074013</c:v>
                </c:pt>
                <c:pt idx="26">
                  <c:v>0.70425898527116748</c:v>
                </c:pt>
                <c:pt idx="27">
                  <c:v>0.71783177404352883</c:v>
                </c:pt>
                <c:pt idx="28">
                  <c:v>0.45514605269138531</c:v>
                </c:pt>
                <c:pt idx="29">
                  <c:v>0.36874181364896175</c:v>
                </c:pt>
                <c:pt idx="30">
                  <c:v>0.42158335382469564</c:v>
                </c:pt>
                <c:pt idx="31">
                  <c:v>0.31571739440422297</c:v>
                </c:pt>
                <c:pt idx="32">
                  <c:v>0.40985865506160901</c:v>
                </c:pt>
                <c:pt idx="33">
                  <c:v>0.37815880573520072</c:v>
                </c:pt>
                <c:pt idx="34">
                  <c:v>0.30988947757107288</c:v>
                </c:pt>
                <c:pt idx="35">
                  <c:v>0.31932921604478315</c:v>
                </c:pt>
                <c:pt idx="36">
                  <c:v>0.40341811951248674</c:v>
                </c:pt>
                <c:pt idx="37">
                  <c:v>0.51455092917604606</c:v>
                </c:pt>
                <c:pt idx="38">
                  <c:v>0.58926830256975171</c:v>
                </c:pt>
                <c:pt idx="39">
                  <c:v>0.52673194868175899</c:v>
                </c:pt>
                <c:pt idx="40">
                  <c:v>0.54122793250398282</c:v>
                </c:pt>
                <c:pt idx="41">
                  <c:v>0.77912907353123251</c:v>
                </c:pt>
                <c:pt idx="42">
                  <c:v>0.86193951242978251</c:v>
                </c:pt>
                <c:pt idx="43">
                  <c:v>0.86851990277880209</c:v>
                </c:pt>
                <c:pt idx="44">
                  <c:v>0.92166269447918037</c:v>
                </c:pt>
                <c:pt idx="45">
                  <c:v>0.86184951780330044</c:v>
                </c:pt>
                <c:pt idx="46">
                  <c:v>0.8317001285962915</c:v>
                </c:pt>
                <c:pt idx="47">
                  <c:v>0.65793672861626729</c:v>
                </c:pt>
                <c:pt idx="48">
                  <c:v>0.72967011395049786</c:v>
                </c:pt>
                <c:pt idx="49">
                  <c:v>0.57476633562934576</c:v>
                </c:pt>
                <c:pt idx="50">
                  <c:v>0.52916791046188383</c:v>
                </c:pt>
                <c:pt idx="51">
                  <c:v>0.89871849375837165</c:v>
                </c:pt>
                <c:pt idx="52">
                  <c:v>0.76788155563541649</c:v>
                </c:pt>
                <c:pt idx="53">
                  <c:v>0.78082894547798865</c:v>
                </c:pt>
                <c:pt idx="54">
                  <c:v>0.71234590860988789</c:v>
                </c:pt>
                <c:pt idx="55">
                  <c:v>0.72598472594820751</c:v>
                </c:pt>
                <c:pt idx="56">
                  <c:v>0.76721619510098793</c:v>
                </c:pt>
                <c:pt idx="57">
                  <c:v>0.63925565276285601</c:v>
                </c:pt>
                <c:pt idx="58">
                  <c:v>0.52816693335294906</c:v>
                </c:pt>
                <c:pt idx="59">
                  <c:v>0.47317051820222816</c:v>
                </c:pt>
                <c:pt idx="60">
                  <c:v>0.43133088226856303</c:v>
                </c:pt>
                <c:pt idx="61">
                  <c:v>0.59311122133959837</c:v>
                </c:pt>
                <c:pt idx="62">
                  <c:v>0.69871569829730984</c:v>
                </c:pt>
                <c:pt idx="63">
                  <c:v>0.61577779909698727</c:v>
                </c:pt>
                <c:pt idx="64">
                  <c:v>0.71279069462059308</c:v>
                </c:pt>
                <c:pt idx="65">
                  <c:v>0.78762624477569942</c:v>
                </c:pt>
                <c:pt idx="66">
                  <c:v>0.81545634217401197</c:v>
                </c:pt>
                <c:pt idx="67">
                  <c:v>0.83626995164046491</c:v>
                </c:pt>
                <c:pt idx="68">
                  <c:v>0.81989716926366574</c:v>
                </c:pt>
                <c:pt idx="69">
                  <c:v>0.90862336359644924</c:v>
                </c:pt>
                <c:pt idx="70">
                  <c:v>1.1215721297344596</c:v>
                </c:pt>
                <c:pt idx="71">
                  <c:v>1.2801161021320686</c:v>
                </c:pt>
                <c:pt idx="72">
                  <c:v>0.85239960566769235</c:v>
                </c:pt>
                <c:pt idx="73">
                  <c:v>0.96542850457205753</c:v>
                </c:pt>
                <c:pt idx="74">
                  <c:v>0.9977813800925569</c:v>
                </c:pt>
                <c:pt idx="75">
                  <c:v>1.0450391159554491</c:v>
                </c:pt>
                <c:pt idx="76">
                  <c:v>1.0175490374751255</c:v>
                </c:pt>
                <c:pt idx="77">
                  <c:v>0.86855575922919892</c:v>
                </c:pt>
                <c:pt idx="78">
                  <c:v>0.8909872249821843</c:v>
                </c:pt>
                <c:pt idx="79">
                  <c:v>1.2248652616949072</c:v>
                </c:pt>
                <c:pt idx="80">
                  <c:v>1.2917054073317247</c:v>
                </c:pt>
                <c:pt idx="81">
                  <c:v>1.4472779757541916</c:v>
                </c:pt>
                <c:pt idx="82">
                  <c:v>1.2440148835516045</c:v>
                </c:pt>
                <c:pt idx="83">
                  <c:v>1.0904085987420613</c:v>
                </c:pt>
                <c:pt idx="84">
                  <c:v>0.85995943170387712</c:v>
                </c:pt>
                <c:pt idx="85">
                  <c:v>0.75657992661431439</c:v>
                </c:pt>
                <c:pt idx="86">
                  <c:v>0.79274326921899685</c:v>
                </c:pt>
                <c:pt idx="87">
                  <c:v>1.3466976346215147</c:v>
                </c:pt>
                <c:pt idx="88">
                  <c:v>1.6484578925309967</c:v>
                </c:pt>
                <c:pt idx="89">
                  <c:v>1.6570046643519041</c:v>
                </c:pt>
                <c:pt idx="90">
                  <c:v>1.0070481961027484</c:v>
                </c:pt>
                <c:pt idx="91">
                  <c:v>0.83520446296034967</c:v>
                </c:pt>
                <c:pt idx="92">
                  <c:v>0.82287068363468507</c:v>
                </c:pt>
                <c:pt idx="93">
                  <c:v>0.85129288871384579</c:v>
                </c:pt>
                <c:pt idx="94">
                  <c:v>0.83609070519242301</c:v>
                </c:pt>
                <c:pt idx="95">
                  <c:v>0.89432322654840835</c:v>
                </c:pt>
                <c:pt idx="96">
                  <c:v>0.78348180690654257</c:v>
                </c:pt>
                <c:pt idx="97">
                  <c:v>0.91309930567542552</c:v>
                </c:pt>
                <c:pt idx="98">
                  <c:v>0.89959950713946391</c:v>
                </c:pt>
                <c:pt idx="99">
                  <c:v>0.94688496039825421</c:v>
                </c:pt>
                <c:pt idx="100">
                  <c:v>0.84237413433019259</c:v>
                </c:pt>
                <c:pt idx="101">
                  <c:v>1.0490679964159511</c:v>
                </c:pt>
                <c:pt idx="102">
                  <c:v>1.045076242534027</c:v>
                </c:pt>
                <c:pt idx="103">
                  <c:v>1.0991178642445489</c:v>
                </c:pt>
                <c:pt idx="104">
                  <c:v>1.0596235342946521</c:v>
                </c:pt>
                <c:pt idx="105">
                  <c:v>1.0436609564790893</c:v>
                </c:pt>
                <c:pt idx="106">
                  <c:v>1.0381691984971391</c:v>
                </c:pt>
                <c:pt idx="107">
                  <c:v>1.0552009737706922</c:v>
                </c:pt>
                <c:pt idx="108">
                  <c:v>1.1270904731876954</c:v>
                </c:pt>
                <c:pt idx="109">
                  <c:v>1.1410358193711994</c:v>
                </c:pt>
                <c:pt idx="110">
                  <c:v>1.2045968186334488</c:v>
                </c:pt>
                <c:pt idx="111">
                  <c:v>1.154350812800353</c:v>
                </c:pt>
                <c:pt idx="112">
                  <c:v>1.3334855266231931</c:v>
                </c:pt>
                <c:pt idx="113">
                  <c:v>1.3551658527810837</c:v>
                </c:pt>
                <c:pt idx="114">
                  <c:v>1.2916998017430501</c:v>
                </c:pt>
                <c:pt idx="115">
                  <c:v>1.3384631299470575</c:v>
                </c:pt>
                <c:pt idx="116">
                  <c:v>1.4141789460019636</c:v>
                </c:pt>
                <c:pt idx="117">
                  <c:v>1.4163512693409939</c:v>
                </c:pt>
                <c:pt idx="118">
                  <c:v>1.2853202655215539</c:v>
                </c:pt>
                <c:pt idx="119">
                  <c:v>1.2792277129062359</c:v>
                </c:pt>
                <c:pt idx="120">
                  <c:v>1.2428814506567001</c:v>
                </c:pt>
                <c:pt idx="121">
                  <c:v>1.2165050944204994</c:v>
                </c:pt>
                <c:pt idx="122">
                  <c:v>1.1590097035836604</c:v>
                </c:pt>
                <c:pt idx="123">
                  <c:v>1.2847148212618384</c:v>
                </c:pt>
                <c:pt idx="124">
                  <c:v>1.3942178879034028</c:v>
                </c:pt>
                <c:pt idx="125">
                  <c:v>1.1717752794551082</c:v>
                </c:pt>
                <c:pt idx="126">
                  <c:v>1.1799223960806482</c:v>
                </c:pt>
                <c:pt idx="127">
                  <c:v>1.0761744151350907</c:v>
                </c:pt>
                <c:pt idx="128">
                  <c:v>1.005625766295732</c:v>
                </c:pt>
                <c:pt idx="129">
                  <c:v>0.86269869024340451</c:v>
                </c:pt>
                <c:pt idx="130">
                  <c:v>0.88419379181904267</c:v>
                </c:pt>
                <c:pt idx="131">
                  <c:v>0.80678022476143518</c:v>
                </c:pt>
                <c:pt idx="132">
                  <c:v>0.85441688414613404</c:v>
                </c:pt>
                <c:pt idx="133">
                  <c:v>0.81962663777396172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24-4BFC-9986-183AF23E200A}"/>
            </c:ext>
          </c:extLst>
        </c:ser>
        <c:ser>
          <c:idx val="2"/>
          <c:order val="2"/>
          <c:tx>
            <c:strRef>
              <c:f>'NN5累積報酬 '!$A$23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'NN5累積報酬 '!$B$23:$EE$23</c:f>
              <c:numCache>
                <c:formatCode>General</c:formatCode>
                <c:ptCount val="134"/>
                <c:pt idx="0">
                  <c:v>-3.4987009286289193E-2</c:v>
                </c:pt>
                <c:pt idx="1">
                  <c:v>-6.4797676971711279E-2</c:v>
                </c:pt>
                <c:pt idx="2">
                  <c:v>-0.1978028710278823</c:v>
                </c:pt>
                <c:pt idx="3">
                  <c:v>-0.33946778007978401</c:v>
                </c:pt>
                <c:pt idx="4">
                  <c:v>-0.39169195392628237</c:v>
                </c:pt>
                <c:pt idx="5">
                  <c:v>-0.65450219512773522</c:v>
                </c:pt>
                <c:pt idx="6">
                  <c:v>-0.50635016652744125</c:v>
                </c:pt>
                <c:pt idx="7">
                  <c:v>-0.60451245767389361</c:v>
                </c:pt>
                <c:pt idx="8">
                  <c:v>-0.66443034218195651</c:v>
                </c:pt>
                <c:pt idx="9">
                  <c:v>-0.61038681240635784</c:v>
                </c:pt>
                <c:pt idx="10">
                  <c:v>-0.8777533824163366</c:v>
                </c:pt>
                <c:pt idx="11">
                  <c:v>-0.72133414478032387</c:v>
                </c:pt>
                <c:pt idx="12">
                  <c:v>-0.51676976680732178</c:v>
                </c:pt>
                <c:pt idx="13">
                  <c:v>-0.46208824077277388</c:v>
                </c:pt>
                <c:pt idx="14">
                  <c:v>-0.17091474730606926</c:v>
                </c:pt>
                <c:pt idx="15">
                  <c:v>-0.1952285419180067</c:v>
                </c:pt>
                <c:pt idx="16">
                  <c:v>-2.5933542004762694E-2</c:v>
                </c:pt>
                <c:pt idx="17">
                  <c:v>-2.6306911213241441E-2</c:v>
                </c:pt>
                <c:pt idx="18">
                  <c:v>-8.5548700694342894E-2</c:v>
                </c:pt>
                <c:pt idx="19">
                  <c:v>0.14692850267658181</c:v>
                </c:pt>
                <c:pt idx="20">
                  <c:v>0.47854765292572632</c:v>
                </c:pt>
                <c:pt idx="21">
                  <c:v>0.28399119146808205</c:v>
                </c:pt>
                <c:pt idx="22">
                  <c:v>0.21604126987673128</c:v>
                </c:pt>
                <c:pt idx="23">
                  <c:v>0.25709323639698267</c:v>
                </c:pt>
                <c:pt idx="24">
                  <c:v>0.26369952836645294</c:v>
                </c:pt>
                <c:pt idx="25">
                  <c:v>0.32773930824323644</c:v>
                </c:pt>
                <c:pt idx="26">
                  <c:v>0.40408564639007444</c:v>
                </c:pt>
                <c:pt idx="27">
                  <c:v>0.47571451447574847</c:v>
                </c:pt>
                <c:pt idx="28">
                  <c:v>0.1137391352221947</c:v>
                </c:pt>
                <c:pt idx="29">
                  <c:v>8.8438642855647454E-2</c:v>
                </c:pt>
                <c:pt idx="30">
                  <c:v>0.18031230050200764</c:v>
                </c:pt>
                <c:pt idx="31">
                  <c:v>9.6140715978824398E-2</c:v>
                </c:pt>
                <c:pt idx="32">
                  <c:v>0.11334663329229167</c:v>
                </c:pt>
                <c:pt idx="33">
                  <c:v>0.16154223348242056</c:v>
                </c:pt>
                <c:pt idx="34">
                  <c:v>0.1800999642191318</c:v>
                </c:pt>
                <c:pt idx="35">
                  <c:v>0.19416655732613616</c:v>
                </c:pt>
                <c:pt idx="36">
                  <c:v>0.20193604633100143</c:v>
                </c:pt>
                <c:pt idx="37">
                  <c:v>0.44425074568830214</c:v>
                </c:pt>
                <c:pt idx="38">
                  <c:v>0.43891379349687804</c:v>
                </c:pt>
                <c:pt idx="39">
                  <c:v>0.44203489284918374</c:v>
                </c:pt>
                <c:pt idx="40">
                  <c:v>0.53145988510879438</c:v>
                </c:pt>
                <c:pt idx="41">
                  <c:v>0.86820392895386211</c:v>
                </c:pt>
                <c:pt idx="42">
                  <c:v>0.85349704095648449</c:v>
                </c:pt>
                <c:pt idx="43">
                  <c:v>0.81206931914283487</c:v>
                </c:pt>
                <c:pt idx="44">
                  <c:v>0.84521484527133917</c:v>
                </c:pt>
                <c:pt idx="45">
                  <c:v>0.81757585107396513</c:v>
                </c:pt>
                <c:pt idx="46">
                  <c:v>0.76554894123556239</c:v>
                </c:pt>
                <c:pt idx="47">
                  <c:v>0.69571078740851833</c:v>
                </c:pt>
                <c:pt idx="48">
                  <c:v>0.86594476824910038</c:v>
                </c:pt>
                <c:pt idx="49">
                  <c:v>0.80219115084804016</c:v>
                </c:pt>
                <c:pt idx="50">
                  <c:v>0.81183793092814094</c:v>
                </c:pt>
                <c:pt idx="51">
                  <c:v>1.3786644569755813</c:v>
                </c:pt>
                <c:pt idx="52">
                  <c:v>1.0778362078025154</c:v>
                </c:pt>
                <c:pt idx="53">
                  <c:v>1.1726670891489657</c:v>
                </c:pt>
                <c:pt idx="54">
                  <c:v>1.0861346943589627</c:v>
                </c:pt>
                <c:pt idx="55">
                  <c:v>1.0632877037542765</c:v>
                </c:pt>
                <c:pt idx="56">
                  <c:v>1.0249648763351307</c:v>
                </c:pt>
                <c:pt idx="57">
                  <c:v>0.82148089497984345</c:v>
                </c:pt>
                <c:pt idx="58">
                  <c:v>0.63036881565664438</c:v>
                </c:pt>
                <c:pt idx="59">
                  <c:v>0.52636550038871743</c:v>
                </c:pt>
                <c:pt idx="60">
                  <c:v>0.5310524780996414</c:v>
                </c:pt>
                <c:pt idx="61">
                  <c:v>0.68058677434988102</c:v>
                </c:pt>
                <c:pt idx="62">
                  <c:v>0.86976746113703496</c:v>
                </c:pt>
                <c:pt idx="63">
                  <c:v>0.83131422389676179</c:v>
                </c:pt>
                <c:pt idx="64">
                  <c:v>0.99762438978945234</c:v>
                </c:pt>
                <c:pt idx="65">
                  <c:v>1.0958907890009089</c:v>
                </c:pt>
                <c:pt idx="66">
                  <c:v>1.1455026302889</c:v>
                </c:pt>
                <c:pt idx="67">
                  <c:v>1.1633469517528627</c:v>
                </c:pt>
                <c:pt idx="68">
                  <c:v>1.0900715630949509</c:v>
                </c:pt>
                <c:pt idx="69">
                  <c:v>1.308258239227855</c:v>
                </c:pt>
                <c:pt idx="70">
                  <c:v>1.5139459750738009</c:v>
                </c:pt>
                <c:pt idx="71">
                  <c:v>1.6274135434339894</c:v>
                </c:pt>
                <c:pt idx="72">
                  <c:v>1.0264160170005385</c:v>
                </c:pt>
                <c:pt idx="73">
                  <c:v>1.0951511063313364</c:v>
                </c:pt>
                <c:pt idx="74">
                  <c:v>1.1350905552074668</c:v>
                </c:pt>
                <c:pt idx="75">
                  <c:v>1.1427603176393117</c:v>
                </c:pt>
                <c:pt idx="76">
                  <c:v>1.0671071178926828</c:v>
                </c:pt>
                <c:pt idx="77">
                  <c:v>0.84949291490024281</c:v>
                </c:pt>
                <c:pt idx="78">
                  <c:v>0.93304882393841182</c:v>
                </c:pt>
                <c:pt idx="79">
                  <c:v>1.124725278953197</c:v>
                </c:pt>
                <c:pt idx="80">
                  <c:v>1.1843275807909144</c:v>
                </c:pt>
                <c:pt idx="81">
                  <c:v>1.3677608170764737</c:v>
                </c:pt>
                <c:pt idx="82">
                  <c:v>0.97451702915279692</c:v>
                </c:pt>
                <c:pt idx="83">
                  <c:v>0.81239445483572625</c:v>
                </c:pt>
                <c:pt idx="84">
                  <c:v>0.75327198092220238</c:v>
                </c:pt>
                <c:pt idx="85">
                  <c:v>0.73339661337179185</c:v>
                </c:pt>
                <c:pt idx="86">
                  <c:v>0.82951360809975339</c:v>
                </c:pt>
                <c:pt idx="87">
                  <c:v>1.650662434865285</c:v>
                </c:pt>
                <c:pt idx="88">
                  <c:v>2.0373953813881944</c:v>
                </c:pt>
                <c:pt idx="89">
                  <c:v>2.0904005597579975</c:v>
                </c:pt>
                <c:pt idx="90">
                  <c:v>1.1814772723923777</c:v>
                </c:pt>
                <c:pt idx="91">
                  <c:v>0.93537549993615876</c:v>
                </c:pt>
                <c:pt idx="92">
                  <c:v>0.9261917554363529</c:v>
                </c:pt>
                <c:pt idx="93">
                  <c:v>0.96442459460757279</c:v>
                </c:pt>
                <c:pt idx="94">
                  <c:v>0.92745037561629418</c:v>
                </c:pt>
                <c:pt idx="95">
                  <c:v>0.97311291732754801</c:v>
                </c:pt>
                <c:pt idx="96">
                  <c:v>0.95205632161426101</c:v>
                </c:pt>
                <c:pt idx="97">
                  <c:v>1.1539077845011394</c:v>
                </c:pt>
                <c:pt idx="98">
                  <c:v>1.2180728966169807</c:v>
                </c:pt>
                <c:pt idx="99">
                  <c:v>1.1738188170674457</c:v>
                </c:pt>
                <c:pt idx="100">
                  <c:v>1.0200684833959068</c:v>
                </c:pt>
                <c:pt idx="101">
                  <c:v>1.1860729326132464</c:v>
                </c:pt>
                <c:pt idx="102">
                  <c:v>1.155090796387336</c:v>
                </c:pt>
                <c:pt idx="103">
                  <c:v>1.1738378628305557</c:v>
                </c:pt>
                <c:pt idx="104">
                  <c:v>1.29302834890097</c:v>
                </c:pt>
                <c:pt idx="105">
                  <c:v>1.2746205226279688</c:v>
                </c:pt>
                <c:pt idx="106">
                  <c:v>1.265225296676324</c:v>
                </c:pt>
                <c:pt idx="107">
                  <c:v>1.3271674237212294</c:v>
                </c:pt>
                <c:pt idx="108">
                  <c:v>1.3947878511276386</c:v>
                </c:pt>
                <c:pt idx="109">
                  <c:v>1.450201298436381</c:v>
                </c:pt>
                <c:pt idx="110">
                  <c:v>1.5036808953524019</c:v>
                </c:pt>
                <c:pt idx="111">
                  <c:v>1.4166228871800541</c:v>
                </c:pt>
                <c:pt idx="112">
                  <c:v>1.6944561037388972</c:v>
                </c:pt>
                <c:pt idx="113">
                  <c:v>1.6378487694078216</c:v>
                </c:pt>
                <c:pt idx="114">
                  <c:v>1.6183514644884558</c:v>
                </c:pt>
                <c:pt idx="115">
                  <c:v>1.6248486605324259</c:v>
                </c:pt>
                <c:pt idx="116">
                  <c:v>1.7489171025201549</c:v>
                </c:pt>
                <c:pt idx="117">
                  <c:v>1.7960053351758778</c:v>
                </c:pt>
                <c:pt idx="118">
                  <c:v>1.6257943386723399</c:v>
                </c:pt>
                <c:pt idx="119">
                  <c:v>1.5359083359410333</c:v>
                </c:pt>
                <c:pt idx="120">
                  <c:v>1.4193323442740939</c:v>
                </c:pt>
                <c:pt idx="121">
                  <c:v>1.295377121077895</c:v>
                </c:pt>
                <c:pt idx="122">
                  <c:v>1.3296643063328926</c:v>
                </c:pt>
                <c:pt idx="123">
                  <c:v>1.6059359146623322</c:v>
                </c:pt>
                <c:pt idx="124">
                  <c:v>1.7471641472451709</c:v>
                </c:pt>
                <c:pt idx="125">
                  <c:v>1.4336709408662047</c:v>
                </c:pt>
                <c:pt idx="126">
                  <c:v>1.2637941122139507</c:v>
                </c:pt>
                <c:pt idx="127">
                  <c:v>1.1781032097309894</c:v>
                </c:pt>
                <c:pt idx="128">
                  <c:v>1.1546543021178699</c:v>
                </c:pt>
                <c:pt idx="129">
                  <c:v>1.0164288069946679</c:v>
                </c:pt>
                <c:pt idx="130">
                  <c:v>0.97984449066885448</c:v>
                </c:pt>
                <c:pt idx="131">
                  <c:v>0.88841858604907342</c:v>
                </c:pt>
                <c:pt idx="132">
                  <c:v>0.9576306620340661</c:v>
                </c:pt>
                <c:pt idx="133">
                  <c:v>0.90984838344240648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24-4BFC-9986-183AF23E200A}"/>
            </c:ext>
          </c:extLst>
        </c:ser>
        <c:ser>
          <c:idx val="3"/>
          <c:order val="3"/>
          <c:tx>
            <c:strRef>
              <c:f>'NN5累積報酬 '!$A$24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val>
            <c:numRef>
              <c:f>'NN5累積報酬 '!$B$24:$EE$24</c:f>
              <c:numCache>
                <c:formatCode>General</c:formatCode>
                <c:ptCount val="134"/>
                <c:pt idx="0">
                  <c:v>0.162993136931085</c:v>
                </c:pt>
                <c:pt idx="1">
                  <c:v>5.89441269586721E-2</c:v>
                </c:pt>
                <c:pt idx="2">
                  <c:v>-0.22556837073182981</c:v>
                </c:pt>
                <c:pt idx="3">
                  <c:v>-0.45272791736857865</c:v>
                </c:pt>
                <c:pt idx="4">
                  <c:v>-0.22696789431100625</c:v>
                </c:pt>
                <c:pt idx="5">
                  <c:v>-0.57779008564204504</c:v>
                </c:pt>
                <c:pt idx="6">
                  <c:v>-0.57990201884518855</c:v>
                </c:pt>
                <c:pt idx="7">
                  <c:v>-0.6798742117553247</c:v>
                </c:pt>
                <c:pt idx="8">
                  <c:v>-0.62614121508709064</c:v>
                </c:pt>
                <c:pt idx="9">
                  <c:v>-0.5305179645784085</c:v>
                </c:pt>
                <c:pt idx="10">
                  <c:v>-0.99354550877854697</c:v>
                </c:pt>
                <c:pt idx="11">
                  <c:v>-0.84941505637811376</c:v>
                </c:pt>
                <c:pt idx="12">
                  <c:v>-0.61410586297269076</c:v>
                </c:pt>
                <c:pt idx="13">
                  <c:v>-0.61236957410834358</c:v>
                </c:pt>
                <c:pt idx="14">
                  <c:v>-0.61521670971074083</c:v>
                </c:pt>
                <c:pt idx="15">
                  <c:v>-0.86091408049000051</c:v>
                </c:pt>
                <c:pt idx="16">
                  <c:v>-0.72103028092299992</c:v>
                </c:pt>
                <c:pt idx="17">
                  <c:v>-0.59733923683121071</c:v>
                </c:pt>
                <c:pt idx="18">
                  <c:v>-0.88319552681261149</c:v>
                </c:pt>
                <c:pt idx="19">
                  <c:v>-0.78451701555328157</c:v>
                </c:pt>
                <c:pt idx="20">
                  <c:v>-0.28880502959733895</c:v>
                </c:pt>
                <c:pt idx="21">
                  <c:v>-0.28790615313232176</c:v>
                </c:pt>
                <c:pt idx="22">
                  <c:v>-0.40822364619685225</c:v>
                </c:pt>
                <c:pt idx="23">
                  <c:v>-0.43261819494642839</c:v>
                </c:pt>
                <c:pt idx="24">
                  <c:v>-0.41907042670885114</c:v>
                </c:pt>
                <c:pt idx="25">
                  <c:v>-0.22373080403360734</c:v>
                </c:pt>
                <c:pt idx="26">
                  <c:v>-9.8350423257642344E-2</c:v>
                </c:pt>
                <c:pt idx="27">
                  <c:v>2.8248759990805589E-3</c:v>
                </c:pt>
                <c:pt idx="28">
                  <c:v>-0.53843324524720071</c:v>
                </c:pt>
                <c:pt idx="29">
                  <c:v>-0.70413702489374297</c:v>
                </c:pt>
                <c:pt idx="30">
                  <c:v>-0.56540130726710536</c:v>
                </c:pt>
                <c:pt idx="31">
                  <c:v>-0.62209866733489494</c:v>
                </c:pt>
                <c:pt idx="32">
                  <c:v>-0.63090699843332221</c:v>
                </c:pt>
                <c:pt idx="33">
                  <c:v>-0.71179824243269763</c:v>
                </c:pt>
                <c:pt idx="34">
                  <c:v>-0.71035726535274946</c:v>
                </c:pt>
                <c:pt idx="35">
                  <c:v>-0.7975309668293844</c:v>
                </c:pt>
                <c:pt idx="36">
                  <c:v>-0.81645024824991108</c:v>
                </c:pt>
                <c:pt idx="37">
                  <c:v>-0.59526078310447983</c:v>
                </c:pt>
                <c:pt idx="38">
                  <c:v>-0.52917067127548978</c:v>
                </c:pt>
                <c:pt idx="39">
                  <c:v>-0.55202238676458615</c:v>
                </c:pt>
                <c:pt idx="40">
                  <c:v>-0.50494541393034043</c:v>
                </c:pt>
                <c:pt idx="41">
                  <c:v>-0.49530615732273342</c:v>
                </c:pt>
                <c:pt idx="42">
                  <c:v>-0.52326223458932353</c:v>
                </c:pt>
                <c:pt idx="43">
                  <c:v>-0.49280302710461488</c:v>
                </c:pt>
                <c:pt idx="44">
                  <c:v>-0.44870770723939057</c:v>
                </c:pt>
                <c:pt idx="45">
                  <c:v>-0.53585965942628644</c:v>
                </c:pt>
                <c:pt idx="46">
                  <c:v>-0.53087211791524724</c:v>
                </c:pt>
                <c:pt idx="47">
                  <c:v>-0.55917830450367179</c:v>
                </c:pt>
                <c:pt idx="48">
                  <c:v>-0.39105101061878239</c:v>
                </c:pt>
                <c:pt idx="49">
                  <c:v>-0.35318393701911721</c:v>
                </c:pt>
                <c:pt idx="50">
                  <c:v>-0.40697866910375036</c:v>
                </c:pt>
                <c:pt idx="51">
                  <c:v>0.2837978622769215</c:v>
                </c:pt>
                <c:pt idx="52">
                  <c:v>-0.31562377874697034</c:v>
                </c:pt>
                <c:pt idx="53">
                  <c:v>-0.13002855950053513</c:v>
                </c:pt>
                <c:pt idx="54">
                  <c:v>-0.23415968235121973</c:v>
                </c:pt>
                <c:pt idx="55">
                  <c:v>-0.14650834629712742</c:v>
                </c:pt>
                <c:pt idx="56">
                  <c:v>-5.5524118589691807E-2</c:v>
                </c:pt>
                <c:pt idx="57">
                  <c:v>-0.44177945550322678</c:v>
                </c:pt>
                <c:pt idx="58">
                  <c:v>-0.66540856157327388</c:v>
                </c:pt>
                <c:pt idx="59">
                  <c:v>-0.66875687732815847</c:v>
                </c:pt>
                <c:pt idx="60">
                  <c:v>-0.66473333043387228</c:v>
                </c:pt>
                <c:pt idx="61">
                  <c:v>-0.34756903650915566</c:v>
                </c:pt>
                <c:pt idx="62">
                  <c:v>-0.33609601739141853</c:v>
                </c:pt>
                <c:pt idx="63">
                  <c:v>-0.44500927770796606</c:v>
                </c:pt>
                <c:pt idx="64">
                  <c:v>-0.28389958661232417</c:v>
                </c:pt>
                <c:pt idx="65">
                  <c:v>-0.16054840548300225</c:v>
                </c:pt>
                <c:pt idx="66">
                  <c:v>-0.2247180388131173</c:v>
                </c:pt>
                <c:pt idx="67">
                  <c:v>-0.1823618155096996</c:v>
                </c:pt>
                <c:pt idx="68">
                  <c:v>-0.18364653299415656</c:v>
                </c:pt>
                <c:pt idx="69">
                  <c:v>9.3072483146051821E-2</c:v>
                </c:pt>
                <c:pt idx="70">
                  <c:v>0.32139911470599253</c:v>
                </c:pt>
                <c:pt idx="71">
                  <c:v>0.42912756859397544</c:v>
                </c:pt>
                <c:pt idx="72">
                  <c:v>-0.67988450144338652</c:v>
                </c:pt>
                <c:pt idx="73">
                  <c:v>-0.57592946739429518</c:v>
                </c:pt>
                <c:pt idx="74">
                  <c:v>-0.86626634233971211</c:v>
                </c:pt>
                <c:pt idx="75">
                  <c:v>-0.60737344348971523</c:v>
                </c:pt>
                <c:pt idx="76">
                  <c:v>-0.72259512426312988</c:v>
                </c:pt>
                <c:pt idx="77">
                  <c:v>-0.51383314997526075</c:v>
                </c:pt>
                <c:pt idx="78">
                  <c:v>-0.29400195677403362</c:v>
                </c:pt>
                <c:pt idx="79">
                  <c:v>-0.26160968941975732</c:v>
                </c:pt>
                <c:pt idx="80">
                  <c:v>-9.604481542864271E-2</c:v>
                </c:pt>
                <c:pt idx="81">
                  <c:v>6.9086537580753199E-2</c:v>
                </c:pt>
                <c:pt idx="82">
                  <c:v>-0.25473144143830739</c:v>
                </c:pt>
                <c:pt idx="83">
                  <c:v>-0.46770432546762569</c:v>
                </c:pt>
                <c:pt idx="84">
                  <c:v>-0.52621248270066456</c:v>
                </c:pt>
                <c:pt idx="85">
                  <c:v>-0.51310299728124498</c:v>
                </c:pt>
                <c:pt idx="86">
                  <c:v>-0.41957291796554841</c:v>
                </c:pt>
                <c:pt idx="87">
                  <c:v>0.72904711690479751</c:v>
                </c:pt>
                <c:pt idx="88">
                  <c:v>1.2786342268638977</c:v>
                </c:pt>
                <c:pt idx="89">
                  <c:v>1.3863729933211109</c:v>
                </c:pt>
                <c:pt idx="90">
                  <c:v>0.60971977498487973</c:v>
                </c:pt>
                <c:pt idx="91">
                  <c:v>0.41165242943778674</c:v>
                </c:pt>
                <c:pt idx="92">
                  <c:v>0.52633960330108354</c:v>
                </c:pt>
                <c:pt idx="93">
                  <c:v>0.62315751049242196</c:v>
                </c:pt>
                <c:pt idx="94">
                  <c:v>0.53726227774561619</c:v>
                </c:pt>
                <c:pt idx="95">
                  <c:v>0.63368128589301198</c:v>
                </c:pt>
                <c:pt idx="96">
                  <c:v>0.56092993823630199</c:v>
                </c:pt>
                <c:pt idx="97">
                  <c:v>0.92241023358771201</c:v>
                </c:pt>
                <c:pt idx="98">
                  <c:v>0.92082209137990434</c:v>
                </c:pt>
                <c:pt idx="99">
                  <c:v>0.97358735022317133</c:v>
                </c:pt>
                <c:pt idx="100">
                  <c:v>0.65243959801643059</c:v>
                </c:pt>
                <c:pt idx="101">
                  <c:v>0.9750294753733405</c:v>
                </c:pt>
                <c:pt idx="102">
                  <c:v>0.99954067953609538</c:v>
                </c:pt>
                <c:pt idx="103">
                  <c:v>0.98303881368709911</c:v>
                </c:pt>
                <c:pt idx="104">
                  <c:v>1.177492411978317</c:v>
                </c:pt>
                <c:pt idx="105">
                  <c:v>1.2267921846490921</c:v>
                </c:pt>
                <c:pt idx="106">
                  <c:v>1.0507294271395571</c:v>
                </c:pt>
                <c:pt idx="107">
                  <c:v>0.94606445111899573</c:v>
                </c:pt>
                <c:pt idx="108">
                  <c:v>1.0656097375191285</c:v>
                </c:pt>
                <c:pt idx="109">
                  <c:v>1.1649767180190678</c:v>
                </c:pt>
                <c:pt idx="110">
                  <c:v>1.3068521769573374</c:v>
                </c:pt>
                <c:pt idx="111">
                  <c:v>1.1743635664480976</c:v>
                </c:pt>
                <c:pt idx="112">
                  <c:v>1.5138727770785414</c:v>
                </c:pt>
                <c:pt idx="113">
                  <c:v>1.4821240787639611</c:v>
                </c:pt>
                <c:pt idx="114">
                  <c:v>1.3406845515370862</c:v>
                </c:pt>
                <c:pt idx="115">
                  <c:v>1.5740191223117823</c:v>
                </c:pt>
                <c:pt idx="116">
                  <c:v>1.6896310773352627</c:v>
                </c:pt>
                <c:pt idx="117">
                  <c:v>1.8040045028212766</c:v>
                </c:pt>
                <c:pt idx="118">
                  <c:v>1.6710271515853066</c:v>
                </c:pt>
                <c:pt idx="119">
                  <c:v>1.6505115213732773</c:v>
                </c:pt>
                <c:pt idx="120">
                  <c:v>1.5831489756593327</c:v>
                </c:pt>
                <c:pt idx="121">
                  <c:v>1.544786109489203</c:v>
                </c:pt>
                <c:pt idx="122">
                  <c:v>1.4971475222154456</c:v>
                </c:pt>
                <c:pt idx="123">
                  <c:v>1.6553722208592598</c:v>
                </c:pt>
                <c:pt idx="124">
                  <c:v>1.7642293107505902</c:v>
                </c:pt>
                <c:pt idx="125">
                  <c:v>1.4526361829580863</c:v>
                </c:pt>
                <c:pt idx="126">
                  <c:v>1.1088318961598778</c:v>
                </c:pt>
                <c:pt idx="127">
                  <c:v>1.0583627137567611</c:v>
                </c:pt>
                <c:pt idx="128">
                  <c:v>1.1357136359840969</c:v>
                </c:pt>
                <c:pt idx="129">
                  <c:v>1.0264848636112907</c:v>
                </c:pt>
                <c:pt idx="130">
                  <c:v>1.0121749448406117</c:v>
                </c:pt>
                <c:pt idx="131">
                  <c:v>0.95600209954224957</c:v>
                </c:pt>
                <c:pt idx="132">
                  <c:v>1.0634827567766676</c:v>
                </c:pt>
                <c:pt idx="133">
                  <c:v>1.1307594338206359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24-4BFC-9986-183AF23E200A}"/>
            </c:ext>
          </c:extLst>
        </c:ser>
        <c:ser>
          <c:idx val="4"/>
          <c:order val="4"/>
          <c:tx>
            <c:strRef>
              <c:f>'NN5累積報酬 '!$A$25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'NN5累積報酬 '!$B$25:$EE$25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24-4BFC-9986-183AF23E2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6668959"/>
        <c:axId val="1086670879"/>
      </c:lineChart>
      <c:catAx>
        <c:axId val="1086668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6670879"/>
        <c:crosses val="autoZero"/>
        <c:auto val="1"/>
        <c:lblAlgn val="ctr"/>
        <c:lblOffset val="100"/>
        <c:noMultiLvlLbl val="0"/>
      </c:catAx>
      <c:valAx>
        <c:axId val="108667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666895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NN5再投資累積報酬!$C$23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NN5再投資累積報酬!$D$22:$EG$22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NN5再投資累積報酬!$D$23:$EG$23</c:f>
              <c:numCache>
                <c:formatCode>General</c:formatCode>
                <c:ptCount val="134"/>
                <c:pt idx="0">
                  <c:v>4.686768274486397E-2</c:v>
                </c:pt>
                <c:pt idx="1">
                  <c:v>6.8464078560415143E-2</c:v>
                </c:pt>
                <c:pt idx="2">
                  <c:v>1.7149142963823971E-2</c:v>
                </c:pt>
                <c:pt idx="3">
                  <c:v>-1.9912804791508698E-3</c:v>
                </c:pt>
                <c:pt idx="4">
                  <c:v>6.588802991664755E-3</c:v>
                </c:pt>
                <c:pt idx="5">
                  <c:v>1.6251308970442135E-2</c:v>
                </c:pt>
                <c:pt idx="6">
                  <c:v>5.4967552200613889E-2</c:v>
                </c:pt>
                <c:pt idx="7">
                  <c:v>0.10115886206322622</c:v>
                </c:pt>
                <c:pt idx="8">
                  <c:v>0.12183243713119229</c:v>
                </c:pt>
                <c:pt idx="9">
                  <c:v>0.12039671536429242</c:v>
                </c:pt>
                <c:pt idx="10">
                  <c:v>0.10297252502044341</c:v>
                </c:pt>
                <c:pt idx="11">
                  <c:v>0.16076203389093235</c:v>
                </c:pt>
                <c:pt idx="12">
                  <c:v>0.18177970211089001</c:v>
                </c:pt>
                <c:pt idx="13">
                  <c:v>0.18134708786112808</c:v>
                </c:pt>
                <c:pt idx="14">
                  <c:v>0.2230130643296091</c:v>
                </c:pt>
                <c:pt idx="15">
                  <c:v>0.23878769936205613</c:v>
                </c:pt>
                <c:pt idx="16">
                  <c:v>0.25248253426134992</c:v>
                </c:pt>
                <c:pt idx="17">
                  <c:v>0.19904750779540237</c:v>
                </c:pt>
                <c:pt idx="18">
                  <c:v>0.21844641646553975</c:v>
                </c:pt>
                <c:pt idx="19">
                  <c:v>0.21088660214347943</c:v>
                </c:pt>
                <c:pt idx="20">
                  <c:v>0.23423000894249135</c:v>
                </c:pt>
                <c:pt idx="21">
                  <c:v>0.20244904952578646</c:v>
                </c:pt>
                <c:pt idx="22">
                  <c:v>0.22101530584900053</c:v>
                </c:pt>
                <c:pt idx="23">
                  <c:v>0.22732295810917269</c:v>
                </c:pt>
                <c:pt idx="24">
                  <c:v>0.18023545896571402</c:v>
                </c:pt>
                <c:pt idx="25">
                  <c:v>0.2210766338503356</c:v>
                </c:pt>
                <c:pt idx="26">
                  <c:v>0.2665439347935592</c:v>
                </c:pt>
                <c:pt idx="27">
                  <c:v>0.28076823486891067</c:v>
                </c:pt>
                <c:pt idx="28">
                  <c:v>0.23271224693244319</c:v>
                </c:pt>
                <c:pt idx="29">
                  <c:v>0.28964075855974203</c:v>
                </c:pt>
                <c:pt idx="30">
                  <c:v>0.32912754675695943</c:v>
                </c:pt>
                <c:pt idx="31">
                  <c:v>0.34653494407407326</c:v>
                </c:pt>
                <c:pt idx="32">
                  <c:v>0.37212512051937385</c:v>
                </c:pt>
                <c:pt idx="33">
                  <c:v>0.38240263502953198</c:v>
                </c:pt>
                <c:pt idx="34">
                  <c:v>0.39647450371093473</c:v>
                </c:pt>
                <c:pt idx="35">
                  <c:v>0.34884687321105834</c:v>
                </c:pt>
                <c:pt idx="36">
                  <c:v>0.39228561508279491</c:v>
                </c:pt>
                <c:pt idx="37">
                  <c:v>0.49026196019508395</c:v>
                </c:pt>
                <c:pt idx="38">
                  <c:v>0.49344904170472459</c:v>
                </c:pt>
                <c:pt idx="39">
                  <c:v>0.44307650529258003</c:v>
                </c:pt>
                <c:pt idx="40">
                  <c:v>0.43272096485765399</c:v>
                </c:pt>
                <c:pt idx="41">
                  <c:v>0.45113259468307443</c:v>
                </c:pt>
                <c:pt idx="42">
                  <c:v>0.47975782691621016</c:v>
                </c:pt>
                <c:pt idx="43">
                  <c:v>0.49909667320424855</c:v>
                </c:pt>
                <c:pt idx="44">
                  <c:v>0.52904060410205567</c:v>
                </c:pt>
                <c:pt idx="45">
                  <c:v>0.46615717166845694</c:v>
                </c:pt>
                <c:pt idx="46">
                  <c:v>0.46752003446555923</c:v>
                </c:pt>
                <c:pt idx="47">
                  <c:v>0.40438664735990049</c:v>
                </c:pt>
                <c:pt idx="48">
                  <c:v>0.43877074272173866</c:v>
                </c:pt>
                <c:pt idx="49">
                  <c:v>0.43437067265548479</c:v>
                </c:pt>
                <c:pt idx="50">
                  <c:v>0.44033391174108005</c:v>
                </c:pt>
                <c:pt idx="51">
                  <c:v>0.44866681222892502</c:v>
                </c:pt>
                <c:pt idx="52">
                  <c:v>0.46747858577908064</c:v>
                </c:pt>
                <c:pt idx="53">
                  <c:v>0.48425395569479046</c:v>
                </c:pt>
                <c:pt idx="54">
                  <c:v>0.41657413492677775</c:v>
                </c:pt>
                <c:pt idx="55">
                  <c:v>0.513935004676076</c:v>
                </c:pt>
                <c:pt idx="56">
                  <c:v>0.44314680433517184</c:v>
                </c:pt>
                <c:pt idx="57">
                  <c:v>0.459236326273881</c:v>
                </c:pt>
                <c:pt idx="58">
                  <c:v>0.38417331560992318</c:v>
                </c:pt>
                <c:pt idx="59">
                  <c:v>0.38527510832275702</c:v>
                </c:pt>
                <c:pt idx="60">
                  <c:v>0.35521952239191412</c:v>
                </c:pt>
                <c:pt idx="61">
                  <c:v>0.38870597472451252</c:v>
                </c:pt>
                <c:pt idx="62">
                  <c:v>0.38603232257600872</c:v>
                </c:pt>
                <c:pt idx="63">
                  <c:v>0.35900117424450917</c:v>
                </c:pt>
                <c:pt idx="64">
                  <c:v>0.32605041013518643</c:v>
                </c:pt>
                <c:pt idx="65">
                  <c:v>0.31202501828499929</c:v>
                </c:pt>
                <c:pt idx="66">
                  <c:v>0.33197643204352745</c:v>
                </c:pt>
                <c:pt idx="67">
                  <c:v>0.32996959055349251</c:v>
                </c:pt>
                <c:pt idx="68">
                  <c:v>0.35350593812305431</c:v>
                </c:pt>
                <c:pt idx="69">
                  <c:v>0.38231950413804094</c:v>
                </c:pt>
                <c:pt idx="70">
                  <c:v>0.39643229610059927</c:v>
                </c:pt>
                <c:pt idx="71">
                  <c:v>0.43863780498913085</c:v>
                </c:pt>
                <c:pt idx="72">
                  <c:v>0.35881130417198492</c:v>
                </c:pt>
                <c:pt idx="73">
                  <c:v>0.33709185823496179</c:v>
                </c:pt>
                <c:pt idx="74">
                  <c:v>0.27583167606603931</c:v>
                </c:pt>
                <c:pt idx="75">
                  <c:v>0.33324924077374374</c:v>
                </c:pt>
                <c:pt idx="76">
                  <c:v>0.29265476986836503</c:v>
                </c:pt>
                <c:pt idx="77">
                  <c:v>0.29480689478454591</c:v>
                </c:pt>
                <c:pt idx="78">
                  <c:v>0.27393307885295459</c:v>
                </c:pt>
                <c:pt idx="79">
                  <c:v>0.41525510423354151</c:v>
                </c:pt>
                <c:pt idx="80">
                  <c:v>0.63321431531350969</c:v>
                </c:pt>
                <c:pt idx="81">
                  <c:v>0.62655423835969914</c:v>
                </c:pt>
                <c:pt idx="82">
                  <c:v>0.69374610967338812</c:v>
                </c:pt>
                <c:pt idx="83">
                  <c:v>0.66586177712870387</c:v>
                </c:pt>
                <c:pt idx="84">
                  <c:v>0.62531220592646775</c:v>
                </c:pt>
                <c:pt idx="85">
                  <c:v>0.65394021057886165</c:v>
                </c:pt>
                <c:pt idx="86">
                  <c:v>0.67377768255742443</c:v>
                </c:pt>
                <c:pt idx="87">
                  <c:v>0.72923664975125324</c:v>
                </c:pt>
                <c:pt idx="88">
                  <c:v>0.70436557402126065</c:v>
                </c:pt>
                <c:pt idx="89">
                  <c:v>0.74797511270940031</c:v>
                </c:pt>
                <c:pt idx="90">
                  <c:v>0.70122036992020709</c:v>
                </c:pt>
                <c:pt idx="91">
                  <c:v>0.70293013387954484</c:v>
                </c:pt>
                <c:pt idx="92">
                  <c:v>0.76637903000206009</c:v>
                </c:pt>
                <c:pt idx="93">
                  <c:v>0.68133384072920355</c:v>
                </c:pt>
                <c:pt idx="94">
                  <c:v>0.65577479603813105</c:v>
                </c:pt>
                <c:pt idx="95">
                  <c:v>0.6541825264910035</c:v>
                </c:pt>
                <c:pt idx="96">
                  <c:v>0.70717621361687133</c:v>
                </c:pt>
                <c:pt idx="97">
                  <c:v>0.71455677232396364</c:v>
                </c:pt>
                <c:pt idx="98">
                  <c:v>0.76557802026208432</c:v>
                </c:pt>
                <c:pt idx="99">
                  <c:v>0.84776118982601267</c:v>
                </c:pt>
                <c:pt idx="100">
                  <c:v>0.76262932979606446</c:v>
                </c:pt>
                <c:pt idx="101">
                  <c:v>0.91873082576786835</c:v>
                </c:pt>
                <c:pt idx="102">
                  <c:v>0.92526066585543476</c:v>
                </c:pt>
                <c:pt idx="103">
                  <c:v>1.0965738571354868</c:v>
                </c:pt>
                <c:pt idx="104">
                  <c:v>1.1658538346727187</c:v>
                </c:pt>
                <c:pt idx="105">
                  <c:v>1.0811862823472582</c:v>
                </c:pt>
                <c:pt idx="106">
                  <c:v>1.0808017951587559</c:v>
                </c:pt>
                <c:pt idx="107">
                  <c:v>1.066583642817593</c:v>
                </c:pt>
                <c:pt idx="108">
                  <c:v>1.1624934131069038</c:v>
                </c:pt>
                <c:pt idx="109">
                  <c:v>1.1511140618550706</c:v>
                </c:pt>
                <c:pt idx="110">
                  <c:v>1.0340005868596864</c:v>
                </c:pt>
                <c:pt idx="111">
                  <c:v>1.0503999164415032</c:v>
                </c:pt>
                <c:pt idx="112">
                  <c:v>1.0191017853497963</c:v>
                </c:pt>
                <c:pt idx="113">
                  <c:v>1.0253390159146396</c:v>
                </c:pt>
                <c:pt idx="114">
                  <c:v>1.0137646664395574</c:v>
                </c:pt>
                <c:pt idx="115">
                  <c:v>1.0927613167565546</c:v>
                </c:pt>
                <c:pt idx="116">
                  <c:v>1.1567097031449243</c:v>
                </c:pt>
                <c:pt idx="117">
                  <c:v>1.226984901769522</c:v>
                </c:pt>
                <c:pt idx="118">
                  <c:v>1.1747656900405485</c:v>
                </c:pt>
                <c:pt idx="119">
                  <c:v>1.2156054915797769</c:v>
                </c:pt>
                <c:pt idx="120">
                  <c:v>1.3699236372369668</c:v>
                </c:pt>
                <c:pt idx="121">
                  <c:v>1.2651227587053535</c:v>
                </c:pt>
                <c:pt idx="122">
                  <c:v>1.2962741948782841</c:v>
                </c:pt>
                <c:pt idx="123">
                  <c:v>1.4160781305247396</c:v>
                </c:pt>
                <c:pt idx="124">
                  <c:v>1.5119826645855858</c:v>
                </c:pt>
                <c:pt idx="125">
                  <c:v>1.387340077265391</c:v>
                </c:pt>
                <c:pt idx="126">
                  <c:v>1.3461700444564717</c:v>
                </c:pt>
                <c:pt idx="127">
                  <c:v>1.3350080815204266</c:v>
                </c:pt>
                <c:pt idx="128">
                  <c:v>1.4844578017592509</c:v>
                </c:pt>
                <c:pt idx="129">
                  <c:v>1.4988328014587378</c:v>
                </c:pt>
                <c:pt idx="130">
                  <c:v>1.5654304678047972</c:v>
                </c:pt>
                <c:pt idx="131">
                  <c:v>1.4201551794125633</c:v>
                </c:pt>
                <c:pt idx="132">
                  <c:v>1.4843059717664953</c:v>
                </c:pt>
                <c:pt idx="133">
                  <c:v>1.5817736125916686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8D-420C-B004-07D98AFC31FF}"/>
            </c:ext>
          </c:extLst>
        </c:ser>
        <c:ser>
          <c:idx val="1"/>
          <c:order val="1"/>
          <c:tx>
            <c:strRef>
              <c:f>NN5再投資累積報酬!$C$24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NN5再投資累積報酬!$D$22:$EG$22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NN5再投資累積報酬!$D$24:$EG$24</c:f>
              <c:numCache>
                <c:formatCode>General</c:formatCode>
                <c:ptCount val="134"/>
                <c:pt idx="0">
                  <c:v>5.4209042671596208E-2</c:v>
                </c:pt>
                <c:pt idx="1">
                  <c:v>8.3739642131258618E-2</c:v>
                </c:pt>
                <c:pt idx="2">
                  <c:v>8.0279040507353905E-3</c:v>
                </c:pt>
                <c:pt idx="3">
                  <c:v>-2.7174603548589804E-2</c:v>
                </c:pt>
                <c:pt idx="4">
                  <c:v>-4.1677464866278102E-2</c:v>
                </c:pt>
                <c:pt idx="5">
                  <c:v>-2.5013781728199014E-2</c:v>
                </c:pt>
                <c:pt idx="6">
                  <c:v>1.1368496054809718E-2</c:v>
                </c:pt>
                <c:pt idx="7">
                  <c:v>4.8189289140665004E-2</c:v>
                </c:pt>
                <c:pt idx="8">
                  <c:v>4.6756092770213753E-2</c:v>
                </c:pt>
                <c:pt idx="9">
                  <c:v>1.3997902550872299E-2</c:v>
                </c:pt>
                <c:pt idx="10">
                  <c:v>2.1814463832525055E-2</c:v>
                </c:pt>
                <c:pt idx="11">
                  <c:v>6.6752341495730727E-2</c:v>
                </c:pt>
                <c:pt idx="12">
                  <c:v>0.10611693347437146</c:v>
                </c:pt>
                <c:pt idx="13">
                  <c:v>0.12469043725607154</c:v>
                </c:pt>
                <c:pt idx="14">
                  <c:v>0.20704518426814222</c:v>
                </c:pt>
                <c:pt idx="15">
                  <c:v>0.22737387969468514</c:v>
                </c:pt>
                <c:pt idx="16">
                  <c:v>0.2199926949662121</c:v>
                </c:pt>
                <c:pt idx="17">
                  <c:v>0.15868574806118652</c:v>
                </c:pt>
                <c:pt idx="18">
                  <c:v>0.15683530811237167</c:v>
                </c:pt>
                <c:pt idx="19">
                  <c:v>0.18008113625161326</c:v>
                </c:pt>
                <c:pt idx="20">
                  <c:v>0.21678530354313419</c:v>
                </c:pt>
                <c:pt idx="21">
                  <c:v>0.1519587610221913</c:v>
                </c:pt>
                <c:pt idx="22">
                  <c:v>0.16799517036109934</c:v>
                </c:pt>
                <c:pt idx="23">
                  <c:v>0.19203690399450735</c:v>
                </c:pt>
                <c:pt idx="24">
                  <c:v>0.1547429993440721</c:v>
                </c:pt>
                <c:pt idx="25">
                  <c:v>0.2087645902866484</c:v>
                </c:pt>
                <c:pt idx="26">
                  <c:v>0.2345705497248658</c:v>
                </c:pt>
                <c:pt idx="27">
                  <c:v>0.26116775466617526</c:v>
                </c:pt>
                <c:pt idx="28">
                  <c:v>0.20279572915394528</c:v>
                </c:pt>
                <c:pt idx="29">
                  <c:v>0.26526359629484197</c:v>
                </c:pt>
                <c:pt idx="30">
                  <c:v>0.30534940306004787</c:v>
                </c:pt>
                <c:pt idx="31">
                  <c:v>0.32015252521474169</c:v>
                </c:pt>
                <c:pt idx="32">
                  <c:v>0.3360835319181843</c:v>
                </c:pt>
                <c:pt idx="33">
                  <c:v>0.3113555069572409</c:v>
                </c:pt>
                <c:pt idx="34">
                  <c:v>0.31570716778280294</c:v>
                </c:pt>
                <c:pt idx="35">
                  <c:v>0.28603750067013123</c:v>
                </c:pt>
                <c:pt idx="36">
                  <c:v>0.34489258835177994</c:v>
                </c:pt>
                <c:pt idx="37">
                  <c:v>0.48655044495026023</c:v>
                </c:pt>
                <c:pt idx="38">
                  <c:v>0.50991072882496136</c:v>
                </c:pt>
                <c:pt idx="39">
                  <c:v>0.42001333141079744</c:v>
                </c:pt>
                <c:pt idx="40">
                  <c:v>0.41497301282570587</c:v>
                </c:pt>
                <c:pt idx="41">
                  <c:v>0.43530767888000255</c:v>
                </c:pt>
                <c:pt idx="42">
                  <c:v>0.49240128025621033</c:v>
                </c:pt>
                <c:pt idx="43">
                  <c:v>0.55278844437329555</c:v>
                </c:pt>
                <c:pt idx="44">
                  <c:v>0.61872136691362933</c:v>
                </c:pt>
                <c:pt idx="45">
                  <c:v>0.60415161521181204</c:v>
                </c:pt>
                <c:pt idx="46">
                  <c:v>0.60939441715562759</c:v>
                </c:pt>
                <c:pt idx="47">
                  <c:v>0.50422206682553616</c:v>
                </c:pt>
                <c:pt idx="48">
                  <c:v>0.52794010397428015</c:v>
                </c:pt>
                <c:pt idx="49">
                  <c:v>0.51419205973806625</c:v>
                </c:pt>
                <c:pt idx="50">
                  <c:v>0.52614577722910849</c:v>
                </c:pt>
                <c:pt idx="51">
                  <c:v>0.56589629747638814</c:v>
                </c:pt>
                <c:pt idx="52">
                  <c:v>0.58629457126435391</c:v>
                </c:pt>
                <c:pt idx="53">
                  <c:v>0.59518112371163534</c:v>
                </c:pt>
                <c:pt idx="54">
                  <c:v>0.52172581402345974</c:v>
                </c:pt>
                <c:pt idx="55">
                  <c:v>0.64944337185277323</c:v>
                </c:pt>
                <c:pt idx="56">
                  <c:v>0.50363662575201329</c:v>
                </c:pt>
                <c:pt idx="57">
                  <c:v>0.51412640369380558</c:v>
                </c:pt>
                <c:pt idx="58">
                  <c:v>0.4341985180561434</c:v>
                </c:pt>
                <c:pt idx="59">
                  <c:v>0.45951801434196815</c:v>
                </c:pt>
                <c:pt idx="60">
                  <c:v>0.4326759822277626</c:v>
                </c:pt>
                <c:pt idx="61">
                  <c:v>0.48563142606872423</c:v>
                </c:pt>
                <c:pt idx="62">
                  <c:v>0.50799946370226223</c:v>
                </c:pt>
                <c:pt idx="63">
                  <c:v>0.51418457963877451</c:v>
                </c:pt>
                <c:pt idx="64">
                  <c:v>0.46613145907576103</c:v>
                </c:pt>
                <c:pt idx="65">
                  <c:v>0.47735021903806785</c:v>
                </c:pt>
                <c:pt idx="66">
                  <c:v>0.537654320594247</c:v>
                </c:pt>
                <c:pt idx="67">
                  <c:v>0.52678098031413878</c:v>
                </c:pt>
                <c:pt idx="68">
                  <c:v>0.5378627269257592</c:v>
                </c:pt>
                <c:pt idx="69">
                  <c:v>0.58963913513518151</c:v>
                </c:pt>
                <c:pt idx="70">
                  <c:v>0.61591109276784395</c:v>
                </c:pt>
                <c:pt idx="71">
                  <c:v>0.6492697593801553</c:v>
                </c:pt>
                <c:pt idx="72">
                  <c:v>0.50705297296710494</c:v>
                </c:pt>
                <c:pt idx="73">
                  <c:v>0.50482640049520433</c:v>
                </c:pt>
                <c:pt idx="74">
                  <c:v>0.45843597388413437</c:v>
                </c:pt>
                <c:pt idx="75">
                  <c:v>0.57063034794294909</c:v>
                </c:pt>
                <c:pt idx="76">
                  <c:v>0.51796465339692599</c:v>
                </c:pt>
                <c:pt idx="77">
                  <c:v>0.50713872772319113</c:v>
                </c:pt>
                <c:pt idx="78">
                  <c:v>0.51953465645576813</c:v>
                </c:pt>
                <c:pt idx="79">
                  <c:v>0.67983322139788438</c:v>
                </c:pt>
                <c:pt idx="80">
                  <c:v>0.98863332809371296</c:v>
                </c:pt>
                <c:pt idx="81">
                  <c:v>0.952382648810147</c:v>
                </c:pt>
                <c:pt idx="82">
                  <c:v>1.0246506234103281</c:v>
                </c:pt>
                <c:pt idx="83">
                  <c:v>1.0164922814575368</c:v>
                </c:pt>
                <c:pt idx="84">
                  <c:v>1.0005709972095458</c:v>
                </c:pt>
                <c:pt idx="85">
                  <c:v>0.99281558309260953</c:v>
                </c:pt>
                <c:pt idx="86">
                  <c:v>1.0566758949914328</c:v>
                </c:pt>
                <c:pt idx="87">
                  <c:v>1.1471704390401287</c:v>
                </c:pt>
                <c:pt idx="88">
                  <c:v>1.1250614463978001</c:v>
                </c:pt>
                <c:pt idx="89">
                  <c:v>1.1821991762894375</c:v>
                </c:pt>
                <c:pt idx="90">
                  <c:v>1.1528323212978133</c:v>
                </c:pt>
                <c:pt idx="91">
                  <c:v>1.1085334997932552</c:v>
                </c:pt>
                <c:pt idx="92">
                  <c:v>1.1885501634025517</c:v>
                </c:pt>
                <c:pt idx="93">
                  <c:v>1.0476498840883259</c:v>
                </c:pt>
                <c:pt idx="94">
                  <c:v>1.0723817276913823</c:v>
                </c:pt>
                <c:pt idx="95">
                  <c:v>1.0891075047225094</c:v>
                </c:pt>
                <c:pt idx="96">
                  <c:v>1.1643298221871028</c:v>
                </c:pt>
                <c:pt idx="97">
                  <c:v>1.2169641223797298</c:v>
                </c:pt>
                <c:pt idx="98">
                  <c:v>1.2401468340275184</c:v>
                </c:pt>
                <c:pt idx="99">
                  <c:v>1.2513191083667041</c:v>
                </c:pt>
                <c:pt idx="100">
                  <c:v>1.1050422951137286</c:v>
                </c:pt>
                <c:pt idx="101">
                  <c:v>1.2951069963931126</c:v>
                </c:pt>
                <c:pt idx="102">
                  <c:v>1.2788196985563416</c:v>
                </c:pt>
                <c:pt idx="103">
                  <c:v>1.5209108414239747</c:v>
                </c:pt>
                <c:pt idx="104">
                  <c:v>1.5958831970577236</c:v>
                </c:pt>
                <c:pt idx="105">
                  <c:v>1.4624375287532003</c:v>
                </c:pt>
                <c:pt idx="106">
                  <c:v>1.4751625511784505</c:v>
                </c:pt>
                <c:pt idx="107">
                  <c:v>1.4045738933501775</c:v>
                </c:pt>
                <c:pt idx="108">
                  <c:v>1.519342001743798</c:v>
                </c:pt>
                <c:pt idx="109">
                  <c:v>1.5520739103846095</c:v>
                </c:pt>
                <c:pt idx="110">
                  <c:v>1.4332456312195045</c:v>
                </c:pt>
                <c:pt idx="111">
                  <c:v>1.4339329743682674</c:v>
                </c:pt>
                <c:pt idx="112">
                  <c:v>1.4632053747328269</c:v>
                </c:pt>
                <c:pt idx="113">
                  <c:v>1.5300122817137756</c:v>
                </c:pt>
                <c:pt idx="114">
                  <c:v>1.5131652612388886</c:v>
                </c:pt>
                <c:pt idx="115">
                  <c:v>1.5504601255040593</c:v>
                </c:pt>
                <c:pt idx="116">
                  <c:v>1.6470293834162386</c:v>
                </c:pt>
                <c:pt idx="117">
                  <c:v>1.7720701630238875</c:v>
                </c:pt>
                <c:pt idx="118">
                  <c:v>1.6988041229211732</c:v>
                </c:pt>
                <c:pt idx="119">
                  <c:v>1.735969919282899</c:v>
                </c:pt>
                <c:pt idx="120">
                  <c:v>1.9236488446644899</c:v>
                </c:pt>
                <c:pt idx="121">
                  <c:v>1.8200747805357484</c:v>
                </c:pt>
                <c:pt idx="122">
                  <c:v>1.8788688685350006</c:v>
                </c:pt>
                <c:pt idx="123">
                  <c:v>2.1080848224745101</c:v>
                </c:pt>
                <c:pt idx="124">
                  <c:v>2.2500838298194039</c:v>
                </c:pt>
                <c:pt idx="125">
                  <c:v>2.039992172554741</c:v>
                </c:pt>
                <c:pt idx="126">
                  <c:v>1.9326617895713589</c:v>
                </c:pt>
                <c:pt idx="127">
                  <c:v>1.8981429943848895</c:v>
                </c:pt>
                <c:pt idx="128">
                  <c:v>2.1201128280567794</c:v>
                </c:pt>
                <c:pt idx="129">
                  <c:v>2.1207406141615324</c:v>
                </c:pt>
                <c:pt idx="130">
                  <c:v>2.2507498986828067</c:v>
                </c:pt>
                <c:pt idx="131">
                  <c:v>2.0372338393747742</c:v>
                </c:pt>
                <c:pt idx="132">
                  <c:v>2.1624723057929303</c:v>
                </c:pt>
                <c:pt idx="133">
                  <c:v>2.375278725412544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8D-420C-B004-07D98AFC31FF}"/>
            </c:ext>
          </c:extLst>
        </c:ser>
        <c:ser>
          <c:idx val="2"/>
          <c:order val="2"/>
          <c:tx>
            <c:strRef>
              <c:f>NN5再投資累積報酬!$C$25</c:f>
              <c:strCache>
                <c:ptCount val="1"/>
                <c:pt idx="0">
                  <c:v>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NN5再投資累積報酬!$D$22:$EG$22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NN5再投資累積報酬!$D$25:$EG$25</c:f>
              <c:numCache>
                <c:formatCode>General</c:formatCode>
                <c:ptCount val="134"/>
                <c:pt idx="0">
                  <c:v>-3.037156627906501E-2</c:v>
                </c:pt>
                <c:pt idx="1">
                  <c:v>5.0444356867517248E-2</c:v>
                </c:pt>
                <c:pt idx="2">
                  <c:v>-5.3306192031170596E-2</c:v>
                </c:pt>
                <c:pt idx="3">
                  <c:v>-9.9177428990235295E-2</c:v>
                </c:pt>
                <c:pt idx="4">
                  <c:v>-0.13612909563250242</c:v>
                </c:pt>
                <c:pt idx="5">
                  <c:v>-0.14607074735116221</c:v>
                </c:pt>
                <c:pt idx="6">
                  <c:v>-0.10867943990192042</c:v>
                </c:pt>
                <c:pt idx="7">
                  <c:v>-9.2090020428964747E-2</c:v>
                </c:pt>
                <c:pt idx="8">
                  <c:v>-8.0785486631526071E-2</c:v>
                </c:pt>
                <c:pt idx="9">
                  <c:v>-7.6329872627427076E-2</c:v>
                </c:pt>
                <c:pt idx="10">
                  <c:v>-7.1068469531904488E-2</c:v>
                </c:pt>
                <c:pt idx="11">
                  <c:v>5.7480991872993492E-3</c:v>
                </c:pt>
                <c:pt idx="12">
                  <c:v>4.3439300741178632E-2</c:v>
                </c:pt>
                <c:pt idx="13">
                  <c:v>9.3294584574009409E-2</c:v>
                </c:pt>
                <c:pt idx="14">
                  <c:v>0.15696581572158452</c:v>
                </c:pt>
                <c:pt idx="15">
                  <c:v>0.1385224069568225</c:v>
                </c:pt>
                <c:pt idx="16">
                  <c:v>0.11027937068651772</c:v>
                </c:pt>
                <c:pt idx="17">
                  <c:v>3.2735816756242153E-2</c:v>
                </c:pt>
                <c:pt idx="18">
                  <c:v>-5.0407604445195098E-3</c:v>
                </c:pt>
                <c:pt idx="19">
                  <c:v>3.3141343884338204E-2</c:v>
                </c:pt>
                <c:pt idx="20">
                  <c:v>0.10960223313312412</c:v>
                </c:pt>
                <c:pt idx="21">
                  <c:v>5.0147849710698411E-2</c:v>
                </c:pt>
                <c:pt idx="22">
                  <c:v>3.2544574831246731E-2</c:v>
                </c:pt>
                <c:pt idx="23">
                  <c:v>5.4488419783837561E-2</c:v>
                </c:pt>
                <c:pt idx="24">
                  <c:v>1.2888661496907483E-2</c:v>
                </c:pt>
                <c:pt idx="25">
                  <c:v>8.1515841447674875E-2</c:v>
                </c:pt>
                <c:pt idx="26">
                  <c:v>6.8270857961182374E-2</c:v>
                </c:pt>
                <c:pt idx="27">
                  <c:v>0.11028369909283064</c:v>
                </c:pt>
                <c:pt idx="28">
                  <c:v>-8.9989014325586592E-3</c:v>
                </c:pt>
                <c:pt idx="29">
                  <c:v>7.4559347289446354E-2</c:v>
                </c:pt>
                <c:pt idx="30">
                  <c:v>9.4428830991095891E-2</c:v>
                </c:pt>
                <c:pt idx="31">
                  <c:v>9.0766572007330071E-2</c:v>
                </c:pt>
                <c:pt idx="32">
                  <c:v>0.16938133762455831</c:v>
                </c:pt>
                <c:pt idx="33">
                  <c:v>0.18699109338281006</c:v>
                </c:pt>
                <c:pt idx="34">
                  <c:v>0.17332946338676369</c:v>
                </c:pt>
                <c:pt idx="35">
                  <c:v>0.15155300562823792</c:v>
                </c:pt>
                <c:pt idx="36">
                  <c:v>0.23018481434730331</c:v>
                </c:pt>
                <c:pt idx="37">
                  <c:v>0.34368226712979588</c:v>
                </c:pt>
                <c:pt idx="38">
                  <c:v>0.42552018353069743</c:v>
                </c:pt>
                <c:pt idx="39">
                  <c:v>0.325767234553058</c:v>
                </c:pt>
                <c:pt idx="40">
                  <c:v>0.32460137337009165</c:v>
                </c:pt>
                <c:pt idx="41">
                  <c:v>0.37446710442085562</c:v>
                </c:pt>
                <c:pt idx="42">
                  <c:v>0.48763107159857166</c:v>
                </c:pt>
                <c:pt idx="43">
                  <c:v>0.54851172706323315</c:v>
                </c:pt>
                <c:pt idx="44">
                  <c:v>0.62132484501320562</c:v>
                </c:pt>
                <c:pt idx="45">
                  <c:v>0.58454543731531472</c:v>
                </c:pt>
                <c:pt idx="46">
                  <c:v>0.56010956297299686</c:v>
                </c:pt>
                <c:pt idx="47">
                  <c:v>0.34645095407192938</c:v>
                </c:pt>
                <c:pt idx="48">
                  <c:v>0.36673943696823685</c:v>
                </c:pt>
                <c:pt idx="49">
                  <c:v>0.29408596342960114</c:v>
                </c:pt>
                <c:pt idx="50">
                  <c:v>0.32013062240360513</c:v>
                </c:pt>
                <c:pt idx="51">
                  <c:v>0.45464974175089745</c:v>
                </c:pt>
                <c:pt idx="52">
                  <c:v>0.44143581474041738</c:v>
                </c:pt>
                <c:pt idx="53">
                  <c:v>0.50389003100906882</c:v>
                </c:pt>
                <c:pt idx="54">
                  <c:v>0.46762068731436757</c:v>
                </c:pt>
                <c:pt idx="55">
                  <c:v>0.52745634816741793</c:v>
                </c:pt>
                <c:pt idx="56">
                  <c:v>0.33605796238720287</c:v>
                </c:pt>
                <c:pt idx="57">
                  <c:v>0.33567926455096919</c:v>
                </c:pt>
                <c:pt idx="58">
                  <c:v>0.26620492856362743</c:v>
                </c:pt>
                <c:pt idx="59">
                  <c:v>0.2829875617225559</c:v>
                </c:pt>
                <c:pt idx="60">
                  <c:v>0.2828755244748089</c:v>
                </c:pt>
                <c:pt idx="61">
                  <c:v>0.3595116434436687</c:v>
                </c:pt>
                <c:pt idx="62">
                  <c:v>0.40301987327615318</c:v>
                </c:pt>
                <c:pt idx="63">
                  <c:v>0.46667727891176347</c:v>
                </c:pt>
                <c:pt idx="64">
                  <c:v>0.41738365525101195</c:v>
                </c:pt>
                <c:pt idx="65">
                  <c:v>0.43555829442688676</c:v>
                </c:pt>
                <c:pt idx="66">
                  <c:v>0.4528559432491448</c:v>
                </c:pt>
                <c:pt idx="67">
                  <c:v>0.41227850556112267</c:v>
                </c:pt>
                <c:pt idx="68">
                  <c:v>0.35772331160969695</c:v>
                </c:pt>
                <c:pt idx="69">
                  <c:v>0.33696653550907918</c:v>
                </c:pt>
                <c:pt idx="70">
                  <c:v>0.32512791695794929</c:v>
                </c:pt>
                <c:pt idx="71">
                  <c:v>0.36341274665566359</c:v>
                </c:pt>
                <c:pt idx="72">
                  <c:v>0.20197371291454047</c:v>
                </c:pt>
                <c:pt idx="73">
                  <c:v>0.20234288017892577</c:v>
                </c:pt>
                <c:pt idx="74">
                  <c:v>0.10567479085420728</c:v>
                </c:pt>
                <c:pt idx="75">
                  <c:v>0.22926769451453755</c:v>
                </c:pt>
                <c:pt idx="76">
                  <c:v>0.19919333324174415</c:v>
                </c:pt>
                <c:pt idx="77">
                  <c:v>0.22572862347965006</c:v>
                </c:pt>
                <c:pt idx="78">
                  <c:v>0.26124494566232137</c:v>
                </c:pt>
                <c:pt idx="79">
                  <c:v>0.38486802565475564</c:v>
                </c:pt>
                <c:pt idx="80">
                  <c:v>0.62106461067702412</c:v>
                </c:pt>
                <c:pt idx="81">
                  <c:v>0.65398878456529408</c:v>
                </c:pt>
                <c:pt idx="82">
                  <c:v>0.74176105419682092</c:v>
                </c:pt>
                <c:pt idx="83">
                  <c:v>0.65662434785447066</c:v>
                </c:pt>
                <c:pt idx="84">
                  <c:v>0.65028054324514528</c:v>
                </c:pt>
                <c:pt idx="85">
                  <c:v>0.59659624603908679</c:v>
                </c:pt>
                <c:pt idx="86">
                  <c:v>0.61897472080830829</c:v>
                </c:pt>
                <c:pt idx="87">
                  <c:v>0.82949464549420426</c:v>
                </c:pt>
                <c:pt idx="88">
                  <c:v>0.88811167290461923</c:v>
                </c:pt>
                <c:pt idx="89">
                  <c:v>0.9267790634040558</c:v>
                </c:pt>
                <c:pt idx="90">
                  <c:v>0.78499178510947765</c:v>
                </c:pt>
                <c:pt idx="91">
                  <c:v>0.61781060094308815</c:v>
                </c:pt>
                <c:pt idx="92">
                  <c:v>0.70389693696324018</c:v>
                </c:pt>
                <c:pt idx="93">
                  <c:v>0.59716371613794039</c:v>
                </c:pt>
                <c:pt idx="94">
                  <c:v>0.69143969089116175</c:v>
                </c:pt>
                <c:pt idx="95">
                  <c:v>0.7237471641878952</c:v>
                </c:pt>
                <c:pt idx="96">
                  <c:v>0.64696380841526913</c:v>
                </c:pt>
                <c:pt idx="97">
                  <c:v>0.71185325012262779</c:v>
                </c:pt>
                <c:pt idx="98">
                  <c:v>0.72594865300306521</c:v>
                </c:pt>
                <c:pt idx="99">
                  <c:v>0.76779299483071939</c:v>
                </c:pt>
                <c:pt idx="100">
                  <c:v>0.67915984314085276</c:v>
                </c:pt>
                <c:pt idx="101">
                  <c:v>0.9078144759177933</c:v>
                </c:pt>
                <c:pt idx="102">
                  <c:v>0.86144640121126015</c:v>
                </c:pt>
                <c:pt idx="103">
                  <c:v>1.056167545987202</c:v>
                </c:pt>
                <c:pt idx="104">
                  <c:v>1.1127822536003338</c:v>
                </c:pt>
                <c:pt idx="105">
                  <c:v>0.99890336038383443</c:v>
                </c:pt>
                <c:pt idx="106">
                  <c:v>1.0096660549631085</c:v>
                </c:pt>
                <c:pt idx="107">
                  <c:v>0.92974071058208874</c:v>
                </c:pt>
                <c:pt idx="108">
                  <c:v>1.0177048450428581</c:v>
                </c:pt>
                <c:pt idx="109">
                  <c:v>1.0273390572821719</c:v>
                </c:pt>
                <c:pt idx="110">
                  <c:v>0.91950084373333296</c:v>
                </c:pt>
                <c:pt idx="111">
                  <c:v>0.92146588332816082</c:v>
                </c:pt>
                <c:pt idx="112">
                  <c:v>0.95666209653197676</c:v>
                </c:pt>
                <c:pt idx="113">
                  <c:v>0.93851565543723736</c:v>
                </c:pt>
                <c:pt idx="114">
                  <c:v>0.94918576724701809</c:v>
                </c:pt>
                <c:pt idx="115">
                  <c:v>1.0268641484362173</c:v>
                </c:pt>
                <c:pt idx="116">
                  <c:v>1.2348045789661355</c:v>
                </c:pt>
                <c:pt idx="117">
                  <c:v>1.3253861865883025</c:v>
                </c:pt>
                <c:pt idx="118">
                  <c:v>1.1175713993244423</c:v>
                </c:pt>
                <c:pt idx="119">
                  <c:v>1.2290033414912136</c:v>
                </c:pt>
                <c:pt idx="120">
                  <c:v>1.3539430354086455</c:v>
                </c:pt>
                <c:pt idx="121">
                  <c:v>1.2493498517666435</c:v>
                </c:pt>
                <c:pt idx="122">
                  <c:v>1.1483204187484302</c:v>
                </c:pt>
                <c:pt idx="123">
                  <c:v>1.3809026455672413</c:v>
                </c:pt>
                <c:pt idx="124">
                  <c:v>1.5994917200040404</c:v>
                </c:pt>
                <c:pt idx="125">
                  <c:v>1.333924474805289</c:v>
                </c:pt>
                <c:pt idx="126">
                  <c:v>1.2452421599462058</c:v>
                </c:pt>
                <c:pt idx="127">
                  <c:v>1.2354970465496833</c:v>
                </c:pt>
                <c:pt idx="128">
                  <c:v>1.4101011377621422</c:v>
                </c:pt>
                <c:pt idx="129">
                  <c:v>1.3495846535514007</c:v>
                </c:pt>
                <c:pt idx="130">
                  <c:v>1.3638686765497283</c:v>
                </c:pt>
                <c:pt idx="131">
                  <c:v>1.1212655217210932</c:v>
                </c:pt>
                <c:pt idx="132">
                  <c:v>1.1140548024336168</c:v>
                </c:pt>
                <c:pt idx="133">
                  <c:v>1.2549192350343534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8D-420C-B004-07D98AFC31FF}"/>
            </c:ext>
          </c:extLst>
        </c:ser>
        <c:ser>
          <c:idx val="3"/>
          <c:order val="3"/>
          <c:tx>
            <c:strRef>
              <c:f>NN5再投資累積報酬!$C$26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NN5再投資累積報酬!$D$22:$EG$22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NN5再投資累積報酬!$D$26:$EG$26</c:f>
              <c:numCache>
                <c:formatCode>General</c:formatCode>
                <c:ptCount val="134"/>
                <c:pt idx="0">
                  <c:v>-9.650314199451604E-2</c:v>
                </c:pt>
                <c:pt idx="1">
                  <c:v>-8.2093696582953402E-2</c:v>
                </c:pt>
                <c:pt idx="2">
                  <c:v>-0.14271084026224512</c:v>
                </c:pt>
                <c:pt idx="3">
                  <c:v>-0.23578011752735073</c:v>
                </c:pt>
                <c:pt idx="4">
                  <c:v>-0.27049255312297449</c:v>
                </c:pt>
                <c:pt idx="5">
                  <c:v>-0.27139986054423715</c:v>
                </c:pt>
                <c:pt idx="6">
                  <c:v>-0.22882670209332556</c:v>
                </c:pt>
                <c:pt idx="7">
                  <c:v>-0.19029775417024641</c:v>
                </c:pt>
                <c:pt idx="8">
                  <c:v>-0.19370689728822299</c:v>
                </c:pt>
                <c:pt idx="9">
                  <c:v>-0.16745519914537921</c:v>
                </c:pt>
                <c:pt idx="10">
                  <c:v>-0.14622721368453051</c:v>
                </c:pt>
                <c:pt idx="11">
                  <c:v>-4.677821238841795E-2</c:v>
                </c:pt>
                <c:pt idx="12">
                  <c:v>2.0749548188951472E-2</c:v>
                </c:pt>
                <c:pt idx="13">
                  <c:v>7.4832210569115709E-2</c:v>
                </c:pt>
                <c:pt idx="14">
                  <c:v>0.18271886944901694</c:v>
                </c:pt>
                <c:pt idx="15">
                  <c:v>0.12106410130316481</c:v>
                </c:pt>
                <c:pt idx="16">
                  <c:v>0.21690150610919146</c:v>
                </c:pt>
                <c:pt idx="17">
                  <c:v>0.13561233345763624</c:v>
                </c:pt>
                <c:pt idx="18">
                  <c:v>8.2476756241212312E-2</c:v>
                </c:pt>
                <c:pt idx="19">
                  <c:v>0.17522431932934168</c:v>
                </c:pt>
                <c:pt idx="20">
                  <c:v>0.29573604476929516</c:v>
                </c:pt>
                <c:pt idx="21">
                  <c:v>0.19410315794115651</c:v>
                </c:pt>
                <c:pt idx="22">
                  <c:v>0.16521945214776479</c:v>
                </c:pt>
                <c:pt idx="23">
                  <c:v>0.13765453292706931</c:v>
                </c:pt>
                <c:pt idx="24">
                  <c:v>7.9329253478146455E-2</c:v>
                </c:pt>
                <c:pt idx="25">
                  <c:v>0.15140169521720881</c:v>
                </c:pt>
                <c:pt idx="26">
                  <c:v>0.17037790764813421</c:v>
                </c:pt>
                <c:pt idx="27">
                  <c:v>0.21683076990392935</c:v>
                </c:pt>
                <c:pt idx="28">
                  <c:v>9.354960935213219E-2</c:v>
                </c:pt>
                <c:pt idx="29">
                  <c:v>0.14797778771097803</c:v>
                </c:pt>
                <c:pt idx="30">
                  <c:v>0.15959931588973353</c:v>
                </c:pt>
                <c:pt idx="31">
                  <c:v>0.12063170753326857</c:v>
                </c:pt>
                <c:pt idx="32">
                  <c:v>0.17762081620852022</c:v>
                </c:pt>
                <c:pt idx="33">
                  <c:v>0.18876683232871838</c:v>
                </c:pt>
                <c:pt idx="34">
                  <c:v>0.14478327769332777</c:v>
                </c:pt>
                <c:pt idx="35">
                  <c:v>0.15266140044521337</c:v>
                </c:pt>
                <c:pt idx="36">
                  <c:v>0.21619911927112478</c:v>
                </c:pt>
                <c:pt idx="37">
                  <c:v>0.32913769658354641</c:v>
                </c:pt>
                <c:pt idx="38">
                  <c:v>0.4133649031541704</c:v>
                </c:pt>
                <c:pt idx="39">
                  <c:v>0.29116853036312773</c:v>
                </c:pt>
                <c:pt idx="40">
                  <c:v>0.24907960995733869</c:v>
                </c:pt>
                <c:pt idx="41">
                  <c:v>0.34715391454024247</c:v>
                </c:pt>
                <c:pt idx="42">
                  <c:v>0.41965932656526173</c:v>
                </c:pt>
                <c:pt idx="43">
                  <c:v>0.51229918264991081</c:v>
                </c:pt>
                <c:pt idx="44">
                  <c:v>0.57270534374788262</c:v>
                </c:pt>
                <c:pt idx="45">
                  <c:v>0.49843147419610911</c:v>
                </c:pt>
                <c:pt idx="46">
                  <c:v>0.52189682005917226</c:v>
                </c:pt>
                <c:pt idx="47">
                  <c:v>0.33130362843357974</c:v>
                </c:pt>
                <c:pt idx="48">
                  <c:v>0.36872579656363769</c:v>
                </c:pt>
                <c:pt idx="49">
                  <c:v>0.24372926730707101</c:v>
                </c:pt>
                <c:pt idx="50">
                  <c:v>0.25692960630234585</c:v>
                </c:pt>
                <c:pt idx="51">
                  <c:v>0.39366984670421168</c:v>
                </c:pt>
                <c:pt idx="52">
                  <c:v>0.48029359625163504</c:v>
                </c:pt>
                <c:pt idx="53">
                  <c:v>0.54387194027881214</c:v>
                </c:pt>
                <c:pt idx="54">
                  <c:v>0.47251863483975654</c:v>
                </c:pt>
                <c:pt idx="55">
                  <c:v>0.54787902754766771</c:v>
                </c:pt>
                <c:pt idx="56">
                  <c:v>0.29085183363121936</c:v>
                </c:pt>
                <c:pt idx="57">
                  <c:v>0.33416835131765366</c:v>
                </c:pt>
                <c:pt idx="58">
                  <c:v>0.24266220140384864</c:v>
                </c:pt>
                <c:pt idx="59">
                  <c:v>0.26207146991417885</c:v>
                </c:pt>
                <c:pt idx="60">
                  <c:v>0.24799133651515448</c:v>
                </c:pt>
                <c:pt idx="61">
                  <c:v>0.32630051654551995</c:v>
                </c:pt>
                <c:pt idx="62">
                  <c:v>0.41278443914906382</c:v>
                </c:pt>
                <c:pt idx="63">
                  <c:v>0.50610455225876994</c:v>
                </c:pt>
                <c:pt idx="64">
                  <c:v>0.46433353176853709</c:v>
                </c:pt>
                <c:pt idx="65">
                  <c:v>0.4851039617729811</c:v>
                </c:pt>
                <c:pt idx="66">
                  <c:v>0.50411764575455398</c:v>
                </c:pt>
                <c:pt idx="67">
                  <c:v>0.42867497154638068</c:v>
                </c:pt>
                <c:pt idx="68">
                  <c:v>0.40463926177629017</c:v>
                </c:pt>
                <c:pt idx="69">
                  <c:v>0.45609634761738049</c:v>
                </c:pt>
                <c:pt idx="70">
                  <c:v>0.48445589134669831</c:v>
                </c:pt>
                <c:pt idx="71">
                  <c:v>0.57237863575583803</c:v>
                </c:pt>
                <c:pt idx="72">
                  <c:v>0.25138407937954765</c:v>
                </c:pt>
                <c:pt idx="73">
                  <c:v>0.22141414216866662</c:v>
                </c:pt>
                <c:pt idx="74">
                  <c:v>0.10740930960604689</c:v>
                </c:pt>
                <c:pt idx="75">
                  <c:v>0.22136889137024718</c:v>
                </c:pt>
                <c:pt idx="76">
                  <c:v>0.19866117554176399</c:v>
                </c:pt>
                <c:pt idx="77">
                  <c:v>0.21670928981798543</c:v>
                </c:pt>
                <c:pt idx="78">
                  <c:v>0.17368822186555399</c:v>
                </c:pt>
                <c:pt idx="79">
                  <c:v>0.3147093076456271</c:v>
                </c:pt>
                <c:pt idx="80">
                  <c:v>0.41116705795778685</c:v>
                </c:pt>
                <c:pt idx="81">
                  <c:v>0.41628510253510131</c:v>
                </c:pt>
                <c:pt idx="82">
                  <c:v>0.41019666389096443</c:v>
                </c:pt>
                <c:pt idx="83">
                  <c:v>0.29548758948068432</c:v>
                </c:pt>
                <c:pt idx="84">
                  <c:v>0.20566256763243573</c:v>
                </c:pt>
                <c:pt idx="85">
                  <c:v>0.10071644579189054</c:v>
                </c:pt>
                <c:pt idx="86">
                  <c:v>0.16309695901977861</c:v>
                </c:pt>
                <c:pt idx="87">
                  <c:v>0.41054686930752871</c:v>
                </c:pt>
                <c:pt idx="88">
                  <c:v>0.51581755651544592</c:v>
                </c:pt>
                <c:pt idx="89">
                  <c:v>0.58044309775032565</c:v>
                </c:pt>
                <c:pt idx="90">
                  <c:v>0.37585627986499315</c:v>
                </c:pt>
                <c:pt idx="91">
                  <c:v>0.1968591008755074</c:v>
                </c:pt>
                <c:pt idx="92">
                  <c:v>0.2409948652970022</c:v>
                </c:pt>
                <c:pt idx="93">
                  <c:v>0.21074646094797522</c:v>
                </c:pt>
                <c:pt idx="94">
                  <c:v>0.2836154455098161</c:v>
                </c:pt>
                <c:pt idx="95">
                  <c:v>0.29310723616129009</c:v>
                </c:pt>
                <c:pt idx="96">
                  <c:v>0.21141045385452406</c:v>
                </c:pt>
                <c:pt idx="97">
                  <c:v>0.28463354781061567</c:v>
                </c:pt>
                <c:pt idx="98">
                  <c:v>0.24961772397378734</c:v>
                </c:pt>
                <c:pt idx="99">
                  <c:v>0.27194700789580528</c:v>
                </c:pt>
                <c:pt idx="100">
                  <c:v>0.20105795312024322</c:v>
                </c:pt>
                <c:pt idx="101">
                  <c:v>0.33961685698328425</c:v>
                </c:pt>
                <c:pt idx="102">
                  <c:v>0.30428334320832939</c:v>
                </c:pt>
                <c:pt idx="103">
                  <c:v>0.43086174811765265</c:v>
                </c:pt>
                <c:pt idx="104">
                  <c:v>0.46637732057077641</c:v>
                </c:pt>
                <c:pt idx="105">
                  <c:v>0.36735812577426463</c:v>
                </c:pt>
                <c:pt idx="106">
                  <c:v>0.40147195360852317</c:v>
                </c:pt>
                <c:pt idx="107">
                  <c:v>0.34206172661294576</c:v>
                </c:pt>
                <c:pt idx="108">
                  <c:v>0.40636994923256164</c:v>
                </c:pt>
                <c:pt idx="109">
                  <c:v>0.38005815832057177</c:v>
                </c:pt>
                <c:pt idx="110">
                  <c:v>0.36388601716220603</c:v>
                </c:pt>
                <c:pt idx="111">
                  <c:v>0.29361477591527141</c:v>
                </c:pt>
                <c:pt idx="112">
                  <c:v>0.42527220506057506</c:v>
                </c:pt>
                <c:pt idx="113">
                  <c:v>0.43630072447198009</c:v>
                </c:pt>
                <c:pt idx="114">
                  <c:v>0.40210449135732262</c:v>
                </c:pt>
                <c:pt idx="115">
                  <c:v>0.46379217799897043</c:v>
                </c:pt>
                <c:pt idx="116">
                  <c:v>0.69733350318230114</c:v>
                </c:pt>
                <c:pt idx="117">
                  <c:v>0.73762073568680098</c:v>
                </c:pt>
                <c:pt idx="118">
                  <c:v>0.56442822803516313</c:v>
                </c:pt>
                <c:pt idx="119">
                  <c:v>0.62666995634610623</c:v>
                </c:pt>
                <c:pt idx="120">
                  <c:v>0.68771911368707705</c:v>
                </c:pt>
                <c:pt idx="121">
                  <c:v>0.56592717312325846</c:v>
                </c:pt>
                <c:pt idx="122">
                  <c:v>0.49425354492416229</c:v>
                </c:pt>
                <c:pt idx="123">
                  <c:v>0.70310290775128514</c:v>
                </c:pt>
                <c:pt idx="124">
                  <c:v>0.74659781790503144</c:v>
                </c:pt>
                <c:pt idx="125">
                  <c:v>0.53942293335168889</c:v>
                </c:pt>
                <c:pt idx="126">
                  <c:v>0.37541409698591832</c:v>
                </c:pt>
                <c:pt idx="127">
                  <c:v>0.34939092657447279</c:v>
                </c:pt>
                <c:pt idx="128">
                  <c:v>0.39289487348895658</c:v>
                </c:pt>
                <c:pt idx="129">
                  <c:v>0.31471658685762094</c:v>
                </c:pt>
                <c:pt idx="130">
                  <c:v>0.38142070334782829</c:v>
                </c:pt>
                <c:pt idx="131">
                  <c:v>0.2248269194082313</c:v>
                </c:pt>
                <c:pt idx="132">
                  <c:v>0.22873499977080924</c:v>
                </c:pt>
                <c:pt idx="133">
                  <c:v>0.30517252169448783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8D-420C-B004-07D98AFC31FF}"/>
            </c:ext>
          </c:extLst>
        </c:ser>
        <c:ser>
          <c:idx val="4"/>
          <c:order val="4"/>
          <c:tx>
            <c:strRef>
              <c:f>NN5再投資累積報酬!$C$27</c:f>
              <c:strCache>
                <c:ptCount val="1"/>
                <c:pt idx="0">
                  <c:v>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NN5再投資累積報酬!$D$22:$EG$22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NN5再投資累積報酬!$D$27:$EG$27</c:f>
              <c:numCache>
                <c:formatCode>General</c:formatCode>
                <c:ptCount val="134"/>
                <c:pt idx="0">
                  <c:v>-0.13932460396499158</c:v>
                </c:pt>
                <c:pt idx="1">
                  <c:v>-0.13902188870904963</c:v>
                </c:pt>
                <c:pt idx="2">
                  <c:v>-0.18838723132171753</c:v>
                </c:pt>
                <c:pt idx="3">
                  <c:v>-0.2624212674952362</c:v>
                </c:pt>
                <c:pt idx="4">
                  <c:v>-0.34473835335584624</c:v>
                </c:pt>
                <c:pt idx="5">
                  <c:v>-0.33714844061447524</c:v>
                </c:pt>
                <c:pt idx="6">
                  <c:v>-0.23231875642819644</c:v>
                </c:pt>
                <c:pt idx="7">
                  <c:v>-0.18109818111496778</c:v>
                </c:pt>
                <c:pt idx="8">
                  <c:v>-0.15046741665475216</c:v>
                </c:pt>
                <c:pt idx="9">
                  <c:v>-6.9159812286135214E-2</c:v>
                </c:pt>
                <c:pt idx="10">
                  <c:v>2.4048393936960677E-2</c:v>
                </c:pt>
                <c:pt idx="11">
                  <c:v>0.12842445382828682</c:v>
                </c:pt>
                <c:pt idx="12">
                  <c:v>0.24025299194758731</c:v>
                </c:pt>
                <c:pt idx="13">
                  <c:v>0.28989845232662859</c:v>
                </c:pt>
                <c:pt idx="14">
                  <c:v>0.5798996280703459</c:v>
                </c:pt>
                <c:pt idx="15">
                  <c:v>0.40729076610316017</c:v>
                </c:pt>
                <c:pt idx="16">
                  <c:v>0.52348036577689627</c:v>
                </c:pt>
                <c:pt idx="17">
                  <c:v>0.54734250242390825</c:v>
                </c:pt>
                <c:pt idx="18">
                  <c:v>0.49745980337278084</c:v>
                </c:pt>
                <c:pt idx="19">
                  <c:v>0.7015456999452494</c:v>
                </c:pt>
                <c:pt idx="20">
                  <c:v>0.99605837750361825</c:v>
                </c:pt>
                <c:pt idx="21">
                  <c:v>0.69656516439946126</c:v>
                </c:pt>
                <c:pt idx="22">
                  <c:v>0.68832705476689093</c:v>
                </c:pt>
                <c:pt idx="23">
                  <c:v>0.73755419770895303</c:v>
                </c:pt>
                <c:pt idx="24">
                  <c:v>0.72166742948736751</c:v>
                </c:pt>
                <c:pt idx="25">
                  <c:v>0.86759568659415676</c:v>
                </c:pt>
                <c:pt idx="26">
                  <c:v>0.97300903544933415</c:v>
                </c:pt>
                <c:pt idx="27">
                  <c:v>1.229191273765025</c:v>
                </c:pt>
                <c:pt idx="28">
                  <c:v>0.83845525104839713</c:v>
                </c:pt>
                <c:pt idx="29">
                  <c:v>0.82656176653492297</c:v>
                </c:pt>
                <c:pt idx="30">
                  <c:v>0.87708303761212414</c:v>
                </c:pt>
                <c:pt idx="31">
                  <c:v>0.70781106668802418</c:v>
                </c:pt>
                <c:pt idx="32">
                  <c:v>0.84128426341636198</c:v>
                </c:pt>
                <c:pt idx="33">
                  <c:v>0.72714298831532598</c:v>
                </c:pt>
                <c:pt idx="34">
                  <c:v>0.8428034694158375</c:v>
                </c:pt>
                <c:pt idx="35">
                  <c:v>0.85315380796166629</c:v>
                </c:pt>
                <c:pt idx="36">
                  <c:v>0.91448575071453608</c:v>
                </c:pt>
                <c:pt idx="37">
                  <c:v>1.0589723608103268</c:v>
                </c:pt>
                <c:pt idx="38">
                  <c:v>1.1042436120520431</c:v>
                </c:pt>
                <c:pt idx="39">
                  <c:v>0.82705063044272431</c:v>
                </c:pt>
                <c:pt idx="40">
                  <c:v>0.87720771107751205</c:v>
                </c:pt>
                <c:pt idx="41">
                  <c:v>1.2178602537533525</c:v>
                </c:pt>
                <c:pt idx="42">
                  <c:v>1.4664730946611728</c:v>
                </c:pt>
                <c:pt idx="43">
                  <c:v>1.4809236025084274</c:v>
                </c:pt>
                <c:pt idx="44">
                  <c:v>1.6617824819528062</c:v>
                </c:pt>
                <c:pt idx="45">
                  <c:v>1.5163807139424379</c:v>
                </c:pt>
                <c:pt idx="46">
                  <c:v>1.533656342384496</c:v>
                </c:pt>
                <c:pt idx="47">
                  <c:v>1.2530981198391902</c:v>
                </c:pt>
                <c:pt idx="48">
                  <c:v>1.3402360101862572</c:v>
                </c:pt>
                <c:pt idx="49">
                  <c:v>0.83988786168026519</c:v>
                </c:pt>
                <c:pt idx="50">
                  <c:v>0.74045087563181844</c:v>
                </c:pt>
                <c:pt idx="51">
                  <c:v>1.1428668337888643</c:v>
                </c:pt>
                <c:pt idx="52">
                  <c:v>1.2941651630463289</c:v>
                </c:pt>
                <c:pt idx="53">
                  <c:v>1.1715883468852679</c:v>
                </c:pt>
                <c:pt idx="54">
                  <c:v>1.0880542218051699</c:v>
                </c:pt>
                <c:pt idx="55">
                  <c:v>1.0999322901581867</c:v>
                </c:pt>
                <c:pt idx="56">
                  <c:v>0.90240834230757816</c:v>
                </c:pt>
                <c:pt idx="57">
                  <c:v>0.76618363995468686</c:v>
                </c:pt>
                <c:pt idx="58">
                  <c:v>0.53349730458739031</c:v>
                </c:pt>
                <c:pt idx="59">
                  <c:v>0.50032850649165761</c:v>
                </c:pt>
                <c:pt idx="60">
                  <c:v>0.41145929624725897</c:v>
                </c:pt>
                <c:pt idx="61">
                  <c:v>0.53325726813518348</c:v>
                </c:pt>
                <c:pt idx="62">
                  <c:v>0.74318726750308284</c:v>
                </c:pt>
                <c:pt idx="63">
                  <c:v>0.71069769570398789</c:v>
                </c:pt>
                <c:pt idx="64">
                  <c:v>0.77649406723139114</c:v>
                </c:pt>
                <c:pt idx="65">
                  <c:v>0.88380766948293799</c:v>
                </c:pt>
                <c:pt idx="66">
                  <c:v>0.91291571356237711</c:v>
                </c:pt>
                <c:pt idx="67">
                  <c:v>0.92860178037301599</c:v>
                </c:pt>
                <c:pt idx="68">
                  <c:v>0.92450796902474819</c:v>
                </c:pt>
                <c:pt idx="69">
                  <c:v>0.82353360990293201</c:v>
                </c:pt>
                <c:pt idx="70">
                  <c:v>1.0036165792192073</c:v>
                </c:pt>
                <c:pt idx="71">
                  <c:v>1.2358724701744075</c:v>
                </c:pt>
                <c:pt idx="72">
                  <c:v>0.47110866084350955</c:v>
                </c:pt>
                <c:pt idx="73">
                  <c:v>0.54887355617578693</c:v>
                </c:pt>
                <c:pt idx="74">
                  <c:v>0.48198780177795175</c:v>
                </c:pt>
                <c:pt idx="75">
                  <c:v>0.61576892174105846</c:v>
                </c:pt>
                <c:pt idx="76">
                  <c:v>0.61254736589023229</c:v>
                </c:pt>
                <c:pt idx="77">
                  <c:v>0.55086428465994564</c:v>
                </c:pt>
                <c:pt idx="78">
                  <c:v>0.39356108030616932</c:v>
                </c:pt>
                <c:pt idx="79">
                  <c:v>0.645833955274288</c:v>
                </c:pt>
                <c:pt idx="80">
                  <c:v>0.78701058436476323</c:v>
                </c:pt>
                <c:pt idx="81">
                  <c:v>1.0214816622757015</c:v>
                </c:pt>
                <c:pt idx="82">
                  <c:v>0.82124806451668797</c:v>
                </c:pt>
                <c:pt idx="83">
                  <c:v>0.78082504661498131</c:v>
                </c:pt>
                <c:pt idx="84">
                  <c:v>0.54667195750215458</c:v>
                </c:pt>
                <c:pt idx="85">
                  <c:v>0.35575027630729328</c:v>
                </c:pt>
                <c:pt idx="86">
                  <c:v>0.47909426283924472</c:v>
                </c:pt>
                <c:pt idx="87">
                  <c:v>0.91976807945839534</c:v>
                </c:pt>
                <c:pt idx="88">
                  <c:v>1.2827024717373701</c:v>
                </c:pt>
                <c:pt idx="89">
                  <c:v>1.2321191286297197</c:v>
                </c:pt>
                <c:pt idx="90">
                  <c:v>0.30362155443732264</c:v>
                </c:pt>
                <c:pt idx="91">
                  <c:v>9.9395217230453525E-2</c:v>
                </c:pt>
                <c:pt idx="92">
                  <c:v>0.10611401490844785</c:v>
                </c:pt>
                <c:pt idx="93">
                  <c:v>7.8060139831255926E-2</c:v>
                </c:pt>
                <c:pt idx="94">
                  <c:v>0.1733221446631823</c:v>
                </c:pt>
                <c:pt idx="95">
                  <c:v>0.27947733627842619</c:v>
                </c:pt>
                <c:pt idx="96">
                  <c:v>0.14628259686678002</c:v>
                </c:pt>
                <c:pt idx="97">
                  <c:v>0.25747654153302779</c:v>
                </c:pt>
                <c:pt idx="98">
                  <c:v>0.22501302091262287</c:v>
                </c:pt>
                <c:pt idx="99">
                  <c:v>0.23651116922657578</c:v>
                </c:pt>
                <c:pt idx="100">
                  <c:v>0.10206180008070542</c:v>
                </c:pt>
                <c:pt idx="101">
                  <c:v>0.24345710224024653</c:v>
                </c:pt>
                <c:pt idx="102">
                  <c:v>0.18442783953965081</c:v>
                </c:pt>
                <c:pt idx="103">
                  <c:v>0.27559096413179751</c:v>
                </c:pt>
                <c:pt idx="104">
                  <c:v>0.21553086913043784</c:v>
                </c:pt>
                <c:pt idx="105">
                  <c:v>0.13267662353011489</c:v>
                </c:pt>
                <c:pt idx="106">
                  <c:v>0.10237767798426756</c:v>
                </c:pt>
                <c:pt idx="107">
                  <c:v>0.10332475438428368</c:v>
                </c:pt>
                <c:pt idx="108">
                  <c:v>0.16107808266159762</c:v>
                </c:pt>
                <c:pt idx="109">
                  <c:v>0.14833477263916284</c:v>
                </c:pt>
                <c:pt idx="110">
                  <c:v>0.13942648753758191</c:v>
                </c:pt>
                <c:pt idx="111">
                  <c:v>9.4464779562001278E-2</c:v>
                </c:pt>
                <c:pt idx="112">
                  <c:v>0.18744392013827205</c:v>
                </c:pt>
                <c:pt idx="113">
                  <c:v>0.19954037416590076</c:v>
                </c:pt>
                <c:pt idx="114">
                  <c:v>0.2106764874957221</c:v>
                </c:pt>
                <c:pt idx="115">
                  <c:v>0.28091897681511635</c:v>
                </c:pt>
                <c:pt idx="116">
                  <c:v>0.61139781931393822</c:v>
                </c:pt>
                <c:pt idx="117">
                  <c:v>0.62723871615991134</c:v>
                </c:pt>
                <c:pt idx="118">
                  <c:v>0.31589988363884025</c:v>
                </c:pt>
                <c:pt idx="119">
                  <c:v>0.41921468383424365</c:v>
                </c:pt>
                <c:pt idx="120">
                  <c:v>0.4085837784283739</c:v>
                </c:pt>
                <c:pt idx="121">
                  <c:v>0.2293066979452596</c:v>
                </c:pt>
                <c:pt idx="122">
                  <c:v>1.7780991947623281E-2</c:v>
                </c:pt>
                <c:pt idx="123">
                  <c:v>0.14942635457971032</c:v>
                </c:pt>
                <c:pt idx="124">
                  <c:v>0.22880597306173112</c:v>
                </c:pt>
                <c:pt idx="125">
                  <c:v>3.9734108188406392E-2</c:v>
                </c:pt>
                <c:pt idx="126">
                  <c:v>-1.6014988788132678E-2</c:v>
                </c:pt>
                <c:pt idx="127">
                  <c:v>-9.9136707673312952E-2</c:v>
                </c:pt>
                <c:pt idx="128">
                  <c:v>-8.6696933124719822E-2</c:v>
                </c:pt>
                <c:pt idx="129">
                  <c:v>-0.1837922524855502</c:v>
                </c:pt>
                <c:pt idx="130">
                  <c:v>-0.15600072033586687</c:v>
                </c:pt>
                <c:pt idx="131">
                  <c:v>-0.30532011163542239</c:v>
                </c:pt>
                <c:pt idx="132">
                  <c:v>-0.30652953525508564</c:v>
                </c:pt>
                <c:pt idx="133">
                  <c:v>-0.29246497184876719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8D-420C-B004-07D98AFC31FF}"/>
            </c:ext>
          </c:extLst>
        </c:ser>
        <c:ser>
          <c:idx val="5"/>
          <c:order val="5"/>
          <c:tx>
            <c:strRef>
              <c:f>NN5再投資累積報酬!$C$28</c:f>
              <c:strCache>
                <c:ptCount val="1"/>
                <c:pt idx="0">
                  <c:v>964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NN5再投資累積報酬!$D$22:$EG$22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NN5再投資累積報酬!$D$28:$EG$28</c:f>
              <c:numCache>
                <c:formatCode>General</c:formatCode>
                <c:ptCount val="134"/>
                <c:pt idx="0">
                  <c:v>0.16299313693108508</c:v>
                </c:pt>
                <c:pt idx="1">
                  <c:v>4.1984852428694763E-2</c:v>
                </c:pt>
                <c:pt idx="2">
                  <c:v>-0.25447286049146223</c:v>
                </c:pt>
                <c:pt idx="3">
                  <c:v>-0.42382646750761388</c:v>
                </c:pt>
                <c:pt idx="4">
                  <c:v>-0.29374951752696976</c:v>
                </c:pt>
                <c:pt idx="5">
                  <c:v>-0.54151785941676156</c:v>
                </c:pt>
                <c:pt idx="6">
                  <c:v>-0.54248614307250764</c:v>
                </c:pt>
                <c:pt idx="7">
                  <c:v>-0.58822480663632337</c:v>
                </c:pt>
                <c:pt idx="8">
                  <c:v>-0.56609889154325144</c:v>
                </c:pt>
                <c:pt idx="9">
                  <c:v>-0.52460785715329694</c:v>
                </c:pt>
                <c:pt idx="10">
                  <c:v>-0.74472751358764722</c:v>
                </c:pt>
                <c:pt idx="11">
                  <c:v>-0.70793497463565136</c:v>
                </c:pt>
                <c:pt idx="12">
                  <c:v>-0.63920938909523217</c:v>
                </c:pt>
                <c:pt idx="13">
                  <c:v>-0.63858295237515716</c:v>
                </c:pt>
                <c:pt idx="14">
                  <c:v>-0.63961195571876317</c:v>
                </c:pt>
                <c:pt idx="15">
                  <c:v>-0.72815835065894241</c:v>
                </c:pt>
                <c:pt idx="16">
                  <c:v>-0.69013210786855506</c:v>
                </c:pt>
                <c:pt idx="17">
                  <c:v>-0.65180422476029476</c:v>
                </c:pt>
                <c:pt idx="18">
                  <c:v>-0.75133817725751462</c:v>
                </c:pt>
                <c:pt idx="19">
                  <c:v>-0.72680059878225478</c:v>
                </c:pt>
                <c:pt idx="20">
                  <c:v>-0.5913723810426319</c:v>
                </c:pt>
                <c:pt idx="21">
                  <c:v>-0.59100507529299495</c:v>
                </c:pt>
                <c:pt idx="22">
                  <c:v>-0.64021431930985828</c:v>
                </c:pt>
                <c:pt idx="23">
                  <c:v>-0.64899112863685338</c:v>
                </c:pt>
                <c:pt idx="24">
                  <c:v>-0.64423574179829191</c:v>
                </c:pt>
                <c:pt idx="25">
                  <c:v>-0.57474088583983218</c:v>
                </c:pt>
                <c:pt idx="26">
                  <c:v>-0.52142173617798082</c:v>
                </c:pt>
                <c:pt idx="27">
                  <c:v>-0.47300143711802511</c:v>
                </c:pt>
                <c:pt idx="28">
                  <c:v>-0.7582436891630131</c:v>
                </c:pt>
                <c:pt idx="29">
                  <c:v>-0.79830362362210616</c:v>
                </c:pt>
                <c:pt idx="30">
                  <c:v>-0.77032113210262654</c:v>
                </c:pt>
                <c:pt idx="31">
                  <c:v>-0.78334331757576625</c:v>
                </c:pt>
                <c:pt idx="32">
                  <c:v>-0.78525170136924571</c:v>
                </c:pt>
                <c:pt idx="33">
                  <c:v>-0.80262295839223674</c:v>
                </c:pt>
                <c:pt idx="34">
                  <c:v>-0.80233854259917203</c:v>
                </c:pt>
                <c:pt idx="35">
                  <c:v>-0.81956942348006834</c:v>
                </c:pt>
                <c:pt idx="36">
                  <c:v>-0.82298304033411684</c:v>
                </c:pt>
                <c:pt idx="37">
                  <c:v>-0.78382875370394978</c:v>
                </c:pt>
                <c:pt idx="38">
                  <c:v>-0.76954197186203166</c:v>
                </c:pt>
                <c:pt idx="39">
                  <c:v>-0.77480833315321862</c:v>
                </c:pt>
                <c:pt idx="40">
                  <c:v>-0.76420699117057422</c:v>
                </c:pt>
                <c:pt idx="41">
                  <c:v>-0.76193412185218767</c:v>
                </c:pt>
                <c:pt idx="42">
                  <c:v>-0.76858950993622654</c:v>
                </c:pt>
                <c:pt idx="43">
                  <c:v>-0.76154092980523602</c:v>
                </c:pt>
                <c:pt idx="44">
                  <c:v>-0.75102600083023385</c:v>
                </c:pt>
                <c:pt idx="45">
                  <c:v>-0.77272457090165758</c:v>
                </c:pt>
                <c:pt idx="46">
                  <c:v>-0.77159102526459034</c:v>
                </c:pt>
                <c:pt idx="47">
                  <c:v>-0.77805641232192158</c:v>
                </c:pt>
                <c:pt idx="48">
                  <c:v>-0.74074163753050259</c:v>
                </c:pt>
                <c:pt idx="49">
                  <c:v>-0.73092428203754145</c:v>
                </c:pt>
                <c:pt idx="50">
                  <c:v>-0.74539913819581227</c:v>
                </c:pt>
                <c:pt idx="51">
                  <c:v>-0.56952683799218562</c:v>
                </c:pt>
                <c:pt idx="52">
                  <c:v>-0.82756176717965335</c:v>
                </c:pt>
                <c:pt idx="53">
                  <c:v>-0.79555805555289327</c:v>
                </c:pt>
                <c:pt idx="54">
                  <c:v>-0.81684682478594772</c:v>
                </c:pt>
                <c:pt idx="55">
                  <c:v>-0.80079320427588685</c:v>
                </c:pt>
                <c:pt idx="56">
                  <c:v>-0.78266852781285556</c:v>
                </c:pt>
                <c:pt idx="57">
                  <c:v>-0.86661396882441555</c:v>
                </c:pt>
                <c:pt idx="58">
                  <c:v>-0.8964429677384429</c:v>
                </c:pt>
                <c:pt idx="59">
                  <c:v>-0.89678970938109337</c:v>
                </c:pt>
                <c:pt idx="60">
                  <c:v>-0.89637443793681537</c:v>
                </c:pt>
                <c:pt idx="61">
                  <c:v>-0.86350810971249348</c:v>
                </c:pt>
                <c:pt idx="62">
                  <c:v>-0.86194213564580879</c:v>
                </c:pt>
                <c:pt idx="63">
                  <c:v>-0.87697846776496347</c:v>
                </c:pt>
                <c:pt idx="64">
                  <c:v>-0.85715850670846416</c:v>
                </c:pt>
                <c:pt idx="65">
                  <c:v>-0.83953883979667709</c:v>
                </c:pt>
                <c:pt idx="66">
                  <c:v>-0.8498355736106491</c:v>
                </c:pt>
                <c:pt idx="67">
                  <c:v>-0.84347517563427221</c:v>
                </c:pt>
                <c:pt idx="68">
                  <c:v>-0.84367626581288635</c:v>
                </c:pt>
                <c:pt idx="69">
                  <c:v>-0.80041851588926483</c:v>
                </c:pt>
                <c:pt idx="70">
                  <c:v>-0.75484874790052681</c:v>
                </c:pt>
                <c:pt idx="71">
                  <c:v>-0.72843898254314743</c:v>
                </c:pt>
                <c:pt idx="72">
                  <c:v>-1.0296034286544238</c:v>
                </c:pt>
                <c:pt idx="73">
                  <c:v>-1.0326808540881642</c:v>
                </c:pt>
                <c:pt idx="74">
                  <c:v>-1.0231923970416594</c:v>
                </c:pt>
                <c:pt idx="75">
                  <c:v>-1.0291967439430547</c:v>
                </c:pt>
                <c:pt idx="76">
                  <c:v>-1.0258326460328249</c:v>
                </c:pt>
                <c:pt idx="77">
                  <c:v>-1.0312255202197171</c:v>
                </c:pt>
                <c:pt idx="78">
                  <c:v>-1.0380898635879467</c:v>
                </c:pt>
                <c:pt idx="79">
                  <c:v>-1.0393236806327752</c:v>
                </c:pt>
                <c:pt idx="80">
                  <c:v>-1.0458343008616076</c:v>
                </c:pt>
                <c:pt idx="81">
                  <c:v>-1.0534029809771246</c:v>
                </c:pt>
                <c:pt idx="82">
                  <c:v>-1.0361101356035187</c:v>
                </c:pt>
                <c:pt idx="83">
                  <c:v>-1.0284196558813476</c:v>
                </c:pt>
                <c:pt idx="84">
                  <c:v>-1.0267568741865329</c:v>
                </c:pt>
                <c:pt idx="85">
                  <c:v>-1.0271076430385504</c:v>
                </c:pt>
                <c:pt idx="86">
                  <c:v>-1.0296430230420077</c:v>
                </c:pt>
                <c:pt idx="87">
                  <c:v>-1.0636915932021811</c:v>
                </c:pt>
                <c:pt idx="88">
                  <c:v>-1.0986956718388583</c:v>
                </c:pt>
                <c:pt idx="89">
                  <c:v>-1.1093290217774427</c:v>
                </c:pt>
                <c:pt idx="90">
                  <c:v>-1.0244182851564398</c:v>
                </c:pt>
                <c:pt idx="91">
                  <c:v>-1.0195818202326918</c:v>
                </c:pt>
                <c:pt idx="92">
                  <c:v>-1.0218276038542784</c:v>
                </c:pt>
                <c:pt idx="93">
                  <c:v>-1.0239409067784513</c:v>
                </c:pt>
                <c:pt idx="94">
                  <c:v>-1.0218844970185466</c:v>
                </c:pt>
                <c:pt idx="95">
                  <c:v>-1.0239945785148796</c:v>
                </c:pt>
                <c:pt idx="96">
                  <c:v>-1.0222489405914674</c:v>
                </c:pt>
                <c:pt idx="97">
                  <c:v>-1.0302914942077268</c:v>
                </c:pt>
                <c:pt idx="98">
                  <c:v>-1.0302433870072381</c:v>
                </c:pt>
                <c:pt idx="99">
                  <c:v>-1.031839187150972</c:v>
                </c:pt>
                <c:pt idx="100">
                  <c:v>-1.0216141037653477</c:v>
                </c:pt>
                <c:pt idx="101">
                  <c:v>-1.0285865948481907</c:v>
                </c:pt>
                <c:pt idx="102">
                  <c:v>-1.0292872867108327</c:v>
                </c:pt>
                <c:pt idx="103">
                  <c:v>-1.0288039918344494</c:v>
                </c:pt>
                <c:pt idx="104">
                  <c:v>-1.034405031691809</c:v>
                </c:pt>
                <c:pt idx="105">
                  <c:v>-1.0361011919329459</c:v>
                </c:pt>
                <c:pt idx="106">
                  <c:v>-1.0297451165318505</c:v>
                </c:pt>
                <c:pt idx="107">
                  <c:v>-1.0266318446233156</c:v>
                </c:pt>
                <c:pt idx="108">
                  <c:v>-1.0298155561161737</c:v>
                </c:pt>
                <c:pt idx="109">
                  <c:v>-1.0327782378993644</c:v>
                </c:pt>
                <c:pt idx="110">
                  <c:v>-1.0374286654445244</c:v>
                </c:pt>
                <c:pt idx="111">
                  <c:v>-1.0324697935665641</c:v>
                </c:pt>
                <c:pt idx="112">
                  <c:v>-1.0434935875496818</c:v>
                </c:pt>
                <c:pt idx="113">
                  <c:v>-1.0421127227599483</c:v>
                </c:pt>
                <c:pt idx="114">
                  <c:v>-1.0361563191625447</c:v>
                </c:pt>
                <c:pt idx="115">
                  <c:v>-1.04459283837513</c:v>
                </c:pt>
                <c:pt idx="116">
                  <c:v>-1.0497483035997248</c:v>
                </c:pt>
                <c:pt idx="117">
                  <c:v>-1.0554381874945435</c:v>
                </c:pt>
                <c:pt idx="118">
                  <c:v>-1.048066164164196</c:v>
                </c:pt>
                <c:pt idx="119">
                  <c:v>-1.0470800565144927</c:v>
                </c:pt>
                <c:pt idx="120">
                  <c:v>-1.0439086240553201</c:v>
                </c:pt>
                <c:pt idx="121">
                  <c:v>-1.0422241633869713</c:v>
                </c:pt>
                <c:pt idx="122">
                  <c:v>-1.0402126638943996</c:v>
                </c:pt>
                <c:pt idx="123">
                  <c:v>-1.0465753005207561</c:v>
                </c:pt>
                <c:pt idx="124">
                  <c:v>-1.0516453521962597</c:v>
                </c:pt>
                <c:pt idx="125">
                  <c:v>-1.0355530153694816</c:v>
                </c:pt>
                <c:pt idx="126">
                  <c:v>-1.0233297362768512</c:v>
                </c:pt>
                <c:pt idx="127">
                  <c:v>-1.0221523035612783</c:v>
                </c:pt>
                <c:pt idx="128">
                  <c:v>-1.023865804671203</c:v>
                </c:pt>
                <c:pt idx="129">
                  <c:v>-1.0212589721252783</c:v>
                </c:pt>
                <c:pt idx="130">
                  <c:v>-1.0209547579610174</c:v>
                </c:pt>
                <c:pt idx="131">
                  <c:v>-1.0197776695838086</c:v>
                </c:pt>
                <c:pt idx="132">
                  <c:v>-1.0219033865092415</c:v>
                </c:pt>
                <c:pt idx="133">
                  <c:v>-1.023376973569593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28D-420C-B004-07D98AFC31FF}"/>
            </c:ext>
          </c:extLst>
        </c:ser>
        <c:ser>
          <c:idx val="6"/>
          <c:order val="6"/>
          <c:tx>
            <c:strRef>
              <c:f>NN5再投資累積報酬!$C$29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NN5再投資累積報酬!$D$22:$EG$22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NN5再投資累積報酬!$D$29:$EG$29</c:f>
              <c:numCache>
                <c:formatCode>General</c:formatCode>
                <c:ptCount val="134"/>
                <c:pt idx="0">
                  <c:v>-1.7446770539390366E-2</c:v>
                </c:pt>
                <c:pt idx="1">
                  <c:v>2.893123339404724E-3</c:v>
                </c:pt>
                <c:pt idx="2">
                  <c:v>2.6944635852046872E-2</c:v>
                </c:pt>
                <c:pt idx="3">
                  <c:v>2.0210365301730038E-2</c:v>
                </c:pt>
                <c:pt idx="4">
                  <c:v>5.269909680859941E-2</c:v>
                </c:pt>
                <c:pt idx="5">
                  <c:v>8.8857766197530053E-2</c:v>
                </c:pt>
                <c:pt idx="6">
                  <c:v>7.9869318529145472E-2</c:v>
                </c:pt>
                <c:pt idx="7">
                  <c:v>9.3738646464063713E-2</c:v>
                </c:pt>
                <c:pt idx="8">
                  <c:v>3.7937714394164157E-2</c:v>
                </c:pt>
                <c:pt idx="9">
                  <c:v>3.8844812525307137E-2</c:v>
                </c:pt>
                <c:pt idx="10">
                  <c:v>6.3142951706360639E-2</c:v>
                </c:pt>
                <c:pt idx="11">
                  <c:v>7.6952085951054405E-2</c:v>
                </c:pt>
                <c:pt idx="12">
                  <c:v>8.3257197491512391E-2</c:v>
                </c:pt>
                <c:pt idx="13">
                  <c:v>0.11295275081672607</c:v>
                </c:pt>
                <c:pt idx="14">
                  <c:v>0.10882042835093308</c:v>
                </c:pt>
                <c:pt idx="15">
                  <c:v>0.13551706985268064</c:v>
                </c:pt>
                <c:pt idx="16">
                  <c:v>0.12167508804368476</c:v>
                </c:pt>
                <c:pt idx="17">
                  <c:v>7.7088976461827885E-2</c:v>
                </c:pt>
                <c:pt idx="18">
                  <c:v>-1.7059521199481731E-3</c:v>
                </c:pt>
                <c:pt idx="19">
                  <c:v>-5.9866792867339091E-2</c:v>
                </c:pt>
                <c:pt idx="20">
                  <c:v>-5.9140260213613516E-2</c:v>
                </c:pt>
                <c:pt idx="21">
                  <c:v>-1.7185893241652206E-2</c:v>
                </c:pt>
                <c:pt idx="22">
                  <c:v>-4.4409529547694393E-2</c:v>
                </c:pt>
                <c:pt idx="23">
                  <c:v>-4.2407561826578566E-2</c:v>
                </c:pt>
                <c:pt idx="24">
                  <c:v>-6.481575250614946E-2</c:v>
                </c:pt>
                <c:pt idx="25">
                  <c:v>-3.4768870774049443E-2</c:v>
                </c:pt>
                <c:pt idx="26">
                  <c:v>2.7817794451217015E-3</c:v>
                </c:pt>
                <c:pt idx="27">
                  <c:v>-4.0202844765013457E-2</c:v>
                </c:pt>
                <c:pt idx="28">
                  <c:v>-2.2305320482664204E-2</c:v>
                </c:pt>
                <c:pt idx="29">
                  <c:v>-7.4152570234460313E-3</c:v>
                </c:pt>
                <c:pt idx="30">
                  <c:v>2.8334274381314417E-2</c:v>
                </c:pt>
                <c:pt idx="31">
                  <c:v>3.7953941892352683E-2</c:v>
                </c:pt>
                <c:pt idx="32">
                  <c:v>4.9110131735873752E-2</c:v>
                </c:pt>
                <c:pt idx="33">
                  <c:v>6.3123886850196875E-2</c:v>
                </c:pt>
                <c:pt idx="34">
                  <c:v>5.7454515782098925E-2</c:v>
                </c:pt>
                <c:pt idx="35">
                  <c:v>5.8917118987427575E-2</c:v>
                </c:pt>
                <c:pt idx="36">
                  <c:v>8.0938283596681648E-2</c:v>
                </c:pt>
                <c:pt idx="37">
                  <c:v>0.11500697453770203</c:v>
                </c:pt>
                <c:pt idx="38">
                  <c:v>0.12196653200545171</c:v>
                </c:pt>
                <c:pt idx="39">
                  <c:v>0.12886130991117528</c:v>
                </c:pt>
                <c:pt idx="40">
                  <c:v>0.14799139743631429</c:v>
                </c:pt>
                <c:pt idx="41">
                  <c:v>0.18780698843660248</c:v>
                </c:pt>
                <c:pt idx="42">
                  <c:v>0.19148751365039929</c:v>
                </c:pt>
                <c:pt idx="43">
                  <c:v>0.20945675046088996</c:v>
                </c:pt>
                <c:pt idx="44">
                  <c:v>0.18617324550329584</c:v>
                </c:pt>
                <c:pt idx="45">
                  <c:v>0.23209180697664689</c:v>
                </c:pt>
                <c:pt idx="46">
                  <c:v>0.20516203655681697</c:v>
                </c:pt>
                <c:pt idx="47">
                  <c:v>0.21453132863303215</c:v>
                </c:pt>
                <c:pt idx="48">
                  <c:v>0.2660241129922889</c:v>
                </c:pt>
                <c:pt idx="49">
                  <c:v>0.23271631642995261</c:v>
                </c:pt>
                <c:pt idx="50">
                  <c:v>0.24451556797958407</c:v>
                </c:pt>
                <c:pt idx="51">
                  <c:v>0.21433638745422812</c:v>
                </c:pt>
                <c:pt idx="52">
                  <c:v>0.23882150637103883</c:v>
                </c:pt>
                <c:pt idx="53">
                  <c:v>0.23447943849994912</c:v>
                </c:pt>
                <c:pt idx="54">
                  <c:v>0.25935658802508499</c:v>
                </c:pt>
                <c:pt idx="55">
                  <c:v>0.26008869763716325</c:v>
                </c:pt>
                <c:pt idx="56">
                  <c:v>0.2535114114609236</c:v>
                </c:pt>
                <c:pt idx="57">
                  <c:v>0.10826483627727623</c:v>
                </c:pt>
                <c:pt idx="58">
                  <c:v>0.11793469710078752</c:v>
                </c:pt>
                <c:pt idx="59">
                  <c:v>9.9625988810205346E-2</c:v>
                </c:pt>
                <c:pt idx="60">
                  <c:v>0.12254260303831388</c:v>
                </c:pt>
                <c:pt idx="61">
                  <c:v>0.17302993558173996</c:v>
                </c:pt>
                <c:pt idx="62">
                  <c:v>0.20112905370185397</c:v>
                </c:pt>
                <c:pt idx="63">
                  <c:v>0.23745011694095197</c:v>
                </c:pt>
                <c:pt idx="64">
                  <c:v>0.18334151222801376</c:v>
                </c:pt>
                <c:pt idx="65">
                  <c:v>0.20924423024871497</c:v>
                </c:pt>
                <c:pt idx="66">
                  <c:v>0.21967690051673561</c:v>
                </c:pt>
                <c:pt idx="67">
                  <c:v>0.1962676978767699</c:v>
                </c:pt>
                <c:pt idx="68">
                  <c:v>0.21987619627534571</c:v>
                </c:pt>
                <c:pt idx="69">
                  <c:v>0.27805738326883356</c:v>
                </c:pt>
                <c:pt idx="70">
                  <c:v>0.29269729646247922</c:v>
                </c:pt>
                <c:pt idx="71">
                  <c:v>0.34857881761669129</c:v>
                </c:pt>
                <c:pt idx="72">
                  <c:v>0.2909305384219143</c:v>
                </c:pt>
                <c:pt idx="73">
                  <c:v>0.26793739709811137</c:v>
                </c:pt>
                <c:pt idx="74">
                  <c:v>7.628473289061688E-2</c:v>
                </c:pt>
                <c:pt idx="75">
                  <c:v>0.20998513144491437</c:v>
                </c:pt>
                <c:pt idx="76">
                  <c:v>0.20447092205281336</c:v>
                </c:pt>
                <c:pt idx="77">
                  <c:v>0.27699361006036605</c:v>
                </c:pt>
                <c:pt idx="78">
                  <c:v>0.38680488733361829</c:v>
                </c:pt>
                <c:pt idx="79">
                  <c:v>0.37874965946081551</c:v>
                </c:pt>
                <c:pt idx="80">
                  <c:v>0.37042015435709108</c:v>
                </c:pt>
                <c:pt idx="81">
                  <c:v>0.37378086910184649</c:v>
                </c:pt>
                <c:pt idx="82">
                  <c:v>0.49692143719092186</c:v>
                </c:pt>
                <c:pt idx="83">
                  <c:v>0.603191980394987</c:v>
                </c:pt>
                <c:pt idx="84">
                  <c:v>0.64675173719730239</c:v>
                </c:pt>
                <c:pt idx="85">
                  <c:v>0.73315421285472704</c:v>
                </c:pt>
                <c:pt idx="86">
                  <c:v>0.7842487445659152</c:v>
                </c:pt>
                <c:pt idx="87">
                  <c:v>0.90348131155309508</c:v>
                </c:pt>
                <c:pt idx="88">
                  <c:v>0.8487139113221478</c:v>
                </c:pt>
                <c:pt idx="89">
                  <c:v>0.92166881344527685</c:v>
                </c:pt>
                <c:pt idx="90">
                  <c:v>0.86588067898046694</c:v>
                </c:pt>
                <c:pt idx="91">
                  <c:v>0.89197293519067467</c:v>
                </c:pt>
                <c:pt idx="92">
                  <c:v>0.83090579105751727</c:v>
                </c:pt>
                <c:pt idx="93">
                  <c:v>0.83658814745105547</c:v>
                </c:pt>
                <c:pt idx="94">
                  <c:v>0.88358984642415717</c:v>
                </c:pt>
                <c:pt idx="95">
                  <c:v>0.9672059526983301</c:v>
                </c:pt>
                <c:pt idx="96">
                  <c:v>0.90752297284093331</c:v>
                </c:pt>
                <c:pt idx="97">
                  <c:v>0.90512335385454468</c:v>
                </c:pt>
                <c:pt idx="98">
                  <c:v>0.90957440110152876</c:v>
                </c:pt>
                <c:pt idx="99">
                  <c:v>0.78685723504233995</c:v>
                </c:pt>
                <c:pt idx="100">
                  <c:v>0.80992516787144164</c:v>
                </c:pt>
                <c:pt idx="101">
                  <c:v>0.58282101623526672</c:v>
                </c:pt>
                <c:pt idx="102">
                  <c:v>0.60132527488651344</c:v>
                </c:pt>
                <c:pt idx="103">
                  <c:v>0.61147422419279152</c:v>
                </c:pt>
                <c:pt idx="104">
                  <c:v>0.42243966588262949</c:v>
                </c:pt>
                <c:pt idx="105">
                  <c:v>0.37121637307647259</c:v>
                </c:pt>
                <c:pt idx="106">
                  <c:v>0.5616938276257708</c:v>
                </c:pt>
                <c:pt idx="107">
                  <c:v>0.48182332962932128</c:v>
                </c:pt>
                <c:pt idx="108">
                  <c:v>0.59552577817978314</c:v>
                </c:pt>
                <c:pt idx="109">
                  <c:v>0.62027043996328524</c:v>
                </c:pt>
                <c:pt idx="110">
                  <c:v>0.65789923395288952</c:v>
                </c:pt>
                <c:pt idx="111">
                  <c:v>0.62743885630809859</c:v>
                </c:pt>
                <c:pt idx="112">
                  <c:v>0.72866394865424411</c:v>
                </c:pt>
                <c:pt idx="113">
                  <c:v>0.76340716304992284</c:v>
                </c:pt>
                <c:pt idx="114">
                  <c:v>0.78721129009524526</c:v>
                </c:pt>
                <c:pt idx="115">
                  <c:v>0.73314419395664854</c:v>
                </c:pt>
                <c:pt idx="116">
                  <c:v>0.7036411650845571</c:v>
                </c:pt>
                <c:pt idx="117">
                  <c:v>0.666521339911188</c:v>
                </c:pt>
                <c:pt idx="118">
                  <c:v>0.80941825308633253</c:v>
                </c:pt>
                <c:pt idx="119">
                  <c:v>0.86027510799998974</c:v>
                </c:pt>
                <c:pt idx="120">
                  <c:v>0.85599059714061299</c:v>
                </c:pt>
                <c:pt idx="121">
                  <c:v>0.9645125910761998</c:v>
                </c:pt>
                <c:pt idx="122">
                  <c:v>1.0974294483812512</c:v>
                </c:pt>
                <c:pt idx="123">
                  <c:v>1.1079601605760616</c:v>
                </c:pt>
                <c:pt idx="124">
                  <c:v>1.1868319851241949</c:v>
                </c:pt>
                <c:pt idx="125">
                  <c:v>1.3707686184169408</c:v>
                </c:pt>
                <c:pt idx="126">
                  <c:v>1.2834475238077694</c:v>
                </c:pt>
                <c:pt idx="127">
                  <c:v>1.2905072649494538</c:v>
                </c:pt>
                <c:pt idx="128">
                  <c:v>1.2860233033025419</c:v>
                </c:pt>
                <c:pt idx="129">
                  <c:v>1.3465094307246845</c:v>
                </c:pt>
                <c:pt idx="130">
                  <c:v>1.2884273650883467</c:v>
                </c:pt>
                <c:pt idx="131">
                  <c:v>1.3664981882262612</c:v>
                </c:pt>
                <c:pt idx="132">
                  <c:v>1.4163413115117764</c:v>
                </c:pt>
                <c:pt idx="133">
                  <c:v>1.367344209826507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28D-420C-B004-07D98AFC3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3194176"/>
        <c:axId val="1653193696"/>
      </c:lineChart>
      <c:catAx>
        <c:axId val="165319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53193696"/>
        <c:crosses val="autoZero"/>
        <c:auto val="1"/>
        <c:lblAlgn val="ctr"/>
        <c:lblOffset val="100"/>
        <c:noMultiLvlLbl val="0"/>
      </c:catAx>
      <c:valAx>
        <c:axId val="165319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5319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119</xdr:col>
      <xdr:colOff>368455</xdr:colOff>
      <xdr:row>30</xdr:row>
      <xdr:rowOff>23519</xdr:rowOff>
    </xdr:from>
    <xdr:to>
      <xdr:col>129</xdr:col>
      <xdr:colOff>337097</xdr:colOff>
      <xdr:row>45</xdr:row>
      <xdr:rowOff>70554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115</xdr:col>
      <xdr:colOff>560737</xdr:colOff>
      <xdr:row>33</xdr:row>
      <xdr:rowOff>6028</xdr:rowOff>
    </xdr:from>
    <xdr:to>
      <xdr:col>127</xdr:col>
      <xdr:colOff>505848</xdr:colOff>
      <xdr:row>49</xdr:row>
      <xdr:rowOff>150678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3EA86C2E-AFF3-47B2-F358-5B728DB3F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180310</xdr:colOff>
      <xdr:row>24</xdr:row>
      <xdr:rowOff>23519</xdr:rowOff>
    </xdr:from>
    <xdr:ext cx="964258" cy="257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文字方塊 1">
              <a:extLst>
                <a:ext uri="{FF2B5EF4-FFF2-40B4-BE49-F238E27FC236}">
                  <a16:creationId xmlns:a16="http://schemas.microsoft.com/office/drawing/2014/main" id="{A988A40C-85F0-4ABA-B710-E33686242CC1}"/>
                </a:ext>
              </a:extLst>
            </xdr:cNvPr>
            <xdr:cNvSpPr txBox="1"/>
          </xdr:nvSpPr>
          <xdr:spPr>
            <a:xfrm>
              <a:off x="180310" y="5357519"/>
              <a:ext cx="964258" cy="257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altLang="zh-TW" sz="16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6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n-US" altLang="zh-TW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" name="文字方塊 1">
              <a:extLst>
                <a:ext uri="{FF2B5EF4-FFF2-40B4-BE49-F238E27FC236}">
                  <a16:creationId xmlns:a16="http://schemas.microsoft.com/office/drawing/2014/main" id="{A988A40C-85F0-4ABA-B710-E33686242CC1}"/>
                </a:ext>
              </a:extLst>
            </xdr:cNvPr>
            <xdr:cNvSpPr txBox="1"/>
          </xdr:nvSpPr>
          <xdr:spPr>
            <a:xfrm>
              <a:off x="180310" y="5357519"/>
              <a:ext cx="964258" cy="257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zh-TW" sz="1600" b="0" i="0">
                  <a:latin typeface="Cambria Math" panose="02040503050406030204" pitchFamily="18" charset="0"/>
                </a:rPr>
                <a:t>𝑅^2</a:t>
              </a:r>
              <a:endParaRPr lang="zh-TW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26"/>
  <sheetViews>
    <sheetView zoomScale="74" zoomScaleNormal="74" workbookViewId="0">
      <selection sqref="A1:EF5"/>
    </sheetView>
  </sheetViews>
  <sheetFormatPr baseColWidth="10" defaultColWidth="8.83203125" defaultRowHeight="15"/>
  <cols>
    <col min="1" max="1" width="8.83203125" style="27" customWidth="1"/>
    <col min="2" max="2" width="8.33203125" style="27" customWidth="1"/>
    <col min="3" max="10" width="8.83203125" style="27" bestFit="1" customWidth="1"/>
    <col min="11" max="11" width="8.1640625" style="27" customWidth="1"/>
    <col min="12" max="55" width="8.83203125" style="27" bestFit="1" customWidth="1"/>
    <col min="56" max="56" width="13.83203125" style="27" bestFit="1" customWidth="1"/>
    <col min="57" max="136" width="8.83203125" style="27" bestFit="1" customWidth="1"/>
  </cols>
  <sheetData>
    <row r="1" spans="1:137" ht="16">
      <c r="A1" s="18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</row>
    <row r="2" spans="1:137" ht="16">
      <c r="A2" s="4"/>
      <c r="B2" s="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18</v>
      </c>
      <c r="T2" s="16" t="s">
        <v>19</v>
      </c>
      <c r="U2" s="16" t="s">
        <v>20</v>
      </c>
      <c r="V2" s="16" t="s">
        <v>21</v>
      </c>
      <c r="W2" s="16" t="s">
        <v>22</v>
      </c>
      <c r="X2" s="16" t="s">
        <v>23</v>
      </c>
      <c r="Y2" s="16" t="s">
        <v>24</v>
      </c>
      <c r="Z2" s="16" t="s">
        <v>25</v>
      </c>
      <c r="AA2" s="16" t="s">
        <v>26</v>
      </c>
      <c r="AB2" s="16" t="s">
        <v>27</v>
      </c>
      <c r="AC2" s="16" t="s">
        <v>28</v>
      </c>
      <c r="AD2" s="16" t="s">
        <v>29</v>
      </c>
      <c r="AE2" s="16" t="s">
        <v>30</v>
      </c>
      <c r="AF2" s="16" t="s">
        <v>31</v>
      </c>
      <c r="AG2" s="16" t="s">
        <v>32</v>
      </c>
      <c r="AH2" s="16" t="s">
        <v>33</v>
      </c>
      <c r="AI2" s="16" t="s">
        <v>34</v>
      </c>
      <c r="AJ2" s="16" t="s">
        <v>35</v>
      </c>
      <c r="AK2" s="16" t="s">
        <v>36</v>
      </c>
      <c r="AL2" s="16" t="s">
        <v>37</v>
      </c>
      <c r="AM2" s="16" t="s">
        <v>38</v>
      </c>
      <c r="AN2" s="16" t="s">
        <v>39</v>
      </c>
      <c r="AO2" s="16" t="s">
        <v>40</v>
      </c>
      <c r="AP2" s="16" t="s">
        <v>41</v>
      </c>
      <c r="AQ2" s="16" t="s">
        <v>42</v>
      </c>
      <c r="AR2" s="16" t="s">
        <v>43</v>
      </c>
      <c r="AS2" s="16" t="s">
        <v>44</v>
      </c>
      <c r="AT2" s="16" t="s">
        <v>45</v>
      </c>
      <c r="AU2" s="16" t="s">
        <v>46</v>
      </c>
      <c r="AV2" s="16" t="s">
        <v>47</v>
      </c>
      <c r="AW2" s="16" t="s">
        <v>48</v>
      </c>
      <c r="AX2" s="16" t="s">
        <v>49</v>
      </c>
      <c r="AY2" s="16" t="s">
        <v>50</v>
      </c>
      <c r="AZ2" s="16" t="s">
        <v>51</v>
      </c>
      <c r="BA2" s="16" t="s">
        <v>52</v>
      </c>
      <c r="BB2" s="16" t="s">
        <v>53</v>
      </c>
      <c r="BC2" s="16" t="s">
        <v>54</v>
      </c>
      <c r="BD2" s="16" t="s">
        <v>55</v>
      </c>
      <c r="BE2" s="16" t="s">
        <v>56</v>
      </c>
      <c r="BF2" s="16" t="s">
        <v>57</v>
      </c>
      <c r="BG2" s="16" t="s">
        <v>58</v>
      </c>
      <c r="BH2" s="16" t="s">
        <v>59</v>
      </c>
      <c r="BI2" s="16" t="s">
        <v>60</v>
      </c>
      <c r="BJ2" s="16" t="s">
        <v>61</v>
      </c>
      <c r="BK2" s="16" t="s">
        <v>62</v>
      </c>
      <c r="BL2" s="16" t="s">
        <v>63</v>
      </c>
      <c r="BM2" s="16" t="s">
        <v>64</v>
      </c>
      <c r="BN2" s="16" t="s">
        <v>65</v>
      </c>
      <c r="BO2" s="16" t="s">
        <v>66</v>
      </c>
      <c r="BP2" s="16" t="s">
        <v>67</v>
      </c>
      <c r="BQ2" s="16" t="s">
        <v>68</v>
      </c>
      <c r="BR2" s="16" t="s">
        <v>69</v>
      </c>
      <c r="BS2" s="16" t="s">
        <v>70</v>
      </c>
      <c r="BT2" s="16" t="s">
        <v>71</v>
      </c>
      <c r="BU2" s="16" t="s">
        <v>72</v>
      </c>
      <c r="BV2" s="16" t="s">
        <v>73</v>
      </c>
      <c r="BW2" s="16" t="s">
        <v>74</v>
      </c>
      <c r="BX2" s="16" t="s">
        <v>75</v>
      </c>
      <c r="BY2" s="16" t="s">
        <v>76</v>
      </c>
      <c r="BZ2" s="16" t="s">
        <v>77</v>
      </c>
      <c r="CA2" s="16" t="s">
        <v>78</v>
      </c>
      <c r="CB2" s="16" t="s">
        <v>79</v>
      </c>
      <c r="CC2" s="16" t="s">
        <v>80</v>
      </c>
      <c r="CD2" s="16" t="s">
        <v>81</v>
      </c>
      <c r="CE2" s="16" t="s">
        <v>82</v>
      </c>
      <c r="CF2" s="16" t="s">
        <v>83</v>
      </c>
      <c r="CG2" s="16" t="s">
        <v>84</v>
      </c>
      <c r="CH2" s="16" t="s">
        <v>85</v>
      </c>
      <c r="CI2" s="16" t="s">
        <v>86</v>
      </c>
      <c r="CJ2" s="16" t="s">
        <v>87</v>
      </c>
      <c r="CK2" s="16" t="s">
        <v>88</v>
      </c>
      <c r="CL2" s="16" t="s">
        <v>89</v>
      </c>
      <c r="CM2" s="16" t="s">
        <v>90</v>
      </c>
      <c r="CN2" s="16" t="s">
        <v>91</v>
      </c>
      <c r="CO2" s="16" t="s">
        <v>92</v>
      </c>
      <c r="CP2" s="16" t="s">
        <v>93</v>
      </c>
      <c r="CQ2" s="16" t="s">
        <v>94</v>
      </c>
      <c r="CR2" s="16" t="s">
        <v>95</v>
      </c>
      <c r="CS2" s="16" t="s">
        <v>96</v>
      </c>
      <c r="CT2" s="16" t="s">
        <v>97</v>
      </c>
      <c r="CU2" s="16" t="s">
        <v>98</v>
      </c>
      <c r="CV2" s="16" t="s">
        <v>99</v>
      </c>
      <c r="CW2" s="16" t="s">
        <v>100</v>
      </c>
      <c r="CX2" s="16" t="s">
        <v>101</v>
      </c>
      <c r="CY2" s="16" t="s">
        <v>102</v>
      </c>
      <c r="CZ2" s="16" t="s">
        <v>103</v>
      </c>
      <c r="DA2" s="16" t="s">
        <v>104</v>
      </c>
      <c r="DB2" s="16" t="s">
        <v>105</v>
      </c>
      <c r="DC2" s="16" t="s">
        <v>106</v>
      </c>
      <c r="DD2" s="16" t="s">
        <v>107</v>
      </c>
      <c r="DE2" s="16" t="s">
        <v>108</v>
      </c>
      <c r="DF2" s="16" t="s">
        <v>109</v>
      </c>
      <c r="DG2" s="16" t="s">
        <v>110</v>
      </c>
      <c r="DH2" s="16" t="s">
        <v>111</v>
      </c>
      <c r="DI2" s="16" t="s">
        <v>112</v>
      </c>
      <c r="DJ2" s="16" t="s">
        <v>113</v>
      </c>
      <c r="DK2" s="16" t="s">
        <v>114</v>
      </c>
      <c r="DL2" s="16" t="s">
        <v>115</v>
      </c>
      <c r="DM2" s="16" t="s">
        <v>116</v>
      </c>
      <c r="DN2" s="16" t="s">
        <v>117</v>
      </c>
      <c r="DO2" s="16" t="s">
        <v>118</v>
      </c>
      <c r="DP2" s="16" t="s">
        <v>119</v>
      </c>
      <c r="DQ2" s="16" t="s">
        <v>120</v>
      </c>
      <c r="DR2" s="16" t="s">
        <v>121</v>
      </c>
      <c r="DS2" s="16" t="s">
        <v>122</v>
      </c>
      <c r="DT2" s="16" t="s">
        <v>123</v>
      </c>
      <c r="DU2" s="16" t="s">
        <v>124</v>
      </c>
      <c r="DV2" s="16" t="s">
        <v>125</v>
      </c>
      <c r="DW2" s="16" t="s">
        <v>126</v>
      </c>
      <c r="DX2" s="16" t="s">
        <v>127</v>
      </c>
      <c r="DY2" s="16" t="s">
        <v>128</v>
      </c>
      <c r="DZ2" s="16" t="s">
        <v>129</v>
      </c>
      <c r="EA2" s="16" t="s">
        <v>130</v>
      </c>
      <c r="EB2" s="16" t="s">
        <v>131</v>
      </c>
      <c r="EC2" s="16" t="s">
        <v>132</v>
      </c>
      <c r="ED2" s="17" t="s">
        <v>133</v>
      </c>
      <c r="EE2" s="13" t="s">
        <v>134</v>
      </c>
      <c r="EF2" s="16" t="s">
        <v>135</v>
      </c>
    </row>
    <row r="3" spans="1:137" ht="16">
      <c r="A3" s="4"/>
      <c r="B3" s="6" t="s">
        <v>136</v>
      </c>
      <c r="C3" s="23">
        <v>0.109105830631824</v>
      </c>
      <c r="D3" s="23">
        <v>1.4576582608432649E-2</v>
      </c>
      <c r="E3" s="23">
        <v>-3.6154356576976902E-2</v>
      </c>
      <c r="F3" s="23">
        <v>-4.742600977062153E-3</v>
      </c>
      <c r="G3" s="23">
        <v>-5.7477531385562736E-3</v>
      </c>
      <c r="H3" s="23">
        <v>4.9378023156909527E-2</v>
      </c>
      <c r="I3" s="23">
        <v>0.18325176920476779</v>
      </c>
      <c r="J3" s="23">
        <v>0.1164863088741452</v>
      </c>
      <c r="K3" s="23">
        <v>-3.0594945598924051E-2</v>
      </c>
      <c r="L3" s="23">
        <v>1.9828051430277011E-2</v>
      </c>
      <c r="M3" s="23">
        <v>-2.0999006362740089E-2</v>
      </c>
      <c r="N3" s="23">
        <v>0.1497794247734946</v>
      </c>
      <c r="O3" s="23">
        <v>1.5463406170905081E-2</v>
      </c>
      <c r="P3" s="23">
        <v>-9.1792321477913982E-2</v>
      </c>
      <c r="Q3" s="23">
        <v>-7.7409013100986537E-2</v>
      </c>
      <c r="R3" s="23">
        <v>5.4776596014220982E-2</v>
      </c>
      <c r="S3" s="23">
        <v>-0.12533438670858049</v>
      </c>
      <c r="T3" s="23">
        <v>-0.1190534205538864</v>
      </c>
      <c r="U3" s="23">
        <v>-3.777005083138045E-2</v>
      </c>
      <c r="V3" s="23">
        <v>8.1183823152198617E-2</v>
      </c>
      <c r="W3" s="23">
        <v>8.4008967865119855E-2</v>
      </c>
      <c r="X3" s="23">
        <v>0.14701135657134901</v>
      </c>
      <c r="Y3" s="23">
        <v>-0.12536053701812139</v>
      </c>
      <c r="Z3" s="23">
        <v>0.1919535535452612</v>
      </c>
      <c r="AA3" s="23">
        <v>-8.4370782422902996E-2</v>
      </c>
      <c r="AB3" s="23">
        <v>7.2897613803716274E-2</v>
      </c>
      <c r="AC3" s="23">
        <v>0.10260456025692451</v>
      </c>
      <c r="AD3" s="23">
        <v>1.5770167253116588E-2</v>
      </c>
      <c r="AE3" s="23">
        <v>-0.15200716210156701</v>
      </c>
      <c r="AF3" s="23">
        <v>5.9250251506559243E-2</v>
      </c>
      <c r="AG3" s="23">
        <v>0.13005883770177931</v>
      </c>
      <c r="AH3" s="23">
        <v>0.11525639530312259</v>
      </c>
      <c r="AI3" s="23">
        <v>3.2606621901195412E-2</v>
      </c>
      <c r="AJ3" s="23">
        <v>2.79991148643382E-2</v>
      </c>
      <c r="AK3" s="23">
        <v>0.14657041796408479</v>
      </c>
      <c r="AL3" s="23">
        <v>4.0841921466891577E-2</v>
      </c>
      <c r="AM3" s="23">
        <v>0.13137636706820099</v>
      </c>
      <c r="AN3" s="23">
        <v>0.22143295930140211</v>
      </c>
      <c r="AO3" s="23">
        <v>-2.0941038924054418E-2</v>
      </c>
      <c r="AP3" s="23">
        <v>-0.13715995040864579</v>
      </c>
      <c r="AQ3" s="23">
        <v>-2.4882854865750599E-2</v>
      </c>
      <c r="AR3" s="23">
        <v>1.551397070984222E-2</v>
      </c>
      <c r="AS3" s="23">
        <v>3.4373036510765703E-2</v>
      </c>
      <c r="AT3" s="23">
        <v>6.3095686135752824E-2</v>
      </c>
      <c r="AU3" s="23">
        <v>4.3237695395113553E-2</v>
      </c>
      <c r="AV3" s="23">
        <v>-7.4230367380587331E-2</v>
      </c>
      <c r="AW3" s="23">
        <v>2.7994827208502701E-2</v>
      </c>
      <c r="AX3" s="23">
        <v>0.1198644178103629</v>
      </c>
      <c r="AY3" s="23">
        <v>7.6559571245744709E-2</v>
      </c>
      <c r="AZ3" s="23">
        <v>-2.1730386111293399E-2</v>
      </c>
      <c r="BA3" s="23">
        <v>-1.2464632784982711E-3</v>
      </c>
      <c r="BB3" s="23">
        <v>0.10099582217884891</v>
      </c>
      <c r="BC3" s="23">
        <v>2.9826929857085831E-2</v>
      </c>
      <c r="BD3" s="23">
        <v>8.6757683796749117E-3</v>
      </c>
      <c r="BE3" s="23">
        <v>6.8557206018591665E-2</v>
      </c>
      <c r="BF3" s="23">
        <v>0.15691259652648329</v>
      </c>
      <c r="BG3" s="23">
        <v>0.1592037331379933</v>
      </c>
      <c r="BH3" s="23">
        <v>6.1121667651573217E-2</v>
      </c>
      <c r="BI3" s="23">
        <v>9.6912851275401127E-2</v>
      </c>
      <c r="BJ3" s="23">
        <v>-5.4746248471514068E-2</v>
      </c>
      <c r="BK3" s="23">
        <v>-8.7492963132843785E-2</v>
      </c>
      <c r="BL3" s="23">
        <v>9.4426745861656128E-2</v>
      </c>
      <c r="BM3" s="23">
        <v>-2.2191058729398399E-2</v>
      </c>
      <c r="BN3" s="23">
        <v>1.562861243910833E-2</v>
      </c>
      <c r="BO3" s="23">
        <v>8.1418240100881306E-2</v>
      </c>
      <c r="BP3" s="23">
        <v>-1.8508942424783719E-2</v>
      </c>
      <c r="BQ3" s="23">
        <v>6.8729568027927734E-2</v>
      </c>
      <c r="BR3" s="23">
        <v>3.1023605185006549E-3</v>
      </c>
      <c r="BS3" s="23">
        <v>7.4964417651561921E-2</v>
      </c>
      <c r="BT3" s="23">
        <v>4.5201587698112312E-2</v>
      </c>
      <c r="BU3" s="23">
        <v>2.5677329398223779E-2</v>
      </c>
      <c r="BV3" s="23">
        <v>9.180403106274436E-2</v>
      </c>
      <c r="BW3" s="23">
        <v>-2.6353999034970911E-2</v>
      </c>
      <c r="BX3" s="23">
        <v>1.9394832235212069E-2</v>
      </c>
      <c r="BY3" s="23">
        <v>-7.6838899317359197E-2</v>
      </c>
      <c r="BZ3" s="23">
        <v>0.1133093139289441</v>
      </c>
      <c r="CA3" s="23">
        <v>-0.10735493495839039</v>
      </c>
      <c r="CB3" s="23">
        <v>4.0844788501696747E-2</v>
      </c>
      <c r="CC3" s="23">
        <v>-1.9801708972640539E-2</v>
      </c>
      <c r="CD3" s="23">
        <v>0.1883770899619405</v>
      </c>
      <c r="CE3" s="23">
        <v>5.5574905720929421E-2</v>
      </c>
      <c r="CF3" s="23">
        <v>7.4872074365934668E-2</v>
      </c>
      <c r="CG3" s="23">
        <v>0.1000001919024945</v>
      </c>
      <c r="CH3" s="23">
        <v>0.1360217220005796</v>
      </c>
      <c r="CI3" s="23">
        <v>-9.3741014702459921E-2</v>
      </c>
      <c r="CJ3" s="23">
        <v>3.9305991202356373E-3</v>
      </c>
      <c r="CK3" s="23">
        <v>5.6507776574398372E-2</v>
      </c>
      <c r="CL3" s="23">
        <v>0.26354577822564818</v>
      </c>
      <c r="CM3" s="23">
        <v>-9.5554349157474378E-3</v>
      </c>
      <c r="CN3" s="23">
        <v>-3.1511899508967982E-2</v>
      </c>
      <c r="CO3" s="23">
        <v>-2.2619031528730349E-2</v>
      </c>
      <c r="CP3" s="23">
        <v>0.13265560934539161</v>
      </c>
      <c r="CQ3" s="23">
        <v>0.1330727797426777</v>
      </c>
      <c r="CR3" s="23">
        <v>-1.4956408370414089E-2</v>
      </c>
      <c r="CS3" s="23">
        <v>-3.3419937997587537E-2</v>
      </c>
      <c r="CT3" s="23">
        <v>1.228120855821169E-2</v>
      </c>
      <c r="CU3" s="23">
        <v>0.11681498356736621</v>
      </c>
      <c r="CV3" s="23">
        <v>-3.1589453565969692E-3</v>
      </c>
      <c r="CW3" s="23">
        <v>3.8217758352757383E-2</v>
      </c>
      <c r="CX3" s="23">
        <v>0.13917409482071269</v>
      </c>
      <c r="CY3" s="23">
        <v>-2.3712287606589749E-2</v>
      </c>
      <c r="CZ3" s="23">
        <v>0.21835291106172269</v>
      </c>
      <c r="DA3" s="23">
        <v>-5.796736233046404E-2</v>
      </c>
      <c r="DB3" s="23">
        <v>-1.410421852050941E-2</v>
      </c>
      <c r="DC3" s="23">
        <v>0.11395608079284369</v>
      </c>
      <c r="DD3" s="23">
        <v>7.4472261891957006E-2</v>
      </c>
      <c r="DE3" s="23">
        <v>-8.9969275376677231E-4</v>
      </c>
      <c r="DF3" s="23">
        <v>9.7707180382245536E-4</v>
      </c>
      <c r="DG3" s="23">
        <v>-7.2980095070914866E-2</v>
      </c>
      <c r="DH3" s="23">
        <v>-2.384528684741952E-2</v>
      </c>
      <c r="DI3" s="23">
        <v>-0.101530671996864</v>
      </c>
      <c r="DJ3" s="23">
        <v>2.7692536462605249E-2</v>
      </c>
      <c r="DK3" s="23">
        <v>-4.9335152901351147E-2</v>
      </c>
      <c r="DL3" s="23">
        <v>-5.6993575669654463E-3</v>
      </c>
      <c r="DM3" s="23">
        <v>-3.698176006290884E-2</v>
      </c>
      <c r="DN3" s="23">
        <v>0.1098129862949979</v>
      </c>
      <c r="DO3" s="23">
        <v>4.2036825231170707E-2</v>
      </c>
      <c r="DP3" s="23">
        <v>8.4566668006112469E-2</v>
      </c>
      <c r="DQ3" s="23">
        <v>-0.11027981086457481</v>
      </c>
      <c r="DR3" s="23">
        <v>9.4328709127723676E-2</v>
      </c>
      <c r="DS3" s="23">
        <v>-7.1906912609422696E-2</v>
      </c>
      <c r="DT3" s="23">
        <v>-9.6236429507091506E-2</v>
      </c>
      <c r="DU3" s="23">
        <v>2.3455494098847921E-3</v>
      </c>
      <c r="DV3" s="23">
        <v>0.13401742358239299</v>
      </c>
      <c r="DW3" s="23">
        <v>9.4732519114383587E-2</v>
      </c>
      <c r="DX3" s="23">
        <v>-0.1037731978548066</v>
      </c>
      <c r="DY3" s="23">
        <v>7.5762154171076845E-2</v>
      </c>
      <c r="DZ3" s="23">
        <v>-3.1829720434029513E-2</v>
      </c>
      <c r="EA3" s="23">
        <v>0.16130801932992569</v>
      </c>
      <c r="EB3" s="23">
        <v>1.020353315832318E-2</v>
      </c>
      <c r="EC3" s="23">
        <v>7.3988425168607055E-2</v>
      </c>
      <c r="ED3" s="23">
        <v>-0.15737687498945321</v>
      </c>
      <c r="EE3" s="23">
        <v>7.9137553498671423E-2</v>
      </c>
      <c r="EF3" s="35">
        <v>-2.1049124928606201E-2</v>
      </c>
    </row>
    <row r="4" spans="1:137" ht="16">
      <c r="A4" s="4"/>
      <c r="B4" s="6" t="s">
        <v>137</v>
      </c>
      <c r="C4" s="29">
        <v>-0.24758870953733739</v>
      </c>
      <c r="D4" s="29">
        <v>-0.27469330301591988</v>
      </c>
      <c r="E4" s="29">
        <v>-8.4648385226775952E-2</v>
      </c>
      <c r="F4" s="29">
        <v>2.264463125499239E-2</v>
      </c>
      <c r="G4" s="29">
        <v>-4.968000079578011E-2</v>
      </c>
      <c r="H4" s="29">
        <v>-0.100759633161552</v>
      </c>
      <c r="I4" s="29">
        <v>-1.2522721374844691E-2</v>
      </c>
      <c r="J4" s="29">
        <v>7.8736550465264579E-2</v>
      </c>
      <c r="K4" s="29">
        <v>-3.418510024326199E-2</v>
      </c>
      <c r="L4" s="29">
        <v>8.8406797789969321E-2</v>
      </c>
      <c r="M4" s="29">
        <v>-3.063454560011507E-3</v>
      </c>
      <c r="N4" s="29">
        <v>-0.21221799304980321</v>
      </c>
      <c r="O4" s="29">
        <v>-3.6805388582279122E-2</v>
      </c>
      <c r="P4" s="29">
        <v>7.1033118877316462E-2</v>
      </c>
      <c r="Q4" s="29">
        <v>-7.1261132998910126E-2</v>
      </c>
      <c r="R4" s="29">
        <v>2.1560446706208151E-2</v>
      </c>
      <c r="S4" s="29">
        <v>0.10111125807516751</v>
      </c>
      <c r="T4" s="29">
        <v>4.3224739792793003E-2</v>
      </c>
      <c r="U4" s="29">
        <v>1.488194958969411E-2</v>
      </c>
      <c r="V4" s="29">
        <v>6.3260243037239986E-3</v>
      </c>
      <c r="W4" s="29">
        <v>-0.1435529784595129</v>
      </c>
      <c r="X4" s="29">
        <v>-6.4282172013507929E-2</v>
      </c>
      <c r="Y4" s="29">
        <v>-1.9034202878042191E-2</v>
      </c>
      <c r="Z4" s="29">
        <v>-2.0644556245472189E-2</v>
      </c>
      <c r="AA4" s="29">
        <v>3.3059540377865217E-2</v>
      </c>
      <c r="AB4" s="29">
        <v>-1.9418226776777941E-2</v>
      </c>
      <c r="AC4" s="29">
        <v>-6.3126838764061721E-2</v>
      </c>
      <c r="AD4" s="29">
        <v>-6.5629712146108229E-2</v>
      </c>
      <c r="AE4" s="29">
        <v>0.1379956892668254</v>
      </c>
      <c r="AF4" s="29">
        <v>-0.1005679184552228</v>
      </c>
      <c r="AG4" s="29">
        <v>-3.7969091150733998E-2</v>
      </c>
      <c r="AH4" s="29">
        <v>-4.5839537807496208E-2</v>
      </c>
      <c r="AI4" s="29">
        <v>-5.1034095516539722E-2</v>
      </c>
      <c r="AJ4" s="29">
        <v>-3.2204408877165632E-3</v>
      </c>
      <c r="AK4" s="29">
        <v>4.8952958975013116E-4</v>
      </c>
      <c r="AL4" s="29">
        <v>-0.1064467536119352</v>
      </c>
      <c r="AM4" s="29">
        <v>-1.3723973583554899E-2</v>
      </c>
      <c r="AN4" s="29">
        <v>-0.1219647076543238</v>
      </c>
      <c r="AO4" s="29">
        <v>-4.858966597382592E-2</v>
      </c>
      <c r="AP4" s="29">
        <v>-1.903150433663008E-3</v>
      </c>
      <c r="AQ4" s="29">
        <v>2.9067484813314101E-2</v>
      </c>
      <c r="AR4" s="29">
        <v>5.2635776863899968E-2</v>
      </c>
      <c r="AS4" s="29">
        <v>-1.289325857571229E-2</v>
      </c>
      <c r="AT4" s="29">
        <v>-2.131134772842519E-3</v>
      </c>
      <c r="AU4" s="29">
        <v>-0.15538438197178719</v>
      </c>
      <c r="AV4" s="29">
        <v>1.268178414302561E-2</v>
      </c>
      <c r="AW4" s="29">
        <v>-1.1942321618877561E-2</v>
      </c>
      <c r="AX4" s="29">
        <v>-4.2537914968475456E-3</v>
      </c>
      <c r="AY4" s="29">
        <v>2.930087158954232E-2</v>
      </c>
      <c r="AZ4" s="29">
        <v>-0.13412750113921701</v>
      </c>
      <c r="BA4" s="29">
        <v>-0.13711152966130111</v>
      </c>
      <c r="BB4" s="29">
        <v>1.7546605068716691E-3</v>
      </c>
      <c r="BC4" s="29">
        <v>2.5117126105990401E-2</v>
      </c>
      <c r="BD4" s="29">
        <v>-0.11960190660895841</v>
      </c>
      <c r="BE4" s="29">
        <v>0.1357616496399312</v>
      </c>
      <c r="BF4" s="29">
        <v>4.7091161676368357E-2</v>
      </c>
      <c r="BG4" s="29">
        <v>-2.605004393557599E-2</v>
      </c>
      <c r="BH4" s="29">
        <v>4.3752773670266483E-2</v>
      </c>
      <c r="BI4" s="29">
        <v>-8.1391827895093402E-2</v>
      </c>
      <c r="BJ4" s="29">
        <v>-0.10060082155953699</v>
      </c>
      <c r="BK4" s="29">
        <v>9.0490079041763594E-2</v>
      </c>
      <c r="BL4" s="29">
        <v>-3.0898458704964389E-2</v>
      </c>
      <c r="BM4" s="29">
        <v>5.8814186622603987E-2</v>
      </c>
      <c r="BN4" s="29">
        <v>8.1345639246770615E-2</v>
      </c>
      <c r="BO4" s="29">
        <v>-7.7164168976593351E-3</v>
      </c>
      <c r="BP4" s="29">
        <v>0.1067348704344353</v>
      </c>
      <c r="BQ4" s="29">
        <v>-2.7156341096342261E-2</v>
      </c>
      <c r="BR4" s="29">
        <v>-5.4431018659150447E-2</v>
      </c>
      <c r="BS4" s="29">
        <v>-6.822927751511014E-2</v>
      </c>
      <c r="BT4" s="29">
        <v>9.8612222991557266E-2</v>
      </c>
      <c r="BU4" s="29">
        <v>0.1283985422991091</v>
      </c>
      <c r="BV4" s="29">
        <v>-7.8402519476778718E-2</v>
      </c>
      <c r="BW4" s="29">
        <v>-0.1191337216524913</v>
      </c>
      <c r="BX4" s="29">
        <v>-4.6890096077604589E-2</v>
      </c>
      <c r="BY4" s="29">
        <v>0.10169834364209621</v>
      </c>
      <c r="BZ4" s="29">
        <v>-2.5680084240218899E-2</v>
      </c>
      <c r="CA4" s="29">
        <v>-8.3301790010408508E-2</v>
      </c>
      <c r="CB4" s="29">
        <v>-0.15782764847875469</v>
      </c>
      <c r="CC4" s="29">
        <v>-7.1052571704280934E-2</v>
      </c>
      <c r="CD4" s="29">
        <v>-7.3875492145199798E-2</v>
      </c>
      <c r="CE4" s="29">
        <v>-0.23678647002516851</v>
      </c>
      <c r="CF4" s="29">
        <v>3.2627706277002622E-2</v>
      </c>
      <c r="CG4" s="29">
        <v>1.3423084626575861E-2</v>
      </c>
      <c r="CH4" s="29">
        <v>-2.7966658799032269E-3</v>
      </c>
      <c r="CI4" s="29">
        <v>4.7925699911805238E-2</v>
      </c>
      <c r="CJ4" s="29">
        <v>-3.2520192681292038E-3</v>
      </c>
      <c r="CK4" s="29">
        <v>-7.570819035307215E-2</v>
      </c>
      <c r="CL4" s="29">
        <v>-4.439725585073561E-2</v>
      </c>
      <c r="CM4" s="29">
        <v>0.17898858319392719</v>
      </c>
      <c r="CN4" s="29">
        <v>5.799426642317386E-2</v>
      </c>
      <c r="CO4" s="29">
        <v>-0.13939018969183081</v>
      </c>
      <c r="CP4" s="29">
        <v>6.4714670503515537E-2</v>
      </c>
      <c r="CQ4" s="29">
        <v>-0.18118788880647541</v>
      </c>
      <c r="CR4" s="29">
        <v>-8.8633532328162568E-2</v>
      </c>
      <c r="CS4" s="29">
        <v>-2.532177470861038E-2</v>
      </c>
      <c r="CT4" s="29">
        <v>-0.11307907407472829</v>
      </c>
      <c r="CU4" s="29">
        <v>8.095957294189474E-3</v>
      </c>
      <c r="CV4" s="29">
        <v>-4.5200208394220349E-2</v>
      </c>
      <c r="CW4" s="29">
        <v>-5.8941225467328592E-2</v>
      </c>
      <c r="CX4" s="29">
        <v>-0.1077283016776811</v>
      </c>
      <c r="CY4" s="29">
        <v>-9.6503499496267492E-2</v>
      </c>
      <c r="CZ4" s="29">
        <v>-0.2103543453191653</v>
      </c>
      <c r="DA4" s="29">
        <v>-0.10996113735654101</v>
      </c>
      <c r="DB4" s="29">
        <v>-0.1908204716293295</v>
      </c>
      <c r="DC4" s="29">
        <v>-2.0727272402408872E-2</v>
      </c>
      <c r="DD4" s="29">
        <v>8.7029095351123936E-2</v>
      </c>
      <c r="DE4" s="29">
        <v>8.2024592921593045E-2</v>
      </c>
      <c r="DF4" s="29">
        <v>-0.166876664789437</v>
      </c>
      <c r="DG4" s="29">
        <v>0.22243808581717431</v>
      </c>
      <c r="DH4" s="29">
        <v>-0.144297746243673</v>
      </c>
      <c r="DI4" s="29">
        <v>-0.1196199522370443</v>
      </c>
      <c r="DJ4" s="29">
        <v>-0.10159274396951661</v>
      </c>
      <c r="DK4" s="29">
        <v>9.2855058740681395E-2</v>
      </c>
      <c r="DL4" s="29">
        <v>-4.2630490096108087E-2</v>
      </c>
      <c r="DM4" s="29">
        <v>8.2732072899953643E-2</v>
      </c>
      <c r="DN4" s="29">
        <v>-3.1049452465540091E-2</v>
      </c>
      <c r="DO4" s="29">
        <v>-9.8141990492640205E-2</v>
      </c>
      <c r="DP4" s="29">
        <v>-0.13058888143944061</v>
      </c>
      <c r="DQ4" s="29">
        <v>4.8655718251279387E-2</v>
      </c>
      <c r="DR4" s="29">
        <v>-3.9251909935401189E-2</v>
      </c>
      <c r="DS4" s="29">
        <v>-0.1610301993932845</v>
      </c>
      <c r="DT4" s="29">
        <v>-7.8883966483063367E-2</v>
      </c>
      <c r="DU4" s="29">
        <v>0.16407715854109439</v>
      </c>
      <c r="DV4" s="29">
        <v>7.5052515397744431E-3</v>
      </c>
      <c r="DW4" s="29">
        <v>-0.1016452501185193</v>
      </c>
      <c r="DX4" s="29">
        <v>-5.6040292492535823E-2</v>
      </c>
      <c r="DY4" s="29">
        <v>-0.1066566396478186</v>
      </c>
      <c r="DZ4" s="29">
        <v>-6.9186575508287662E-2</v>
      </c>
      <c r="EA4" s="29">
        <v>-0.12618865773840809</v>
      </c>
      <c r="EB4" s="29">
        <v>-6.4737118328050736E-2</v>
      </c>
      <c r="EC4" s="29">
        <v>5.142607344157852E-2</v>
      </c>
      <c r="ED4" s="30">
        <v>3.4496728436731378E-2</v>
      </c>
      <c r="EE4" s="25">
        <v>0.15767759835539891</v>
      </c>
      <c r="EF4" s="34">
        <v>0.24308193553486401</v>
      </c>
      <c r="EG4" s="19"/>
    </row>
    <row r="5" spans="1:137" ht="16">
      <c r="A5" s="4"/>
      <c r="B5" s="6" t="s">
        <v>138</v>
      </c>
      <c r="C5" s="25">
        <v>-5.4244781267602057E-2</v>
      </c>
      <c r="D5" s="25">
        <v>4.5377022463556939E-2</v>
      </c>
      <c r="E5" s="25">
        <v>-1.7752272607948309E-2</v>
      </c>
      <c r="F5" s="25">
        <v>-8.7687354470119203E-2</v>
      </c>
      <c r="G5" s="25">
        <v>0.1027592597916023</v>
      </c>
      <c r="H5" s="25">
        <v>2.5113717342445511E-3</v>
      </c>
      <c r="I5" s="25">
        <v>-1.8303552483615069E-2</v>
      </c>
      <c r="J5" s="25">
        <v>2.2110525104917209E-2</v>
      </c>
      <c r="K5" s="25">
        <v>7.7258045731841044E-2</v>
      </c>
      <c r="L5" s="25">
        <v>9.3440783982297517E-3</v>
      </c>
      <c r="M5" s="25">
        <v>5.3602181204841143E-2</v>
      </c>
      <c r="N5" s="25">
        <v>-6.7877357290963961E-2</v>
      </c>
      <c r="O5" s="25">
        <v>6.4929886491987929E-2</v>
      </c>
      <c r="P5" s="25">
        <v>4.8806817542238106E-3</v>
      </c>
      <c r="Q5" s="25">
        <v>1.919781824762783E-2</v>
      </c>
      <c r="R5" s="25">
        <v>-5.4653492448842392E-3</v>
      </c>
      <c r="S5" s="25">
        <v>3.6551467134004201E-2</v>
      </c>
      <c r="T5" s="25">
        <v>0.12918506866843241</v>
      </c>
      <c r="U5" s="25">
        <v>1.369240766293847E-2</v>
      </c>
      <c r="V5" s="25">
        <v>1.529525194063162E-2</v>
      </c>
      <c r="W5" s="25">
        <v>-0.10468571910271469</v>
      </c>
      <c r="X5" s="25">
        <v>-0.29384805056845642</v>
      </c>
      <c r="Y5" s="25">
        <v>5.9212485033458218E-2</v>
      </c>
      <c r="Z5" s="25">
        <v>-0.18494831245363619</v>
      </c>
      <c r="AA5" s="25">
        <v>9.8247438772127521E-2</v>
      </c>
      <c r="AB5" s="25">
        <v>-6.5734107189282197E-4</v>
      </c>
      <c r="AC5" s="25">
        <v>-0.1036861156532312</v>
      </c>
      <c r="AD5" s="25">
        <v>3.5450938075395509E-3</v>
      </c>
      <c r="AE5" s="25">
        <v>0.17560148677061019</v>
      </c>
      <c r="AF5" s="25">
        <v>-0.1550331010885124</v>
      </c>
      <c r="AG5" s="25">
        <v>-2.6328625232284051E-2</v>
      </c>
      <c r="AH5" s="25">
        <v>-4.9988101579694936E-3</v>
      </c>
      <c r="AI5" s="25">
        <v>2.8067714594873169E-2</v>
      </c>
      <c r="AJ5" s="25">
        <v>-2.2384193940381401E-2</v>
      </c>
      <c r="AK5" s="25">
        <v>-4.7020825392250949E-2</v>
      </c>
      <c r="AL5" s="25">
        <v>-0.10156151199043489</v>
      </c>
      <c r="AM5" s="25">
        <v>2.3525148704495701E-2</v>
      </c>
      <c r="AN5" s="25">
        <v>5.2525230105422573E-2</v>
      </c>
      <c r="AO5" s="25">
        <v>5.8502893637957562E-2</v>
      </c>
      <c r="AP5" s="25">
        <v>3.3447356041428761E-2</v>
      </c>
      <c r="AQ5" s="25">
        <v>1.430036545094069E-2</v>
      </c>
      <c r="AR5" s="25">
        <v>3.5903594729592501E-2</v>
      </c>
      <c r="AS5" s="25">
        <v>3.9782285287992311E-2</v>
      </c>
      <c r="AT5" s="25">
        <v>0.1484561956282951</v>
      </c>
      <c r="AU5" s="25">
        <v>-4.078729487218978E-2</v>
      </c>
      <c r="AV5" s="25">
        <v>0.13895895413073689</v>
      </c>
      <c r="AW5" s="25">
        <v>5.9863283397122782E-2</v>
      </c>
      <c r="AX5" s="25">
        <v>-0.1497898129881709</v>
      </c>
      <c r="AY5" s="25">
        <v>6.1595851435820623E-2</v>
      </c>
      <c r="AZ5" s="25">
        <v>-6.1949751488506538E-2</v>
      </c>
      <c r="BA5" s="25">
        <v>-2.389264381020083E-3</v>
      </c>
      <c r="BB5" s="25">
        <v>-0.14887029613688371</v>
      </c>
      <c r="BC5" s="25">
        <v>6.0350517971681748E-2</v>
      </c>
      <c r="BD5" s="25">
        <v>-1.468575255625916E-2</v>
      </c>
      <c r="BE5" s="25">
        <v>-0.14651529968819679</v>
      </c>
      <c r="BF5" s="25">
        <v>-0.2087626486148127</v>
      </c>
      <c r="BG5" s="25">
        <v>-0.20144325578474859</v>
      </c>
      <c r="BH5" s="25">
        <v>-0.11804991677814031</v>
      </c>
      <c r="BI5" s="25">
        <v>-7.7026576071686378E-2</v>
      </c>
      <c r="BJ5" s="25">
        <v>-3.6220317042829728E-2</v>
      </c>
      <c r="BK5" s="25">
        <v>-1.8907268725092598E-2</v>
      </c>
      <c r="BL5" s="25">
        <v>-0.17125563757433929</v>
      </c>
      <c r="BM5" s="25">
        <v>0.13291749710961351</v>
      </c>
      <c r="BN5" s="25">
        <v>-3.5907701607395578E-2</v>
      </c>
      <c r="BO5" s="25">
        <v>2.1344518209370389E-2</v>
      </c>
      <c r="BP5" s="25">
        <v>4.9634822871427897E-2</v>
      </c>
      <c r="BQ5" s="25">
        <v>-1.7211216417584319E-2</v>
      </c>
      <c r="BR5" s="25">
        <v>0.18982724311105359</v>
      </c>
      <c r="BS5" s="25">
        <v>-9.7605037382284945E-2</v>
      </c>
      <c r="BT5" s="25">
        <v>3.7831444138355132E-2</v>
      </c>
      <c r="BU5" s="25">
        <v>5.6008305208474198E-2</v>
      </c>
      <c r="BV5" s="25">
        <v>-0.1167370363031352</v>
      </c>
      <c r="BW5" s="25">
        <v>-0.1413229882478122</v>
      </c>
      <c r="BX5" s="25">
        <v>-3.3770258788579869E-3</v>
      </c>
      <c r="BY5" s="25">
        <v>0.13033606071126891</v>
      </c>
      <c r="BZ5" s="25">
        <v>3.1697731081681189E-2</v>
      </c>
      <c r="CA5" s="25">
        <v>4.0555037474470507E-2</v>
      </c>
      <c r="CB5" s="25">
        <v>-4.2037331365292897E-2</v>
      </c>
      <c r="CC5" s="25">
        <v>5.0013723389441531E-2</v>
      </c>
      <c r="CD5" s="25">
        <v>-6.8456279312897411E-2</v>
      </c>
      <c r="CE5" s="25">
        <v>-8.0832090081974353E-2</v>
      </c>
      <c r="CF5" s="25">
        <v>-1.948310790200239E-3</v>
      </c>
      <c r="CG5" s="25">
        <v>-0.1182090018050031</v>
      </c>
      <c r="CH5" s="25">
        <v>-3.67198859644461E-2</v>
      </c>
      <c r="CI5" s="25">
        <v>-8.3332793120616616E-2</v>
      </c>
      <c r="CJ5" s="25">
        <v>0.23067286701975129</v>
      </c>
      <c r="CK5" s="25">
        <v>0.1327785225954993</v>
      </c>
      <c r="CL5" s="25">
        <v>0.1412873189704931</v>
      </c>
      <c r="CM5" s="25">
        <v>-0.11268938730850959</v>
      </c>
      <c r="CN5" s="25">
        <v>0.22348855763592371</v>
      </c>
      <c r="CO5" s="25">
        <v>-0.10441916957268479</v>
      </c>
      <c r="CP5" s="25">
        <v>-1.442822447791231E-2</v>
      </c>
      <c r="CQ5" s="25">
        <v>-0.20723337326778599</v>
      </c>
      <c r="CR5" s="25">
        <v>-0.1348638695123113</v>
      </c>
      <c r="CS5" s="25">
        <v>7.3007738807373504E-2</v>
      </c>
      <c r="CT5" s="25">
        <v>-3.0218378407130288E-2</v>
      </c>
      <c r="CU5" s="25">
        <v>-0.28688917437274702</v>
      </c>
      <c r="CV5" s="25">
        <v>0.2307305381875536</v>
      </c>
      <c r="CW5" s="25">
        <v>9.1075698514216888E-2</v>
      </c>
      <c r="CX5" s="25">
        <v>-0.1224857321642277</v>
      </c>
      <c r="CY5" s="25">
        <v>7.8381925305362449E-2</v>
      </c>
      <c r="CZ5" s="25">
        <v>-4.5950103566863888E-2</v>
      </c>
      <c r="DA5" s="25">
        <v>8.2670164530151122E-2</v>
      </c>
      <c r="DB5" s="25">
        <v>0.14934927010032351</v>
      </c>
      <c r="DC5" s="25">
        <v>-4.7798705164587528E-2</v>
      </c>
      <c r="DD5" s="25">
        <v>-0.1645134604307108</v>
      </c>
      <c r="DE5" s="25">
        <v>-0.1105683533423189</v>
      </c>
      <c r="DF5" s="25">
        <v>5.7416867202733347E-2</v>
      </c>
      <c r="DG5" s="25">
        <v>-0.21489021548963169</v>
      </c>
      <c r="DH5" s="25">
        <v>6.2997155047871164E-2</v>
      </c>
      <c r="DI5" s="25">
        <v>6.7721109014009601E-2</v>
      </c>
      <c r="DJ5" s="25">
        <v>0.1188020770386063</v>
      </c>
      <c r="DK5" s="25">
        <v>7.2827306455158416E-3</v>
      </c>
      <c r="DL5" s="25">
        <v>7.1320599005857979E-2</v>
      </c>
      <c r="DM5" s="25">
        <v>2.1021900655620821E-2</v>
      </c>
      <c r="DN5" s="25">
        <v>-3.0403223939335849E-2</v>
      </c>
      <c r="DO5" s="25">
        <v>-9.694965661135331E-2</v>
      </c>
      <c r="DP5" s="25">
        <v>-0.23067649178859881</v>
      </c>
      <c r="DQ5" s="25">
        <v>0.238184312236043</v>
      </c>
      <c r="DR5" s="25">
        <v>3.5748752036958448E-3</v>
      </c>
      <c r="DS5" s="25">
        <v>0.13395561672683809</v>
      </c>
      <c r="DT5" s="25">
        <v>0.11510609642796051</v>
      </c>
      <c r="DU5" s="25">
        <v>0.1040797891887878</v>
      </c>
      <c r="DV5" s="25">
        <v>-5.4611063064875308E-2</v>
      </c>
      <c r="DW5" s="25">
        <v>-3.3290193961398547E-2</v>
      </c>
      <c r="DX5" s="25">
        <v>5.5094916778075383E-2</v>
      </c>
      <c r="DY5" s="25">
        <v>6.8793773385234666E-2</v>
      </c>
      <c r="DZ5" s="25">
        <v>1.4480773118257949E-2</v>
      </c>
      <c r="EA5" s="25">
        <v>-0.29313654086030699</v>
      </c>
      <c r="EB5" s="25">
        <v>-0.14097501940218221</v>
      </c>
      <c r="EC5" s="25">
        <v>-1.2209361583162239E-2</v>
      </c>
      <c r="ED5" s="31">
        <v>5.816768758959897E-2</v>
      </c>
      <c r="EE5" s="25">
        <v>-0.14440301349005499</v>
      </c>
      <c r="EF5" s="36">
        <v>6.7710153809902298E-3</v>
      </c>
    </row>
    <row r="6" spans="1:137" ht="16">
      <c r="A6" s="73" t="s">
        <v>139</v>
      </c>
      <c r="B6" s="74"/>
      <c r="C6" s="25">
        <f t="array" ref="C6">MATCH(MAX(ABS(C3:C5)), ABS(C3:C5), 0)</f>
        <v>2</v>
      </c>
      <c r="D6" s="25">
        <f t="array" ref="D6">MATCH(MAX(ABS(D3:D5)), ABS(D3:D5), 0)</f>
        <v>2</v>
      </c>
      <c r="E6" s="25">
        <f t="array" ref="E6">MATCH(MAX(ABS(E3:E5)), ABS(E3:E5), 0)</f>
        <v>2</v>
      </c>
      <c r="F6" s="25">
        <f t="array" ref="F6">MATCH(MAX(ABS(F3:F5)), ABS(F3:F5), 0)</f>
        <v>3</v>
      </c>
      <c r="G6" s="25">
        <f t="array" ref="G6">MATCH(MAX(ABS(G3:G5)), ABS(G3:G5), 0)</f>
        <v>3</v>
      </c>
      <c r="H6" s="25">
        <f t="array" ref="H6">MATCH(MAX(ABS(H3:H5)), ABS(H3:H5), 0)</f>
        <v>2</v>
      </c>
      <c r="I6" s="25">
        <f t="array" ref="I6">MATCH(MAX(ABS(I3:I5)), ABS(I3:I5), 0)</f>
        <v>1</v>
      </c>
      <c r="J6" s="25">
        <f t="array" ref="J6">MATCH(MAX(ABS(J3:J5)), ABS(J3:J5), 0)</f>
        <v>1</v>
      </c>
      <c r="K6" s="25">
        <f t="array" ref="K6">MATCH(MAX(ABS(K3:K5)), ABS(K3:K5), 0)</f>
        <v>3</v>
      </c>
      <c r="L6" s="25">
        <f t="array" ref="L6">MATCH(MAX(ABS(L3:L5)), ABS(L3:L5), 0)</f>
        <v>2</v>
      </c>
      <c r="M6" s="25">
        <f t="array" ref="M6">MATCH(MAX(ABS(M3:M5)), ABS(M3:M5), 0)</f>
        <v>3</v>
      </c>
      <c r="N6" s="25">
        <f t="array" ref="N6">MATCH(MAX(ABS(N3:N5)), ABS(N3:N5), 0)</f>
        <v>2</v>
      </c>
      <c r="O6" s="25">
        <f t="array" ref="O6">MATCH(MAX(ABS(O3:O5)), ABS(O3:O5), 0)</f>
        <v>3</v>
      </c>
      <c r="P6" s="25">
        <f t="array" ref="P6">MATCH(MAX(ABS(P3:P5)), ABS(P3:P5), 0)</f>
        <v>1</v>
      </c>
      <c r="Q6" s="25">
        <f t="array" ref="Q6">MATCH(MAX(ABS(Q3:Q5)), ABS(Q3:Q5), 0)</f>
        <v>1</v>
      </c>
      <c r="R6" s="25">
        <f t="array" ref="R6">MATCH(MAX(ABS(R3:R5)), ABS(R3:R5), 0)</f>
        <v>1</v>
      </c>
      <c r="S6" s="25">
        <f t="array" ref="S6">MATCH(MAX(ABS(S3:S5)), ABS(S3:S5), 0)</f>
        <v>1</v>
      </c>
      <c r="T6" s="25">
        <f t="array" ref="T6">MATCH(MAX(ABS(T3:T5)), ABS(T3:T5), 0)</f>
        <v>3</v>
      </c>
      <c r="U6" s="25">
        <f t="array" ref="U6">MATCH(MAX(ABS(U3:U5)), ABS(U3:U5), 0)</f>
        <v>1</v>
      </c>
      <c r="V6" s="25">
        <f t="array" ref="V6">MATCH(MAX(ABS(V3:V5)), ABS(V3:V5), 0)</f>
        <v>1</v>
      </c>
      <c r="W6" s="25">
        <f t="array" ref="W6">MATCH(MAX(ABS(W3:W5)), ABS(W3:W5), 0)</f>
        <v>2</v>
      </c>
      <c r="X6" s="25">
        <f t="array" ref="X6">MATCH(MAX(ABS(X3:X5)), ABS(X3:X5), 0)</f>
        <v>3</v>
      </c>
      <c r="Y6" s="25">
        <f t="array" ref="Y6">MATCH(MAX(ABS(Y3:Y5)), ABS(Y3:Y5), 0)</f>
        <v>1</v>
      </c>
      <c r="Z6" s="25">
        <f t="array" ref="Z6">MATCH(MAX(ABS(Z3:Z5)), ABS(Z3:Z5), 0)</f>
        <v>1</v>
      </c>
      <c r="AA6" s="25">
        <f t="array" ref="AA6">MATCH(MAX(ABS(AA3:AA5)), ABS(AA3:AA5), 0)</f>
        <v>3</v>
      </c>
      <c r="AB6" s="25">
        <f t="array" ref="AB6">MATCH(MAX(ABS(AB3:AB5)), ABS(AB3:AB5), 0)</f>
        <v>1</v>
      </c>
      <c r="AC6" s="25">
        <f t="array" ref="AC6">MATCH(MAX(ABS(AC3:AC5)), ABS(AC3:AC5), 0)</f>
        <v>3</v>
      </c>
      <c r="AD6" s="25">
        <f t="array" ref="AD6">MATCH(MAX(ABS(AD3:AD5)), ABS(AD3:AD5), 0)</f>
        <v>2</v>
      </c>
      <c r="AE6" s="25">
        <f t="array" ref="AE6">MATCH(MAX(ABS(AE3:AE5)), ABS(AE3:AE5), 0)</f>
        <v>3</v>
      </c>
      <c r="AF6" s="25">
        <f t="array" ref="AF6">MATCH(MAX(ABS(AF3:AF5)), ABS(AF3:AF5), 0)</f>
        <v>3</v>
      </c>
      <c r="AG6" s="25">
        <f t="array" ref="AG6">MATCH(MAX(ABS(AG3:AG5)), ABS(AG3:AG5), 0)</f>
        <v>1</v>
      </c>
      <c r="AH6" s="25">
        <f t="array" ref="AH6">MATCH(MAX(ABS(AH3:AH5)), ABS(AH3:AH5), 0)</f>
        <v>1</v>
      </c>
      <c r="AI6" s="25">
        <f t="array" ref="AI6">MATCH(MAX(ABS(AI3:AI5)), ABS(AI3:AI5), 0)</f>
        <v>2</v>
      </c>
      <c r="AJ6" s="25">
        <f t="array" ref="AJ6">MATCH(MAX(ABS(AJ3:AJ5)), ABS(AJ3:AJ5), 0)</f>
        <v>1</v>
      </c>
      <c r="AK6" s="25">
        <f t="array" ref="AK6">MATCH(MAX(ABS(AK3:AK5)), ABS(AK3:AK5), 0)</f>
        <v>1</v>
      </c>
      <c r="AL6" s="25">
        <f t="array" ref="AL6">MATCH(MAX(ABS(AL3:AL5)), ABS(AL3:AL5), 0)</f>
        <v>2</v>
      </c>
      <c r="AM6" s="25">
        <f t="array" ref="AM6">MATCH(MAX(ABS(AM3:AM5)), ABS(AM3:AM5), 0)</f>
        <v>1</v>
      </c>
      <c r="AN6" s="25">
        <f t="array" ref="AN6">MATCH(MAX(ABS(AN3:AN5)), ABS(AN3:AN5), 0)</f>
        <v>1</v>
      </c>
      <c r="AO6" s="25">
        <f t="array" ref="AO6">MATCH(MAX(ABS(AO3:AO5)), ABS(AO3:AO5), 0)</f>
        <v>3</v>
      </c>
      <c r="AP6" s="25">
        <f t="array" ref="AP6">MATCH(MAX(ABS(AP3:AP5)), ABS(AP3:AP5), 0)</f>
        <v>1</v>
      </c>
      <c r="AQ6" s="25">
        <f t="array" ref="AQ6">MATCH(MAX(ABS(AQ3:AQ5)), ABS(AQ3:AQ5), 0)</f>
        <v>2</v>
      </c>
      <c r="AR6" s="25">
        <f t="array" ref="AR6">MATCH(MAX(ABS(AR3:AR5)), ABS(AR3:AR5), 0)</f>
        <v>2</v>
      </c>
      <c r="AS6" s="25">
        <f t="array" ref="AS6">MATCH(MAX(ABS(AS3:AS5)), ABS(AS3:AS5), 0)</f>
        <v>3</v>
      </c>
      <c r="AT6" s="25">
        <f t="array" ref="AT6">MATCH(MAX(ABS(AT3:AT5)), ABS(AT3:AT5), 0)</f>
        <v>3</v>
      </c>
      <c r="AU6" s="25">
        <f t="array" ref="AU6">MATCH(MAX(ABS(AU3:AU5)), ABS(AU3:AU5), 0)</f>
        <v>2</v>
      </c>
      <c r="AV6" s="25">
        <f t="array" ref="AV6">MATCH(MAX(ABS(AV3:AV5)), ABS(AV3:AV5), 0)</f>
        <v>3</v>
      </c>
      <c r="AW6" s="25">
        <f t="array" ref="AW6">MATCH(MAX(ABS(AW3:AW5)), ABS(AW3:AW5), 0)</f>
        <v>3</v>
      </c>
      <c r="AX6" s="25">
        <f t="array" ref="AX6">MATCH(MAX(ABS(AX3:AX5)), ABS(AX3:AX5), 0)</f>
        <v>3</v>
      </c>
      <c r="AY6" s="25">
        <f t="array" ref="AY6">MATCH(MAX(ABS(AY3:AY5)), ABS(AY3:AY5), 0)</f>
        <v>1</v>
      </c>
      <c r="AZ6" s="25">
        <f t="array" ref="AZ6">MATCH(MAX(ABS(AZ3:AZ5)), ABS(AZ3:AZ5), 0)</f>
        <v>2</v>
      </c>
      <c r="BA6" s="25">
        <f t="array" ref="BA6">MATCH(MAX(ABS(BA3:BA5)), ABS(BA3:BA5), 0)</f>
        <v>2</v>
      </c>
      <c r="BB6" s="25">
        <f t="array" ref="BB6">MATCH(MAX(ABS(BB3:BB5)), ABS(BB3:BB5), 0)</f>
        <v>3</v>
      </c>
      <c r="BC6" s="25">
        <f t="array" ref="BC6">MATCH(MAX(ABS(BC3:BC5)), ABS(BC3:BC5), 0)</f>
        <v>3</v>
      </c>
      <c r="BD6" s="25">
        <f t="array" ref="BD6">MATCH(MAX(ABS(BD3:BD5)), ABS(BD3:BD5), 0)</f>
        <v>2</v>
      </c>
      <c r="BE6" s="25">
        <f t="array" ref="BE6">MATCH(MAX(ABS(BE3:BE5)), ABS(BE3:BE5), 0)</f>
        <v>3</v>
      </c>
      <c r="BF6" s="25">
        <f t="array" ref="BF6">MATCH(MAX(ABS(BF3:BF5)), ABS(BF3:BF5), 0)</f>
        <v>3</v>
      </c>
      <c r="BG6" s="25">
        <f t="array" ref="BG6">MATCH(MAX(ABS(BG3:BG5)), ABS(BG3:BG5), 0)</f>
        <v>3</v>
      </c>
      <c r="BH6" s="25">
        <f t="array" ref="BH6">MATCH(MAX(ABS(BH3:BH5)), ABS(BH3:BH5), 0)</f>
        <v>3</v>
      </c>
      <c r="BI6" s="25">
        <f t="array" ref="BI6">MATCH(MAX(ABS(BI3:BI5)), ABS(BI3:BI5), 0)</f>
        <v>1</v>
      </c>
      <c r="BJ6" s="25">
        <f t="array" ref="BJ6">MATCH(MAX(ABS(BJ3:BJ5)), ABS(BJ3:BJ5), 0)</f>
        <v>2</v>
      </c>
      <c r="BK6" s="25">
        <f t="array" ref="BK6">MATCH(MAX(ABS(BK3:BK5)), ABS(BK3:BK5), 0)</f>
        <v>2</v>
      </c>
      <c r="BL6" s="25">
        <f t="array" ref="BL6">MATCH(MAX(ABS(BL3:BL5)), ABS(BL3:BL5), 0)</f>
        <v>3</v>
      </c>
      <c r="BM6" s="25">
        <f t="array" ref="BM6">MATCH(MAX(ABS(BM3:BM5)), ABS(BM3:BM5), 0)</f>
        <v>3</v>
      </c>
      <c r="BN6" s="25">
        <f t="array" ref="BN6">MATCH(MAX(ABS(BN3:BN5)), ABS(BN3:BN5), 0)</f>
        <v>2</v>
      </c>
      <c r="BO6" s="25">
        <f t="array" ref="BO6">MATCH(MAX(ABS(BO3:BO5)), ABS(BO3:BO5), 0)</f>
        <v>1</v>
      </c>
      <c r="BP6" s="25">
        <f t="array" ref="BP6">MATCH(MAX(ABS(BP3:BP5)), ABS(BP3:BP5), 0)</f>
        <v>2</v>
      </c>
      <c r="BQ6" s="25">
        <f t="array" ref="BQ6">MATCH(MAX(ABS(BQ3:BQ5)), ABS(BQ3:BQ5), 0)</f>
        <v>1</v>
      </c>
      <c r="BR6" s="25">
        <f t="array" ref="BR6">MATCH(MAX(ABS(BR3:BR5)), ABS(BR3:BR5), 0)</f>
        <v>3</v>
      </c>
      <c r="BS6" s="25">
        <f t="array" ref="BS6">MATCH(MAX(ABS(BS3:BS5)), ABS(BS3:BS5), 0)</f>
        <v>3</v>
      </c>
      <c r="BT6" s="25">
        <f t="array" ref="BT6">MATCH(MAX(ABS(BT3:BT5)), ABS(BT3:BT5), 0)</f>
        <v>2</v>
      </c>
      <c r="BU6" s="25">
        <f t="array" ref="BU6">MATCH(MAX(ABS(BU3:BU5)), ABS(BU3:BU5), 0)</f>
        <v>2</v>
      </c>
      <c r="BV6" s="25">
        <f t="array" ref="BV6">MATCH(MAX(ABS(BV3:BV5)), ABS(BV3:BV5), 0)</f>
        <v>3</v>
      </c>
      <c r="BW6" s="25">
        <f t="array" ref="BW6">MATCH(MAX(ABS(BW3:BW5)), ABS(BW3:BW5), 0)</f>
        <v>3</v>
      </c>
      <c r="BX6" s="25">
        <f t="array" ref="BX6">MATCH(MAX(ABS(BX3:BX5)), ABS(BX3:BX5), 0)</f>
        <v>2</v>
      </c>
      <c r="BY6" s="25">
        <f t="array" ref="BY6">MATCH(MAX(ABS(BY3:BY5)), ABS(BY3:BY5), 0)</f>
        <v>3</v>
      </c>
      <c r="BZ6" s="25">
        <f t="array" ref="BZ6">MATCH(MAX(ABS(BZ3:BZ5)), ABS(BZ3:BZ5), 0)</f>
        <v>1</v>
      </c>
      <c r="CA6" s="25">
        <f t="array" ref="CA6">MATCH(MAX(ABS(CA3:CA5)), ABS(CA3:CA5), 0)</f>
        <v>1</v>
      </c>
      <c r="CB6" s="25">
        <f t="array" ref="CB6">MATCH(MAX(ABS(CB3:CB5)), ABS(CB3:CB5), 0)</f>
        <v>2</v>
      </c>
      <c r="CC6" s="25">
        <f t="array" ref="CC6">MATCH(MAX(ABS(CC3:CC5)), ABS(CC3:CC5), 0)</f>
        <v>2</v>
      </c>
      <c r="CD6" s="25">
        <f t="array" ref="CD6">MATCH(MAX(ABS(CD3:CD5)), ABS(CD3:CD5), 0)</f>
        <v>1</v>
      </c>
      <c r="CE6" s="25">
        <f t="array" ref="CE6">MATCH(MAX(ABS(CE3:CE5)), ABS(CE3:CE5), 0)</f>
        <v>2</v>
      </c>
      <c r="CF6" s="25">
        <f t="array" ref="CF6">MATCH(MAX(ABS(CF3:CF5)), ABS(CF3:CF5), 0)</f>
        <v>1</v>
      </c>
      <c r="CG6" s="25">
        <f t="array" ref="CG6">MATCH(MAX(ABS(CG3:CG5)), ABS(CG3:CG5), 0)</f>
        <v>3</v>
      </c>
      <c r="CH6" s="25">
        <f t="array" ref="CH6">MATCH(MAX(ABS(CH3:CH5)), ABS(CH3:CH5), 0)</f>
        <v>1</v>
      </c>
      <c r="CI6" s="25">
        <f t="array" ref="CI6">MATCH(MAX(ABS(CI3:CI5)), ABS(CI3:CI5), 0)</f>
        <v>1</v>
      </c>
      <c r="CJ6" s="25">
        <f t="array" ref="CJ6">MATCH(MAX(ABS(CJ3:CJ5)), ABS(CJ3:CJ5), 0)</f>
        <v>3</v>
      </c>
      <c r="CK6" s="25">
        <f t="array" ref="CK6">MATCH(MAX(ABS(CK3:CK5)), ABS(CK3:CK5), 0)</f>
        <v>3</v>
      </c>
      <c r="CL6" s="25">
        <f t="array" ref="CL6">MATCH(MAX(ABS(CL3:CL5)), ABS(CL3:CL5), 0)</f>
        <v>1</v>
      </c>
      <c r="CM6" s="25">
        <f t="array" ref="CM6">MATCH(MAX(ABS(CM3:CM5)), ABS(CM3:CM5), 0)</f>
        <v>2</v>
      </c>
      <c r="CN6" s="25">
        <f t="array" ref="CN6">MATCH(MAX(ABS(CN3:CN5)), ABS(CN3:CN5), 0)</f>
        <v>3</v>
      </c>
      <c r="CO6" s="25">
        <f t="array" ref="CO6">MATCH(MAX(ABS(CO3:CO5)), ABS(CO3:CO5), 0)</f>
        <v>2</v>
      </c>
      <c r="CP6" s="25">
        <f t="array" ref="CP6">MATCH(MAX(ABS(CP3:CP5)), ABS(CP3:CP5), 0)</f>
        <v>1</v>
      </c>
      <c r="CQ6" s="25">
        <f t="array" ref="CQ6">MATCH(MAX(ABS(CQ3:CQ5)), ABS(CQ3:CQ5), 0)</f>
        <v>3</v>
      </c>
      <c r="CR6" s="25">
        <f t="array" ref="CR6">MATCH(MAX(ABS(CR3:CR5)), ABS(CR3:CR5), 0)</f>
        <v>3</v>
      </c>
      <c r="CS6" s="25">
        <f t="array" ref="CS6">MATCH(MAX(ABS(CS3:CS5)), ABS(CS3:CS5), 0)</f>
        <v>3</v>
      </c>
      <c r="CT6" s="25">
        <f t="array" ref="CT6">MATCH(MAX(ABS(CT3:CT5)), ABS(CT3:CT5), 0)</f>
        <v>2</v>
      </c>
      <c r="CU6" s="25">
        <f t="array" ref="CU6">MATCH(MAX(ABS(CU3:CU5)), ABS(CU3:CU5), 0)</f>
        <v>3</v>
      </c>
      <c r="CV6" s="25">
        <f t="array" ref="CV6">MATCH(MAX(ABS(CV3:CV5)), ABS(CV3:CV5), 0)</f>
        <v>3</v>
      </c>
      <c r="CW6" s="25">
        <f t="array" ref="CW6">MATCH(MAX(ABS(CW3:CW5)), ABS(CW3:CW5), 0)</f>
        <v>3</v>
      </c>
      <c r="CX6" s="25">
        <f t="array" ref="CX6">MATCH(MAX(ABS(CX3:CX5)), ABS(CX3:CX5), 0)</f>
        <v>1</v>
      </c>
      <c r="CY6" s="25">
        <f t="array" ref="CY6">MATCH(MAX(ABS(CY3:CY5)), ABS(CY3:CY5), 0)</f>
        <v>2</v>
      </c>
      <c r="CZ6" s="25">
        <f t="array" ref="CZ6">MATCH(MAX(ABS(CZ3:CZ5)), ABS(CZ3:CZ5), 0)</f>
        <v>1</v>
      </c>
      <c r="DA6" s="25">
        <f t="array" ref="DA6">MATCH(MAX(ABS(DA3:DA5)), ABS(DA3:DA5), 0)</f>
        <v>2</v>
      </c>
      <c r="DB6" s="25">
        <f t="array" ref="DB6">MATCH(MAX(ABS(DB3:DB5)), ABS(DB3:DB5), 0)</f>
        <v>2</v>
      </c>
      <c r="DC6" s="25">
        <f t="array" ref="DC6">MATCH(MAX(ABS(DC3:DC5)), ABS(DC3:DC5), 0)</f>
        <v>1</v>
      </c>
      <c r="DD6" s="25">
        <f t="array" ref="DD6">MATCH(MAX(ABS(DD3:DD5)), ABS(DD3:DD5), 0)</f>
        <v>3</v>
      </c>
      <c r="DE6" s="25">
        <f t="array" ref="DE6">MATCH(MAX(ABS(DE3:DE5)), ABS(DE3:DE5), 0)</f>
        <v>3</v>
      </c>
      <c r="DF6" s="25">
        <f t="array" ref="DF6">MATCH(MAX(ABS(DF3:DF5)), ABS(DF3:DF5), 0)</f>
        <v>2</v>
      </c>
      <c r="DG6" s="25">
        <f t="array" ref="DG6">MATCH(MAX(ABS(DG3:DG5)), ABS(DG3:DG5), 0)</f>
        <v>2</v>
      </c>
      <c r="DH6" s="25">
        <f t="array" ref="DH6">MATCH(MAX(ABS(DH3:DH5)), ABS(DH3:DH5), 0)</f>
        <v>2</v>
      </c>
      <c r="DI6" s="25">
        <f t="array" ref="DI6">MATCH(MAX(ABS(DI3:DI5)), ABS(DI3:DI5), 0)</f>
        <v>2</v>
      </c>
      <c r="DJ6" s="25">
        <f t="array" ref="DJ6">MATCH(MAX(ABS(DJ3:DJ5)), ABS(DJ3:DJ5), 0)</f>
        <v>3</v>
      </c>
      <c r="DK6" s="25">
        <f t="array" ref="DK6">MATCH(MAX(ABS(DK3:DK5)), ABS(DK3:DK5), 0)</f>
        <v>2</v>
      </c>
      <c r="DL6" s="25">
        <f t="array" ref="DL6">MATCH(MAX(ABS(DL3:DL5)), ABS(DL3:DL5), 0)</f>
        <v>3</v>
      </c>
      <c r="DM6" s="25">
        <f t="array" ref="DM6">MATCH(MAX(ABS(DM3:DM5)), ABS(DM3:DM5), 0)</f>
        <v>2</v>
      </c>
      <c r="DN6" s="25">
        <f t="array" ref="DN6">MATCH(MAX(ABS(DN3:DN5)), ABS(DN3:DN5), 0)</f>
        <v>1</v>
      </c>
      <c r="DO6" s="25">
        <f t="array" ref="DO6">MATCH(MAX(ABS(DO3:DO5)), ABS(DO3:DO5), 0)</f>
        <v>2</v>
      </c>
      <c r="DP6" s="25">
        <f t="array" ref="DP6">MATCH(MAX(ABS(DP3:DP5)), ABS(DP3:DP5), 0)</f>
        <v>3</v>
      </c>
      <c r="DQ6" s="25">
        <f t="array" ref="DQ6">MATCH(MAX(ABS(DQ3:DQ5)), ABS(DQ3:DQ5), 0)</f>
        <v>3</v>
      </c>
      <c r="DR6" s="25">
        <f t="array" ref="DR6">MATCH(MAX(ABS(DR3:DR5)), ABS(DR3:DR5), 0)</f>
        <v>1</v>
      </c>
      <c r="DS6" s="25">
        <f t="array" ref="DS6">MATCH(MAX(ABS(DS3:DS5)), ABS(DS3:DS5), 0)</f>
        <v>2</v>
      </c>
      <c r="DT6" s="25">
        <f t="array" ref="DT6">MATCH(MAX(ABS(DT3:DT5)), ABS(DT3:DT5), 0)</f>
        <v>3</v>
      </c>
      <c r="DU6" s="25">
        <f t="array" ref="DU6">MATCH(MAX(ABS(DU3:DU5)), ABS(DU3:DU5), 0)</f>
        <v>2</v>
      </c>
      <c r="DV6" s="25">
        <f t="array" ref="DV6">MATCH(MAX(ABS(DV3:DV5)), ABS(DV3:DV5), 0)</f>
        <v>1</v>
      </c>
      <c r="DW6" s="25">
        <f t="array" ref="DW6">MATCH(MAX(ABS(DW3:DW5)), ABS(DW3:DW5), 0)</f>
        <v>2</v>
      </c>
      <c r="DX6" s="25">
        <f t="array" ref="DX6">MATCH(MAX(ABS(DX3:DX5)), ABS(DX3:DX5), 0)</f>
        <v>1</v>
      </c>
      <c r="DY6" s="25">
        <f t="array" ref="DY6">MATCH(MAX(ABS(DY3:DY5)), ABS(DY3:DY5), 0)</f>
        <v>2</v>
      </c>
      <c r="DZ6" s="25">
        <f t="array" ref="DZ6">MATCH(MAX(ABS(DZ3:DZ5)), ABS(DZ3:DZ5), 0)</f>
        <v>2</v>
      </c>
      <c r="EA6" s="25">
        <f t="array" ref="EA6">MATCH(MAX(ABS(EA3:EA5)), ABS(EA3:EA5), 0)</f>
        <v>3</v>
      </c>
      <c r="EB6" s="25">
        <f t="array" ref="EB6">MATCH(MAX(ABS(EB3:EB5)), ABS(EB3:EB5), 0)</f>
        <v>3</v>
      </c>
      <c r="EC6" s="25">
        <f t="array" ref="EC6">MATCH(MAX(ABS(EC3:EC5)), ABS(EC3:EC5), 0)</f>
        <v>1</v>
      </c>
      <c r="ED6" s="25">
        <f t="array" ref="ED6">MATCH(MAX(ABS(ED3:ED5)), ABS(ED3:ED5), 0)</f>
        <v>1</v>
      </c>
      <c r="EE6" s="25">
        <f t="array" ref="EE6">MATCH(MAX(ABS(EE3:EE5)), ABS(EE3:EE5), 0)</f>
        <v>2</v>
      </c>
      <c r="EF6" s="36">
        <v>2</v>
      </c>
    </row>
    <row r="7" spans="1:137" ht="16">
      <c r="A7" s="4"/>
      <c r="B7" s="21"/>
      <c r="C7" s="25" t="str">
        <f t="shared" ref="C7:AH7" si="0">IF(C6=1,"bm",IF(C6=2,"size",IF(C6=3,"mom")))</f>
        <v>size</v>
      </c>
      <c r="D7" s="25" t="str">
        <f t="shared" si="0"/>
        <v>size</v>
      </c>
      <c r="E7" s="25" t="str">
        <f t="shared" si="0"/>
        <v>size</v>
      </c>
      <c r="F7" s="25" t="str">
        <f t="shared" si="0"/>
        <v>mom</v>
      </c>
      <c r="G7" s="25" t="str">
        <f t="shared" si="0"/>
        <v>mom</v>
      </c>
      <c r="H7" s="25" t="str">
        <f t="shared" si="0"/>
        <v>size</v>
      </c>
      <c r="I7" s="25" t="str">
        <f t="shared" si="0"/>
        <v>bm</v>
      </c>
      <c r="J7" s="25" t="str">
        <f t="shared" si="0"/>
        <v>bm</v>
      </c>
      <c r="K7" s="25" t="str">
        <f t="shared" si="0"/>
        <v>mom</v>
      </c>
      <c r="L7" s="25" t="str">
        <f t="shared" si="0"/>
        <v>size</v>
      </c>
      <c r="M7" s="25" t="str">
        <f t="shared" si="0"/>
        <v>mom</v>
      </c>
      <c r="N7" s="25" t="str">
        <f t="shared" si="0"/>
        <v>size</v>
      </c>
      <c r="O7" s="25" t="str">
        <f t="shared" si="0"/>
        <v>mom</v>
      </c>
      <c r="P7" s="25" t="str">
        <f t="shared" si="0"/>
        <v>bm</v>
      </c>
      <c r="Q7" s="25" t="str">
        <f t="shared" si="0"/>
        <v>bm</v>
      </c>
      <c r="R7" s="25" t="str">
        <f t="shared" si="0"/>
        <v>bm</v>
      </c>
      <c r="S7" s="25" t="str">
        <f t="shared" si="0"/>
        <v>bm</v>
      </c>
      <c r="T7" s="25" t="str">
        <f t="shared" si="0"/>
        <v>mom</v>
      </c>
      <c r="U7" s="25" t="str">
        <f t="shared" si="0"/>
        <v>bm</v>
      </c>
      <c r="V7" s="25" t="str">
        <f t="shared" si="0"/>
        <v>bm</v>
      </c>
      <c r="W7" s="25" t="str">
        <f t="shared" si="0"/>
        <v>size</v>
      </c>
      <c r="X7" s="25" t="str">
        <f t="shared" si="0"/>
        <v>mom</v>
      </c>
      <c r="Y7" s="25" t="str">
        <f t="shared" si="0"/>
        <v>bm</v>
      </c>
      <c r="Z7" s="25" t="str">
        <f t="shared" si="0"/>
        <v>bm</v>
      </c>
      <c r="AA7" s="25" t="str">
        <f t="shared" si="0"/>
        <v>mom</v>
      </c>
      <c r="AB7" s="25" t="str">
        <f t="shared" si="0"/>
        <v>bm</v>
      </c>
      <c r="AC7" s="25" t="str">
        <f t="shared" si="0"/>
        <v>mom</v>
      </c>
      <c r="AD7" s="25" t="str">
        <f t="shared" si="0"/>
        <v>size</v>
      </c>
      <c r="AE7" s="25" t="str">
        <f t="shared" si="0"/>
        <v>mom</v>
      </c>
      <c r="AF7" s="25" t="str">
        <f t="shared" si="0"/>
        <v>mom</v>
      </c>
      <c r="AG7" s="25" t="str">
        <f t="shared" si="0"/>
        <v>bm</v>
      </c>
      <c r="AH7" s="25" t="str">
        <f t="shared" si="0"/>
        <v>bm</v>
      </c>
      <c r="AI7" s="25" t="str">
        <f t="shared" ref="AI7:BN7" si="1">IF(AI6=1,"bm",IF(AI6=2,"size",IF(AI6=3,"mom")))</f>
        <v>size</v>
      </c>
      <c r="AJ7" s="25" t="str">
        <f t="shared" si="1"/>
        <v>bm</v>
      </c>
      <c r="AK7" s="25" t="str">
        <f t="shared" si="1"/>
        <v>bm</v>
      </c>
      <c r="AL7" s="25" t="str">
        <f t="shared" si="1"/>
        <v>size</v>
      </c>
      <c r="AM7" s="25" t="str">
        <f t="shared" si="1"/>
        <v>bm</v>
      </c>
      <c r="AN7" s="25" t="str">
        <f t="shared" si="1"/>
        <v>bm</v>
      </c>
      <c r="AO7" s="25" t="str">
        <f t="shared" si="1"/>
        <v>mom</v>
      </c>
      <c r="AP7" s="25" t="str">
        <f t="shared" si="1"/>
        <v>bm</v>
      </c>
      <c r="AQ7" s="25" t="str">
        <f t="shared" si="1"/>
        <v>size</v>
      </c>
      <c r="AR7" s="25" t="str">
        <f t="shared" si="1"/>
        <v>size</v>
      </c>
      <c r="AS7" s="25" t="str">
        <f t="shared" si="1"/>
        <v>mom</v>
      </c>
      <c r="AT7" s="25" t="str">
        <f t="shared" si="1"/>
        <v>mom</v>
      </c>
      <c r="AU7" s="25" t="str">
        <f t="shared" si="1"/>
        <v>size</v>
      </c>
      <c r="AV7" s="25" t="str">
        <f t="shared" si="1"/>
        <v>mom</v>
      </c>
      <c r="AW7" s="25" t="str">
        <f t="shared" si="1"/>
        <v>mom</v>
      </c>
      <c r="AX7" s="25" t="str">
        <f t="shared" si="1"/>
        <v>mom</v>
      </c>
      <c r="AY7" s="25" t="str">
        <f t="shared" si="1"/>
        <v>bm</v>
      </c>
      <c r="AZ7" s="25" t="str">
        <f t="shared" si="1"/>
        <v>size</v>
      </c>
      <c r="BA7" s="25" t="str">
        <f t="shared" si="1"/>
        <v>size</v>
      </c>
      <c r="BB7" s="25" t="str">
        <f t="shared" si="1"/>
        <v>mom</v>
      </c>
      <c r="BC7" s="25" t="str">
        <f t="shared" si="1"/>
        <v>mom</v>
      </c>
      <c r="BD7" s="25" t="str">
        <f t="shared" si="1"/>
        <v>size</v>
      </c>
      <c r="BE7" s="25" t="str">
        <f t="shared" si="1"/>
        <v>mom</v>
      </c>
      <c r="BF7" s="25" t="str">
        <f t="shared" si="1"/>
        <v>mom</v>
      </c>
      <c r="BG7" s="25" t="str">
        <f t="shared" si="1"/>
        <v>mom</v>
      </c>
      <c r="BH7" s="25" t="str">
        <f t="shared" si="1"/>
        <v>mom</v>
      </c>
      <c r="BI7" s="25" t="str">
        <f t="shared" si="1"/>
        <v>bm</v>
      </c>
      <c r="BJ7" s="25" t="str">
        <f t="shared" si="1"/>
        <v>size</v>
      </c>
      <c r="BK7" s="25" t="str">
        <f t="shared" si="1"/>
        <v>size</v>
      </c>
      <c r="BL7" s="25" t="str">
        <f t="shared" si="1"/>
        <v>mom</v>
      </c>
      <c r="BM7" s="25" t="str">
        <f t="shared" si="1"/>
        <v>mom</v>
      </c>
      <c r="BN7" s="25" t="str">
        <f t="shared" si="1"/>
        <v>size</v>
      </c>
      <c r="BO7" s="25" t="str">
        <f t="shared" ref="BO7:CT7" si="2">IF(BO6=1,"bm",IF(BO6=2,"size",IF(BO6=3,"mom")))</f>
        <v>bm</v>
      </c>
      <c r="BP7" s="25" t="str">
        <f t="shared" si="2"/>
        <v>size</v>
      </c>
      <c r="BQ7" s="25" t="str">
        <f t="shared" si="2"/>
        <v>bm</v>
      </c>
      <c r="BR7" s="25" t="str">
        <f t="shared" si="2"/>
        <v>mom</v>
      </c>
      <c r="BS7" s="25" t="str">
        <f t="shared" si="2"/>
        <v>mom</v>
      </c>
      <c r="BT7" s="25" t="str">
        <f t="shared" si="2"/>
        <v>size</v>
      </c>
      <c r="BU7" s="25" t="str">
        <f t="shared" si="2"/>
        <v>size</v>
      </c>
      <c r="BV7" s="25" t="str">
        <f t="shared" si="2"/>
        <v>mom</v>
      </c>
      <c r="BW7" s="25" t="str">
        <f t="shared" si="2"/>
        <v>mom</v>
      </c>
      <c r="BX7" s="25" t="str">
        <f t="shared" si="2"/>
        <v>size</v>
      </c>
      <c r="BY7" s="25" t="str">
        <f t="shared" si="2"/>
        <v>mom</v>
      </c>
      <c r="BZ7" s="25" t="str">
        <f t="shared" si="2"/>
        <v>bm</v>
      </c>
      <c r="CA7" s="25" t="str">
        <f t="shared" si="2"/>
        <v>bm</v>
      </c>
      <c r="CB7" s="25" t="str">
        <f t="shared" si="2"/>
        <v>size</v>
      </c>
      <c r="CC7" s="25" t="str">
        <f t="shared" si="2"/>
        <v>size</v>
      </c>
      <c r="CD7" s="25" t="str">
        <f t="shared" si="2"/>
        <v>bm</v>
      </c>
      <c r="CE7" s="25" t="str">
        <f t="shared" si="2"/>
        <v>size</v>
      </c>
      <c r="CF7" s="25" t="str">
        <f t="shared" si="2"/>
        <v>bm</v>
      </c>
      <c r="CG7" s="25" t="str">
        <f t="shared" si="2"/>
        <v>mom</v>
      </c>
      <c r="CH7" s="25" t="str">
        <f t="shared" si="2"/>
        <v>bm</v>
      </c>
      <c r="CI7" s="25" t="str">
        <f t="shared" si="2"/>
        <v>bm</v>
      </c>
      <c r="CJ7" s="25" t="str">
        <f t="shared" si="2"/>
        <v>mom</v>
      </c>
      <c r="CK7" s="25" t="str">
        <f t="shared" si="2"/>
        <v>mom</v>
      </c>
      <c r="CL7" s="25" t="str">
        <f t="shared" si="2"/>
        <v>bm</v>
      </c>
      <c r="CM7" s="25" t="str">
        <f t="shared" si="2"/>
        <v>size</v>
      </c>
      <c r="CN7" s="25" t="str">
        <f t="shared" si="2"/>
        <v>mom</v>
      </c>
      <c r="CO7" s="25" t="str">
        <f t="shared" si="2"/>
        <v>size</v>
      </c>
      <c r="CP7" s="25" t="str">
        <f t="shared" si="2"/>
        <v>bm</v>
      </c>
      <c r="CQ7" s="25" t="str">
        <f t="shared" si="2"/>
        <v>mom</v>
      </c>
      <c r="CR7" s="25" t="str">
        <f t="shared" si="2"/>
        <v>mom</v>
      </c>
      <c r="CS7" s="25" t="str">
        <f t="shared" si="2"/>
        <v>mom</v>
      </c>
      <c r="CT7" s="25" t="str">
        <f t="shared" si="2"/>
        <v>size</v>
      </c>
      <c r="CU7" s="25" t="str">
        <f t="shared" ref="CU7:DZ7" si="3">IF(CU6=1,"bm",IF(CU6=2,"size",IF(CU6=3,"mom")))</f>
        <v>mom</v>
      </c>
      <c r="CV7" s="25" t="str">
        <f t="shared" si="3"/>
        <v>mom</v>
      </c>
      <c r="CW7" s="25" t="str">
        <f t="shared" si="3"/>
        <v>mom</v>
      </c>
      <c r="CX7" s="25" t="str">
        <f t="shared" si="3"/>
        <v>bm</v>
      </c>
      <c r="CY7" s="25" t="str">
        <f t="shared" si="3"/>
        <v>size</v>
      </c>
      <c r="CZ7" s="25" t="str">
        <f t="shared" si="3"/>
        <v>bm</v>
      </c>
      <c r="DA7" s="25" t="str">
        <f t="shared" si="3"/>
        <v>size</v>
      </c>
      <c r="DB7" s="25" t="str">
        <f t="shared" si="3"/>
        <v>size</v>
      </c>
      <c r="DC7" s="25" t="str">
        <f t="shared" si="3"/>
        <v>bm</v>
      </c>
      <c r="DD7" s="25" t="str">
        <f t="shared" si="3"/>
        <v>mom</v>
      </c>
      <c r="DE7" s="25" t="str">
        <f t="shared" si="3"/>
        <v>mom</v>
      </c>
      <c r="DF7" s="25" t="str">
        <f t="shared" si="3"/>
        <v>size</v>
      </c>
      <c r="DG7" s="25" t="str">
        <f t="shared" si="3"/>
        <v>size</v>
      </c>
      <c r="DH7" s="25" t="str">
        <f t="shared" si="3"/>
        <v>size</v>
      </c>
      <c r="DI7" s="25" t="str">
        <f t="shared" si="3"/>
        <v>size</v>
      </c>
      <c r="DJ7" s="25" t="str">
        <f t="shared" si="3"/>
        <v>mom</v>
      </c>
      <c r="DK7" s="25" t="str">
        <f t="shared" si="3"/>
        <v>size</v>
      </c>
      <c r="DL7" s="25" t="str">
        <f t="shared" si="3"/>
        <v>mom</v>
      </c>
      <c r="DM7" s="25" t="str">
        <f t="shared" si="3"/>
        <v>size</v>
      </c>
      <c r="DN7" s="25" t="str">
        <f t="shared" si="3"/>
        <v>bm</v>
      </c>
      <c r="DO7" s="25" t="str">
        <f t="shared" si="3"/>
        <v>size</v>
      </c>
      <c r="DP7" s="25" t="str">
        <f t="shared" si="3"/>
        <v>mom</v>
      </c>
      <c r="DQ7" s="25" t="str">
        <f t="shared" si="3"/>
        <v>mom</v>
      </c>
      <c r="DR7" s="25" t="str">
        <f t="shared" si="3"/>
        <v>bm</v>
      </c>
      <c r="DS7" s="25" t="str">
        <f t="shared" si="3"/>
        <v>size</v>
      </c>
      <c r="DT7" s="25" t="str">
        <f t="shared" si="3"/>
        <v>mom</v>
      </c>
      <c r="DU7" s="25" t="str">
        <f t="shared" si="3"/>
        <v>size</v>
      </c>
      <c r="DV7" s="25" t="str">
        <f t="shared" si="3"/>
        <v>bm</v>
      </c>
      <c r="DW7" s="25" t="str">
        <f t="shared" si="3"/>
        <v>size</v>
      </c>
      <c r="DX7" s="25" t="str">
        <f t="shared" si="3"/>
        <v>bm</v>
      </c>
      <c r="DY7" s="25" t="str">
        <f t="shared" si="3"/>
        <v>size</v>
      </c>
      <c r="DZ7" s="25" t="str">
        <f t="shared" si="3"/>
        <v>size</v>
      </c>
      <c r="EA7" s="25" t="str">
        <f t="shared" ref="EA7:EF7" si="4">IF(EA6=1,"bm",IF(EA6=2,"size",IF(EA6=3,"mom")))</f>
        <v>mom</v>
      </c>
      <c r="EB7" s="25" t="str">
        <f t="shared" si="4"/>
        <v>mom</v>
      </c>
      <c r="EC7" s="25" t="str">
        <f t="shared" si="4"/>
        <v>bm</v>
      </c>
      <c r="ED7" s="25" t="str">
        <f t="shared" si="4"/>
        <v>bm</v>
      </c>
      <c r="EE7" s="25" t="str">
        <f t="shared" si="4"/>
        <v>size</v>
      </c>
      <c r="EF7" s="36" t="str">
        <f t="shared" si="4"/>
        <v>size</v>
      </c>
    </row>
    <row r="8" spans="1:137" ht="16">
      <c r="A8" s="4"/>
      <c r="B8" s="21"/>
      <c r="C8" s="32">
        <f t="shared" ref="C8:AH8" si="5">IF(C6=1,C3,IF(C6=2,C4,IF(C6=3,C5)))</f>
        <v>-0.24758870953733739</v>
      </c>
      <c r="D8" s="32">
        <f t="shared" si="5"/>
        <v>-0.27469330301591988</v>
      </c>
      <c r="E8" s="32">
        <f t="shared" si="5"/>
        <v>-8.4648385226775952E-2</v>
      </c>
      <c r="F8" s="32">
        <f t="shared" si="5"/>
        <v>-8.7687354470119203E-2</v>
      </c>
      <c r="G8" s="32">
        <f t="shared" si="5"/>
        <v>0.1027592597916023</v>
      </c>
      <c r="H8" s="32">
        <f t="shared" si="5"/>
        <v>-0.100759633161552</v>
      </c>
      <c r="I8" s="32">
        <f t="shared" si="5"/>
        <v>0.18325176920476779</v>
      </c>
      <c r="J8" s="32">
        <f t="shared" si="5"/>
        <v>0.1164863088741452</v>
      </c>
      <c r="K8" s="32">
        <f t="shared" si="5"/>
        <v>7.7258045731841044E-2</v>
      </c>
      <c r="L8" s="32">
        <f t="shared" si="5"/>
        <v>8.8406797789969321E-2</v>
      </c>
      <c r="M8" s="32">
        <f t="shared" si="5"/>
        <v>5.3602181204841143E-2</v>
      </c>
      <c r="N8" s="32">
        <f t="shared" si="5"/>
        <v>-0.21221799304980321</v>
      </c>
      <c r="O8" s="32">
        <f t="shared" si="5"/>
        <v>6.4929886491987929E-2</v>
      </c>
      <c r="P8" s="32">
        <f t="shared" si="5"/>
        <v>-9.1792321477913982E-2</v>
      </c>
      <c r="Q8" s="32">
        <f t="shared" si="5"/>
        <v>-7.7409013100986537E-2</v>
      </c>
      <c r="R8" s="32">
        <f t="shared" si="5"/>
        <v>5.4776596014220982E-2</v>
      </c>
      <c r="S8" s="32">
        <f t="shared" si="5"/>
        <v>-0.12533438670858049</v>
      </c>
      <c r="T8" s="32">
        <f t="shared" si="5"/>
        <v>0.12918506866843241</v>
      </c>
      <c r="U8" s="32">
        <f t="shared" si="5"/>
        <v>-3.777005083138045E-2</v>
      </c>
      <c r="V8" s="32">
        <f t="shared" si="5"/>
        <v>8.1183823152198617E-2</v>
      </c>
      <c r="W8" s="32">
        <f t="shared" si="5"/>
        <v>-0.1435529784595129</v>
      </c>
      <c r="X8" s="32">
        <f t="shared" si="5"/>
        <v>-0.29384805056845642</v>
      </c>
      <c r="Y8" s="32">
        <f t="shared" si="5"/>
        <v>-0.12536053701812139</v>
      </c>
      <c r="Z8" s="32">
        <f t="shared" si="5"/>
        <v>0.1919535535452612</v>
      </c>
      <c r="AA8" s="32">
        <f t="shared" si="5"/>
        <v>9.8247438772127521E-2</v>
      </c>
      <c r="AB8" s="32">
        <f t="shared" si="5"/>
        <v>7.2897613803716274E-2</v>
      </c>
      <c r="AC8" s="32">
        <f t="shared" si="5"/>
        <v>-0.1036861156532312</v>
      </c>
      <c r="AD8" s="32">
        <f t="shared" si="5"/>
        <v>-6.5629712146108229E-2</v>
      </c>
      <c r="AE8" s="32">
        <f t="shared" si="5"/>
        <v>0.17560148677061019</v>
      </c>
      <c r="AF8" s="32">
        <f t="shared" si="5"/>
        <v>-0.1550331010885124</v>
      </c>
      <c r="AG8" s="32">
        <f t="shared" si="5"/>
        <v>0.13005883770177931</v>
      </c>
      <c r="AH8" s="32">
        <f t="shared" si="5"/>
        <v>0.11525639530312259</v>
      </c>
      <c r="AI8" s="32">
        <f t="shared" ref="AI8:BN8" si="6">IF(AI6=1,AI3,IF(AI6=2,AI4,IF(AI6=3,AI5)))</f>
        <v>-5.1034095516539722E-2</v>
      </c>
      <c r="AJ8" s="32">
        <f t="shared" si="6"/>
        <v>2.79991148643382E-2</v>
      </c>
      <c r="AK8" s="32">
        <f t="shared" si="6"/>
        <v>0.14657041796408479</v>
      </c>
      <c r="AL8" s="32">
        <f t="shared" si="6"/>
        <v>-0.1064467536119352</v>
      </c>
      <c r="AM8" s="32">
        <f t="shared" si="6"/>
        <v>0.13137636706820099</v>
      </c>
      <c r="AN8" s="32">
        <f t="shared" si="6"/>
        <v>0.22143295930140211</v>
      </c>
      <c r="AO8" s="32">
        <f t="shared" si="6"/>
        <v>5.8502893637957562E-2</v>
      </c>
      <c r="AP8" s="32">
        <f t="shared" si="6"/>
        <v>-0.13715995040864579</v>
      </c>
      <c r="AQ8" s="32">
        <f t="shared" si="6"/>
        <v>2.9067484813314101E-2</v>
      </c>
      <c r="AR8" s="32">
        <f t="shared" si="6"/>
        <v>5.2635776863899968E-2</v>
      </c>
      <c r="AS8" s="32">
        <f t="shared" si="6"/>
        <v>3.9782285287992311E-2</v>
      </c>
      <c r="AT8" s="32">
        <f t="shared" si="6"/>
        <v>0.1484561956282951</v>
      </c>
      <c r="AU8" s="32">
        <f t="shared" si="6"/>
        <v>-0.15538438197178719</v>
      </c>
      <c r="AV8" s="32">
        <f t="shared" si="6"/>
        <v>0.13895895413073689</v>
      </c>
      <c r="AW8" s="32">
        <f t="shared" si="6"/>
        <v>5.9863283397122782E-2</v>
      </c>
      <c r="AX8" s="32">
        <f t="shared" si="6"/>
        <v>-0.1497898129881709</v>
      </c>
      <c r="AY8" s="32">
        <f t="shared" si="6"/>
        <v>7.6559571245744709E-2</v>
      </c>
      <c r="AZ8" s="32">
        <f t="shared" si="6"/>
        <v>-0.13412750113921701</v>
      </c>
      <c r="BA8" s="32">
        <f t="shared" si="6"/>
        <v>-0.13711152966130111</v>
      </c>
      <c r="BB8" s="32">
        <f t="shared" si="6"/>
        <v>-0.14887029613688371</v>
      </c>
      <c r="BC8" s="32">
        <f t="shared" si="6"/>
        <v>6.0350517971681748E-2</v>
      </c>
      <c r="BD8" s="32">
        <f t="shared" si="6"/>
        <v>-0.11960190660895841</v>
      </c>
      <c r="BE8" s="32">
        <f t="shared" si="6"/>
        <v>-0.14651529968819679</v>
      </c>
      <c r="BF8" s="32">
        <f t="shared" si="6"/>
        <v>-0.2087626486148127</v>
      </c>
      <c r="BG8" s="32">
        <f t="shared" si="6"/>
        <v>-0.20144325578474859</v>
      </c>
      <c r="BH8" s="32">
        <f t="shared" si="6"/>
        <v>-0.11804991677814031</v>
      </c>
      <c r="BI8" s="32">
        <f t="shared" si="6"/>
        <v>9.6912851275401127E-2</v>
      </c>
      <c r="BJ8" s="32">
        <f t="shared" si="6"/>
        <v>-0.10060082155953699</v>
      </c>
      <c r="BK8" s="32">
        <f t="shared" si="6"/>
        <v>9.0490079041763594E-2</v>
      </c>
      <c r="BL8" s="32">
        <f t="shared" si="6"/>
        <v>-0.17125563757433929</v>
      </c>
      <c r="BM8" s="32">
        <f t="shared" si="6"/>
        <v>0.13291749710961351</v>
      </c>
      <c r="BN8" s="32">
        <f t="shared" si="6"/>
        <v>8.1345639246770615E-2</v>
      </c>
      <c r="BO8" s="32">
        <f t="shared" ref="BO8:CT8" si="7">IF(BO6=1,BO3,IF(BO6=2,BO4,IF(BO6=3,BO5)))</f>
        <v>8.1418240100881306E-2</v>
      </c>
      <c r="BP8" s="32">
        <f t="shared" si="7"/>
        <v>0.1067348704344353</v>
      </c>
      <c r="BQ8" s="32">
        <f t="shared" si="7"/>
        <v>6.8729568027927734E-2</v>
      </c>
      <c r="BR8" s="32">
        <f t="shared" si="7"/>
        <v>0.18982724311105359</v>
      </c>
      <c r="BS8" s="32">
        <f t="shared" si="7"/>
        <v>-9.7605037382284945E-2</v>
      </c>
      <c r="BT8" s="32">
        <f t="shared" si="7"/>
        <v>9.8612222991557266E-2</v>
      </c>
      <c r="BU8" s="32">
        <f t="shared" si="7"/>
        <v>0.1283985422991091</v>
      </c>
      <c r="BV8" s="32">
        <f t="shared" si="7"/>
        <v>-0.1167370363031352</v>
      </c>
      <c r="BW8" s="32">
        <f t="shared" si="7"/>
        <v>-0.1413229882478122</v>
      </c>
      <c r="BX8" s="32">
        <f t="shared" si="7"/>
        <v>-4.6890096077604589E-2</v>
      </c>
      <c r="BY8" s="32">
        <f t="shared" si="7"/>
        <v>0.13033606071126891</v>
      </c>
      <c r="BZ8" s="32">
        <f t="shared" si="7"/>
        <v>0.1133093139289441</v>
      </c>
      <c r="CA8" s="32">
        <f t="shared" si="7"/>
        <v>-0.10735493495839039</v>
      </c>
      <c r="CB8" s="32">
        <f t="shared" si="7"/>
        <v>-0.15782764847875469</v>
      </c>
      <c r="CC8" s="32">
        <f t="shared" si="7"/>
        <v>-7.1052571704280934E-2</v>
      </c>
      <c r="CD8" s="32">
        <f t="shared" si="7"/>
        <v>0.1883770899619405</v>
      </c>
      <c r="CE8" s="32">
        <f t="shared" si="7"/>
        <v>-0.23678647002516851</v>
      </c>
      <c r="CF8" s="32">
        <f t="shared" si="7"/>
        <v>7.4872074365934668E-2</v>
      </c>
      <c r="CG8" s="32">
        <f t="shared" si="7"/>
        <v>-0.1182090018050031</v>
      </c>
      <c r="CH8" s="32">
        <f t="shared" si="7"/>
        <v>0.1360217220005796</v>
      </c>
      <c r="CI8" s="32">
        <f t="shared" si="7"/>
        <v>-9.3741014702459921E-2</v>
      </c>
      <c r="CJ8" s="32">
        <f t="shared" si="7"/>
        <v>0.23067286701975129</v>
      </c>
      <c r="CK8" s="32">
        <f t="shared" si="7"/>
        <v>0.1327785225954993</v>
      </c>
      <c r="CL8" s="32">
        <f t="shared" si="7"/>
        <v>0.26354577822564818</v>
      </c>
      <c r="CM8" s="32">
        <f t="shared" si="7"/>
        <v>0.17898858319392719</v>
      </c>
      <c r="CN8" s="32">
        <f t="shared" si="7"/>
        <v>0.22348855763592371</v>
      </c>
      <c r="CO8" s="32">
        <f t="shared" si="7"/>
        <v>-0.13939018969183081</v>
      </c>
      <c r="CP8" s="32">
        <f t="shared" si="7"/>
        <v>0.13265560934539161</v>
      </c>
      <c r="CQ8" s="32">
        <f t="shared" si="7"/>
        <v>-0.20723337326778599</v>
      </c>
      <c r="CR8" s="32">
        <f t="shared" si="7"/>
        <v>-0.1348638695123113</v>
      </c>
      <c r="CS8" s="32">
        <f t="shared" si="7"/>
        <v>7.3007738807373504E-2</v>
      </c>
      <c r="CT8" s="32">
        <f t="shared" si="7"/>
        <v>-0.11307907407472829</v>
      </c>
      <c r="CU8" s="32">
        <f t="shared" ref="CU8:EE8" si="8">IF(CU6=1,CU3,IF(CU6=2,CU4,IF(CU6=3,CU5)))</f>
        <v>-0.28688917437274702</v>
      </c>
      <c r="CV8" s="32">
        <f t="shared" si="8"/>
        <v>0.2307305381875536</v>
      </c>
      <c r="CW8" s="32">
        <f t="shared" si="8"/>
        <v>9.1075698514216888E-2</v>
      </c>
      <c r="CX8" s="32">
        <f t="shared" si="8"/>
        <v>0.13917409482071269</v>
      </c>
      <c r="CY8" s="32">
        <f t="shared" si="8"/>
        <v>-9.6503499496267492E-2</v>
      </c>
      <c r="CZ8" s="32">
        <f t="shared" si="8"/>
        <v>0.21835291106172269</v>
      </c>
      <c r="DA8" s="32">
        <f t="shared" si="8"/>
        <v>-0.10996113735654101</v>
      </c>
      <c r="DB8" s="32">
        <f t="shared" si="8"/>
        <v>-0.1908204716293295</v>
      </c>
      <c r="DC8" s="32">
        <f t="shared" si="8"/>
        <v>0.11395608079284369</v>
      </c>
      <c r="DD8" s="32">
        <f t="shared" si="8"/>
        <v>-0.1645134604307108</v>
      </c>
      <c r="DE8" s="32">
        <f t="shared" si="8"/>
        <v>-0.1105683533423189</v>
      </c>
      <c r="DF8" s="32">
        <f t="shared" si="8"/>
        <v>-0.166876664789437</v>
      </c>
      <c r="DG8" s="32">
        <f t="shared" si="8"/>
        <v>0.22243808581717431</v>
      </c>
      <c r="DH8" s="32">
        <f t="shared" si="8"/>
        <v>-0.144297746243673</v>
      </c>
      <c r="DI8" s="32">
        <f t="shared" si="8"/>
        <v>-0.1196199522370443</v>
      </c>
      <c r="DJ8" s="32">
        <f t="shared" si="8"/>
        <v>0.1188020770386063</v>
      </c>
      <c r="DK8" s="32">
        <f t="shared" si="8"/>
        <v>9.2855058740681395E-2</v>
      </c>
      <c r="DL8" s="32">
        <f t="shared" si="8"/>
        <v>7.1320599005857979E-2</v>
      </c>
      <c r="DM8" s="32">
        <f t="shared" si="8"/>
        <v>8.2732072899953643E-2</v>
      </c>
      <c r="DN8" s="32">
        <f t="shared" si="8"/>
        <v>0.1098129862949979</v>
      </c>
      <c r="DO8" s="32">
        <f t="shared" si="8"/>
        <v>-9.8141990492640205E-2</v>
      </c>
      <c r="DP8" s="32">
        <f t="shared" si="8"/>
        <v>-0.23067649178859881</v>
      </c>
      <c r="DQ8" s="32">
        <f t="shared" si="8"/>
        <v>0.238184312236043</v>
      </c>
      <c r="DR8" s="32">
        <f t="shared" si="8"/>
        <v>9.4328709127723676E-2</v>
      </c>
      <c r="DS8" s="32">
        <f t="shared" si="8"/>
        <v>-0.1610301993932845</v>
      </c>
      <c r="DT8" s="32">
        <f t="shared" si="8"/>
        <v>0.11510609642796051</v>
      </c>
      <c r="DU8" s="32">
        <f t="shared" si="8"/>
        <v>0.16407715854109439</v>
      </c>
      <c r="DV8" s="32">
        <f t="shared" si="8"/>
        <v>0.13401742358239299</v>
      </c>
      <c r="DW8" s="32">
        <f t="shared" si="8"/>
        <v>-0.1016452501185193</v>
      </c>
      <c r="DX8" s="32">
        <f t="shared" si="8"/>
        <v>-0.1037731978548066</v>
      </c>
      <c r="DY8" s="32">
        <f t="shared" si="8"/>
        <v>-0.1066566396478186</v>
      </c>
      <c r="DZ8" s="32">
        <f t="shared" si="8"/>
        <v>-6.9186575508287662E-2</v>
      </c>
      <c r="EA8" s="32">
        <f t="shared" si="8"/>
        <v>-0.29313654086030699</v>
      </c>
      <c r="EB8" s="32">
        <f t="shared" si="8"/>
        <v>-0.14097501940218221</v>
      </c>
      <c r="EC8" s="32">
        <f t="shared" si="8"/>
        <v>7.3988425168607055E-2</v>
      </c>
      <c r="ED8" s="32">
        <f t="shared" si="8"/>
        <v>-0.15737687498945321</v>
      </c>
      <c r="EE8" s="32">
        <f t="shared" si="8"/>
        <v>0.15767759835539891</v>
      </c>
      <c r="EF8" s="36">
        <v>0.24307999999999999</v>
      </c>
    </row>
    <row r="10" spans="1:137" ht="16">
      <c r="A10" s="73" t="s">
        <v>140</v>
      </c>
      <c r="B10" s="74"/>
      <c r="C10" s="10" t="s">
        <v>141</v>
      </c>
      <c r="D10" s="10">
        <v>964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</row>
    <row r="11" spans="1:137" ht="18">
      <c r="A11" s="7" t="s">
        <v>142</v>
      </c>
      <c r="B11" s="8" t="s">
        <v>143</v>
      </c>
      <c r="C11" s="16" t="s">
        <v>3</v>
      </c>
      <c r="D11" s="16" t="s">
        <v>4</v>
      </c>
      <c r="E11" s="16" t="s">
        <v>5</v>
      </c>
      <c r="F11" s="16" t="s">
        <v>6</v>
      </c>
      <c r="G11" s="16" t="s">
        <v>7</v>
      </c>
      <c r="H11" s="16" t="s">
        <v>8</v>
      </c>
      <c r="I11" s="16" t="s">
        <v>9</v>
      </c>
      <c r="J11" s="16" t="s">
        <v>10</v>
      </c>
      <c r="K11" s="16" t="s">
        <v>11</v>
      </c>
      <c r="L11" s="16" t="s">
        <v>12</v>
      </c>
      <c r="M11" s="16" t="s">
        <v>13</v>
      </c>
      <c r="N11" s="16" t="s">
        <v>14</v>
      </c>
      <c r="O11" s="16" t="s">
        <v>15</v>
      </c>
      <c r="P11" s="16" t="s">
        <v>16</v>
      </c>
      <c r="Q11" s="16" t="s">
        <v>17</v>
      </c>
      <c r="R11" s="16" t="s">
        <v>18</v>
      </c>
      <c r="S11" s="16" t="s">
        <v>19</v>
      </c>
      <c r="T11" s="16" t="s">
        <v>20</v>
      </c>
      <c r="U11" s="16" t="s">
        <v>21</v>
      </c>
      <c r="V11" s="16" t="s">
        <v>22</v>
      </c>
      <c r="W11" s="16" t="s">
        <v>23</v>
      </c>
      <c r="X11" s="16" t="s">
        <v>24</v>
      </c>
      <c r="Y11" s="16" t="s">
        <v>25</v>
      </c>
      <c r="Z11" s="16" t="s">
        <v>26</v>
      </c>
      <c r="AA11" s="16" t="s">
        <v>27</v>
      </c>
      <c r="AB11" s="16" t="s">
        <v>28</v>
      </c>
      <c r="AC11" s="16" t="s">
        <v>29</v>
      </c>
      <c r="AD11" s="16" t="s">
        <v>30</v>
      </c>
      <c r="AE11" s="16" t="s">
        <v>31</v>
      </c>
      <c r="AF11" s="16" t="s">
        <v>32</v>
      </c>
      <c r="AG11" s="16" t="s">
        <v>33</v>
      </c>
      <c r="AH11" s="16" t="s">
        <v>34</v>
      </c>
      <c r="AI11" s="16" t="s">
        <v>35</v>
      </c>
      <c r="AJ11" s="16" t="s">
        <v>36</v>
      </c>
      <c r="AK11" s="16" t="s">
        <v>37</v>
      </c>
      <c r="AL11" s="16" t="s">
        <v>38</v>
      </c>
      <c r="AM11" s="16" t="s">
        <v>39</v>
      </c>
      <c r="AN11" s="16" t="s">
        <v>40</v>
      </c>
      <c r="AO11" s="16" t="s">
        <v>41</v>
      </c>
      <c r="AP11" s="16" t="s">
        <v>42</v>
      </c>
      <c r="AQ11" s="16" t="s">
        <v>43</v>
      </c>
      <c r="AR11" s="16" t="s">
        <v>44</v>
      </c>
      <c r="AS11" s="16" t="s">
        <v>45</v>
      </c>
      <c r="AT11" s="16" t="s">
        <v>46</v>
      </c>
      <c r="AU11" s="16" t="s">
        <v>47</v>
      </c>
      <c r="AV11" s="16" t="s">
        <v>48</v>
      </c>
      <c r="AW11" s="16" t="s">
        <v>49</v>
      </c>
      <c r="AX11" s="16" t="s">
        <v>50</v>
      </c>
      <c r="AY11" s="16" t="s">
        <v>51</v>
      </c>
      <c r="AZ11" s="16" t="s">
        <v>52</v>
      </c>
      <c r="BA11" s="16" t="s">
        <v>53</v>
      </c>
      <c r="BB11" s="16" t="s">
        <v>54</v>
      </c>
      <c r="BC11" s="16" t="s">
        <v>55</v>
      </c>
      <c r="BD11" s="16" t="s">
        <v>56</v>
      </c>
      <c r="BE11" s="16" t="s">
        <v>57</v>
      </c>
      <c r="BF11" s="16" t="s">
        <v>58</v>
      </c>
      <c r="BG11" s="16" t="s">
        <v>59</v>
      </c>
      <c r="BH11" s="16" t="s">
        <v>60</v>
      </c>
      <c r="BI11" s="16" t="s">
        <v>61</v>
      </c>
      <c r="BJ11" s="16" t="s">
        <v>62</v>
      </c>
      <c r="BK11" s="16" t="s">
        <v>63</v>
      </c>
      <c r="BL11" s="16" t="s">
        <v>64</v>
      </c>
      <c r="BM11" s="16" t="s">
        <v>65</v>
      </c>
      <c r="BN11" s="16" t="s">
        <v>66</v>
      </c>
      <c r="BO11" s="16" t="s">
        <v>67</v>
      </c>
      <c r="BP11" s="16" t="s">
        <v>68</v>
      </c>
      <c r="BQ11" s="16" t="s">
        <v>69</v>
      </c>
      <c r="BR11" s="16" t="s">
        <v>70</v>
      </c>
      <c r="BS11" s="16" t="s">
        <v>71</v>
      </c>
      <c r="BT11" s="16" t="s">
        <v>72</v>
      </c>
      <c r="BU11" s="16" t="s">
        <v>73</v>
      </c>
      <c r="BV11" s="16" t="s">
        <v>74</v>
      </c>
      <c r="BW11" s="16" t="s">
        <v>75</v>
      </c>
      <c r="BX11" s="16" t="s">
        <v>76</v>
      </c>
      <c r="BY11" s="16" t="s">
        <v>77</v>
      </c>
      <c r="BZ11" s="16" t="s">
        <v>78</v>
      </c>
      <c r="CA11" s="16" t="s">
        <v>79</v>
      </c>
      <c r="CB11" s="16" t="s">
        <v>80</v>
      </c>
      <c r="CC11" s="16" t="s">
        <v>81</v>
      </c>
      <c r="CD11" s="16" t="s">
        <v>82</v>
      </c>
      <c r="CE11" s="16" t="s">
        <v>83</v>
      </c>
      <c r="CF11" s="16" t="s">
        <v>84</v>
      </c>
      <c r="CG11" s="16" t="s">
        <v>85</v>
      </c>
      <c r="CH11" s="16" t="s">
        <v>86</v>
      </c>
      <c r="CI11" s="16" t="s">
        <v>87</v>
      </c>
      <c r="CJ11" s="16" t="s">
        <v>88</v>
      </c>
      <c r="CK11" s="16" t="s">
        <v>89</v>
      </c>
      <c r="CL11" s="16" t="s">
        <v>90</v>
      </c>
      <c r="CM11" s="16" t="s">
        <v>91</v>
      </c>
      <c r="CN11" s="16" t="s">
        <v>92</v>
      </c>
      <c r="CO11" s="16" t="s">
        <v>93</v>
      </c>
      <c r="CP11" s="16" t="s">
        <v>94</v>
      </c>
      <c r="CQ11" s="16" t="s">
        <v>95</v>
      </c>
      <c r="CR11" s="16" t="s">
        <v>96</v>
      </c>
      <c r="CS11" s="16" t="s">
        <v>97</v>
      </c>
      <c r="CT11" s="16" t="s">
        <v>98</v>
      </c>
      <c r="CU11" s="16" t="s">
        <v>99</v>
      </c>
      <c r="CV11" s="16" t="s">
        <v>100</v>
      </c>
      <c r="CW11" s="16" t="s">
        <v>101</v>
      </c>
      <c r="CX11" s="16" t="s">
        <v>102</v>
      </c>
      <c r="CY11" s="16" t="s">
        <v>103</v>
      </c>
      <c r="CZ11" s="16" t="s">
        <v>104</v>
      </c>
      <c r="DA11" s="16" t="s">
        <v>105</v>
      </c>
      <c r="DB11" s="16" t="s">
        <v>106</v>
      </c>
      <c r="DC11" s="16" t="s">
        <v>107</v>
      </c>
      <c r="DD11" s="16" t="s">
        <v>108</v>
      </c>
      <c r="DE11" s="16" t="s">
        <v>109</v>
      </c>
      <c r="DF11" s="16" t="s">
        <v>110</v>
      </c>
      <c r="DG11" s="16" t="s">
        <v>111</v>
      </c>
      <c r="DH11" s="16" t="s">
        <v>112</v>
      </c>
      <c r="DI11" s="16" t="s">
        <v>113</v>
      </c>
      <c r="DJ11" s="16" t="s">
        <v>114</v>
      </c>
      <c r="DK11" s="16" t="s">
        <v>115</v>
      </c>
      <c r="DL11" s="16" t="s">
        <v>116</v>
      </c>
      <c r="DM11" s="16" t="s">
        <v>117</v>
      </c>
      <c r="DN11" s="16" t="s">
        <v>118</v>
      </c>
      <c r="DO11" s="16" t="s">
        <v>119</v>
      </c>
      <c r="DP11" s="16" t="s">
        <v>120</v>
      </c>
      <c r="DQ11" s="16" t="s">
        <v>121</v>
      </c>
      <c r="DR11" s="16" t="s">
        <v>122</v>
      </c>
      <c r="DS11" s="16" t="s">
        <v>123</v>
      </c>
      <c r="DT11" s="16" t="s">
        <v>124</v>
      </c>
      <c r="DU11" s="16" t="s">
        <v>125</v>
      </c>
      <c r="DV11" s="16" t="s">
        <v>126</v>
      </c>
      <c r="DW11" s="16" t="s">
        <v>127</v>
      </c>
      <c r="DX11" s="16" t="s">
        <v>128</v>
      </c>
      <c r="DY11" s="16" t="s">
        <v>129</v>
      </c>
      <c r="DZ11" s="16" t="s">
        <v>130</v>
      </c>
      <c r="EA11" s="16" t="s">
        <v>131</v>
      </c>
      <c r="EB11" s="16" t="s">
        <v>132</v>
      </c>
      <c r="EC11" s="16" t="s">
        <v>133</v>
      </c>
      <c r="ED11" s="16" t="s">
        <v>134</v>
      </c>
      <c r="EE11" s="16" t="s">
        <v>135</v>
      </c>
      <c r="EF11" s="16" t="s">
        <v>144</v>
      </c>
      <c r="EG11" s="3"/>
    </row>
    <row r="12" spans="1:137" ht="16">
      <c r="A12" s="6">
        <v>10</v>
      </c>
      <c r="B12" s="6">
        <v>96</v>
      </c>
      <c r="C12" s="9">
        <v>8.4653346747999569E-2</v>
      </c>
      <c r="D12" s="9">
        <v>0.11468862904522339</v>
      </c>
      <c r="E12" s="9">
        <v>4.8026823387202502E-2</v>
      </c>
      <c r="F12" s="9">
        <v>5.5959384784458693E-2</v>
      </c>
      <c r="G12" s="9">
        <v>3.1947448518630461E-2</v>
      </c>
      <c r="H12" s="9">
        <v>3.853051224988794E-2</v>
      </c>
      <c r="I12" s="9">
        <v>3.8097115239531458E-2</v>
      </c>
      <c r="J12" s="9">
        <v>4.378457874487153E-2</v>
      </c>
      <c r="K12" s="9">
        <v>2.9187998133699201E-2</v>
      </c>
      <c r="L12" s="2">
        <v>4.1890941049973693E-2</v>
      </c>
      <c r="M12" s="2">
        <v>2.688917383320695E-2</v>
      </c>
      <c r="N12" s="2">
        <v>6.9326986778352861E-2</v>
      </c>
      <c r="O12" s="1">
        <v>2.7914759067240381E-2</v>
      </c>
      <c r="P12" s="1">
        <v>1.9809764896968261E-2</v>
      </c>
      <c r="Q12" s="1">
        <v>3.3792784120907721E-2</v>
      </c>
      <c r="R12" s="1">
        <v>1.289817377469633E-2</v>
      </c>
      <c r="S12" s="1">
        <v>7.5752806890824642E-2</v>
      </c>
      <c r="T12" s="1">
        <v>4.7867716345524773E-2</v>
      </c>
      <c r="U12" s="1">
        <v>2.020081433388279E-2</v>
      </c>
      <c r="V12" s="1">
        <v>4.4098373348212122E-2</v>
      </c>
      <c r="W12" s="1">
        <v>6.4039414985380974E-2</v>
      </c>
      <c r="X12" s="1">
        <v>0.10964075134733541</v>
      </c>
      <c r="Y12" s="1">
        <v>1.678837725181612E-2</v>
      </c>
      <c r="Z12" s="1">
        <v>6.4919357702865416E-2</v>
      </c>
      <c r="AA12" s="1">
        <v>2.6918479420811641E-2</v>
      </c>
      <c r="AB12" s="1">
        <v>3.4604260170603737E-2</v>
      </c>
      <c r="AC12" s="1">
        <v>4.6772945626311221E-2</v>
      </c>
      <c r="AD12" s="1">
        <v>1.1230798778149011E-2</v>
      </c>
      <c r="AE12" s="1">
        <v>4.6437716666984027E-2</v>
      </c>
      <c r="AF12" s="1">
        <v>5.2012102776767682E-2</v>
      </c>
      <c r="AG12" s="1">
        <v>3.061844000752266E-2</v>
      </c>
      <c r="AH12" s="1">
        <v>1.3096859936119349E-2</v>
      </c>
      <c r="AI12" s="1">
        <v>2.3246459178864559E-2</v>
      </c>
      <c r="AJ12" s="1">
        <v>7.4902167130851084E-3</v>
      </c>
      <c r="AK12" s="1">
        <v>4.7354661535713521E-2</v>
      </c>
      <c r="AL12" s="1">
        <v>3.410562124357637E-2</v>
      </c>
      <c r="AM12" s="1">
        <v>3.2204353759093952E-2</v>
      </c>
      <c r="AN12" s="1">
        <v>7.0370866473731905E-2</v>
      </c>
      <c r="AO12" s="1">
        <v>1.499547084312733E-2</v>
      </c>
      <c r="AP12" s="1">
        <v>3.372899577118884E-2</v>
      </c>
      <c r="AQ12" s="1">
        <v>6.6823427857980299E-3</v>
      </c>
      <c r="AR12" s="1">
        <v>7.5044280887600623E-3</v>
      </c>
      <c r="AS12" s="1">
        <v>1.9976272910371209E-2</v>
      </c>
      <c r="AT12" s="1">
        <v>7.2195382352435111E-2</v>
      </c>
      <c r="AU12" s="1">
        <v>6.3410262054371488E-2</v>
      </c>
      <c r="AV12" s="1">
        <v>5.3715630656719728E-2</v>
      </c>
      <c r="AW12" s="1">
        <v>1.7169704763403081E-2</v>
      </c>
      <c r="AX12" s="1">
        <v>4.4696011972897833E-2</v>
      </c>
      <c r="AY12" s="1">
        <v>2.448335394421235E-2</v>
      </c>
      <c r="AZ12" s="1">
        <v>6.6563803179291878E-2</v>
      </c>
      <c r="BA12" s="1">
        <v>7.1276156280934949E-2</v>
      </c>
      <c r="BB12" s="1">
        <v>2.9036654569641811E-2</v>
      </c>
      <c r="BC12" s="1">
        <v>2.6690966292337529E-2</v>
      </c>
      <c r="BD12" s="1">
        <v>4.9233621620970898E-2</v>
      </c>
      <c r="BE12" s="1">
        <v>3.5368545142518727E-2</v>
      </c>
      <c r="BF12" s="1">
        <v>6.7616949247695374E-2</v>
      </c>
      <c r="BG12" s="1">
        <v>4.6757753881283733E-2</v>
      </c>
      <c r="BH12" s="1">
        <v>3.5079589029917153E-2</v>
      </c>
      <c r="BI12" s="1">
        <v>5.1439927386970292E-2</v>
      </c>
      <c r="BJ12" s="1">
        <v>4.342249910767234E-2</v>
      </c>
      <c r="BK12" s="1">
        <v>2.0075652003278099E-2</v>
      </c>
      <c r="BL12" s="1">
        <v>3.212909830049409E-2</v>
      </c>
      <c r="BM12" s="1">
        <v>5.0305684523324463E-2</v>
      </c>
      <c r="BN12" s="1">
        <v>1.9502538210119671E-2</v>
      </c>
      <c r="BO12" s="1">
        <v>2.4246310256236889E-2</v>
      </c>
      <c r="BP12" s="1">
        <v>2.642195733416729E-2</v>
      </c>
      <c r="BQ12" s="1">
        <v>1.520658027131792E-2</v>
      </c>
      <c r="BR12" s="1">
        <v>6.8693615147113224E-2</v>
      </c>
      <c r="BS12" s="1">
        <v>3.2642854888392712E-2</v>
      </c>
      <c r="BT12" s="1">
        <v>2.1288097232098721E-2</v>
      </c>
      <c r="BU12" s="1">
        <v>4.8083369576175691E-2</v>
      </c>
      <c r="BV12" s="1">
        <v>4.2282389085930017E-2</v>
      </c>
      <c r="BW12" s="1">
        <v>4.4477003891650213E-2</v>
      </c>
      <c r="BX12" s="1">
        <v>1.5984151640729909E-2</v>
      </c>
      <c r="BY12" s="1">
        <v>5.8929916357564061E-2</v>
      </c>
      <c r="BZ12" s="1">
        <v>4.5004028183990907E-2</v>
      </c>
      <c r="CA12" s="1">
        <v>3.0447773502439771E-2</v>
      </c>
      <c r="CB12" s="1">
        <v>7.2475876072179202E-2</v>
      </c>
      <c r="CC12" s="1">
        <v>6.5566612627689896E-2</v>
      </c>
      <c r="CD12" s="1">
        <v>0.1109336335844525</v>
      </c>
      <c r="CE12" s="1">
        <v>0.15400701288974189</v>
      </c>
      <c r="CF12" s="1">
        <v>2.69933526266934E-2</v>
      </c>
      <c r="CG12" s="1">
        <v>4.9277959963080611E-2</v>
      </c>
      <c r="CH12" s="1">
        <v>6.4402640401794539E-2</v>
      </c>
      <c r="CI12" s="1">
        <v>3.5807412624148313E-2</v>
      </c>
      <c r="CJ12" s="1">
        <v>5.4120066914195013E-2</v>
      </c>
      <c r="CK12" s="1">
        <v>5.6101440647790192E-2</v>
      </c>
      <c r="CL12" s="1">
        <v>0.11801560766961031</v>
      </c>
      <c r="CM12" s="1">
        <v>7.170838801721216E-2</v>
      </c>
      <c r="CN12" s="1">
        <v>7.8465204010806408E-2</v>
      </c>
      <c r="CO12" s="1">
        <v>7.129224287359176E-2</v>
      </c>
      <c r="CP12" s="1">
        <v>4.5040195605567372E-2</v>
      </c>
      <c r="CQ12" s="1">
        <v>6.2684347003574781E-2</v>
      </c>
      <c r="CR12" s="1">
        <v>5.7159986521513537E-2</v>
      </c>
      <c r="CS12" s="1">
        <v>9.7857359485265666E-4</v>
      </c>
      <c r="CT12" s="1">
        <v>3.2114010608049207E-2</v>
      </c>
      <c r="CU12" s="1">
        <v>7.4779529281356755E-2</v>
      </c>
      <c r="CV12" s="1">
        <v>6.5033306495688809E-2</v>
      </c>
      <c r="CW12" s="1">
        <v>1.303666937857764E-2</v>
      </c>
      <c r="CX12" s="1">
        <v>6.0989882536991821E-2</v>
      </c>
      <c r="CY12" s="1">
        <v>4.6072977665454977E-2</v>
      </c>
      <c r="CZ12" s="1">
        <v>7.9607283258604278E-2</v>
      </c>
      <c r="DA12" s="1">
        <v>3.6978661359195177E-2</v>
      </c>
      <c r="DB12" s="1">
        <v>8.8981816498044958E-2</v>
      </c>
      <c r="DC12" s="1">
        <v>3.3044377283177662E-2</v>
      </c>
      <c r="DD12" s="1">
        <v>6.9960545734343293E-2</v>
      </c>
      <c r="DE12" s="1">
        <v>2.473764441509509E-2</v>
      </c>
      <c r="DF12" s="1">
        <v>5.5485734082072989E-2</v>
      </c>
      <c r="DG12" s="1">
        <v>4.6409817779524638E-2</v>
      </c>
      <c r="DH12" s="1">
        <v>6.1195154788316948E-2</v>
      </c>
      <c r="DI12" s="1">
        <v>5.9749067779748748E-2</v>
      </c>
      <c r="DJ12" s="1">
        <v>4.1378042935671537E-2</v>
      </c>
      <c r="DK12" s="1">
        <v>3.192819933259558E-2</v>
      </c>
      <c r="DL12" s="1">
        <v>1.8669833333803051E-2</v>
      </c>
      <c r="DM12" s="1">
        <v>1.9237693580560929E-2</v>
      </c>
      <c r="DN12" s="1">
        <v>3.9228342632839641E-2</v>
      </c>
      <c r="DO12" s="1">
        <v>3.055694210149084E-2</v>
      </c>
      <c r="DP12" s="1">
        <v>5.940869455666041E-2</v>
      </c>
      <c r="DQ12" s="1">
        <v>7.454064748047276E-2</v>
      </c>
      <c r="DR12" s="1">
        <v>1.8778943279386909E-2</v>
      </c>
      <c r="DS12" s="1">
        <v>6.9650552069699723E-2</v>
      </c>
      <c r="DT12" s="1">
        <v>2.481384156258673E-2</v>
      </c>
      <c r="DU12" s="1">
        <v>5.7230283144308662E-2</v>
      </c>
      <c r="DV12" s="1">
        <v>5.2173183809525722E-2</v>
      </c>
      <c r="DW12" s="1">
        <v>4.4967834212525502E-2</v>
      </c>
      <c r="DX12" s="1">
        <v>4.961920680322747E-2</v>
      </c>
      <c r="DY12" s="1">
        <v>5.314531088761007E-2</v>
      </c>
      <c r="DZ12" s="1">
        <v>6.1855960989034824E-3</v>
      </c>
      <c r="EA12" s="1">
        <v>0.113127041749137</v>
      </c>
      <c r="EB12" s="1">
        <v>3.052577681784166E-2</v>
      </c>
      <c r="EC12" s="1">
        <v>2.665150957966532E-2</v>
      </c>
      <c r="ED12" s="1">
        <v>5.6628035807395602E-2</v>
      </c>
      <c r="EE12" s="1">
        <v>2.6506892161147651E-2</v>
      </c>
      <c r="EF12" s="33">
        <v>-3.9233348038795662E-2</v>
      </c>
      <c r="EG12" s="3"/>
    </row>
    <row r="13" spans="1:137" ht="16">
      <c r="A13" s="6">
        <v>20</v>
      </c>
      <c r="B13" s="6">
        <v>48</v>
      </c>
      <c r="C13" s="9">
        <v>0.104112750252762</v>
      </c>
      <c r="D13" s="9">
        <v>0.1237450287927722</v>
      </c>
      <c r="E13" s="9">
        <v>6.986155635280647E-2</v>
      </c>
      <c r="F13" s="9">
        <v>5.9986526692922967E-2</v>
      </c>
      <c r="G13" s="9">
        <v>1.204740430010594E-2</v>
      </c>
      <c r="H13" s="9">
        <v>2.9989631725721271E-2</v>
      </c>
      <c r="I13" s="9">
        <v>3.731568416166707E-2</v>
      </c>
      <c r="J13" s="9">
        <v>3.6406901371248579E-2</v>
      </c>
      <c r="K13" s="9">
        <v>6.0326139227570137E-2</v>
      </c>
      <c r="L13" s="2">
        <v>6.025161293653639E-3</v>
      </c>
      <c r="M13" s="2">
        <v>3.279758226004716E-3</v>
      </c>
      <c r="N13" s="2">
        <v>9.9806916956670599E-2</v>
      </c>
      <c r="O13" s="1">
        <v>1.7422698810949929E-2</v>
      </c>
      <c r="P13" s="1">
        <v>2.110407262300577E-2</v>
      </c>
      <c r="Q13" s="1">
        <v>4.0198198062989007E-2</v>
      </c>
      <c r="R13" s="1">
        <v>1.6841702109824989E-2</v>
      </c>
      <c r="S13" s="1">
        <v>0.1229152980035506</v>
      </c>
      <c r="T13" s="1">
        <v>7.4234081511722602E-2</v>
      </c>
      <c r="U13" s="1">
        <v>5.5957470530744333E-2</v>
      </c>
      <c r="V13" s="1">
        <v>5.398776977773833E-2</v>
      </c>
      <c r="W13" s="1">
        <v>7.5476561860150213E-2</v>
      </c>
      <c r="X13" s="1">
        <v>0.1211277708527381</v>
      </c>
      <c r="Y13" s="1">
        <v>2.3265060624265751E-2</v>
      </c>
      <c r="Z13" s="1">
        <v>7.3529552558927375E-2</v>
      </c>
      <c r="AA13" s="1">
        <v>4.7712648450258202E-2</v>
      </c>
      <c r="AB13" s="1">
        <v>4.6782349815727153E-2</v>
      </c>
      <c r="AC13" s="1">
        <v>6.6771700381929838E-2</v>
      </c>
      <c r="AD13" s="1">
        <v>2.1543689785275391E-2</v>
      </c>
      <c r="AE13" s="1">
        <v>7.7071416726800693E-2</v>
      </c>
      <c r="AF13" s="1">
        <v>7.3281160828311195E-2</v>
      </c>
      <c r="AG13" s="1">
        <v>3.1681783055002889E-2</v>
      </c>
      <c r="AH13" s="1">
        <v>1.134035233784291E-2</v>
      </c>
      <c r="AI13" s="1">
        <v>1.9909910220413461E-2</v>
      </c>
      <c r="AJ13" s="1">
        <v>-1.8507843536879679E-2</v>
      </c>
      <c r="AK13" s="1">
        <v>6.5987912810655983E-2</v>
      </c>
      <c r="AL13" s="1">
        <v>2.2550357586536819E-2</v>
      </c>
      <c r="AM13" s="1">
        <v>4.5764674553409497E-2</v>
      </c>
      <c r="AN13" s="1">
        <v>0.10533023813603409</v>
      </c>
      <c r="AO13" s="1">
        <v>-1.708846688635377E-3</v>
      </c>
      <c r="AP13" s="1">
        <v>5.9538220172873177E-2</v>
      </c>
      <c r="AQ13" s="1">
        <v>1.108299446312281E-2</v>
      </c>
      <c r="AR13" s="1">
        <v>-9.2507324832761806E-3</v>
      </c>
      <c r="AS13" s="1">
        <v>2.340496354159733E-2</v>
      </c>
      <c r="AT13" s="1">
        <v>8.6422914727599456E-2</v>
      </c>
      <c r="AU13" s="1">
        <v>7.6784333628374363E-2</v>
      </c>
      <c r="AV13" s="1">
        <v>7.9665975648470111E-2</v>
      </c>
      <c r="AW13" s="1">
        <v>2.6821237970380961E-2</v>
      </c>
      <c r="AX13" s="1">
        <v>3.2799832135855793E-2</v>
      </c>
      <c r="AY13" s="1">
        <v>1.5767643403076691E-2</v>
      </c>
      <c r="AZ13" s="1">
        <v>5.5449775955565078E-2</v>
      </c>
      <c r="BA13" s="1">
        <v>7.9829120343788335E-2</v>
      </c>
      <c r="BB13" s="1">
        <v>2.2547400974778972E-2</v>
      </c>
      <c r="BC13" s="1">
        <v>1.9110867274842121E-2</v>
      </c>
      <c r="BD13" s="1">
        <v>4.1676313746669733E-2</v>
      </c>
      <c r="BE13" s="1">
        <v>4.3773789385783149E-2</v>
      </c>
      <c r="BF13" s="1">
        <v>0.1216571432659557</v>
      </c>
      <c r="BG13" s="1">
        <v>8.8397545856320758E-2</v>
      </c>
      <c r="BH13" s="1">
        <v>4.1023656192192059E-2</v>
      </c>
      <c r="BI13" s="1">
        <v>5.2788119566948358E-2</v>
      </c>
      <c r="BJ13" s="1">
        <v>5.1451918959922252E-2</v>
      </c>
      <c r="BK13" s="1">
        <v>2.5125773363192039E-2</v>
      </c>
      <c r="BL13" s="1">
        <v>3.4460040448450822E-2</v>
      </c>
      <c r="BM13" s="1">
        <v>5.3371768695190711E-2</v>
      </c>
      <c r="BN13" s="1">
        <v>-4.1015372255685661E-3</v>
      </c>
      <c r="BO13" s="1">
        <v>3.1735312331920007E-2</v>
      </c>
      <c r="BP13" s="1">
        <v>7.9511464177746127E-3</v>
      </c>
      <c r="BQ13" s="1">
        <v>4.0819096771410421E-2</v>
      </c>
      <c r="BR13" s="1">
        <v>7.9831456823332952E-2</v>
      </c>
      <c r="BS13" s="1">
        <v>4.0180514361416918E-2</v>
      </c>
      <c r="BT13" s="1">
        <v>3.3667769757919172E-2</v>
      </c>
      <c r="BU13" s="1">
        <v>7.4658168009773873E-2</v>
      </c>
      <c r="BV13" s="1">
        <v>7.993083410105746E-2</v>
      </c>
      <c r="BW13" s="1">
        <v>7.5714005636679543E-2</v>
      </c>
      <c r="BX13" s="1">
        <v>1.477434776242115E-3</v>
      </c>
      <c r="BY13" s="1">
        <v>3.9201956575141438E-2</v>
      </c>
      <c r="BZ13" s="1">
        <v>7.6927870724428568E-2</v>
      </c>
      <c r="CA13" s="1">
        <v>3.3531565600396843E-2</v>
      </c>
      <c r="CB13" s="1">
        <v>0.1204269717320352</v>
      </c>
      <c r="CC13" s="1">
        <v>0.12011817373823321</v>
      </c>
      <c r="CD13" s="1">
        <v>0.1054918782280385</v>
      </c>
      <c r="CE13" s="1">
        <v>0.18382783645560871</v>
      </c>
      <c r="CF13" s="1">
        <v>4.6939452833226827E-2</v>
      </c>
      <c r="CG13" s="1">
        <v>5.8014967807239352E-2</v>
      </c>
      <c r="CH13" s="1">
        <v>5.8334611827207179E-2</v>
      </c>
      <c r="CI13" s="1">
        <v>5.1853509134263308E-2</v>
      </c>
      <c r="CJ13" s="1">
        <v>5.4810180678840081E-2</v>
      </c>
      <c r="CK13" s="1">
        <v>6.568712626679736E-2</v>
      </c>
      <c r="CL13" s="1">
        <v>8.4304391314503832E-2</v>
      </c>
      <c r="CM13" s="1">
        <v>0.1014522187140186</v>
      </c>
      <c r="CN13" s="1">
        <v>0.1009941666481943</v>
      </c>
      <c r="CO13" s="1">
        <v>8.5566239308076567E-2</v>
      </c>
      <c r="CP13" s="1">
        <v>7.0797472483089319E-2</v>
      </c>
      <c r="CQ13" s="1">
        <v>7.1178864968403879E-2</v>
      </c>
      <c r="CR13" s="1">
        <v>0.11164488638047471</v>
      </c>
      <c r="CS13" s="1">
        <v>9.5676536651352964E-3</v>
      </c>
      <c r="CT13" s="1">
        <v>4.3462267969052323E-2</v>
      </c>
      <c r="CU13" s="1">
        <v>0.1070909617136374</v>
      </c>
      <c r="CV13" s="1">
        <v>7.7656051256972655E-2</v>
      </c>
      <c r="CW13" s="1">
        <v>3.6309119756433333E-2</v>
      </c>
      <c r="CX13" s="1">
        <v>6.0643761635319787E-2</v>
      </c>
      <c r="CY13" s="1">
        <v>6.4973824772045288E-2</v>
      </c>
      <c r="CZ13" s="1">
        <v>5.7224220353485081E-2</v>
      </c>
      <c r="DA13" s="1">
        <v>4.9446033684878987E-2</v>
      </c>
      <c r="DB13" s="1">
        <v>0.1062353213029535</v>
      </c>
      <c r="DC13" s="1">
        <v>2.974018533372624E-2</v>
      </c>
      <c r="DD13" s="1">
        <v>6.8977058924383439E-2</v>
      </c>
      <c r="DE13" s="1">
        <v>2.2441996429236041E-2</v>
      </c>
      <c r="DF13" s="1">
        <v>8.3122187068030401E-2</v>
      </c>
      <c r="DG13" s="1">
        <v>4.7729083606459492E-2</v>
      </c>
      <c r="DH13" s="1">
        <v>8.8720600946307043E-2</v>
      </c>
      <c r="DI13" s="1">
        <v>8.9748563547494192E-2</v>
      </c>
      <c r="DJ13" s="1">
        <v>7.0211236155579976E-3</v>
      </c>
      <c r="DK13" s="1">
        <v>1.9386633863858971E-2</v>
      </c>
      <c r="DL13" s="1">
        <v>2.2050690678088229E-2</v>
      </c>
      <c r="DM13" s="1">
        <v>-5.3162261047300097E-4</v>
      </c>
      <c r="DN13" s="1">
        <v>1.4839797780264639E-2</v>
      </c>
      <c r="DO13" s="1">
        <v>3.786346508479279E-2</v>
      </c>
      <c r="DP13" s="1">
        <v>5.8032308890701621E-2</v>
      </c>
      <c r="DQ13" s="1">
        <v>8.5310356651892572E-2</v>
      </c>
      <c r="DR13" s="1">
        <v>1.377120927231195E-2</v>
      </c>
      <c r="DS13" s="1">
        <v>6.8596852640390865E-2</v>
      </c>
      <c r="DT13" s="1">
        <v>2.984580916100325E-2</v>
      </c>
      <c r="DU13" s="1">
        <v>3.3006159442618463E-2</v>
      </c>
      <c r="DV13" s="1">
        <v>7.9620144024188585E-2</v>
      </c>
      <c r="DW13" s="1">
        <v>4.2028685712200531E-2</v>
      </c>
      <c r="DX13" s="1">
        <v>6.4641919490531136E-2</v>
      </c>
      <c r="DY13" s="1">
        <v>5.6981339047558928E-2</v>
      </c>
      <c r="DZ13" s="1">
        <v>1.8302124146301679E-2</v>
      </c>
      <c r="EA13" s="1">
        <v>0.1244689581490709</v>
      </c>
      <c r="EB13" s="1">
        <v>5.7205292748389071E-2</v>
      </c>
      <c r="EC13" s="1">
        <v>4.1659753435228923E-2</v>
      </c>
      <c r="ED13" s="1">
        <v>6.5682093659234941E-2</v>
      </c>
      <c r="EE13" s="1">
        <v>4.1234383995911603E-2</v>
      </c>
      <c r="EF13" s="1">
        <v>-6.7291156741452279E-2</v>
      </c>
      <c r="EG13" s="3"/>
    </row>
    <row r="14" spans="1:137" ht="16">
      <c r="A14" s="6">
        <v>50</v>
      </c>
      <c r="B14" s="6">
        <v>19</v>
      </c>
      <c r="C14" s="9">
        <v>0.1199414897527061</v>
      </c>
      <c r="D14" s="9">
        <v>0.22230844854062601</v>
      </c>
      <c r="E14" s="9">
        <v>9.8768248142222084E-2</v>
      </c>
      <c r="F14" s="9">
        <v>6.0341904906032563E-2</v>
      </c>
      <c r="G14" s="9">
        <v>5.365663044278067E-2</v>
      </c>
      <c r="H14" s="9">
        <v>5.9587806435440108E-2</v>
      </c>
      <c r="I14" s="9">
        <v>4.3787359823142288E-2</v>
      </c>
      <c r="J14" s="9">
        <v>1.861218086468264E-2</v>
      </c>
      <c r="K14" s="9">
        <v>5.082746626084797E-2</v>
      </c>
      <c r="L14" s="2">
        <v>8.4804475655485111E-3</v>
      </c>
      <c r="M14" s="2">
        <v>-1.902171446498398E-2</v>
      </c>
      <c r="N14" s="2">
        <v>0.20483257514122591</v>
      </c>
      <c r="O14" s="1">
        <v>1.494407938548527E-3</v>
      </c>
      <c r="P14" s="1">
        <v>5.8345921898241213E-2</v>
      </c>
      <c r="Q14" s="1">
        <v>0.12456767616484429</v>
      </c>
      <c r="R14" s="1">
        <v>-1.5941187297101821E-2</v>
      </c>
      <c r="S14" s="1">
        <v>0.1658932271847087</v>
      </c>
      <c r="T14" s="1">
        <v>3.5019554834400057E-2</v>
      </c>
      <c r="U14" s="1">
        <v>0.1101925283607786</v>
      </c>
      <c r="V14" s="1">
        <v>2.4435026897493429E-2</v>
      </c>
      <c r="W14" s="1">
        <v>0.1161657905318967</v>
      </c>
      <c r="X14" s="1">
        <v>0.1866856956103469</v>
      </c>
      <c r="Y14" s="1">
        <v>1.756018089919299E-3</v>
      </c>
      <c r="Z14" s="1">
        <v>3.8511926280307661E-2</v>
      </c>
      <c r="AA14" s="1">
        <v>9.9905879497324768E-2</v>
      </c>
      <c r="AB14" s="1">
        <v>6.7753922577577369E-2</v>
      </c>
      <c r="AC14" s="1">
        <v>-3.0865623387892789E-3</v>
      </c>
      <c r="AD14" s="1">
        <v>3.9327892190029891E-2</v>
      </c>
      <c r="AE14" s="1">
        <v>0.11683691983956609</v>
      </c>
      <c r="AF14" s="1">
        <v>9.6080095456633638E-2</v>
      </c>
      <c r="AG14" s="1">
        <v>1.8490820215532919E-2</v>
      </c>
      <c r="AH14" s="1">
        <v>-3.3462742209097521E-3</v>
      </c>
      <c r="AI14" s="1">
        <v>1.096457068257391E-2</v>
      </c>
      <c r="AJ14" s="1">
        <v>1.505903608315101E-2</v>
      </c>
      <c r="AK14" s="1">
        <v>6.6326746155924196E-2</v>
      </c>
      <c r="AL14" s="1">
        <v>1.8559542258206829E-2</v>
      </c>
      <c r="AM14" s="1">
        <v>6.8283273401007955E-2</v>
      </c>
      <c r="AN14" s="1">
        <v>9.2260489203576102E-2</v>
      </c>
      <c r="AO14" s="1">
        <v>-3.8044352542061337E-2</v>
      </c>
      <c r="AP14" s="1">
        <v>6.9976525152084218E-2</v>
      </c>
      <c r="AQ14" s="1">
        <v>8.1284167078287603E-3</v>
      </c>
      <c r="AR14" s="1">
        <v>-1.817082301888524E-2</v>
      </c>
      <c r="AS14" s="1">
        <v>-6.6693383896894304E-3</v>
      </c>
      <c r="AT14" s="1">
        <v>7.9403479710638034E-2</v>
      </c>
      <c r="AU14" s="1">
        <v>0.1378524760527356</v>
      </c>
      <c r="AV14" s="1">
        <v>6.6258749216258558E-2</v>
      </c>
      <c r="AW14" s="1">
        <v>5.3928681229427317E-2</v>
      </c>
      <c r="AX14" s="1">
        <v>1.937021337549057E-2</v>
      </c>
      <c r="AY14" s="1">
        <v>1.5068118771761551E-2</v>
      </c>
      <c r="AZ14" s="1">
        <v>2.5628927509464609E-2</v>
      </c>
      <c r="BA14" s="1">
        <v>9.6337325355973974E-2</v>
      </c>
      <c r="BB14" s="1">
        <v>0.1103112489011205</v>
      </c>
      <c r="BC14" s="1">
        <v>-2.8505683499306132E-2</v>
      </c>
      <c r="BD14" s="1">
        <v>4.3496923161485318E-2</v>
      </c>
      <c r="BE14" s="1">
        <v>7.0081770149328954E-2</v>
      </c>
      <c r="BF14" s="1">
        <v>0.15382926157400831</v>
      </c>
      <c r="BG14" s="1">
        <v>0.12530530643958979</v>
      </c>
      <c r="BH14" s="1">
        <v>7.3413464178725074E-2</v>
      </c>
      <c r="BI14" s="1">
        <v>5.2014235626168727E-2</v>
      </c>
      <c r="BJ14" s="1">
        <v>2.401693368563616E-2</v>
      </c>
      <c r="BK14" s="1">
        <v>-3.3237381978330927E-2</v>
      </c>
      <c r="BL14" s="1">
        <v>5.9996895527440267E-2</v>
      </c>
      <c r="BM14" s="1">
        <v>4.6278325003000387E-2</v>
      </c>
      <c r="BN14" s="1">
        <v>-4.5371706308739268E-2</v>
      </c>
      <c r="BO14" s="1">
        <v>3.3609045677264478E-2</v>
      </c>
      <c r="BP14" s="1">
        <v>-5.0332283327745371E-2</v>
      </c>
      <c r="BQ14" s="1">
        <v>1.204942278513583E-2</v>
      </c>
      <c r="BR14" s="1">
        <v>0.10005242307538641</v>
      </c>
      <c r="BS14" s="1">
        <v>3.033272398677064E-2</v>
      </c>
      <c r="BT14" s="1">
        <v>-1.528792790337284E-2</v>
      </c>
      <c r="BU14" s="1">
        <v>0.1111594543137447</v>
      </c>
      <c r="BV14" s="1">
        <v>0.10798163319999469</v>
      </c>
      <c r="BW14" s="1">
        <v>0.13089750855718529</v>
      </c>
      <c r="BX14" s="1">
        <v>-3.0713422466640411E-4</v>
      </c>
      <c r="BY14" s="1">
        <v>-4.2604489653349287E-2</v>
      </c>
      <c r="BZ14" s="1">
        <v>0.1117805205315809</v>
      </c>
      <c r="CA14" s="1">
        <v>2.4465266114937059E-2</v>
      </c>
      <c r="CB14" s="1">
        <v>0.16446550132190671</v>
      </c>
      <c r="CC14" s="1">
        <v>0.1205961585891825</v>
      </c>
      <c r="CD14" s="1">
        <v>9.8016709932197743E-2</v>
      </c>
      <c r="CE14" s="1">
        <v>0.1705553024885505</v>
      </c>
      <c r="CF14" s="1">
        <v>9.5391142389366815E-2</v>
      </c>
      <c r="CG14" s="1">
        <v>5.7320663667820557E-2</v>
      </c>
      <c r="CH14" s="1">
        <v>6.4661392278217086E-2</v>
      </c>
      <c r="CI14" s="1">
        <v>0.1058847773633588</v>
      </c>
      <c r="CJ14" s="1">
        <v>1.7796116349141369E-2</v>
      </c>
      <c r="CK14" s="1">
        <v>5.3792086513992948E-2</v>
      </c>
      <c r="CL14" s="1">
        <v>6.2269954878836457E-2</v>
      </c>
      <c r="CM14" s="1">
        <v>0.1100689729727095</v>
      </c>
      <c r="CN14" s="1">
        <v>0.17459567468505729</v>
      </c>
      <c r="CO14" s="1">
        <v>0.17324915395395429</v>
      </c>
      <c r="CP14" s="1">
        <v>9.9809331481752847E-2</v>
      </c>
      <c r="CQ14" s="1">
        <v>3.2227899887387723E-2</v>
      </c>
      <c r="CR14" s="1">
        <v>0.207719712590648</v>
      </c>
      <c r="CS14" s="1">
        <v>-4.4126335332496502E-3</v>
      </c>
      <c r="CT14" s="1">
        <v>6.1872352391601541E-2</v>
      </c>
      <c r="CU14" s="1">
        <v>0.1015449999567145</v>
      </c>
      <c r="CV14" s="1">
        <v>0.15139684115763319</v>
      </c>
      <c r="CW14" s="1">
        <v>4.476388444326003E-2</v>
      </c>
      <c r="CX14" s="1">
        <v>3.2764329086583478E-2</v>
      </c>
      <c r="CY14" s="1">
        <v>5.0137743473948962E-2</v>
      </c>
      <c r="CZ14" s="1">
        <v>6.4063563350383351E-2</v>
      </c>
      <c r="DA14" s="1">
        <v>6.5393327424540099E-2</v>
      </c>
      <c r="DB14" s="1">
        <v>0.1046074411002299</v>
      </c>
      <c r="DC14" s="1">
        <v>2.7534092600391691E-2</v>
      </c>
      <c r="DD14" s="1">
        <v>7.9205351848184558E-2</v>
      </c>
      <c r="DE14" s="1">
        <v>6.2526924006459039E-2</v>
      </c>
      <c r="DF14" s="1">
        <v>0.20156283946711201</v>
      </c>
      <c r="DG14" s="1">
        <v>4.5583395726898353E-2</v>
      </c>
      <c r="DH14" s="1">
        <v>5.8741194166373682E-2</v>
      </c>
      <c r="DI14" s="1">
        <v>8.6646448298485237E-2</v>
      </c>
      <c r="DJ14" s="1">
        <v>8.794029387320771E-3</v>
      </c>
      <c r="DK14" s="1">
        <v>8.1621549503858692E-2</v>
      </c>
      <c r="DL14" s="1">
        <v>4.0754871831899041E-2</v>
      </c>
      <c r="DM14" s="1">
        <v>1.1211497377604761E-3</v>
      </c>
      <c r="DN14" s="1">
        <v>3.9851707566544763E-2</v>
      </c>
      <c r="DO14" s="1">
        <v>0.1025921893632338</v>
      </c>
      <c r="DP14" s="1">
        <v>6.2914808070300282E-2</v>
      </c>
      <c r="DQ14" s="1">
        <v>7.1172564581132983E-2</v>
      </c>
      <c r="DR14" s="1">
        <v>5.2622519458999553E-2</v>
      </c>
      <c r="DS14" s="1">
        <v>5.6051819928563652E-2</v>
      </c>
      <c r="DT14" s="1">
        <v>7.7542903390828534E-3</v>
      </c>
      <c r="DU14" s="1">
        <v>6.8795273192164358E-2</v>
      </c>
      <c r="DV14" s="1">
        <v>0.10826235453010739</v>
      </c>
      <c r="DW14" s="1">
        <v>1.8093095085160919E-3</v>
      </c>
      <c r="DX14" s="1">
        <v>0.10216121988583909</v>
      </c>
      <c r="DY14" s="1">
        <v>7.42587000787506E-2</v>
      </c>
      <c r="DZ14" s="1">
        <v>3.5030999863780207E-2</v>
      </c>
      <c r="EA14" s="1">
        <v>6.2912684572741615E-2</v>
      </c>
      <c r="EB14" s="1">
        <v>7.8179830700263145E-2</v>
      </c>
      <c r="EC14" s="1">
        <v>6.0793821481329863E-3</v>
      </c>
      <c r="ED14" s="1">
        <v>0.102629709186187</v>
      </c>
      <c r="EE14" s="1">
        <v>-3.3992535180725199E-3</v>
      </c>
      <c r="EF14" s="1">
        <v>-6.6632346729412442E-2</v>
      </c>
      <c r="EG14" s="3"/>
    </row>
    <row r="15" spans="1:137" ht="16">
      <c r="A15" s="6">
        <v>100</v>
      </c>
      <c r="B15" s="6">
        <v>10</v>
      </c>
      <c r="C15" s="9">
        <v>0.22764465877785839</v>
      </c>
      <c r="D15" s="9">
        <v>0.37270921560992559</v>
      </c>
      <c r="E15" s="9">
        <v>6.6038487211205671E-2</v>
      </c>
      <c r="F15" s="9">
        <v>-3.4921436556697362E-2</v>
      </c>
      <c r="G15" s="9">
        <v>3.4403920967036511E-2</v>
      </c>
      <c r="H15" s="9">
        <v>0.1188437037073593</v>
      </c>
      <c r="I15" s="9">
        <v>5.843144427986554E-2</v>
      </c>
      <c r="J15" s="9">
        <v>4.9961465247389647E-2</v>
      </c>
      <c r="K15" s="9">
        <v>9.4514797591930863E-2</v>
      </c>
      <c r="L15" s="2">
        <v>-1.296708496104036E-2</v>
      </c>
      <c r="M15" s="2">
        <v>-2.1330164362876949E-3</v>
      </c>
      <c r="N15" s="2">
        <v>0.33030933686480712</v>
      </c>
      <c r="O15" s="1">
        <v>-1.227079575915271E-2</v>
      </c>
      <c r="P15" s="1">
        <v>6.4116183021661763E-2</v>
      </c>
      <c r="Q15" s="1">
        <v>0.15553684210781249</v>
      </c>
      <c r="R15" s="1">
        <v>-5.2129690105117463E-2</v>
      </c>
      <c r="S15" s="1">
        <v>0.27023204597070688</v>
      </c>
      <c r="T15" s="1">
        <v>4.589107711718423E-2</v>
      </c>
      <c r="U15" s="1">
        <v>0.1369680616672688</v>
      </c>
      <c r="V15" s="1">
        <v>-1.713185334811276E-2</v>
      </c>
      <c r="W15" s="1">
        <v>0.10693455515793319</v>
      </c>
      <c r="X15" s="1">
        <v>0.2111863273303817</v>
      </c>
      <c r="Y15" s="1">
        <v>-1.1689718055335649E-2</v>
      </c>
      <c r="Z15" s="1">
        <v>4.6719972053358677E-2</v>
      </c>
      <c r="AA15" s="1">
        <v>0.16085038421306441</v>
      </c>
      <c r="AB15" s="1">
        <v>6.6775213871771322E-2</v>
      </c>
      <c r="AC15" s="1">
        <v>4.3176688480551229E-3</v>
      </c>
      <c r="AD15" s="1">
        <v>3.969048112770826E-2</v>
      </c>
      <c r="AE15" s="1">
        <v>0.21179264304727199</v>
      </c>
      <c r="AF15" s="1">
        <v>0.13772628717765439</v>
      </c>
      <c r="AG15" s="1">
        <v>1.012347826165556E-2</v>
      </c>
      <c r="AH15" s="1">
        <v>-3.3604373357676472E-2</v>
      </c>
      <c r="AI15" s="1">
        <v>7.4276960210081885E-2</v>
      </c>
      <c r="AJ15" s="1">
        <v>9.4648599674757271E-3</v>
      </c>
      <c r="AK15" s="1">
        <v>5.7495575489853068E-2</v>
      </c>
      <c r="AL15" s="1">
        <v>-6.8817591114361193E-3</v>
      </c>
      <c r="AM15" s="1">
        <v>5.5122622134627111E-2</v>
      </c>
      <c r="AN15" s="1">
        <v>9.2861913417686348E-2</v>
      </c>
      <c r="AO15" s="1">
        <v>-5.1384520239967417E-2</v>
      </c>
      <c r="AP15" s="1">
        <v>8.645776651050277E-2</v>
      </c>
      <c r="AQ15" s="1">
        <v>1.9750987228359849E-2</v>
      </c>
      <c r="AR15" s="1">
        <v>-2.4550819698278738E-2</v>
      </c>
      <c r="AS15" s="1">
        <v>-4.8733221354101797E-2</v>
      </c>
      <c r="AT15" s="1">
        <v>7.098981260370496E-2</v>
      </c>
      <c r="AU15" s="1">
        <v>0.16710843106943041</v>
      </c>
      <c r="AV15" s="1">
        <v>3.7297928699110437E-2</v>
      </c>
      <c r="AW15" s="1">
        <v>9.1727472793350737E-2</v>
      </c>
      <c r="AX15" s="1">
        <v>8.1360565954768135E-2</v>
      </c>
      <c r="AY15" s="1">
        <v>2.8109416462786169E-2</v>
      </c>
      <c r="AZ15" s="1">
        <v>3.6847351752602578E-2</v>
      </c>
      <c r="BA15" s="1">
        <v>0.15768794840833861</v>
      </c>
      <c r="BB15" s="1">
        <v>0.1977131495043408</v>
      </c>
      <c r="BC15" s="1">
        <v>-3.0936691622350049E-2</v>
      </c>
      <c r="BD15" s="1">
        <v>7.3629159627057253E-3</v>
      </c>
      <c r="BE15" s="1">
        <v>4.1397970696908121E-2</v>
      </c>
      <c r="BF15" s="1">
        <v>0.21087208748998729</v>
      </c>
      <c r="BG15" s="1">
        <v>0.16605121546459681</v>
      </c>
      <c r="BH15" s="1">
        <v>9.8649046406420665E-2</v>
      </c>
      <c r="BI15" s="1">
        <v>6.8586659114969667E-2</v>
      </c>
      <c r="BJ15" s="1">
        <v>7.515389811367558E-2</v>
      </c>
      <c r="BK15" s="1">
        <v>-7.2869418882588882E-2</v>
      </c>
      <c r="BL15" s="1">
        <v>5.9755420974320878E-2</v>
      </c>
      <c r="BM15" s="1">
        <v>4.8219004487744091E-2</v>
      </c>
      <c r="BN15" s="1">
        <v>-6.6054035225581897E-2</v>
      </c>
      <c r="BO15" s="1">
        <v>2.773447595493098E-2</v>
      </c>
      <c r="BP15" s="1">
        <v>-5.1616854472064648E-2</v>
      </c>
      <c r="BQ15" s="1">
        <v>1.280293129032776E-2</v>
      </c>
      <c r="BR15" s="1">
        <v>0.1237621364364551</v>
      </c>
      <c r="BS15" s="1">
        <v>1.1865910908611719E-2</v>
      </c>
      <c r="BT15" s="1">
        <v>3.6633666195559952E-2</v>
      </c>
      <c r="BU15" s="1">
        <v>8.5545733721440226E-2</v>
      </c>
      <c r="BV15" s="1">
        <v>0.1046400442936901</v>
      </c>
      <c r="BW15" s="1">
        <v>0.29887898957592779</v>
      </c>
      <c r="BX15" s="1">
        <v>2.394943143734142E-2</v>
      </c>
      <c r="BY15" s="1">
        <v>-0.12602357357708691</v>
      </c>
      <c r="BZ15" s="1">
        <v>0.1029064689773473</v>
      </c>
      <c r="CA15" s="1">
        <v>1.859202079644226E-2</v>
      </c>
      <c r="CB15" s="1">
        <v>0.13109140278406139</v>
      </c>
      <c r="CC15" s="1">
        <v>0.17365170572211991</v>
      </c>
      <c r="CD15" s="1">
        <v>0.1201520839630844</v>
      </c>
      <c r="CE15" s="1">
        <v>7.3368120048450503E-2</v>
      </c>
      <c r="CF15" s="1">
        <v>9.846999441105124E-2</v>
      </c>
      <c r="CG15" s="1">
        <v>8.5886021530163795E-2</v>
      </c>
      <c r="CH15" s="1">
        <v>6.2885958283701346E-2</v>
      </c>
      <c r="CI15" s="1">
        <v>2.780307184099045E-2</v>
      </c>
      <c r="CJ15" s="1">
        <v>4.067171694706119E-2</v>
      </c>
      <c r="CK15" s="1">
        <v>9.5640748172705348E-2</v>
      </c>
      <c r="CL15" s="1">
        <v>3.1421974993248343E-2</v>
      </c>
      <c r="CM15" s="1">
        <v>0.1081197557129227</v>
      </c>
      <c r="CN15" s="1">
        <v>0.14314981697124041</v>
      </c>
      <c r="CO15" s="1">
        <v>0.17335998923904949</v>
      </c>
      <c r="CP15" s="1">
        <v>0.12753583543294969</v>
      </c>
      <c r="CQ15" s="1">
        <v>-2.49633604564388E-2</v>
      </c>
      <c r="CR15" s="1">
        <v>0.1814889322357352</v>
      </c>
      <c r="CS15" s="1">
        <v>6.483051099045619E-3</v>
      </c>
      <c r="CT15" s="1">
        <v>3.2216556445052003E-2</v>
      </c>
      <c r="CU15" s="1">
        <v>0.12404993141386809</v>
      </c>
      <c r="CV15" s="1">
        <v>0.18261154771691629</v>
      </c>
      <c r="CW15" s="1">
        <v>2.6072090903126711E-2</v>
      </c>
      <c r="CX15" s="1">
        <v>2.4039607053330959E-2</v>
      </c>
      <c r="CY15" s="1">
        <v>5.5732710824827933E-2</v>
      </c>
      <c r="CZ15" s="1">
        <v>7.7145073940461578E-2</v>
      </c>
      <c r="DA15" s="1">
        <v>8.8862212197355878E-2</v>
      </c>
      <c r="DB15" s="1">
        <v>9.7048241525465193E-2</v>
      </c>
      <c r="DC15" s="1">
        <v>2.4821106930732879E-2</v>
      </c>
      <c r="DD15" s="1">
        <v>1.4506726131446251E-2</v>
      </c>
      <c r="DE15" s="1">
        <v>5.7163634731252522E-2</v>
      </c>
      <c r="DF15" s="1">
        <v>0.30272044964278222</v>
      </c>
      <c r="DG15" s="1">
        <v>4.7917484974342339E-2</v>
      </c>
      <c r="DH15" s="1">
        <v>0.1296219356678569</v>
      </c>
      <c r="DI15" s="1">
        <v>4.2811767213113319E-2</v>
      </c>
      <c r="DJ15" s="1">
        <v>6.0023776691057303E-2</v>
      </c>
      <c r="DK15" s="1">
        <v>0.1003289268680829</v>
      </c>
      <c r="DL15" s="1">
        <v>-3.0399320282784031E-4</v>
      </c>
      <c r="DM15" s="1">
        <v>-1.773264737208499E-3</v>
      </c>
      <c r="DN15" s="1">
        <v>4.3996497423619649E-2</v>
      </c>
      <c r="DO15" s="1">
        <v>0.15954541135927219</v>
      </c>
      <c r="DP15" s="1">
        <v>0.1343049473653663</v>
      </c>
      <c r="DQ15" s="1">
        <v>3.7038688952197418E-2</v>
      </c>
      <c r="DR15" s="1">
        <v>3.9785608055100882E-2</v>
      </c>
      <c r="DS15" s="1">
        <v>3.7530143777968331E-2</v>
      </c>
      <c r="DT15" s="1">
        <v>5.2718789989069627E-2</v>
      </c>
      <c r="DU15" s="1">
        <v>0.1171276535106479</v>
      </c>
      <c r="DV15" s="1">
        <v>0.13976835694087139</v>
      </c>
      <c r="DW15" s="1">
        <v>-6.0826326337380818E-2</v>
      </c>
      <c r="DX15" s="1">
        <v>0.1186162506499864</v>
      </c>
      <c r="DY15" s="1">
        <v>0.14360957438078251</v>
      </c>
      <c r="DZ15" s="1">
        <v>4.0455653304009277E-2</v>
      </c>
      <c r="EA15" s="1">
        <v>4.3451220280325283E-2</v>
      </c>
      <c r="EB15" s="1">
        <v>8.8087449527254919E-2</v>
      </c>
      <c r="EC15" s="1">
        <v>5.0736498768636222E-2</v>
      </c>
      <c r="ED15" s="1">
        <v>0.1133570559353114</v>
      </c>
      <c r="EE15" s="1">
        <v>3.1907205015268242E-3</v>
      </c>
      <c r="EF15" s="1">
        <v>-6.2208305239075959E-2</v>
      </c>
      <c r="EG15" s="3"/>
    </row>
    <row r="16" spans="1:137" ht="16">
      <c r="A16" s="6">
        <v>107</v>
      </c>
      <c r="B16" s="6">
        <v>9</v>
      </c>
      <c r="C16" s="9">
        <v>0.20787477708292909</v>
      </c>
      <c r="D16" s="9">
        <v>0.40819497873258059</v>
      </c>
      <c r="E16" s="9">
        <v>6.5006577111328206E-2</v>
      </c>
      <c r="F16" s="9">
        <v>-7.871547190433098E-2</v>
      </c>
      <c r="G16" s="9">
        <v>8.1465506589492587E-3</v>
      </c>
      <c r="H16" s="9">
        <v>7.2848056287647484E-2</v>
      </c>
      <c r="I16" s="9">
        <v>5.7530618665621418E-2</v>
      </c>
      <c r="J16" s="9">
        <v>4.6709926042666168E-2</v>
      </c>
      <c r="K16" s="9">
        <v>8.642089158239058E-2</v>
      </c>
      <c r="L16" s="2">
        <v>-3.1027150965473069E-2</v>
      </c>
      <c r="M16" s="2">
        <v>-1.398743586191707E-2</v>
      </c>
      <c r="N16" s="2">
        <v>0.36698760912258638</v>
      </c>
      <c r="O16" s="1">
        <v>-2.8587076878979191E-2</v>
      </c>
      <c r="P16" s="1">
        <v>6.1045231791422301E-2</v>
      </c>
      <c r="Q16" s="1">
        <v>0.15790307042433799</v>
      </c>
      <c r="R16" s="1">
        <v>-4.8990978282926513E-2</v>
      </c>
      <c r="S16" s="1">
        <v>0.28545460426372588</v>
      </c>
      <c r="T16" s="1">
        <v>3.8406673293611977E-2</v>
      </c>
      <c r="U16" s="1">
        <v>0.1300624714297445</v>
      </c>
      <c r="V16" s="1">
        <v>-6.0221453329656893E-3</v>
      </c>
      <c r="W16" s="1">
        <v>7.8373488027637828E-2</v>
      </c>
      <c r="X16" s="1">
        <v>0.24053196162716611</v>
      </c>
      <c r="Y16" s="1">
        <v>-2.0180588419635579E-2</v>
      </c>
      <c r="Z16" s="1">
        <v>4.3057930884211712E-2</v>
      </c>
      <c r="AA16" s="1">
        <v>0.16615889129731709</v>
      </c>
      <c r="AB16" s="1">
        <v>7.4985041637980407E-2</v>
      </c>
      <c r="AC16" s="1">
        <v>-1.27654480354167E-2</v>
      </c>
      <c r="AD16" s="1">
        <v>3.4811171857251473E-2</v>
      </c>
      <c r="AE16" s="1">
        <v>0.20962824117691051</v>
      </c>
      <c r="AF16" s="1">
        <v>0.14791561026442651</v>
      </c>
      <c r="AG16" s="1">
        <v>1.32907530365354E-2</v>
      </c>
      <c r="AH16" s="1">
        <v>-3.1765400449440553E-2</v>
      </c>
      <c r="AI16" s="1">
        <v>9.0522649217154846E-2</v>
      </c>
      <c r="AJ16" s="1">
        <v>-7.0259660718760622E-3</v>
      </c>
      <c r="AK16" s="1">
        <v>6.4421400832372078E-2</v>
      </c>
      <c r="AL16" s="1">
        <v>-1.4472511517458609E-2</v>
      </c>
      <c r="AM16" s="1">
        <v>6.6076730601797973E-2</v>
      </c>
      <c r="AN16" s="1">
        <v>0.1064562000896756</v>
      </c>
      <c r="AO16" s="1">
        <v>-4.1090153361741238E-2</v>
      </c>
      <c r="AP16" s="1">
        <v>7.779836814558852E-2</v>
      </c>
      <c r="AQ16" s="1">
        <v>2.4036053854552351E-2</v>
      </c>
      <c r="AR16" s="1">
        <v>-3.2492759720063692E-2</v>
      </c>
      <c r="AS16" s="1">
        <v>-5.2642718238233757E-2</v>
      </c>
      <c r="AT16" s="1">
        <v>0.1225640433502848</v>
      </c>
      <c r="AU16" s="1">
        <v>0.17023588881714</v>
      </c>
      <c r="AV16" s="1">
        <v>5.2080835436737499E-2</v>
      </c>
      <c r="AW16" s="1">
        <v>0.10898493864152869</v>
      </c>
      <c r="AX16" s="1">
        <v>0.1006213291014028</v>
      </c>
      <c r="AY16" s="1">
        <v>3.3812589844345937E-2</v>
      </c>
      <c r="AZ16" s="1">
        <v>4.6826876003376768E-2</v>
      </c>
      <c r="BA16" s="1">
        <v>0.15999070017462089</v>
      </c>
      <c r="BB16" s="1">
        <v>0.22547356307573951</v>
      </c>
      <c r="BC16" s="1">
        <v>-3.8999391922231702E-2</v>
      </c>
      <c r="BD16" s="1">
        <v>6.2821844248834016E-3</v>
      </c>
      <c r="BE16" s="1">
        <v>6.119764392645928E-2</v>
      </c>
      <c r="BF16" s="1">
        <v>0.24778685910046011</v>
      </c>
      <c r="BG16" s="1">
        <v>0.16122956958435061</v>
      </c>
      <c r="BH16" s="1">
        <v>9.6162034507733751E-2</v>
      </c>
      <c r="BI16" s="1">
        <v>5.2335760294464642E-2</v>
      </c>
      <c r="BJ16" s="1">
        <v>8.1428118775974001E-2</v>
      </c>
      <c r="BK16" s="1">
        <v>-0.1047732029205687</v>
      </c>
      <c r="BL16" s="1">
        <v>6.1173599484470181E-2</v>
      </c>
      <c r="BM16" s="1">
        <v>3.9497985491106162E-2</v>
      </c>
      <c r="BN16" s="1">
        <v>-6.7197970404689056E-2</v>
      </c>
      <c r="BO16" s="1">
        <v>2.1890359953657689E-2</v>
      </c>
      <c r="BP16" s="1">
        <v>-5.7750060680455823E-2</v>
      </c>
      <c r="BQ16" s="1">
        <v>1.331245374481595E-2</v>
      </c>
      <c r="BR16" s="1">
        <v>0.13058296822502161</v>
      </c>
      <c r="BS16" s="1">
        <v>3.2006987192883168E-2</v>
      </c>
      <c r="BT16" s="1">
        <v>3.8066078212245447E-2</v>
      </c>
      <c r="BU16" s="1">
        <v>0.1015365742283048</v>
      </c>
      <c r="BV16" s="1">
        <v>3.6585637923746667E-2</v>
      </c>
      <c r="BW16" s="1">
        <v>0.31797083453836722</v>
      </c>
      <c r="BX16" s="1">
        <v>2.4078271829347239E-2</v>
      </c>
      <c r="BY16" s="1">
        <v>-0.13255840925737919</v>
      </c>
      <c r="BZ16" s="1">
        <v>0.11152584850164921</v>
      </c>
      <c r="CA16" s="1">
        <v>1.7116103683771391E-2</v>
      </c>
      <c r="CB16" s="1">
        <v>0.13930873593333401</v>
      </c>
      <c r="CC16" s="1">
        <v>4.4388153170205807E-2</v>
      </c>
      <c r="CD16" s="1">
        <v>0.15507127162636181</v>
      </c>
      <c r="CE16" s="1">
        <v>9.3614230467915741E-2</v>
      </c>
      <c r="CF16" s="1">
        <v>0.10520126400975099</v>
      </c>
      <c r="CG16" s="1">
        <v>6.172787814666654E-2</v>
      </c>
      <c r="CH16" s="1">
        <v>4.1697414703027069E-2</v>
      </c>
      <c r="CI16" s="1">
        <v>3.8709881828517541E-2</v>
      </c>
      <c r="CJ16" s="1">
        <v>2.9703385493763331E-2</v>
      </c>
      <c r="CK16" s="1">
        <v>8.8422689781607652E-2</v>
      </c>
      <c r="CL16" s="1">
        <v>1.999536947877634E-2</v>
      </c>
      <c r="CM16" s="1">
        <v>0.11305583839137461</v>
      </c>
      <c r="CN16" s="1">
        <v>0.16035991631652741</v>
      </c>
      <c r="CO16" s="1">
        <v>0.20954751845975189</v>
      </c>
      <c r="CP16" s="1">
        <v>0.1376138160284123</v>
      </c>
      <c r="CQ16" s="1">
        <v>-2.0333779820360932E-2</v>
      </c>
      <c r="CR16" s="1">
        <v>0.1892865334673984</v>
      </c>
      <c r="CS16" s="1">
        <v>4.0852187594743343E-2</v>
      </c>
      <c r="CT16" s="1">
        <v>4.8903525831428797E-2</v>
      </c>
      <c r="CU16" s="1">
        <v>0.1354717008642061</v>
      </c>
      <c r="CV16" s="1">
        <v>0.17225152263848639</v>
      </c>
      <c r="CW16" s="1">
        <v>4.7341659174279828E-2</v>
      </c>
      <c r="CX16" s="1">
        <v>1.224028475424996E-2</v>
      </c>
      <c r="CY16" s="1">
        <v>5.8554306171252707E-2</v>
      </c>
      <c r="CZ16" s="1">
        <v>0.1026332591781325</v>
      </c>
      <c r="DA16" s="1">
        <v>0.1181813303624494</v>
      </c>
      <c r="DB16" s="1">
        <v>9.8017282885796683E-2</v>
      </c>
      <c r="DC16" s="1">
        <v>3.5357719183528202E-2</v>
      </c>
      <c r="DD16" s="1">
        <v>3.1743710487280009E-2</v>
      </c>
      <c r="DE16" s="1">
        <v>3.4552400358790043E-2</v>
      </c>
      <c r="DF16" s="1">
        <v>0.32557955091715252</v>
      </c>
      <c r="DG16" s="1">
        <v>4.5676915028892429E-2</v>
      </c>
      <c r="DH16" s="1">
        <v>0.13714776041250831</v>
      </c>
      <c r="DI16" s="1">
        <v>5.8505682516465929E-2</v>
      </c>
      <c r="DJ16" s="1">
        <v>7.0955052436885532E-2</v>
      </c>
      <c r="DK16" s="1">
        <v>9.6254624799197441E-2</v>
      </c>
      <c r="DL16" s="1">
        <v>-2.187287424977424E-2</v>
      </c>
      <c r="DM16" s="1">
        <v>-3.8134995560551693E-2</v>
      </c>
      <c r="DN16" s="1">
        <v>4.2437853359407113E-2</v>
      </c>
      <c r="DO16" s="1">
        <v>0.16959094638807429</v>
      </c>
      <c r="DP16" s="1">
        <v>0.16033399447581251</v>
      </c>
      <c r="DQ16" s="1">
        <v>4.7070156004531842E-2</v>
      </c>
      <c r="DR16" s="1">
        <v>5.5191251649515223E-2</v>
      </c>
      <c r="DS16" s="1">
        <v>2.144067271249302E-2</v>
      </c>
      <c r="DT16" s="1">
        <v>5.9112975078185963E-2</v>
      </c>
      <c r="DU16" s="1">
        <v>0.1227720465229642</v>
      </c>
      <c r="DV16" s="1">
        <v>0.13695373201779351</v>
      </c>
      <c r="DW16" s="1">
        <v>-7.1302574123356416E-2</v>
      </c>
      <c r="DX16" s="1">
        <v>0.12528470632397731</v>
      </c>
      <c r="DY16" s="1">
        <v>0.15757213273537249</v>
      </c>
      <c r="DZ16" s="1">
        <v>5.8810748191046001E-2</v>
      </c>
      <c r="EA16" s="1">
        <v>4.205152402439738E-4</v>
      </c>
      <c r="EB16" s="1">
        <v>0.1006791006772017</v>
      </c>
      <c r="EC16" s="1">
        <v>5.1117652254380558E-2</v>
      </c>
      <c r="ED16" s="1">
        <v>0.1154167474989211</v>
      </c>
      <c r="EE16" s="1">
        <v>4.3966753067597028E-3</v>
      </c>
      <c r="EF16" s="1">
        <v>-3.9893906712643798E-2</v>
      </c>
      <c r="EG16" s="3"/>
    </row>
    <row r="17" spans="1:137" ht="16">
      <c r="A17" s="6">
        <v>120</v>
      </c>
      <c r="B17" s="6">
        <v>8</v>
      </c>
      <c r="C17" s="9">
        <v>0.2060921883792059</v>
      </c>
      <c r="D17" s="9">
        <v>0.43958848862462141</v>
      </c>
      <c r="E17" s="9">
        <v>7.9589849390753004E-2</v>
      </c>
      <c r="F17" s="9">
        <v>-8.0752164152319103E-2</v>
      </c>
      <c r="G17" s="9">
        <v>0.10538707466373071</v>
      </c>
      <c r="H17" s="9">
        <v>0.104994053627741</v>
      </c>
      <c r="I17" s="9">
        <v>0.1137250278021875</v>
      </c>
      <c r="J17" s="9">
        <v>4.185839511822919E-2</v>
      </c>
      <c r="K17" s="9">
        <v>0.1015600797223099</v>
      </c>
      <c r="L17" s="2">
        <v>-3.3775929538638158E-2</v>
      </c>
      <c r="M17" s="2">
        <v>1.46591420902884E-2</v>
      </c>
      <c r="N17" s="2">
        <v>0.40510800893946219</v>
      </c>
      <c r="O17" s="1">
        <v>-1.1306676064132231E-2</v>
      </c>
      <c r="P17" s="1">
        <v>6.841077431920789E-2</v>
      </c>
      <c r="Q17" s="1">
        <v>0.16180129461512691</v>
      </c>
      <c r="R17" s="1">
        <v>-5.2057608904527208E-2</v>
      </c>
      <c r="S17" s="1">
        <v>0.31065343265529832</v>
      </c>
      <c r="T17" s="1">
        <v>2.3342585510940751E-2</v>
      </c>
      <c r="U17" s="1">
        <v>0.1417558970831658</v>
      </c>
      <c r="V17" s="1">
        <v>4.0111898296984957E-3</v>
      </c>
      <c r="W17" s="1">
        <v>7.9141988802017282E-2</v>
      </c>
      <c r="X17" s="1">
        <v>0.2379894313203148</v>
      </c>
      <c r="Y17" s="1">
        <v>-2.2928011062654879E-2</v>
      </c>
      <c r="Z17" s="1">
        <v>5.3763711413817257E-2</v>
      </c>
      <c r="AA17" s="1">
        <v>0.19128343691540931</v>
      </c>
      <c r="AB17" s="1">
        <v>8.4852062878172332E-2</v>
      </c>
      <c r="AC17" s="1">
        <v>-2.008625473802152E-2</v>
      </c>
      <c r="AD17" s="1">
        <v>6.8619823236846775E-2</v>
      </c>
      <c r="AE17" s="1">
        <v>0.22212270442845089</v>
      </c>
      <c r="AF17" s="1">
        <v>0.1202863246558465</v>
      </c>
      <c r="AG17" s="1">
        <v>3.1873572577670178E-2</v>
      </c>
      <c r="AH17" s="1">
        <v>-4.943754228054096E-2</v>
      </c>
      <c r="AI17" s="1">
        <v>0.11486444539828659</v>
      </c>
      <c r="AJ17" s="1">
        <v>-4.2602630518956908E-2</v>
      </c>
      <c r="AK17" s="1">
        <v>3.1812485999819881E-2</v>
      </c>
      <c r="AL17" s="1">
        <v>-9.9837333349987525E-3</v>
      </c>
      <c r="AM17" s="1">
        <v>7.5369367587656985E-2</v>
      </c>
      <c r="AN17" s="1">
        <v>0.1132871203459177</v>
      </c>
      <c r="AO17" s="1">
        <v>-7.6694527622622966E-2</v>
      </c>
      <c r="AP17" s="1">
        <v>7.7242814419585484E-2</v>
      </c>
      <c r="AQ17" s="1">
        <v>9.2339934757894385E-3</v>
      </c>
      <c r="AR17" s="1">
        <v>-3.4997281035057448E-2</v>
      </c>
      <c r="AS17" s="1">
        <v>-5.8802956944234347E-2</v>
      </c>
      <c r="AT17" s="1">
        <v>0.1270717931072517</v>
      </c>
      <c r="AU17" s="1">
        <v>0.17756202574817151</v>
      </c>
      <c r="AV17" s="1">
        <v>5.8529449334631382E-2</v>
      </c>
      <c r="AW17" s="1">
        <v>7.6189610229816573E-2</v>
      </c>
      <c r="AX17" s="1">
        <v>9.7619105117607935E-2</v>
      </c>
      <c r="AY17" s="1">
        <v>2.742369669060089E-2</v>
      </c>
      <c r="AZ17" s="1">
        <v>4.7980433809172947E-2</v>
      </c>
      <c r="BA17" s="1">
        <v>0.1628064098097628</v>
      </c>
      <c r="BB17" s="1">
        <v>0.23044204494786999</v>
      </c>
      <c r="BC17" s="1">
        <v>-2.729282438048997E-2</v>
      </c>
      <c r="BD17" s="1">
        <v>1.9411871892876801E-2</v>
      </c>
      <c r="BE17" s="1">
        <v>4.4110253344838479E-2</v>
      </c>
      <c r="BF17" s="1">
        <v>0.14777683028015839</v>
      </c>
      <c r="BG17" s="1">
        <v>0.18575157813088089</v>
      </c>
      <c r="BH17" s="1">
        <v>0.1331911133253291</v>
      </c>
      <c r="BI17" s="1">
        <v>9.9365392037550321E-2</v>
      </c>
      <c r="BJ17" s="1">
        <v>8.9191477556659238E-2</v>
      </c>
      <c r="BK17" s="1">
        <v>-0.11481579199951759</v>
      </c>
      <c r="BL17" s="1">
        <v>3.4152447324294427E-2</v>
      </c>
      <c r="BM17" s="1">
        <v>2.905901115235426E-2</v>
      </c>
      <c r="BN17" s="1">
        <v>-7.3656767936365913E-2</v>
      </c>
      <c r="BO17" s="1">
        <v>1.9886080708886981E-2</v>
      </c>
      <c r="BP17" s="1">
        <v>-6.0638146909917159E-2</v>
      </c>
      <c r="BQ17" s="1">
        <v>1.1376510446451601E-2</v>
      </c>
      <c r="BR17" s="1">
        <v>0.1150223530257518</v>
      </c>
      <c r="BS17" s="1">
        <v>2.090601821369549E-2</v>
      </c>
      <c r="BT17" s="1">
        <v>3.3647573246358371E-2</v>
      </c>
      <c r="BU17" s="1">
        <v>0.1045242995328607</v>
      </c>
      <c r="BV17" s="1">
        <v>3.8240956502194168E-2</v>
      </c>
      <c r="BW17" s="1">
        <v>0.2083368255173885</v>
      </c>
      <c r="BX17" s="1">
        <v>7.2009502804253958E-3</v>
      </c>
      <c r="BY17" s="1">
        <v>-0.14247737512646691</v>
      </c>
      <c r="BZ17" s="1">
        <v>0.12057815588108529</v>
      </c>
      <c r="CA17" s="1">
        <v>2.7934832358489561E-2</v>
      </c>
      <c r="CB17" s="1">
        <v>0.14963315769288951</v>
      </c>
      <c r="CC17" s="1">
        <v>4.1760252474235628E-2</v>
      </c>
      <c r="CD17" s="1">
        <v>0.17295974121914859</v>
      </c>
      <c r="CE17" s="1">
        <v>9.5708073661495086E-2</v>
      </c>
      <c r="CF17" s="1">
        <v>9.8746197426198501E-2</v>
      </c>
      <c r="CG17" s="1">
        <v>7.4714988628731105E-2</v>
      </c>
      <c r="CH17" s="1">
        <v>5.863644660705003E-2</v>
      </c>
      <c r="CI17" s="1">
        <v>1.453118498958852E-2</v>
      </c>
      <c r="CJ17" s="1">
        <v>2.095082748134847E-2</v>
      </c>
      <c r="CK17" s="1">
        <v>8.3955848259630761E-2</v>
      </c>
      <c r="CL17" s="1">
        <v>-9.4263447690312585E-3</v>
      </c>
      <c r="CM17" s="1">
        <v>9.5493870816553625E-2</v>
      </c>
      <c r="CN17" s="1">
        <v>0.17653127858138681</v>
      </c>
      <c r="CO17" s="1">
        <v>0.19808041988978861</v>
      </c>
      <c r="CP17" s="1">
        <v>0.14815926919734371</v>
      </c>
      <c r="CQ17" s="1">
        <v>5.1907103341726497E-2</v>
      </c>
      <c r="CR17" s="1">
        <v>0.19640263176228939</v>
      </c>
      <c r="CS17" s="1">
        <v>3.1345818395718227E-2</v>
      </c>
      <c r="CT17" s="1">
        <v>5.8653796602614078E-2</v>
      </c>
      <c r="CU17" s="1">
        <v>0.15535189279975939</v>
      </c>
      <c r="CV17" s="1">
        <v>0.15147138486135439</v>
      </c>
      <c r="CW17" s="1">
        <v>6.3393218804487964E-2</v>
      </c>
      <c r="CX17" s="1">
        <v>1.0772394523947831E-2</v>
      </c>
      <c r="CY17" s="1">
        <v>5.9497951859822727E-2</v>
      </c>
      <c r="CZ17" s="1">
        <v>0.1242488378476205</v>
      </c>
      <c r="DA17" s="1">
        <v>9.4496399219490601E-2</v>
      </c>
      <c r="DB17" s="1">
        <v>0.1042716259030833</v>
      </c>
      <c r="DC17" s="1">
        <v>4.3363468977499292E-2</v>
      </c>
      <c r="DD17" s="1">
        <v>2.9155420882880711E-2</v>
      </c>
      <c r="DE17" s="1">
        <v>2.412486334672205E-2</v>
      </c>
      <c r="DF17" s="1">
        <v>0.35222555427147212</v>
      </c>
      <c r="DG17" s="1">
        <v>4.7210988428523767E-2</v>
      </c>
      <c r="DH17" s="1">
        <v>0.163431801211989</v>
      </c>
      <c r="DI17" s="1">
        <v>7.0182390070728212E-2</v>
      </c>
      <c r="DJ17" s="1">
        <v>0.12892505978600949</v>
      </c>
      <c r="DK17" s="1">
        <v>0.1027812687483064</v>
      </c>
      <c r="DL17" s="1">
        <v>-3.9297316911286913E-3</v>
      </c>
      <c r="DM17" s="1">
        <v>-4.2563608711752222E-2</v>
      </c>
      <c r="DN17" s="1">
        <v>3.5489032714339022E-2</v>
      </c>
      <c r="DO17" s="1">
        <v>0.17976292609872879</v>
      </c>
      <c r="DP17" s="1">
        <v>0.14203415825063481</v>
      </c>
      <c r="DQ17" s="1">
        <v>7.2654005106024905E-2</v>
      </c>
      <c r="DR17" s="1">
        <v>5.5884814876328272E-2</v>
      </c>
      <c r="DS17" s="1">
        <v>3.7354088755102308E-2</v>
      </c>
      <c r="DT17" s="1">
        <v>5.9811935234976257E-2</v>
      </c>
      <c r="DU17" s="1">
        <v>0.12949295631998961</v>
      </c>
      <c r="DV17" s="1">
        <v>0.1177653981109542</v>
      </c>
      <c r="DW17" s="1">
        <v>-7.6598913035996447E-2</v>
      </c>
      <c r="DX17" s="1">
        <v>0.12953898259647401</v>
      </c>
      <c r="DY17" s="1">
        <v>0.10728289560185179</v>
      </c>
      <c r="DZ17" s="1">
        <v>4.9212629169808252E-2</v>
      </c>
      <c r="EA17" s="1">
        <v>-4.6325242167246112E-3</v>
      </c>
      <c r="EB17" s="1">
        <v>0.1072853267537575</v>
      </c>
      <c r="EC17" s="1">
        <v>1.6425217216060651E-2</v>
      </c>
      <c r="ED17" s="1">
        <v>0.12832444392891271</v>
      </c>
      <c r="EE17" s="1">
        <v>-1.93521146079418E-4</v>
      </c>
      <c r="EF17" s="1">
        <v>-4.7709767009851863E-2</v>
      </c>
      <c r="EG17" s="3"/>
    </row>
    <row r="18" spans="1:137" ht="16">
      <c r="A18" s="6">
        <v>137</v>
      </c>
      <c r="B18" s="6">
        <v>7</v>
      </c>
      <c r="C18" s="9">
        <v>0.18975112249235829</v>
      </c>
      <c r="D18" s="9">
        <v>0.40188368142206798</v>
      </c>
      <c r="E18" s="9">
        <v>5.3439350267724013E-2</v>
      </c>
      <c r="F18" s="9">
        <v>-0.11938296010218979</v>
      </c>
      <c r="G18" s="9">
        <v>0.10831637328507999</v>
      </c>
      <c r="H18" s="9">
        <v>0.12853956177457129</v>
      </c>
      <c r="I18" s="9">
        <v>0.13550018022324109</v>
      </c>
      <c r="J18" s="9">
        <v>4.3411515751641608E-2</v>
      </c>
      <c r="K18" s="9">
        <v>0.13564788877763229</v>
      </c>
      <c r="L18" s="2">
        <v>-4.6672720340673143E-2</v>
      </c>
      <c r="M18" s="2">
        <v>2.9051464376457319E-2</v>
      </c>
      <c r="N18" s="2">
        <v>0.46182001807061318</v>
      </c>
      <c r="O18" s="1">
        <v>3.1737941097498189E-2</v>
      </c>
      <c r="P18" s="1">
        <v>8.0174184122512426E-2</v>
      </c>
      <c r="Q18" s="1">
        <v>0.18897541868948989</v>
      </c>
      <c r="R18" s="1">
        <v>-6.9734027137790394E-2</v>
      </c>
      <c r="S18" s="1">
        <v>0.3837326289318943</v>
      </c>
      <c r="T18" s="1">
        <v>5.2309697550730873E-2</v>
      </c>
      <c r="U18" s="1">
        <v>0.132495024429819</v>
      </c>
      <c r="V18" s="1">
        <v>1.2895135069850801E-2</v>
      </c>
      <c r="W18" s="1">
        <v>7.7296280059738612E-2</v>
      </c>
      <c r="X18" s="1">
        <v>0.21512105739995169</v>
      </c>
      <c r="Y18" s="1">
        <v>-1.923233435743554E-2</v>
      </c>
      <c r="Z18" s="1">
        <v>8.9234363440522865E-2</v>
      </c>
      <c r="AA18" s="1">
        <v>0.17257065753452869</v>
      </c>
      <c r="AB18" s="1">
        <v>8.8397637444001725E-2</v>
      </c>
      <c r="AC18" s="1">
        <v>1.3654204768322529E-3</v>
      </c>
      <c r="AD18" s="1">
        <v>9.6285845185419314E-2</v>
      </c>
      <c r="AE18" s="1">
        <v>0.25839134891520849</v>
      </c>
      <c r="AF18" s="1">
        <v>0.1505436398240734</v>
      </c>
      <c r="AG18" s="1">
        <v>1.5743669970475001E-2</v>
      </c>
      <c r="AH18" s="1">
        <v>-4.0197460968514703E-2</v>
      </c>
      <c r="AI18" s="1">
        <v>0.1180857345580002</v>
      </c>
      <c r="AJ18" s="1">
        <v>-4.7393756166449127E-2</v>
      </c>
      <c r="AK18" s="1">
        <v>-2.1874809686740931E-3</v>
      </c>
      <c r="AL18" s="1">
        <v>-8.5555505437218517E-4</v>
      </c>
      <c r="AM18" s="1">
        <v>6.6643405424771207E-2</v>
      </c>
      <c r="AN18" s="1">
        <v>7.9294639955201793E-2</v>
      </c>
      <c r="AO18" s="1">
        <v>2.4584280444806969E-2</v>
      </c>
      <c r="AP18" s="1">
        <v>7.8278591933806971E-2</v>
      </c>
      <c r="AQ18" s="1">
        <v>-1.6785141569115709E-2</v>
      </c>
      <c r="AR18" s="1">
        <v>-6.1694523600781571E-2</v>
      </c>
      <c r="AS18" s="1">
        <v>-8.3253127889185943E-2</v>
      </c>
      <c r="AT18" s="1">
        <v>0.16638580942405889</v>
      </c>
      <c r="AU18" s="1">
        <v>0.1966597311386786</v>
      </c>
      <c r="AV18" s="1">
        <v>6.0235664706469842E-2</v>
      </c>
      <c r="AW18" s="1">
        <v>9.7766861821235188E-2</v>
      </c>
      <c r="AX18" s="1">
        <v>0.12606433742612741</v>
      </c>
      <c r="AY18" s="1">
        <v>3.4783278641148073E-2</v>
      </c>
      <c r="AZ18" s="1">
        <v>6.6341275737421684E-2</v>
      </c>
      <c r="BA18" s="1">
        <v>0.16410613980892599</v>
      </c>
      <c r="BB18" s="1">
        <v>0.31745742566411261</v>
      </c>
      <c r="BC18" s="1">
        <v>2.7942050701969749E-2</v>
      </c>
      <c r="BD18" s="1">
        <v>2.0275139657027021E-2</v>
      </c>
      <c r="BE18" s="1">
        <v>9.117285285592254E-2</v>
      </c>
      <c r="BF18" s="1">
        <v>0.1649864946960074</v>
      </c>
      <c r="BG18" s="1">
        <v>0.1467139748282886</v>
      </c>
      <c r="BH18" s="1">
        <v>0.1378982651501425</v>
      </c>
      <c r="BI18" s="1">
        <v>0.1090000069186657</v>
      </c>
      <c r="BJ18" s="1">
        <v>9.9531519273147392E-2</v>
      </c>
      <c r="BK18" s="1">
        <v>-7.3455626824005624E-2</v>
      </c>
      <c r="BL18" s="1">
        <v>5.5787880861779937E-2</v>
      </c>
      <c r="BM18" s="1">
        <v>2.8081356373095352E-2</v>
      </c>
      <c r="BN18" s="1">
        <v>-7.8208699482375382E-2</v>
      </c>
      <c r="BO18" s="1">
        <v>2.0227496106374639E-2</v>
      </c>
      <c r="BP18" s="1">
        <v>-6.2463432036451667E-2</v>
      </c>
      <c r="BQ18" s="1">
        <v>1.916784109848992E-3</v>
      </c>
      <c r="BR18" s="1">
        <v>0.1209618178824758</v>
      </c>
      <c r="BS18" s="1">
        <v>3.2873256576031823E-2</v>
      </c>
      <c r="BT18" s="1">
        <v>1.329915077767777E-2</v>
      </c>
      <c r="BU18" s="1">
        <v>0.1114615455291026</v>
      </c>
      <c r="BV18" s="1">
        <v>3.96244261241478E-2</v>
      </c>
      <c r="BW18" s="1">
        <v>0.21837549913098869</v>
      </c>
      <c r="BX18" s="1">
        <v>-1.5811923945792471E-2</v>
      </c>
      <c r="BY18" s="1">
        <v>-8.7465268272101659E-2</v>
      </c>
      <c r="BZ18" s="1">
        <v>0.15331998780259809</v>
      </c>
      <c r="CA18" s="1">
        <v>1.6076543892860819E-2</v>
      </c>
      <c r="CB18" s="1">
        <v>0.1068460604700732</v>
      </c>
      <c r="CC18" s="1">
        <v>0.1046606238416451</v>
      </c>
      <c r="CD18" s="1">
        <v>0.19371681864683071</v>
      </c>
      <c r="CE18" s="1">
        <v>7.7260394878222755E-2</v>
      </c>
      <c r="CF18" s="1">
        <v>6.9437750845139964E-2</v>
      </c>
      <c r="CG18" s="1">
        <v>9.1609255563919342E-2</v>
      </c>
      <c r="CH18" s="1">
        <v>0.16265704668723319</v>
      </c>
      <c r="CI18" s="1">
        <v>4.4565986447696902E-2</v>
      </c>
      <c r="CJ18" s="1">
        <v>-3.772366500397611E-3</v>
      </c>
      <c r="CK18" s="1">
        <v>9.6058031665523097E-2</v>
      </c>
      <c r="CL18" s="1">
        <v>-3.0989545058193149E-2</v>
      </c>
      <c r="CM18" s="1">
        <v>0.1027696116279509</v>
      </c>
      <c r="CN18" s="1">
        <v>0.1209431335415747</v>
      </c>
      <c r="CO18" s="1">
        <v>0.22828208587546131</v>
      </c>
      <c r="CP18" s="1">
        <v>0.16283910894801071</v>
      </c>
      <c r="CQ18" s="1">
        <v>3.8242675594942703E-2</v>
      </c>
      <c r="CR18" s="1">
        <v>0.19372240765220919</v>
      </c>
      <c r="CS18" s="1">
        <v>5.7690648651415453E-2</v>
      </c>
      <c r="CT18" s="1">
        <v>7.6870226772222966E-2</v>
      </c>
      <c r="CU18" s="1">
        <v>0.14456482117613489</v>
      </c>
      <c r="CV18" s="1">
        <v>0.1270222681330069</v>
      </c>
      <c r="CW18" s="1">
        <v>6.6558574498316259E-2</v>
      </c>
      <c r="CX18" s="1">
        <v>6.1560185833778078E-2</v>
      </c>
      <c r="CY18" s="1">
        <v>7.1432458912374111E-2</v>
      </c>
      <c r="CZ18" s="1">
        <v>0.13284286330177139</v>
      </c>
      <c r="DA18" s="1">
        <v>7.8358630907432503E-2</v>
      </c>
      <c r="DB18" s="1">
        <v>0.1181147182852117</v>
      </c>
      <c r="DC18" s="1">
        <v>3.6408781495506221E-2</v>
      </c>
      <c r="DD18" s="1">
        <v>4.1014187319333921E-2</v>
      </c>
      <c r="DE18" s="1">
        <v>3.8420587486450893E-2</v>
      </c>
      <c r="DF18" s="1">
        <v>0.36669200961401482</v>
      </c>
      <c r="DG18" s="1">
        <v>5.4770484126873797E-2</v>
      </c>
      <c r="DH18" s="1">
        <v>0.19240138195914119</v>
      </c>
      <c r="DI18" s="1">
        <v>9.7963127478955317E-2</v>
      </c>
      <c r="DJ18" s="1">
        <v>0.14619607609941229</v>
      </c>
      <c r="DK18" s="1">
        <v>0.1065272620024338</v>
      </c>
      <c r="DL18" s="1">
        <v>-3.830274067592157E-3</v>
      </c>
      <c r="DM18" s="1">
        <v>-5.8457164290175813E-2</v>
      </c>
      <c r="DN18" s="1">
        <v>-1.6722064078021251E-2</v>
      </c>
      <c r="DO18" s="1">
        <v>0.22032021179129849</v>
      </c>
      <c r="DP18" s="1">
        <v>0.13348647227708049</v>
      </c>
      <c r="DQ18" s="1">
        <v>6.5749458183898837E-2</v>
      </c>
      <c r="DR18" s="1">
        <v>7.6840654771961045E-2</v>
      </c>
      <c r="DS18" s="1">
        <v>1.1277982255682851E-2</v>
      </c>
      <c r="DT18" s="1">
        <v>2.2601034841107401E-2</v>
      </c>
      <c r="DU18" s="1">
        <v>0.15871482271667761</v>
      </c>
      <c r="DV18" s="1">
        <v>0.1056406088000619</v>
      </c>
      <c r="DW18" s="1">
        <v>-6.8636949952117263E-2</v>
      </c>
      <c r="DX18" s="1">
        <v>0.1536029774624818</v>
      </c>
      <c r="DY18" s="1">
        <v>0.1368331149382522</v>
      </c>
      <c r="DZ18" s="1">
        <v>5.4630374156582083E-2</v>
      </c>
      <c r="EA18" s="1">
        <v>-4.7382972382447363E-3</v>
      </c>
      <c r="EB18" s="1">
        <v>0.1099643544501954</v>
      </c>
      <c r="EC18" s="1">
        <v>5.8228474754975761E-3</v>
      </c>
      <c r="ED18" s="1">
        <v>0.1200774322763405</v>
      </c>
      <c r="EE18" s="1">
        <v>1.111287672357628E-3</v>
      </c>
      <c r="EF18" s="1">
        <v>-4.8955017110416547E-2</v>
      </c>
      <c r="EG18" s="3"/>
    </row>
    <row r="19" spans="1:137" ht="16">
      <c r="A19" s="6">
        <v>160</v>
      </c>
      <c r="B19" s="6">
        <v>6</v>
      </c>
      <c r="C19" s="9">
        <v>0.19660026531165431</v>
      </c>
      <c r="D19" s="9">
        <v>0.40752071008946927</v>
      </c>
      <c r="E19" s="9">
        <v>4.4403931966815142E-2</v>
      </c>
      <c r="F19" s="9">
        <v>-0.1776886618055605</v>
      </c>
      <c r="G19" s="9">
        <v>9.6065971857177412E-2</v>
      </c>
      <c r="H19" s="9">
        <v>0.17761031882265199</v>
      </c>
      <c r="I19" s="9">
        <v>0.1346543328914665</v>
      </c>
      <c r="J19" s="9">
        <v>3.5429584520191022E-2</v>
      </c>
      <c r="K19" s="9">
        <v>0.23878941472391671</v>
      </c>
      <c r="L19" s="2">
        <v>-3.036283305602917E-2</v>
      </c>
      <c r="M19" s="2">
        <v>-4.3690236156307287E-2</v>
      </c>
      <c r="N19" s="2">
        <v>0.53237403768824121</v>
      </c>
      <c r="O19" s="1">
        <v>3.1561874488915911E-2</v>
      </c>
      <c r="P19" s="1">
        <v>9.2534186186697107E-2</v>
      </c>
      <c r="Q19" s="1">
        <v>0.19013406081477549</v>
      </c>
      <c r="R19" s="1">
        <v>-9.0299090630856282E-2</v>
      </c>
      <c r="S19" s="1">
        <v>0.1665705674290347</v>
      </c>
      <c r="T19" s="1">
        <v>5.1464717245309592E-2</v>
      </c>
      <c r="U19" s="1">
        <v>0.11376446779645349</v>
      </c>
      <c r="V19" s="1">
        <v>3.6618687785451319E-2</v>
      </c>
      <c r="W19" s="1">
        <v>7.2415569319498968E-2</v>
      </c>
      <c r="X19" s="1">
        <v>0.14939987335272731</v>
      </c>
      <c r="Y19" s="1">
        <v>-2.9467235546200489E-2</v>
      </c>
      <c r="Z19" s="1">
        <v>9.1619110576023566E-2</v>
      </c>
      <c r="AA19" s="1">
        <v>0.131832899481091</v>
      </c>
      <c r="AB19" s="1">
        <v>9.9241927245629705E-2</v>
      </c>
      <c r="AC19" s="1">
        <v>1.4141542708609799E-2</v>
      </c>
      <c r="AD19" s="1">
        <v>9.5993377798068158E-2</v>
      </c>
      <c r="AE19" s="1">
        <v>0.30849285792536868</v>
      </c>
      <c r="AF19" s="1">
        <v>0.1688305807080431</v>
      </c>
      <c r="AG19" s="1">
        <v>2.7942319450978619E-2</v>
      </c>
      <c r="AH19" s="1">
        <v>-4.2845934068549293E-2</v>
      </c>
      <c r="AI19" s="1">
        <v>9.1548662924674465E-2</v>
      </c>
      <c r="AJ19" s="1">
        <v>-5.1545290327262273E-2</v>
      </c>
      <c r="AK19" s="1">
        <v>7.5520425059527104E-3</v>
      </c>
      <c r="AL19" s="1">
        <v>-1.136262181352635E-3</v>
      </c>
      <c r="AM19" s="1">
        <v>3.1311424844951023E-2</v>
      </c>
      <c r="AN19" s="1">
        <v>8.3568294365682083E-2</v>
      </c>
      <c r="AO19" s="1">
        <v>5.5890126129114689E-2</v>
      </c>
      <c r="AP19" s="1">
        <v>8.757412027285208E-2</v>
      </c>
      <c r="AQ19" s="1">
        <v>-5.4925492373613202E-2</v>
      </c>
      <c r="AR19" s="1">
        <v>-7.4616897634658869E-2</v>
      </c>
      <c r="AS19" s="1">
        <v>-0.1091988760530663</v>
      </c>
      <c r="AT19" s="1">
        <v>0.18459366381005801</v>
      </c>
      <c r="AU19" s="1">
        <v>0.23884423839901431</v>
      </c>
      <c r="AV19" s="1">
        <v>-3.0326096026080519E-3</v>
      </c>
      <c r="AW19" s="1">
        <v>0.13669339712891271</v>
      </c>
      <c r="AX19" s="1">
        <v>0.2241237953008561</v>
      </c>
      <c r="AY19" s="1">
        <v>2.9528970393379841E-2</v>
      </c>
      <c r="AZ19" s="1">
        <v>8.4032472273639608E-2</v>
      </c>
      <c r="BA19" s="1">
        <v>0.18699677755478061</v>
      </c>
      <c r="BB19" s="1">
        <v>0.36416093179321912</v>
      </c>
      <c r="BC19" s="1">
        <v>0.18457178940642721</v>
      </c>
      <c r="BD19" s="1">
        <v>-7.3706967887407146E-5</v>
      </c>
      <c r="BE19" s="1">
        <v>8.948072176037114E-2</v>
      </c>
      <c r="BF19" s="1">
        <v>0.14180943496374171</v>
      </c>
      <c r="BG19" s="1">
        <v>0.15330875116978829</v>
      </c>
      <c r="BH19" s="1">
        <v>0.14049690595357331</v>
      </c>
      <c r="BI19" s="1">
        <v>0.12779862881921869</v>
      </c>
      <c r="BJ19" s="1">
        <v>5.1819308428669691E-2</v>
      </c>
      <c r="BK19" s="1">
        <v>-9.7038422945385686E-2</v>
      </c>
      <c r="BL19" s="1">
        <v>6.3164533747019302E-2</v>
      </c>
      <c r="BM19" s="1">
        <v>3.1786264869145278E-2</v>
      </c>
      <c r="BN19" s="1">
        <v>-8.141326020016787E-2</v>
      </c>
      <c r="BO19" s="1">
        <v>2.5728961265115379E-2</v>
      </c>
      <c r="BP19" s="1">
        <v>-1.2410341277600779E-2</v>
      </c>
      <c r="BQ19" s="1">
        <v>9.9340444543230683E-3</v>
      </c>
      <c r="BR19" s="1">
        <v>0.1368392355431455</v>
      </c>
      <c r="BS19" s="1">
        <v>-3.4999319396389061E-3</v>
      </c>
      <c r="BT19" s="1">
        <v>-1.3193669203137359E-2</v>
      </c>
      <c r="BU19" s="1">
        <v>0.1241864928119264</v>
      </c>
      <c r="BV19" s="1">
        <v>3.0350791965897218E-2</v>
      </c>
      <c r="BW19" s="1">
        <v>0.30745300680973342</v>
      </c>
      <c r="BX19" s="1">
        <v>-3.6398889558793571E-2</v>
      </c>
      <c r="BY19" s="1">
        <v>-7.9866927068945853E-2</v>
      </c>
      <c r="BZ19" s="1">
        <v>6.3815393767213791E-2</v>
      </c>
      <c r="CA19" s="1">
        <v>2.154569013117932E-2</v>
      </c>
      <c r="CB19" s="1">
        <v>0.12783820910089719</v>
      </c>
      <c r="CC19" s="1">
        <v>2.2506232898517449E-2</v>
      </c>
      <c r="CD19" s="1">
        <v>0.20708580064935611</v>
      </c>
      <c r="CE19" s="1">
        <v>8.8474858937667905E-2</v>
      </c>
      <c r="CF19" s="1">
        <v>8.4971508753078559E-2</v>
      </c>
      <c r="CG19" s="1">
        <v>5.7117624866957151E-2</v>
      </c>
      <c r="CH19" s="1">
        <v>0.1528898670499263</v>
      </c>
      <c r="CI19" s="1">
        <v>3.7066946160195187E-2</v>
      </c>
      <c r="CJ19" s="1">
        <v>-1.1811922761994231E-2</v>
      </c>
      <c r="CK19" s="1">
        <v>0.1187972629573345</v>
      </c>
      <c r="CL19" s="1">
        <v>-4.3240279974789908E-2</v>
      </c>
      <c r="CM19" s="1">
        <v>0.1102358787373677</v>
      </c>
      <c r="CN19" s="1">
        <v>0.14319321046953429</v>
      </c>
      <c r="CO19" s="1">
        <v>0.25123563122031478</v>
      </c>
      <c r="CP19" s="1">
        <v>0.15903259898233271</v>
      </c>
      <c r="CQ19" s="1">
        <v>3.2394607516418629E-2</v>
      </c>
      <c r="CR19" s="1">
        <v>0.17630672424619201</v>
      </c>
      <c r="CS19" s="1">
        <v>5.4250449548333517E-2</v>
      </c>
      <c r="CT19" s="1">
        <v>2.6421201288258939E-2</v>
      </c>
      <c r="CU19" s="1">
        <v>0.146607543260939</v>
      </c>
      <c r="CV19" s="1">
        <v>9.4553007971378916E-2</v>
      </c>
      <c r="CW19" s="1">
        <v>6.0515878573037342E-2</v>
      </c>
      <c r="CX19" s="1">
        <v>9.354971825942178E-2</v>
      </c>
      <c r="CY19" s="1">
        <v>7.3151337307962833E-2</v>
      </c>
      <c r="CZ19" s="1">
        <v>0.1004647349755101</v>
      </c>
      <c r="DA19" s="1">
        <v>7.5182477103680007E-2</v>
      </c>
      <c r="DB19" s="1">
        <v>0.14796184676961621</v>
      </c>
      <c r="DC19" s="1">
        <v>-3.5179399902094073E-2</v>
      </c>
      <c r="DD19" s="1">
        <v>6.2011252548289514E-3</v>
      </c>
      <c r="DE19" s="1">
        <v>3.3018414655792E-2</v>
      </c>
      <c r="DF19" s="1">
        <v>0.20550174559429629</v>
      </c>
      <c r="DG19" s="1">
        <v>6.6374264994436313E-2</v>
      </c>
      <c r="DH19" s="1">
        <v>0.22458978071948801</v>
      </c>
      <c r="DI19" s="1">
        <v>0.1084614388347602</v>
      </c>
      <c r="DJ19" s="1">
        <v>0.16525046895907189</v>
      </c>
      <c r="DK19" s="1">
        <v>0.1214423095104508</v>
      </c>
      <c r="DL19" s="1">
        <v>-1.198278590897381E-2</v>
      </c>
      <c r="DM19" s="1">
        <v>-5.7300431238330417E-2</v>
      </c>
      <c r="DN19" s="1">
        <v>-4.1776448032685917E-3</v>
      </c>
      <c r="DO19" s="1">
        <v>0.2492619517097443</v>
      </c>
      <c r="DP19" s="1">
        <v>0.17026813067996199</v>
      </c>
      <c r="DQ19" s="1">
        <v>8.0374171838075048E-2</v>
      </c>
      <c r="DR19" s="1">
        <v>7.5962353325048193E-2</v>
      </c>
      <c r="DS19" s="1">
        <v>-5.6773135189909819E-3</v>
      </c>
      <c r="DT19" s="1">
        <v>5.0332465201051654E-3</v>
      </c>
      <c r="DU19" s="1">
        <v>0.15058192195631251</v>
      </c>
      <c r="DV19" s="1">
        <v>0.119531844414402</v>
      </c>
      <c r="DW19" s="1">
        <v>-0.1012959689486648</v>
      </c>
      <c r="DX19" s="1">
        <v>0.1383651342381777</v>
      </c>
      <c r="DY19" s="1">
        <v>0.1392486786855984</v>
      </c>
      <c r="DZ19" s="1">
        <v>7.8537947622533175E-2</v>
      </c>
      <c r="EA19" s="1">
        <v>3.2919727195015271E-2</v>
      </c>
      <c r="EB19" s="1">
        <v>0.1087535096382525</v>
      </c>
      <c r="EC19" s="1">
        <v>-8.6215224985549642E-3</v>
      </c>
      <c r="ED19" s="1">
        <v>0.15093531699015689</v>
      </c>
      <c r="EE19" s="1">
        <v>-7.3065266771277096E-3</v>
      </c>
      <c r="EF19" s="1">
        <v>-1.697795487476916E-2</v>
      </c>
      <c r="EG19" s="3"/>
    </row>
    <row r="20" spans="1:137" ht="16">
      <c r="A20" s="6">
        <v>192</v>
      </c>
      <c r="B20" s="6">
        <v>5</v>
      </c>
      <c r="C20" s="9">
        <v>0.2015510478639157</v>
      </c>
      <c r="D20" s="9">
        <v>0.38202502004734989</v>
      </c>
      <c r="E20" s="9">
        <v>5.7336350326780597E-2</v>
      </c>
      <c r="F20" s="9">
        <v>-0.2055312643331742</v>
      </c>
      <c r="G20" s="9">
        <v>0.1171831412889391</v>
      </c>
      <c r="H20" s="9">
        <v>0.14393228225567539</v>
      </c>
      <c r="I20" s="9">
        <v>0.15814956260110169</v>
      </c>
      <c r="J20" s="9">
        <v>6.6721149881054528E-2</v>
      </c>
      <c r="K20" s="9">
        <v>0.21472450376108179</v>
      </c>
      <c r="L20" s="2">
        <v>-3.069548300109538E-2</v>
      </c>
      <c r="M20" s="2">
        <v>-7.7718228291273506E-2</v>
      </c>
      <c r="N20" s="2">
        <v>0.5000114780094741</v>
      </c>
      <c r="O20" s="1">
        <v>4.9864886069274132E-2</v>
      </c>
      <c r="P20" s="1">
        <v>9.1169927668525261E-2</v>
      </c>
      <c r="Q20" s="1">
        <v>0.20756771281948869</v>
      </c>
      <c r="R20" s="1">
        <v>-0.1092530556374688</v>
      </c>
      <c r="S20" s="1">
        <v>0.16233622519024529</v>
      </c>
      <c r="T20" s="1">
        <v>8.5465455737815402E-2</v>
      </c>
      <c r="U20" s="1">
        <v>0.1223290351152112</v>
      </c>
      <c r="V20" s="1">
        <v>1.2644103117188939E-2</v>
      </c>
      <c r="W20" s="1">
        <v>9.1084869432544818E-2</v>
      </c>
      <c r="X20" s="1">
        <v>0.21038641292278501</v>
      </c>
      <c r="Y20" s="1">
        <v>-4.2067489538597257E-2</v>
      </c>
      <c r="Z20" s="1">
        <v>0.1056169604836593</v>
      </c>
      <c r="AA20" s="1">
        <v>0.13048336848064571</v>
      </c>
      <c r="AB20" s="1">
        <v>8.4759840726173208E-2</v>
      </c>
      <c r="AC20" s="1">
        <v>4.7248262727967477E-2</v>
      </c>
      <c r="AD20" s="1">
        <v>0.12984341871366439</v>
      </c>
      <c r="AE20" s="1">
        <v>0.16122120715511101</v>
      </c>
      <c r="AF20" s="1">
        <v>0.22349781963637269</v>
      </c>
      <c r="AG20" s="1">
        <v>2.7659218539892259E-2</v>
      </c>
      <c r="AH20" s="1">
        <v>-9.0178200714782636E-2</v>
      </c>
      <c r="AI20" s="1">
        <v>0.11633675505532361</v>
      </c>
      <c r="AJ20" s="1">
        <v>-6.1990034547547639E-2</v>
      </c>
      <c r="AK20" s="1">
        <v>-1.359511549600285E-2</v>
      </c>
      <c r="AL20" s="1">
        <v>-5.6166263617408981E-3</v>
      </c>
      <c r="AM20" s="1">
        <v>3.3095980748802607E-2</v>
      </c>
      <c r="AN20" s="1">
        <v>7.5470193518998266E-2</v>
      </c>
      <c r="AO20" s="1">
        <v>4.9108294639399641E-2</v>
      </c>
      <c r="AP20" s="1">
        <v>0.13173046125538779</v>
      </c>
      <c r="AQ20" s="1">
        <v>7.2900746140221309E-2</v>
      </c>
      <c r="AR20" s="1">
        <v>-1.328927308983413E-2</v>
      </c>
      <c r="AS20" s="1">
        <v>-4.2291716448975919E-2</v>
      </c>
      <c r="AT20" s="1">
        <v>0.23912374744507051</v>
      </c>
      <c r="AU20" s="1">
        <v>0.28169787258320111</v>
      </c>
      <c r="AV20" s="1">
        <v>-3.2246612786763357E-2</v>
      </c>
      <c r="AW20" s="1">
        <v>0.2249978407783445</v>
      </c>
      <c r="AX20" s="1">
        <v>0.20433921996054669</v>
      </c>
      <c r="AY20" s="1">
        <v>3.8674698442909439E-2</v>
      </c>
      <c r="AZ20" s="1">
        <v>9.9804303272323425E-2</v>
      </c>
      <c r="BA20" s="1">
        <v>0.15133772550591279</v>
      </c>
      <c r="BB20" s="1">
        <v>0.3784467853093445</v>
      </c>
      <c r="BC20" s="1">
        <v>0.24014067499041369</v>
      </c>
      <c r="BD20" s="1">
        <v>8.3601733665197644E-3</v>
      </c>
      <c r="BE20" s="1">
        <v>9.8278374734355731E-2</v>
      </c>
      <c r="BF20" s="1">
        <v>0.13797126306897531</v>
      </c>
      <c r="BG20" s="1">
        <v>9.4062055608340231E-2</v>
      </c>
      <c r="BH20" s="1">
        <v>0.1500573005634544</v>
      </c>
      <c r="BI20" s="1">
        <v>0.13174526708517489</v>
      </c>
      <c r="BJ20" s="1">
        <v>5.5155920618856692E-2</v>
      </c>
      <c r="BK20" s="1">
        <v>-0.11765037240502189</v>
      </c>
      <c r="BL20" s="1">
        <v>6.9859441937220601E-2</v>
      </c>
      <c r="BM20" s="1">
        <v>4.7468551464188873E-2</v>
      </c>
      <c r="BN20" s="1">
        <v>1.8638027253166291E-2</v>
      </c>
      <c r="BO20" s="1">
        <v>-3.8461717515979203E-2</v>
      </c>
      <c r="BP20" s="1">
        <v>7.2822475063245764E-3</v>
      </c>
      <c r="BQ20" s="1">
        <v>1.5451706960843021E-2</v>
      </c>
      <c r="BR20" s="1">
        <v>0.18112708147166159</v>
      </c>
      <c r="BS20" s="1">
        <v>-3.2536197724856143E-2</v>
      </c>
      <c r="BT20" s="1">
        <v>-5.2467623281905747E-2</v>
      </c>
      <c r="BU20" s="1">
        <v>0.14944100404532221</v>
      </c>
      <c r="BV20" s="1">
        <v>-8.154344176059905E-2</v>
      </c>
      <c r="BW20" s="1">
        <v>0.35182955004840472</v>
      </c>
      <c r="BX20" s="1">
        <v>-5.2861421730525368E-2</v>
      </c>
      <c r="BY20" s="1">
        <v>-4.6393591496685094E-3</v>
      </c>
      <c r="BZ20" s="1">
        <v>9.02714042602836E-2</v>
      </c>
      <c r="CA20" s="1">
        <v>1.9938221409499298E-3</v>
      </c>
      <c r="CB20" s="1">
        <v>0.1264950457700191</v>
      </c>
      <c r="CC20" s="1">
        <v>1.291514747808061E-2</v>
      </c>
      <c r="CD20" s="1">
        <v>0.1810274974905971</v>
      </c>
      <c r="CE20" s="1">
        <v>8.5778172602440458E-2</v>
      </c>
      <c r="CF20" s="1">
        <v>8.0957937198676569E-2</v>
      </c>
      <c r="CG20" s="1">
        <v>7.597024074310807E-2</v>
      </c>
      <c r="CH20" s="1">
        <v>7.1864025597138351E-2</v>
      </c>
      <c r="CI20" s="1">
        <v>3.0394673769081951E-2</v>
      </c>
      <c r="CJ20" s="1">
        <v>-4.1509984783928693E-2</v>
      </c>
      <c r="CK20" s="1">
        <v>8.0589623940621552E-2</v>
      </c>
      <c r="CL20" s="1">
        <v>-9.2184934189128986E-2</v>
      </c>
      <c r="CM20" s="1">
        <v>9.6775805849237839E-2</v>
      </c>
      <c r="CN20" s="1">
        <v>0.20489183364110261</v>
      </c>
      <c r="CO20" s="1">
        <v>0.29657330510502922</v>
      </c>
      <c r="CP20" s="1">
        <v>0.1920312051090273</v>
      </c>
      <c r="CQ20" s="1">
        <v>2.3118045300283038E-2</v>
      </c>
      <c r="CR20" s="1">
        <v>0.1954861104849421</v>
      </c>
      <c r="CS20" s="1">
        <v>9.7137098734322067E-2</v>
      </c>
      <c r="CT20" s="1">
        <v>2.841440739658805E-2</v>
      </c>
      <c r="CU20" s="1">
        <v>0.14672800907162681</v>
      </c>
      <c r="CV20" s="1">
        <v>0.11921412821268471</v>
      </c>
      <c r="CW20" s="1">
        <v>6.7903708174845409E-2</v>
      </c>
      <c r="CX20" s="1">
        <v>9.0298550867764463E-2</v>
      </c>
      <c r="CY20" s="1">
        <v>0.108732838402072</v>
      </c>
      <c r="CZ20" s="1">
        <v>0.15516164514919831</v>
      </c>
      <c r="DA20" s="1">
        <v>7.7081696653549386E-2</v>
      </c>
      <c r="DB20" s="1">
        <v>7.696806977078402E-2</v>
      </c>
      <c r="DC20" s="1">
        <v>-4.7084133307763107E-2</v>
      </c>
      <c r="DD20" s="1">
        <v>3.597184756950339E-3</v>
      </c>
      <c r="DE20" s="1">
        <v>1.0418721606852799E-2</v>
      </c>
      <c r="DF20" s="1">
        <v>0.24557420527758439</v>
      </c>
      <c r="DG20" s="1">
        <v>5.2344813299819028E-2</v>
      </c>
      <c r="DH20" s="1">
        <v>0.27829885316894232</v>
      </c>
      <c r="DI20" s="1">
        <v>0.1375957593126734</v>
      </c>
      <c r="DJ20" s="1">
        <v>0.1365580924326974</v>
      </c>
      <c r="DK20" s="1">
        <v>8.5187540020503633E-2</v>
      </c>
      <c r="DL20" s="1">
        <v>-1.9465373333619789E-2</v>
      </c>
      <c r="DM20" s="1">
        <v>-6.9336106675116957E-2</v>
      </c>
      <c r="DN20" s="1">
        <v>5.8019206654199171E-2</v>
      </c>
      <c r="DO20" s="1">
        <v>0.25800136345901148</v>
      </c>
      <c r="DP20" s="1">
        <v>0.20015543475438921</v>
      </c>
      <c r="DQ20" s="1">
        <v>5.7460181624700082E-2</v>
      </c>
      <c r="DR20" s="1">
        <v>7.8512660028290493E-2</v>
      </c>
      <c r="DS20" s="1">
        <v>-7.4906957537590798E-3</v>
      </c>
      <c r="DT20" s="1">
        <v>-2.968533879884255E-2</v>
      </c>
      <c r="DU20" s="1">
        <v>0.17637516893039651</v>
      </c>
      <c r="DV20" s="1">
        <v>0.12934547183885869</v>
      </c>
      <c r="DW20" s="1">
        <v>-0.1035461681398053</v>
      </c>
      <c r="DX20" s="1">
        <v>0.15386632960631469</v>
      </c>
      <c r="DY20" s="1">
        <v>0.1215914577754016</v>
      </c>
      <c r="DZ20" s="1">
        <v>9.0199646158974578E-2</v>
      </c>
      <c r="EA20" s="1">
        <v>-5.9255992733342772E-3</v>
      </c>
      <c r="EB20" s="1">
        <v>8.2407142444419712E-2</v>
      </c>
      <c r="EC20" s="1">
        <v>3.4049581413941779E-2</v>
      </c>
      <c r="ED20" s="1">
        <v>0.17691886106701021</v>
      </c>
      <c r="EE20" s="1">
        <v>-1.7409797518545299E-3</v>
      </c>
      <c r="EF20" s="1">
        <v>-2.0281416615907238E-2</v>
      </c>
      <c r="EG20" s="3"/>
    </row>
    <row r="21" spans="1:137" ht="16">
      <c r="A21" s="6">
        <v>241</v>
      </c>
      <c r="B21" s="6">
        <v>4</v>
      </c>
      <c r="C21" s="9">
        <v>0.21462957980695321</v>
      </c>
      <c r="D21" s="9">
        <v>0.12638791676682359</v>
      </c>
      <c r="E21" s="9">
        <v>-1.3690170285790599E-2</v>
      </c>
      <c r="F21" s="9">
        <v>-0.18403858160612999</v>
      </c>
      <c r="G21" s="9">
        <v>0.14384215111256449</v>
      </c>
      <c r="H21" s="9">
        <v>0.1621640877938379</v>
      </c>
      <c r="I21" s="9">
        <v>0.14725560812747299</v>
      </c>
      <c r="J21" s="9">
        <v>6.0435325691642318E-2</v>
      </c>
      <c r="K21" s="9">
        <v>0.2068800260033955</v>
      </c>
      <c r="L21" s="2">
        <v>5.0291533060606367E-3</v>
      </c>
      <c r="M21" s="2">
        <v>-9.9684593408211258E-2</v>
      </c>
      <c r="N21" s="2">
        <v>0.58489126462072527</v>
      </c>
      <c r="O21" s="1">
        <v>3.4351989460690638E-2</v>
      </c>
      <c r="P21" s="1">
        <v>0.14477260088968491</v>
      </c>
      <c r="Q21" s="1">
        <v>0.25731007409425227</v>
      </c>
      <c r="R21" s="1">
        <v>-0.1058357103667746</v>
      </c>
      <c r="S21" s="1">
        <v>0.12859028544995699</v>
      </c>
      <c r="T21" s="1">
        <v>9.846167275679743E-2</v>
      </c>
      <c r="U21" s="1">
        <v>8.6278417611758002E-2</v>
      </c>
      <c r="V21" s="1">
        <v>5.3557619366031213E-2</v>
      </c>
      <c r="W21" s="1">
        <v>0.124498618828508</v>
      </c>
      <c r="X21" s="1">
        <v>0.21363094220511639</v>
      </c>
      <c r="Y21" s="1">
        <v>-2.0833082892434851E-2</v>
      </c>
      <c r="Z21" s="1">
        <v>0.1178720289262155</v>
      </c>
      <c r="AA21" s="1">
        <v>0.1106359070024788</v>
      </c>
      <c r="AB21" s="1">
        <v>0.12814324497488999</v>
      </c>
      <c r="AC21" s="1">
        <v>1.882773670680014E-2</v>
      </c>
      <c r="AD21" s="1">
        <v>0.1288246656475579</v>
      </c>
      <c r="AE21" s="1">
        <v>0.12810497879624591</v>
      </c>
      <c r="AF21" s="1">
        <v>0.29514425808336342</v>
      </c>
      <c r="AG21" s="1">
        <v>4.4302777789794079E-2</v>
      </c>
      <c r="AH21" s="1">
        <v>-0.10758136256479831</v>
      </c>
      <c r="AI21" s="1">
        <v>0.10212367551148389</v>
      </c>
      <c r="AJ21" s="1">
        <v>-7.0405341946468691E-2</v>
      </c>
      <c r="AK21" s="1">
        <v>-3.064343373743127E-2</v>
      </c>
      <c r="AL21" s="1">
        <v>1.9780813559851541E-2</v>
      </c>
      <c r="AM21" s="1">
        <v>6.4856977806355839E-2</v>
      </c>
      <c r="AN21" s="1">
        <v>0.11195605606309431</v>
      </c>
      <c r="AO21" s="1">
        <v>8.5567774913887312E-2</v>
      </c>
      <c r="AP21" s="1">
        <v>6.239055369893616E-2</v>
      </c>
      <c r="AQ21" s="1">
        <v>6.7199966097465244E-2</v>
      </c>
      <c r="AR21" s="1">
        <v>4.798814140331014E-2</v>
      </c>
      <c r="AS21" s="1">
        <v>-4.5406682060008141E-2</v>
      </c>
      <c r="AT21" s="1">
        <v>0.26483825754799722</v>
      </c>
      <c r="AU21" s="1">
        <v>0.34648126396342699</v>
      </c>
      <c r="AV21" s="1">
        <v>-6.871391269647964E-2</v>
      </c>
      <c r="AW21" s="1">
        <v>0.26325491637381482</v>
      </c>
      <c r="AX21" s="1">
        <v>0.21771830251703739</v>
      </c>
      <c r="AY21" s="1">
        <v>4.7021290978038012E-2</v>
      </c>
      <c r="AZ21" s="1">
        <v>0.1085023584146062</v>
      </c>
      <c r="BA21" s="1">
        <v>0.1395926821613267</v>
      </c>
      <c r="BB21" s="1">
        <v>0.40443142813314931</v>
      </c>
      <c r="BC21" s="1">
        <v>0.1644605319288267</v>
      </c>
      <c r="BD21" s="1">
        <v>3.8219147267913818E-2</v>
      </c>
      <c r="BE21" s="1">
        <v>0.13674535590796441</v>
      </c>
      <c r="BF21" s="1">
        <v>0.19911721643060321</v>
      </c>
      <c r="BG21" s="1">
        <v>9.2285571507253639E-2</v>
      </c>
      <c r="BH21" s="1">
        <v>0.1068421096374302</v>
      </c>
      <c r="BI21" s="1">
        <v>0.1659695961783918</v>
      </c>
      <c r="BJ21" s="1">
        <v>2.239406236410954E-2</v>
      </c>
      <c r="BK21" s="1">
        <v>-7.2723114748713999E-2</v>
      </c>
      <c r="BL21" s="1">
        <v>8.7340790467698257E-2</v>
      </c>
      <c r="BM21" s="1">
        <v>4.0795286028720637E-2</v>
      </c>
      <c r="BN21" s="1">
        <v>2.5790766448446922E-2</v>
      </c>
      <c r="BO21" s="1">
        <v>-1.066839155318992E-2</v>
      </c>
      <c r="BP21" s="1">
        <v>-4.1808023315929119E-3</v>
      </c>
      <c r="BQ21" s="1">
        <v>5.4542230834504879E-2</v>
      </c>
      <c r="BR21" s="1">
        <v>0.14206145591009539</v>
      </c>
      <c r="BS21" s="1">
        <v>-6.5741820960347419E-2</v>
      </c>
      <c r="BT21" s="1">
        <v>-6.0820742542524793E-2</v>
      </c>
      <c r="BU21" s="1">
        <v>0.1707385105504178</v>
      </c>
      <c r="BV21" s="1">
        <v>-4.4339980041273437E-2</v>
      </c>
      <c r="BW21" s="1">
        <v>0.18446067072040909</v>
      </c>
      <c r="BX21" s="1">
        <v>-7.7165002520596909E-2</v>
      </c>
      <c r="BY21" s="1">
        <v>-5.5666292242237493E-2</v>
      </c>
      <c r="BZ21" s="1">
        <v>9.8156710439898404E-2</v>
      </c>
      <c r="CA21" s="1">
        <v>2.4556068552787459E-2</v>
      </c>
      <c r="CB21" s="1">
        <v>0.2078698479015878</v>
      </c>
      <c r="CC21" s="1">
        <v>-8.0189542709663136E-3</v>
      </c>
      <c r="CD21" s="1">
        <v>0.28805606436247322</v>
      </c>
      <c r="CE21" s="1">
        <v>6.1514882354154247E-2</v>
      </c>
      <c r="CF21" s="1">
        <v>0.13126567680107229</v>
      </c>
      <c r="CG21" s="1">
        <v>8.508533547413108E-2</v>
      </c>
      <c r="CH21" s="1">
        <v>8.0100321076211733E-2</v>
      </c>
      <c r="CI21" s="1">
        <v>8.0499616390982326E-2</v>
      </c>
      <c r="CJ21" s="1">
        <v>-5.5140848561157058E-2</v>
      </c>
      <c r="CK21" s="1">
        <v>6.7159630296855705E-2</v>
      </c>
      <c r="CL21" s="1">
        <v>-0.2104523758541085</v>
      </c>
      <c r="CM21" s="1">
        <v>0.1162318191805591</v>
      </c>
      <c r="CN21" s="1">
        <v>8.0851508829433677E-2</v>
      </c>
      <c r="CO21" s="1">
        <v>0.3354837581948798</v>
      </c>
      <c r="CP21" s="1">
        <v>0.22270006087791269</v>
      </c>
      <c r="CQ21" s="1">
        <v>2.2912194169496192E-2</v>
      </c>
      <c r="CR21" s="1">
        <v>0.23905996636126789</v>
      </c>
      <c r="CS21" s="1">
        <v>6.1269036219330789E-2</v>
      </c>
      <c r="CT21" s="1">
        <v>4.7993104073004042E-2</v>
      </c>
      <c r="CU21" s="1">
        <v>0.1589166223174501</v>
      </c>
      <c r="CV21" s="1">
        <v>0.1543318447745724</v>
      </c>
      <c r="CW21" s="1">
        <v>3.8345516871682743E-2</v>
      </c>
      <c r="CX21" s="1">
        <v>0.1021221756574071</v>
      </c>
      <c r="CY21" s="1">
        <v>0.102505161081563</v>
      </c>
      <c r="CZ21" s="1">
        <v>0.2374513708258302</v>
      </c>
      <c r="DA21" s="1">
        <v>4.1709064063925938E-2</v>
      </c>
      <c r="DB21" s="1">
        <v>7.1461213773998111E-2</v>
      </c>
      <c r="DC21" s="1">
        <v>-3.8546270664913319E-2</v>
      </c>
      <c r="DD21" s="1">
        <v>2.8187943910707451E-3</v>
      </c>
      <c r="DE21" s="1">
        <v>2.897773706032665E-2</v>
      </c>
      <c r="DF21" s="1">
        <v>0.30115021168204381</v>
      </c>
      <c r="DG21" s="1">
        <v>5.9409518844913557E-2</v>
      </c>
      <c r="DH21" s="1">
        <v>8.1436188280027383E-2</v>
      </c>
      <c r="DI21" s="1">
        <v>0.1798398251674036</v>
      </c>
      <c r="DJ21" s="1">
        <v>0.1566057184636416</v>
      </c>
      <c r="DK21" s="1">
        <v>9.0895590906945836E-2</v>
      </c>
      <c r="DL21" s="1">
        <v>-1.273699150101321E-2</v>
      </c>
      <c r="DM21" s="1">
        <v>-2.4988802442145672E-2</v>
      </c>
      <c r="DN21" s="1">
        <v>6.1960781446788349E-2</v>
      </c>
      <c r="DO21" s="1">
        <v>0.33162680487864599</v>
      </c>
      <c r="DP21" s="1">
        <v>0.22901988968023471</v>
      </c>
      <c r="DQ21" s="1">
        <v>7.0422698808183373E-2</v>
      </c>
      <c r="DR21" s="1">
        <v>5.0170859037080733E-2</v>
      </c>
      <c r="DS21" s="1">
        <v>-1.6720946793213241E-3</v>
      </c>
      <c r="DT21" s="1">
        <v>-5.2151903466792276E-3</v>
      </c>
      <c r="DU21" s="1">
        <v>0.1486147166384135</v>
      </c>
      <c r="DV21" s="1">
        <v>0.140275976869878</v>
      </c>
      <c r="DW21" s="1">
        <v>-0.1035344925963028</v>
      </c>
      <c r="DX21" s="1">
        <v>0.18596621403118341</v>
      </c>
      <c r="DY21" s="1">
        <v>0.16673097108859181</v>
      </c>
      <c r="DZ21" s="1">
        <v>9.893057365990536E-2</v>
      </c>
      <c r="EA21" s="1">
        <v>-3.5066457185236648E-2</v>
      </c>
      <c r="EB21" s="1">
        <v>2.6302193998533951E-2</v>
      </c>
      <c r="EC21" s="1">
        <v>3.0649685027988702E-3</v>
      </c>
      <c r="ED21" s="1">
        <v>5.4498856348180663E-2</v>
      </c>
      <c r="EE21" s="1">
        <v>2.1310592307867391E-2</v>
      </c>
      <c r="EF21" s="1">
        <v>7.9916028560319194E-3</v>
      </c>
      <c r="EG21" s="3"/>
    </row>
    <row r="22" spans="1:137" ht="16">
      <c r="A22" s="6">
        <v>321</v>
      </c>
      <c r="B22" s="6">
        <v>3</v>
      </c>
      <c r="C22" s="9">
        <v>0.20528030103697539</v>
      </c>
      <c r="D22" s="9">
        <v>0.1424278520773985</v>
      </c>
      <c r="E22" s="9">
        <v>-1.7355098916458981E-2</v>
      </c>
      <c r="F22" s="9">
        <v>-6.7831060921277567E-2</v>
      </c>
      <c r="G22" s="9">
        <v>0.1038843632903341</v>
      </c>
      <c r="H22" s="9">
        <v>0.1241780629606463</v>
      </c>
      <c r="I22" s="9">
        <v>0.12349316933806979</v>
      </c>
      <c r="J22" s="9">
        <v>5.2598589265342909E-2</v>
      </c>
      <c r="K22" s="9">
        <v>0.2453659126827557</v>
      </c>
      <c r="L22" s="2">
        <v>-1.427320868498227E-2</v>
      </c>
      <c r="M22" s="2">
        <v>-7.4100058770572547E-2</v>
      </c>
      <c r="N22" s="2">
        <v>0.75614344311733894</v>
      </c>
      <c r="O22" s="1">
        <v>-6.7158783113674958E-3</v>
      </c>
      <c r="P22" s="1">
        <v>7.2782884128816977E-2</v>
      </c>
      <c r="Q22" s="1">
        <v>0.27677689383305182</v>
      </c>
      <c r="R22" s="1">
        <v>-3.6628434271588052E-2</v>
      </c>
      <c r="S22" s="1">
        <v>0.16964655555794059</v>
      </c>
      <c r="T22" s="1">
        <v>0.1288124219831229</v>
      </c>
      <c r="U22" s="1">
        <v>0.11059002340250421</v>
      </c>
      <c r="V22" s="1">
        <v>3.8286776519855507E-2</v>
      </c>
      <c r="W22" s="1">
        <v>0.1580477531639507</v>
      </c>
      <c r="X22" s="1">
        <v>0.22178675903387041</v>
      </c>
      <c r="Y22" s="1">
        <v>-1.5732208413521059E-2</v>
      </c>
      <c r="Z22" s="1">
        <v>7.5548269145846045E-2</v>
      </c>
      <c r="AA22" s="1">
        <v>8.2524425578113014E-2</v>
      </c>
      <c r="AB22" s="1">
        <v>0.13443621271332551</v>
      </c>
      <c r="AC22" s="1">
        <v>8.5776460715432462E-2</v>
      </c>
      <c r="AD22" s="1">
        <v>1.357278877236134E-2</v>
      </c>
      <c r="AE22" s="1">
        <v>0.13082384281633419</v>
      </c>
      <c r="AF22" s="1">
        <v>0.42991676804861201</v>
      </c>
      <c r="AG22" s="1">
        <v>5.2841540175733892E-2</v>
      </c>
      <c r="AH22" s="1">
        <v>-0.10586595942047269</v>
      </c>
      <c r="AI22" s="1">
        <v>0.11100371122694901</v>
      </c>
      <c r="AJ22" s="1">
        <v>-3.1699849326408271E-2</v>
      </c>
      <c r="AK22" s="1">
        <v>0.1012885607403957</v>
      </c>
      <c r="AL22" s="1">
        <v>-9.4397384737102564E-3</v>
      </c>
      <c r="AM22" s="1">
        <v>8.4088903467703563E-2</v>
      </c>
      <c r="AN22" s="1">
        <v>0.1111328096635593</v>
      </c>
      <c r="AO22" s="1">
        <v>0.1581528752937269</v>
      </c>
      <c r="AP22" s="1">
        <v>6.2536353887992696E-2</v>
      </c>
      <c r="AQ22" s="1">
        <v>0.11013171229127849</v>
      </c>
      <c r="AR22" s="1">
        <v>6.7924487703603389E-2</v>
      </c>
      <c r="AS22" s="1">
        <v>7.3843702685833568E-2</v>
      </c>
      <c r="AT22" s="1">
        <v>1.7728370994436651E-2</v>
      </c>
      <c r="AU22" s="1">
        <v>0.42935378467834612</v>
      </c>
      <c r="AV22" s="1">
        <v>-8.9753981871632596E-2</v>
      </c>
      <c r="AW22" s="1">
        <v>0.37079927869117352</v>
      </c>
      <c r="AX22" s="1">
        <v>-9.875186005693877E-3</v>
      </c>
      <c r="AY22" s="1">
        <v>7.1733385334230598E-2</v>
      </c>
      <c r="AZ22" s="1">
        <v>0.1551884040435336</v>
      </c>
      <c r="BA22" s="1">
        <v>4.9774957584186978E-2</v>
      </c>
      <c r="BB22" s="1">
        <v>0.51826404945003746</v>
      </c>
      <c r="BC22" s="1">
        <v>0.19562603535051759</v>
      </c>
      <c r="BD22" s="1">
        <v>7.9259544919436403E-2</v>
      </c>
      <c r="BE22" s="1">
        <v>0.12806788396565999</v>
      </c>
      <c r="BF22" s="1">
        <v>0.1991024485484385</v>
      </c>
      <c r="BG22" s="1">
        <v>-4.1231469152780448E-2</v>
      </c>
      <c r="BH22" s="1">
        <v>0.12770700939641619</v>
      </c>
      <c r="BI22" s="1">
        <v>0.111088719409907</v>
      </c>
      <c r="BJ22" s="1">
        <v>4.0890331679524251E-2</v>
      </c>
      <c r="BK22" s="1">
        <v>-4.831524105166432E-2</v>
      </c>
      <c r="BL22" s="1">
        <v>0.13947139040086359</v>
      </c>
      <c r="BM22" s="1">
        <v>2.4304832455331882E-3</v>
      </c>
      <c r="BN22" s="1">
        <v>8.2937899200322518E-2</v>
      </c>
      <c r="BO22" s="1">
        <v>-9.7012895523605869E-2</v>
      </c>
      <c r="BP22" s="1">
        <v>-5.4100012453170681E-4</v>
      </c>
      <c r="BQ22" s="1">
        <v>2.7830097398312589E-2</v>
      </c>
      <c r="BR22" s="1">
        <v>0.10656678196769021</v>
      </c>
      <c r="BS22" s="1">
        <v>-9.7047589704545023E-2</v>
      </c>
      <c r="BT22" s="1">
        <v>8.8726194332783462E-2</v>
      </c>
      <c r="BU22" s="1">
        <v>0.1043505830823649</v>
      </c>
      <c r="BV22" s="1">
        <v>-4.8603534589078061E-2</v>
      </c>
      <c r="BW22" s="1">
        <v>0.1321717915357814</v>
      </c>
      <c r="BX22" s="1">
        <v>-0.1130288989043652</v>
      </c>
      <c r="BY22" s="1">
        <v>-5.5597049970371022E-2</v>
      </c>
      <c r="BZ22" s="1">
        <v>4.725773586289217E-2</v>
      </c>
      <c r="CA22" s="1">
        <v>2.749007848032349E-2</v>
      </c>
      <c r="CB22" s="1">
        <v>0.25473925571486122</v>
      </c>
      <c r="CC22" s="1">
        <v>-0.12510399532003291</v>
      </c>
      <c r="CD22" s="1">
        <v>0.33387803671272293</v>
      </c>
      <c r="CE22" s="1">
        <v>6.6840145636817616E-2</v>
      </c>
      <c r="CF22" s="1">
        <v>0.18879978576027739</v>
      </c>
      <c r="CG22" s="1">
        <v>0.207085332633513</v>
      </c>
      <c r="CH22" s="1">
        <v>0.1159187712794482</v>
      </c>
      <c r="CI22" s="1">
        <v>0.1177797462783592</v>
      </c>
      <c r="CJ22" s="1">
        <v>-0.12632535927858729</v>
      </c>
      <c r="CK22" s="1">
        <v>0.1109235402867822</v>
      </c>
      <c r="CL22" s="1">
        <v>-0.2406517986250408</v>
      </c>
      <c r="CM22" s="1">
        <v>0.21983248519746329</v>
      </c>
      <c r="CN22" s="1">
        <v>0.15280391681020719</v>
      </c>
      <c r="CO22" s="1">
        <v>0.27205949814687491</v>
      </c>
      <c r="CP22" s="1">
        <v>0.25940855696940252</v>
      </c>
      <c r="CQ22" s="1">
        <v>1.7159615519123799E-2</v>
      </c>
      <c r="CR22" s="1">
        <v>0.24677276999188669</v>
      </c>
      <c r="CS22" s="1">
        <v>8.4781935884364376E-2</v>
      </c>
      <c r="CT22" s="1">
        <v>3.8262614575275293E-2</v>
      </c>
      <c r="CU22" s="1">
        <v>0.16735391118636819</v>
      </c>
      <c r="CV22" s="1">
        <v>0.16622267868955429</v>
      </c>
      <c r="CW22" s="1">
        <v>2.2884042331984721E-2</v>
      </c>
      <c r="CX22" s="1">
        <v>3.749593267848913E-3</v>
      </c>
      <c r="CY22" s="1">
        <v>0.1045108260680616</v>
      </c>
      <c r="CZ22" s="1">
        <v>0.26292048459923911</v>
      </c>
      <c r="DA22" s="1">
        <v>3.2453994810138623E-2</v>
      </c>
      <c r="DB22" s="1">
        <v>5.4041621710522049E-2</v>
      </c>
      <c r="DC22" s="1">
        <v>-3.9494329949896927E-2</v>
      </c>
      <c r="DD22" s="1">
        <v>3.1710169125825367E-2</v>
      </c>
      <c r="DE22" s="1">
        <v>-1.7756503501932811E-2</v>
      </c>
      <c r="DF22" s="1">
        <v>0.38966763369412349</v>
      </c>
      <c r="DG22" s="1">
        <v>7.1889499417003094E-2</v>
      </c>
      <c r="DH22" s="1">
        <v>8.1454381615908525E-2</v>
      </c>
      <c r="DI22" s="1">
        <v>6.0122111270589459E-2</v>
      </c>
      <c r="DJ22" s="1">
        <v>0.15369976283032971</v>
      </c>
      <c r="DK22" s="1">
        <v>9.1428405059511261E-2</v>
      </c>
      <c r="DL22" s="1">
        <v>-3.213330743138731E-3</v>
      </c>
      <c r="DM22" s="1">
        <v>-3.1884709289730702E-2</v>
      </c>
      <c r="DN22" s="1">
        <v>4.6763328204007498E-2</v>
      </c>
      <c r="DO22" s="1">
        <v>7.5715816054906154E-2</v>
      </c>
      <c r="DP22" s="1">
        <v>0.16956243214073041</v>
      </c>
      <c r="DQ22" s="1">
        <v>0.16540416654463991</v>
      </c>
      <c r="DR22" s="1">
        <v>-6.0925526153180337E-3</v>
      </c>
      <c r="DS22" s="1">
        <v>-3.6346262249535841E-2</v>
      </c>
      <c r="DT22" s="1">
        <v>2.712875397817005E-2</v>
      </c>
      <c r="DU22" s="1">
        <v>0.16154691088272999</v>
      </c>
      <c r="DV22" s="1">
        <v>0.12570511767817799</v>
      </c>
      <c r="DW22" s="1">
        <v>-8.1415413379923474E-2</v>
      </c>
      <c r="DX22" s="1">
        <v>0.22244260844829469</v>
      </c>
      <c r="DY22" s="1">
        <v>0.11995602471866181</v>
      </c>
      <c r="DZ22" s="1">
        <v>0.11083450478771149</v>
      </c>
      <c r="EA22" s="1">
        <v>-3.4191242409873077E-2</v>
      </c>
      <c r="EB22" s="1">
        <v>0.12976595030606911</v>
      </c>
      <c r="EC22" s="1">
        <v>2.1495101575638179E-2</v>
      </c>
      <c r="ED22" s="1">
        <v>7.7413567057607463E-2</v>
      </c>
      <c r="EE22" s="1">
        <v>4.7636659384698889E-2</v>
      </c>
      <c r="EF22" s="1">
        <v>3.4790246372172352E-2</v>
      </c>
      <c r="EG22" s="3"/>
    </row>
    <row r="23" spans="1:137" ht="16">
      <c r="A23" s="6">
        <v>482</v>
      </c>
      <c r="B23" s="6">
        <v>2</v>
      </c>
      <c r="C23" s="9">
        <v>0.28298926569632887</v>
      </c>
      <c r="D23" s="9">
        <v>0.25409262745146127</v>
      </c>
      <c r="E23" s="9">
        <v>0.13300519405617101</v>
      </c>
      <c r="F23" s="9">
        <v>-0.1823960753208787</v>
      </c>
      <c r="G23" s="9">
        <v>-2.6971568524368019E-2</v>
      </c>
      <c r="H23" s="9">
        <v>-1.8188470841484668E-2</v>
      </c>
      <c r="I23" s="9">
        <v>0.148152028600294</v>
      </c>
      <c r="J23" s="9">
        <v>-9.8162291146452377E-2</v>
      </c>
      <c r="K23" s="9">
        <v>0.14260757512465491</v>
      </c>
      <c r="L23" s="2">
        <v>-5.0770833705182927E-2</v>
      </c>
      <c r="M23" s="2">
        <v>-0.2584499163586424</v>
      </c>
      <c r="N23" s="2">
        <v>0.97590144327128003</v>
      </c>
      <c r="O23" s="1">
        <v>-1.9407711266769139E-2</v>
      </c>
      <c r="P23" s="1">
        <v>9.040171118212538E-2</v>
      </c>
      <c r="Q23" s="1">
        <v>-5.95680169005205E-2</v>
      </c>
      <c r="R23" s="1">
        <v>-2.4313794611937441E-2</v>
      </c>
      <c r="S23" s="1">
        <v>0.1137245328272621</v>
      </c>
      <c r="T23" s="1">
        <v>0.15460269332742849</v>
      </c>
      <c r="U23" s="1">
        <v>9.3757422440794366E-2</v>
      </c>
      <c r="V23" s="1">
        <v>-2.302945710979112E-2</v>
      </c>
      <c r="W23" s="1">
        <v>0.25954732367705918</v>
      </c>
      <c r="X23" s="1">
        <v>0.1817811857978229</v>
      </c>
      <c r="Y23" s="1">
        <v>-1.4659801530490259E-2</v>
      </c>
      <c r="Z23" s="1">
        <v>3.3032515443875303E-2</v>
      </c>
      <c r="AA23" s="1">
        <v>-5.6748445960110291E-2</v>
      </c>
      <c r="AB23" s="1">
        <v>6.4039779876783498E-2</v>
      </c>
      <c r="AC23" s="1">
        <v>0.1687547996369127</v>
      </c>
      <c r="AD23" s="1">
        <v>7.1628868085674022E-2</v>
      </c>
      <c r="AE23" s="1">
        <v>0.13721198875766</v>
      </c>
      <c r="AF23" s="1">
        <v>0.32465932564021122</v>
      </c>
      <c r="AG23" s="1">
        <v>9.1873657646360199E-2</v>
      </c>
      <c r="AH23" s="1">
        <v>-8.417158452318324E-2</v>
      </c>
      <c r="AI23" s="1">
        <v>0.2091515986202637</v>
      </c>
      <c r="AJ23" s="1">
        <v>4.8195600190128897E-2</v>
      </c>
      <c r="AK23" s="1">
        <v>0.11411109934719101</v>
      </c>
      <c r="AL23" s="1">
        <v>-1.4066593107004361E-2</v>
      </c>
      <c r="AM23" s="1">
        <v>7.769489004865255E-3</v>
      </c>
      <c r="AN23" s="1">
        <v>0.24231469935730071</v>
      </c>
      <c r="AO23" s="1">
        <v>9.078247952961746E-2</v>
      </c>
      <c r="AP23" s="1">
        <v>-3.1210993523056942E-3</v>
      </c>
      <c r="AQ23" s="1">
        <v>9.9380639012752223E-2</v>
      </c>
      <c r="AR23" s="1">
        <v>0.1461361643393671</v>
      </c>
      <c r="AS23" s="1">
        <v>8.1663620780570226E-2</v>
      </c>
      <c r="AT23" s="1">
        <v>0.1095059029649002</v>
      </c>
      <c r="AU23" s="1">
        <v>0.60833204424947662</v>
      </c>
      <c r="AV23" s="1">
        <v>-4.9150066629292007E-2</v>
      </c>
      <c r="AW23" s="1">
        <v>0.58225997417421493</v>
      </c>
      <c r="AX23" s="1">
        <v>-1.4812779008540821E-2</v>
      </c>
      <c r="AY23" s="1">
        <v>0.17023398084058211</v>
      </c>
      <c r="AZ23" s="1">
        <v>7.8071576521207053E-2</v>
      </c>
      <c r="BA23" s="1">
        <v>5.3998338629857423E-2</v>
      </c>
      <c r="BB23" s="1">
        <v>0.68602332967973401</v>
      </c>
      <c r="BC23" s="1">
        <v>0.25286918189993951</v>
      </c>
      <c r="BD23" s="1">
        <v>0.12597278447449581</v>
      </c>
      <c r="BE23" s="1">
        <v>0.1242921430258994</v>
      </c>
      <c r="BF23" s="1">
        <v>0.21000911286045121</v>
      </c>
      <c r="BG23" s="1">
        <v>3.8322827419145812E-2</v>
      </c>
      <c r="BH23" s="1">
        <v>6.3365195703238231E-2</v>
      </c>
      <c r="BI23" s="1">
        <v>0.1911120793231991</v>
      </c>
      <c r="BJ23" s="1">
        <v>5.7493860805491029E-2</v>
      </c>
      <c r="BK23" s="1">
        <v>-4.7849323301188178E-2</v>
      </c>
      <c r="BL23" s="1">
        <v>0.11436629014166901</v>
      </c>
      <c r="BM23" s="1">
        <v>-6.9495462024450616E-2</v>
      </c>
      <c r="BN23" s="1">
        <v>3.8453237240273198E-2</v>
      </c>
      <c r="BO23" s="1">
        <v>-0.16631016589269049</v>
      </c>
      <c r="BP23" s="1">
        <v>-2.2475721392681891E-2</v>
      </c>
      <c r="BQ23" s="1">
        <v>4.9611841287991017E-2</v>
      </c>
      <c r="BR23" s="1">
        <v>0.1028225901803507</v>
      </c>
      <c r="BS23" s="1">
        <v>-0.2205670944023907</v>
      </c>
      <c r="BT23" s="1">
        <v>0.2181866761329041</v>
      </c>
      <c r="BU23" s="1">
        <v>0.1056852737934032</v>
      </c>
      <c r="BV23" s="1">
        <v>-5.326905055788838E-2</v>
      </c>
      <c r="BW23" s="1">
        <v>1.536251504309036E-2</v>
      </c>
      <c r="BX23" s="1">
        <v>-6.8735089330797944E-2</v>
      </c>
      <c r="BY23" s="1">
        <v>0.1182492339269558</v>
      </c>
      <c r="BZ23" s="1">
        <v>7.6697624318448621E-3</v>
      </c>
      <c r="CA23" s="1">
        <v>7.5653199746629096E-2</v>
      </c>
      <c r="CB23" s="1">
        <v>0.31616676175875003</v>
      </c>
      <c r="CC23" s="1">
        <v>-8.4544614715775346E-2</v>
      </c>
      <c r="CD23" s="1">
        <v>0.19167645501478511</v>
      </c>
      <c r="CE23" s="1">
        <v>5.9602301837717461E-2</v>
      </c>
      <c r="CF23" s="1">
        <v>0.15713490979116501</v>
      </c>
      <c r="CG23" s="1">
        <v>0.21663724162720299</v>
      </c>
      <c r="CH23" s="1">
        <v>0.18019644892142839</v>
      </c>
      <c r="CI23" s="1">
        <v>0.30989941712809688</v>
      </c>
      <c r="CJ23" s="1">
        <v>-0.15651589641790081</v>
      </c>
      <c r="CK23" s="1">
        <v>7.1856390536544607E-2</v>
      </c>
      <c r="CL23" s="1">
        <v>-0.40866101266741839</v>
      </c>
      <c r="CM23" s="1">
        <v>0.23470497261609899</v>
      </c>
      <c r="CN23" s="1">
        <v>0.27710426195606819</v>
      </c>
      <c r="CO23" s="1">
        <v>0.26615853772710141</v>
      </c>
      <c r="CP23" s="1">
        <v>0.31136074316275669</v>
      </c>
      <c r="CQ23" s="1">
        <v>-2.4702270079380868E-2</v>
      </c>
      <c r="CR23" s="1">
        <v>0.15099817047394759</v>
      </c>
      <c r="CS23" s="1">
        <v>6.5159884293212025E-2</v>
      </c>
      <c r="CT23" s="1">
        <v>6.539021537994999E-2</v>
      </c>
      <c r="CU23" s="1">
        <v>0.20210388498715681</v>
      </c>
      <c r="CV23" s="1">
        <v>0.15333096827157461</v>
      </c>
      <c r="CW23" s="1">
        <v>-2.418628778900123E-2</v>
      </c>
      <c r="CX23" s="1">
        <v>-8.8716994096526336E-2</v>
      </c>
      <c r="CY23" s="1">
        <v>0.15375033367153881</v>
      </c>
      <c r="CZ23" s="1">
        <v>0.18199879385735121</v>
      </c>
      <c r="DA23" s="1">
        <v>6.4644882448389021E-2</v>
      </c>
      <c r="DB23" s="1">
        <v>1.8747066443219641E-2</v>
      </c>
      <c r="DC23" s="1">
        <v>0.1191904860704142</v>
      </c>
      <c r="DD23" s="1">
        <v>9.2798674677153081E-2</v>
      </c>
      <c r="DE23" s="1">
        <v>-6.0085947510171572E-2</v>
      </c>
      <c r="DF23" s="1">
        <v>0.40879492056092032</v>
      </c>
      <c r="DG23" s="1">
        <v>6.7620427406409236E-2</v>
      </c>
      <c r="DH23" s="1">
        <v>0.1392268935121084</v>
      </c>
      <c r="DI23" s="1">
        <v>9.6040550870895677E-2</v>
      </c>
      <c r="DJ23" s="1">
        <v>0.1200325818239187</v>
      </c>
      <c r="DK23" s="1">
        <v>9.1244988740826746E-2</v>
      </c>
      <c r="DL23" s="1">
        <v>2.6242652104624471E-2</v>
      </c>
      <c r="DM23" s="1">
        <v>-4.6477315989241888E-2</v>
      </c>
      <c r="DN23" s="1">
        <v>6.4971960439702253E-3</v>
      </c>
      <c r="DO23" s="1">
        <v>0.124068441987729</v>
      </c>
      <c r="DP23" s="1">
        <v>0.17683961848490651</v>
      </c>
      <c r="DQ23" s="1">
        <v>0.24594610755878629</v>
      </c>
      <c r="DR23" s="1">
        <v>-8.9886002731306744E-2</v>
      </c>
      <c r="DS23" s="1">
        <v>-0.1165759916669394</v>
      </c>
      <c r="DT23" s="1">
        <v>-2.2296457069757209E-2</v>
      </c>
      <c r="DU23" s="1">
        <v>5.5639478708282321E-2</v>
      </c>
      <c r="DV23" s="1">
        <v>0.27627160832943959</v>
      </c>
      <c r="DW23" s="1">
        <v>2.3051820755061941E-2</v>
      </c>
      <c r="DX23" s="1">
        <v>0.31349320637896622</v>
      </c>
      <c r="DY23" s="1">
        <v>-5.3926224537590731E-2</v>
      </c>
      <c r="DZ23" s="1">
        <v>-0.21717398775244159</v>
      </c>
      <c r="EA23" s="1">
        <v>-9.3362079468968795E-2</v>
      </c>
      <c r="EB23" s="1">
        <v>0.24428465812392219</v>
      </c>
      <c r="EC23" s="1">
        <v>-3.6584316325813361E-2</v>
      </c>
      <c r="ED23" s="1">
        <v>9.1425904619781034E-2</v>
      </c>
      <c r="EE23" s="1">
        <v>6.9212075984992683E-2</v>
      </c>
      <c r="EF23" s="1">
        <v>4.7782278591659677E-2</v>
      </c>
      <c r="EG23" s="3"/>
    </row>
    <row r="24" spans="1:137" ht="16">
      <c r="A24" s="6">
        <v>964</v>
      </c>
      <c r="B24" s="6">
        <v>1</v>
      </c>
      <c r="C24" s="9">
        <v>9.9113364206882743E-2</v>
      </c>
      <c r="D24" s="9">
        <v>0.1006099128992286</v>
      </c>
      <c r="E24" s="9">
        <v>0.28451249769050191</v>
      </c>
      <c r="F24" s="9">
        <v>-0.20154571887164621</v>
      </c>
      <c r="G24" s="9">
        <v>-2.2622388562617651E-2</v>
      </c>
      <c r="H24" s="9">
        <v>3.5855796654956661E-2</v>
      </c>
      <c r="I24" s="9">
        <v>-2.111933203143501E-3</v>
      </c>
      <c r="J24" s="9">
        <v>-9.9972192910136135E-2</v>
      </c>
      <c r="K24" s="9">
        <v>5.0444335993488708E-2</v>
      </c>
      <c r="L24" s="2">
        <v>-9.3799693256750388E-2</v>
      </c>
      <c r="M24" s="2">
        <v>-0.14681933889950849</v>
      </c>
      <c r="N24" s="2">
        <v>1.769031369112569</v>
      </c>
      <c r="O24" s="1">
        <v>3.6648790739543732E-2</v>
      </c>
      <c r="P24" s="1">
        <v>0.1042484144089995</v>
      </c>
      <c r="Q24" s="1">
        <v>-6.096496164670627E-2</v>
      </c>
      <c r="R24" s="1">
        <v>-0.24569737077925971</v>
      </c>
      <c r="S24" s="1">
        <v>0.35251446106016437</v>
      </c>
      <c r="T24" s="1">
        <v>-0.27048671467401741</v>
      </c>
      <c r="U24" s="1">
        <v>0.14851867422391801</v>
      </c>
      <c r="V24" s="1">
        <v>-6.7139302837628506E-2</v>
      </c>
      <c r="W24" s="1">
        <v>-0.16456451758688009</v>
      </c>
      <c r="X24" s="1">
        <v>-3.6157896361251968E-2</v>
      </c>
      <c r="Y24" s="1">
        <v>-9.4770149264170878E-3</v>
      </c>
      <c r="Z24" s="1">
        <v>0.10584232727880701</v>
      </c>
      <c r="AA24" s="1">
        <v>0.21854457969115479</v>
      </c>
      <c r="AB24" s="1">
        <v>0.1953396226752438</v>
      </c>
      <c r="AC24" s="1">
        <v>0.4017473338469546</v>
      </c>
      <c r="AD24" s="1">
        <v>0.1011752992567229</v>
      </c>
      <c r="AE24" s="1">
        <v>0.19314178971175811</v>
      </c>
      <c r="AF24" s="1">
        <v>0.49538941280416188</v>
      </c>
      <c r="AG24" s="1">
        <v>0.13873571762663761</v>
      </c>
      <c r="AH24" s="1">
        <v>-5.6697360067789589E-2</v>
      </c>
      <c r="AI24" s="1">
        <v>0.31041423522934231</v>
      </c>
      <c r="AJ24" s="1">
        <v>-8.089124399937539E-2</v>
      </c>
      <c r="AK24" s="1">
        <v>8.4883953068192297E-2</v>
      </c>
      <c r="AL24" s="1">
        <v>8.7173701476634946E-2</v>
      </c>
      <c r="AM24" s="1">
        <v>-1.89192814205267E-2</v>
      </c>
      <c r="AN24" s="1">
        <v>0.22118946514543131</v>
      </c>
      <c r="AO24" s="1">
        <v>0.1029057025777895</v>
      </c>
      <c r="AP24" s="1">
        <v>2.28517154890964E-2</v>
      </c>
      <c r="AQ24" s="1">
        <v>0.21712720312806419</v>
      </c>
      <c r="AR24" s="1">
        <v>0.1708334061708256</v>
      </c>
      <c r="AS24" s="1">
        <v>3.2867737066227462E-3</v>
      </c>
      <c r="AT24" s="1">
        <v>0.15076897992568081</v>
      </c>
      <c r="AU24" s="1">
        <v>0.47705418724240228</v>
      </c>
      <c r="AV24" s="1">
        <v>0.24768466023032751</v>
      </c>
      <c r="AW24" s="1">
        <v>-0.14871095653144009</v>
      </c>
      <c r="AX24" s="1">
        <v>0.1114913369162155</v>
      </c>
      <c r="AY24" s="1">
        <v>0.16812729388488939</v>
      </c>
      <c r="AZ24" s="1">
        <v>0.11862372507117649</v>
      </c>
      <c r="BA24" s="1">
        <v>5.0491305412012258E-2</v>
      </c>
      <c r="BB24" s="1">
        <v>0.87270314910649027</v>
      </c>
      <c r="BC24" s="1">
        <v>-4.366869614383373E-3</v>
      </c>
      <c r="BD24" s="1">
        <v>1.8631034086863729E-2</v>
      </c>
      <c r="BE24" s="1">
        <v>-5.7380537985080138E-2</v>
      </c>
      <c r="BF24" s="1">
        <v>-6.4370420949463519E-2</v>
      </c>
      <c r="BG24" s="1">
        <v>-9.0984227707435611E-2</v>
      </c>
      <c r="BH24" s="1">
        <v>0.14767356525171971</v>
      </c>
      <c r="BI24" s="1">
        <v>0.2236291060700471</v>
      </c>
      <c r="BJ24" s="1">
        <v>0.19964003317045101</v>
      </c>
      <c r="BK24" s="1">
        <v>-3.4827647172774007E-2</v>
      </c>
      <c r="BL24" s="1">
        <v>0.1061069201511666</v>
      </c>
      <c r="BM24" s="1">
        <v>8.4782939838988242E-2</v>
      </c>
      <c r="BN24" s="1">
        <v>0.10891326031654749</v>
      </c>
      <c r="BO24" s="1">
        <v>-0.16110969109564191</v>
      </c>
      <c r="BP24" s="1">
        <v>3.1794104329889807E-2</v>
      </c>
      <c r="BQ24" s="1">
        <v>-6.4169633330115036E-2</v>
      </c>
      <c r="BR24" s="1">
        <v>9.8920889185241626E-2</v>
      </c>
      <c r="BS24" s="1">
        <v>-0.1216210365296066</v>
      </c>
      <c r="BT24" s="1">
        <v>0.27671901614020838</v>
      </c>
      <c r="BU24" s="1">
        <v>8.7484923148454363E-3</v>
      </c>
      <c r="BV24" s="1">
        <v>-4.625870574066291E-2</v>
      </c>
      <c r="BW24" s="1">
        <v>0.15102744542241939</v>
      </c>
      <c r="BX24" s="1">
        <v>-0.1039550340490914</v>
      </c>
      <c r="BY24" s="1">
        <v>0.11840823105030179</v>
      </c>
      <c r="BZ24" s="1">
        <v>0.25889289884999689</v>
      </c>
      <c r="CA24" s="1">
        <v>0.1152216807734147</v>
      </c>
      <c r="CB24" s="1">
        <v>0.639698133634515</v>
      </c>
      <c r="CC24" s="1">
        <v>-0.18246987988756161</v>
      </c>
      <c r="CD24" s="1">
        <v>3.2392267354276312E-2</v>
      </c>
      <c r="CE24" s="1">
        <v>0.16556487399111461</v>
      </c>
      <c r="CF24" s="1">
        <v>0.2217213622453883</v>
      </c>
      <c r="CG24" s="1">
        <v>0.51996896607392207</v>
      </c>
      <c r="CH24" s="1">
        <v>0.35427729684250298</v>
      </c>
      <c r="CI24" s="1">
        <v>-0.3284518207092646</v>
      </c>
      <c r="CJ24" s="1">
        <v>-0.3001868935902553</v>
      </c>
      <c r="CK24" s="1">
        <v>0.32305926532838408</v>
      </c>
      <c r="CL24" s="1">
        <v>0.1417553333725407</v>
      </c>
      <c r="CM24" s="1">
        <v>0.63643326435951064</v>
      </c>
      <c r="CN24" s="1">
        <v>0.60967719726707426</v>
      </c>
      <c r="CO24" s="1">
        <v>0.45247744179045318</v>
      </c>
      <c r="CP24" s="1">
        <v>0.28781577122863622</v>
      </c>
      <c r="CQ24" s="1">
        <v>-0.1601896466275006</v>
      </c>
      <c r="CR24" s="1">
        <v>0.1377874560487031</v>
      </c>
      <c r="CS24" s="1">
        <v>0.1079742359390275</v>
      </c>
      <c r="CT24" s="1">
        <v>-0.1195443883358397</v>
      </c>
      <c r="CU24" s="1">
        <v>5.2729044813654813E-2</v>
      </c>
      <c r="CV24" s="1">
        <v>0.182864094907223</v>
      </c>
      <c r="CW24" s="1">
        <v>-0.234993215272846</v>
      </c>
      <c r="CX24" s="1">
        <v>5.5207193708687041E-2</v>
      </c>
      <c r="CY24" s="1">
        <v>0.32114775220674069</v>
      </c>
      <c r="CZ24" s="1">
        <v>0.11220662844456721</v>
      </c>
      <c r="DA24" s="1">
        <v>3.3979585092453302E-2</v>
      </c>
      <c r="DB24" s="1">
        <v>-1.6501865848996312E-2</v>
      </c>
      <c r="DC24" s="1">
        <v>0.19445359829121789</v>
      </c>
      <c r="DD24" s="1">
        <v>-0.19584472218244131</v>
      </c>
      <c r="DE24" s="1">
        <v>0.13158559129553279</v>
      </c>
      <c r="DF24" s="1">
        <v>0.52558500614449799</v>
      </c>
      <c r="DG24" s="1">
        <v>0.11954528640013271</v>
      </c>
      <c r="DH24" s="1">
        <v>0.26580267599251223</v>
      </c>
      <c r="DI24" s="1">
        <v>3.7184908274380812E-2</v>
      </c>
      <c r="DJ24" s="1">
        <v>0.2293698745310894</v>
      </c>
      <c r="DK24" s="1">
        <v>0.1196801812081898</v>
      </c>
      <c r="DL24" s="1">
        <v>6.1360513215416877E-2</v>
      </c>
      <c r="DM24" s="1">
        <v>-4.1344524506759309E-4</v>
      </c>
      <c r="DN24" s="1">
        <v>0.23333457077469619</v>
      </c>
      <c r="DO24" s="1">
        <v>0.1156119550234804</v>
      </c>
      <c r="DP24" s="1">
        <v>0.22357182348369681</v>
      </c>
      <c r="DQ24" s="1">
        <v>0.35907130209664839</v>
      </c>
      <c r="DR24" s="1">
        <v>-2.0515630212029241E-2</v>
      </c>
      <c r="DS24" s="1">
        <v>-6.7362545713944635E-2</v>
      </c>
      <c r="DT24" s="1">
        <v>-2.9435726388863388E-2</v>
      </c>
      <c r="DU24" s="1">
        <v>-2.1781395361230051E-2</v>
      </c>
      <c r="DV24" s="1">
        <v>0.1582246986438143</v>
      </c>
      <c r="DW24" s="1">
        <v>0.10118249665524411</v>
      </c>
      <c r="DX24" s="1">
        <v>0.31159312779250392</v>
      </c>
      <c r="DY24" s="1">
        <v>-3.239876608542996E-3</v>
      </c>
      <c r="DZ24" s="1">
        <v>-0.43350657873669168</v>
      </c>
      <c r="EA24" s="1">
        <v>-2.3171501846674901E-2</v>
      </c>
      <c r="EB24" s="1">
        <v>0.58969791699909047</v>
      </c>
      <c r="EC24" s="1">
        <v>-1.4309918770678909E-2</v>
      </c>
      <c r="ED24" s="1">
        <v>5.6172845298362112E-2</v>
      </c>
      <c r="EE24" s="1">
        <v>0.10748065723441801</v>
      </c>
      <c r="EF24" s="1">
        <v>-6.7276677043968364E-2</v>
      </c>
      <c r="EG24" s="3"/>
    </row>
    <row r="25" spans="1:137" ht="16">
      <c r="A25" s="6" t="s">
        <v>145</v>
      </c>
      <c r="B25" s="6" t="s">
        <v>146</v>
      </c>
      <c r="C25" s="26">
        <v>-1.7446770539390338E-2</v>
      </c>
      <c r="D25" s="26">
        <v>2.070106053181563E-2</v>
      </c>
      <c r="E25" s="26">
        <v>2.3982129254766709E-2</v>
      </c>
      <c r="F25" s="26">
        <v>-6.557578972823077E-3</v>
      </c>
      <c r="G25" s="26">
        <v>3.1845129800519692E-2</v>
      </c>
      <c r="H25" s="26">
        <v>3.4348532736990518E-2</v>
      </c>
      <c r="I25" s="26">
        <v>-8.2549327813252367E-3</v>
      </c>
      <c r="J25" s="26">
        <v>1.2843524394052759E-2</v>
      </c>
      <c r="K25" s="26">
        <v>-5.1018524626790823E-2</v>
      </c>
      <c r="L25" s="26">
        <v>8.7394274103658827E-4</v>
      </c>
      <c r="M25" s="26">
        <v>2.3389575505495919E-2</v>
      </c>
      <c r="N25" s="26">
        <v>1.2988972200332851E-2</v>
      </c>
      <c r="O25" s="26">
        <v>5.8545887256348812E-3</v>
      </c>
      <c r="P25" s="26">
        <v>2.7413206571790558E-2</v>
      </c>
      <c r="Q25" s="26">
        <v>-3.7129361176928542E-3</v>
      </c>
      <c r="R25" s="26">
        <v>2.4076614047823328E-2</v>
      </c>
      <c r="S25" s="26">
        <v>-1.219002529903996E-2</v>
      </c>
      <c r="T25" s="26">
        <v>-3.9749578159589592E-2</v>
      </c>
      <c r="U25" s="26">
        <v>-7.3155449831649552E-2</v>
      </c>
      <c r="V25" s="26">
        <v>-5.8260229910114661E-2</v>
      </c>
      <c r="W25" s="26">
        <v>7.7279756550837221E-4</v>
      </c>
      <c r="X25" s="26">
        <v>4.459152113521897E-2</v>
      </c>
      <c r="Y25" s="26">
        <v>-2.7699680050213091E-2</v>
      </c>
      <c r="Z25" s="26">
        <v>2.0950059497436462E-3</v>
      </c>
      <c r="AA25" s="26">
        <v>-2.340055099256411E-2</v>
      </c>
      <c r="AB25" s="26">
        <v>3.2129371097322189E-2</v>
      </c>
      <c r="AC25" s="26">
        <v>3.890327309406643E-2</v>
      </c>
      <c r="AD25" s="26">
        <v>-4.286538217110427E-2</v>
      </c>
      <c r="AE25" s="26">
        <v>1.8647194550152159E-2</v>
      </c>
      <c r="AF25" s="26">
        <v>1.5229768322528949E-2</v>
      </c>
      <c r="AG25" s="26">
        <v>3.6016603778892417E-2</v>
      </c>
      <c r="AH25" s="26">
        <v>9.3546113853161701E-3</v>
      </c>
      <c r="AI25" s="26">
        <v>1.0748251336838139E-2</v>
      </c>
      <c r="AJ25" s="26">
        <v>1.335775405308097E-2</v>
      </c>
      <c r="AK25" s="26">
        <v>-5.3327473290953921E-3</v>
      </c>
      <c r="AL25" s="26">
        <v>1.383135807261675E-3</v>
      </c>
      <c r="AM25" s="26">
        <v>2.079592842007446E-2</v>
      </c>
      <c r="AN25" s="26">
        <v>3.1517702220390638E-2</v>
      </c>
      <c r="AO25" s="26">
        <v>6.2417165333294418E-3</v>
      </c>
      <c r="AP25" s="26">
        <v>6.1452616535713897E-3</v>
      </c>
      <c r="AQ25" s="26">
        <v>1.694635767669651E-2</v>
      </c>
      <c r="AR25" s="26">
        <v>3.4682830454308228E-2</v>
      </c>
      <c r="AS25" s="26">
        <v>3.0985886171969678E-3</v>
      </c>
      <c r="AT25" s="26">
        <v>1.508134714348611E-2</v>
      </c>
      <c r="AU25" s="26">
        <v>-1.9251209229863991E-2</v>
      </c>
      <c r="AV25" s="26">
        <v>3.8711513387631437E-2</v>
      </c>
      <c r="AW25" s="26">
        <v>-2.1856951135736599E-2</v>
      </c>
      <c r="AX25" s="26">
        <v>7.7743007097896798E-3</v>
      </c>
      <c r="AY25" s="26">
        <v>4.2397246695325942E-2</v>
      </c>
      <c r="AZ25" s="26">
        <v>-2.630897486115975E-2</v>
      </c>
      <c r="BA25" s="26">
        <v>9.5717493087162323E-3</v>
      </c>
      <c r="BB25" s="26">
        <v>-2.424974126627483E-2</v>
      </c>
      <c r="BC25" s="26">
        <v>2.0163374143915822E-2</v>
      </c>
      <c r="BD25" s="26">
        <v>-3.5049987821160239E-3</v>
      </c>
      <c r="BE25" s="26">
        <v>2.0151935098542271E-2</v>
      </c>
      <c r="BF25" s="26">
        <v>5.8133623077027128E-4</v>
      </c>
      <c r="BG25" s="26">
        <v>-5.2197009532526043E-3</v>
      </c>
      <c r="BH25" s="26">
        <v>-0.11587176140213</v>
      </c>
      <c r="BI25" s="26">
        <v>8.7252256924373536E-3</v>
      </c>
      <c r="BJ25" s="26">
        <v>-1.6377260977822151E-2</v>
      </c>
      <c r="BK25" s="26">
        <v>2.0840371600260421E-2</v>
      </c>
      <c r="BL25" s="26">
        <v>4.4975872102114713E-2</v>
      </c>
      <c r="BM25" s="26">
        <v>2.3954306081863871E-2</v>
      </c>
      <c r="BN25" s="26">
        <v>3.0239101391442601E-2</v>
      </c>
      <c r="BO25" s="26">
        <v>-4.372588759108751E-2</v>
      </c>
      <c r="BP25" s="26">
        <v>2.1889469568198618E-2</v>
      </c>
      <c r="BQ25" s="26">
        <v>8.6274302635084028E-3</v>
      </c>
      <c r="BR25" s="26">
        <v>-1.9192953994658781E-2</v>
      </c>
      <c r="BS25" s="26">
        <v>1.973512988813305E-2</v>
      </c>
      <c r="BT25" s="26">
        <v>4.7694337483699438E-2</v>
      </c>
      <c r="BU25" s="26">
        <v>1.145481680658339E-2</v>
      </c>
      <c r="BV25" s="26">
        <v>4.3228620735213191E-2</v>
      </c>
      <c r="BW25" s="26">
        <v>-4.2747430436922793E-2</v>
      </c>
      <c r="BX25" s="26">
        <v>-1.781129242779457E-2</v>
      </c>
      <c r="BY25" s="26">
        <v>-0.1511530968690756</v>
      </c>
      <c r="BZ25" s="26">
        <v>0.12422400361957529</v>
      </c>
      <c r="CA25" s="26">
        <v>-4.5572538445296431E-3</v>
      </c>
      <c r="CB25" s="26">
        <v>6.0211240204911178E-2</v>
      </c>
      <c r="CC25" s="26">
        <v>8.5992033482502284E-2</v>
      </c>
      <c r="CD25" s="26">
        <v>-5.8084795823660634E-3</v>
      </c>
      <c r="CE25" s="26">
        <v>-6.0413469889680736E-3</v>
      </c>
      <c r="CF25" s="26">
        <v>2.4523243722520739E-3</v>
      </c>
      <c r="CG25" s="26">
        <v>8.963625193702289E-2</v>
      </c>
      <c r="CH25" s="26">
        <v>7.099273252675789E-2</v>
      </c>
      <c r="CI25" s="26">
        <v>2.7170642901783448E-2</v>
      </c>
      <c r="CJ25" s="26">
        <v>5.2468428425330033E-2</v>
      </c>
      <c r="CK25" s="26">
        <v>2.9480660943049509E-2</v>
      </c>
      <c r="CL25" s="26">
        <v>6.6825081060201283E-2</v>
      </c>
      <c r="CM25" s="26">
        <v>-2.8772229019816971E-2</v>
      </c>
      <c r="CN25" s="26">
        <v>3.9462515901637851E-2</v>
      </c>
      <c r="CO25" s="26">
        <v>-2.9031086977359909E-2</v>
      </c>
      <c r="CP25" s="26">
        <v>1.3983882519467901E-2</v>
      </c>
      <c r="CQ25" s="26">
        <v>-3.2276964959333833E-2</v>
      </c>
      <c r="CR25" s="26">
        <v>3.1035766128940231E-3</v>
      </c>
      <c r="CS25" s="26">
        <v>2.5591855767083171E-2</v>
      </c>
      <c r="CT25" s="26">
        <v>4.4391886287193302E-2</v>
      </c>
      <c r="CU25" s="26">
        <v>-3.0338958549577438E-2</v>
      </c>
      <c r="CV25" s="26">
        <v>-1.2579764545717069E-3</v>
      </c>
      <c r="CW25" s="26">
        <v>2.336356455857952E-3</v>
      </c>
      <c r="CX25" s="26">
        <v>-6.4264144925906069E-2</v>
      </c>
      <c r="CY25" s="26">
        <v>1.2909779458992439E-2</v>
      </c>
      <c r="CZ25" s="26">
        <v>-0.12547709467085871</v>
      </c>
      <c r="DA25" s="26">
        <v>1.1690682939792569E-2</v>
      </c>
      <c r="DB25" s="26">
        <v>6.3378437007417512E-3</v>
      </c>
      <c r="DC25" s="26">
        <v>-0.1173053564693855</v>
      </c>
      <c r="DD25" s="26">
        <v>-3.6010872049446613E-2</v>
      </c>
      <c r="DE25" s="26">
        <v>0.1389113040722679</v>
      </c>
      <c r="DF25" s="26">
        <v>-5.1143506226105737E-2</v>
      </c>
      <c r="DG25" s="26">
        <v>7.6731447181969059E-2</v>
      </c>
      <c r="DH25" s="26">
        <v>1.550878219700816E-2</v>
      </c>
      <c r="DI25" s="26">
        <v>2.3223773674755831E-2</v>
      </c>
      <c r="DJ25" s="26">
        <v>-1.8372876361227891E-2</v>
      </c>
      <c r="DK25" s="26">
        <v>6.2199014085099431E-2</v>
      </c>
      <c r="DL25" s="26">
        <v>2.0098304486957191E-2</v>
      </c>
      <c r="DM25" s="26">
        <v>1.349893974806809E-2</v>
      </c>
      <c r="DN25" s="26">
        <v>-3.025221272842088E-2</v>
      </c>
      <c r="DO25" s="26">
        <v>-1.7022835708053841E-2</v>
      </c>
      <c r="DP25" s="26">
        <v>-2.1788523272461981E-2</v>
      </c>
      <c r="DQ25" s="26">
        <v>8.5745624585137223E-2</v>
      </c>
      <c r="DR25" s="26">
        <v>2.8106743604973752E-2</v>
      </c>
      <c r="DS25" s="26">
        <v>-2.3031598073594501E-3</v>
      </c>
      <c r="DT25" s="26">
        <v>5.8471198131487503E-2</v>
      </c>
      <c r="DU25" s="26">
        <v>6.7658949048647651E-2</v>
      </c>
      <c r="DV25" s="26">
        <v>5.0207706404322644E-3</v>
      </c>
      <c r="DW25" s="26">
        <v>3.7416183675207063E-2</v>
      </c>
      <c r="DX25" s="26">
        <v>8.4111003746042121E-2</v>
      </c>
      <c r="DY25" s="26">
        <v>-3.6832398544012837E-2</v>
      </c>
      <c r="DZ25" s="26">
        <v>3.0917028169369942E-3</v>
      </c>
      <c r="EA25" s="26">
        <v>-1.957628214294549E-3</v>
      </c>
      <c r="EB25" s="26">
        <v>2.6459103603519739E-2</v>
      </c>
      <c r="EC25" s="26">
        <v>-2.4752538760690269E-2</v>
      </c>
      <c r="ED25" s="26">
        <v>3.4115490982559941E-2</v>
      </c>
      <c r="EE25" s="26">
        <v>2.1061973989032982E-2</v>
      </c>
      <c r="EF25" s="26">
        <v>-2.0277392706005919E-2</v>
      </c>
      <c r="EG25" s="3"/>
    </row>
    <row r="26" spans="1:137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</row>
  </sheetData>
  <mergeCells count="2">
    <mergeCell ref="A6:B6"/>
    <mergeCell ref="A10:B10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G30"/>
  <sheetViews>
    <sheetView topLeftCell="A9" zoomScale="81" workbookViewId="0">
      <selection activeCell="U9" sqref="U9"/>
    </sheetView>
  </sheetViews>
  <sheetFormatPr baseColWidth="10" defaultColWidth="8.83203125" defaultRowHeight="15"/>
  <cols>
    <col min="1" max="1" width="8.33203125" style="27" customWidth="1"/>
    <col min="2" max="3" width="9.33203125" style="27" customWidth="1"/>
    <col min="11" max="11" width="8.1640625" style="27" customWidth="1"/>
    <col min="64" max="64" width="8.33203125" style="27" customWidth="1"/>
    <col min="134" max="134" width="10.1640625" customWidth="1"/>
    <col min="136" max="136" width="9.5" customWidth="1"/>
  </cols>
  <sheetData>
    <row r="1" spans="1:136" ht="16">
      <c r="A1" s="15" t="s">
        <v>147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2" spans="1:136" ht="16">
      <c r="A2" s="4"/>
      <c r="B2" s="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18</v>
      </c>
      <c r="T2" s="16" t="s">
        <v>19</v>
      </c>
      <c r="U2" s="16" t="s">
        <v>20</v>
      </c>
      <c r="V2" s="16" t="s">
        <v>21</v>
      </c>
      <c r="W2" s="16" t="s">
        <v>22</v>
      </c>
      <c r="X2" s="16" t="s">
        <v>23</v>
      </c>
      <c r="Y2" s="16" t="s">
        <v>24</v>
      </c>
      <c r="Z2" s="16" t="s">
        <v>25</v>
      </c>
      <c r="AA2" s="16" t="s">
        <v>26</v>
      </c>
      <c r="AB2" s="16" t="s">
        <v>27</v>
      </c>
      <c r="AC2" s="16" t="s">
        <v>28</v>
      </c>
      <c r="AD2" s="16" t="s">
        <v>29</v>
      </c>
      <c r="AE2" s="16" t="s">
        <v>30</v>
      </c>
      <c r="AF2" s="16" t="s">
        <v>31</v>
      </c>
      <c r="AG2" s="16" t="s">
        <v>32</v>
      </c>
      <c r="AH2" s="16" t="s">
        <v>33</v>
      </c>
      <c r="AI2" s="16" t="s">
        <v>34</v>
      </c>
      <c r="AJ2" s="16" t="s">
        <v>35</v>
      </c>
      <c r="AK2" s="16" t="s">
        <v>36</v>
      </c>
      <c r="AL2" s="16" t="s">
        <v>37</v>
      </c>
      <c r="AM2" s="16" t="s">
        <v>38</v>
      </c>
      <c r="AN2" s="16" t="s">
        <v>39</v>
      </c>
      <c r="AO2" s="16" t="s">
        <v>40</v>
      </c>
      <c r="AP2" s="16" t="s">
        <v>41</v>
      </c>
      <c r="AQ2" s="16" t="s">
        <v>42</v>
      </c>
      <c r="AR2" s="16" t="s">
        <v>43</v>
      </c>
      <c r="AS2" s="16" t="s">
        <v>44</v>
      </c>
      <c r="AT2" s="16" t="s">
        <v>45</v>
      </c>
      <c r="AU2" s="16" t="s">
        <v>46</v>
      </c>
      <c r="AV2" s="16" t="s">
        <v>47</v>
      </c>
      <c r="AW2" s="16" t="s">
        <v>48</v>
      </c>
      <c r="AX2" s="16" t="s">
        <v>49</v>
      </c>
      <c r="AY2" s="16" t="s">
        <v>50</v>
      </c>
      <c r="AZ2" s="16" t="s">
        <v>51</v>
      </c>
      <c r="BA2" s="16" t="s">
        <v>52</v>
      </c>
      <c r="BB2" s="16" t="s">
        <v>53</v>
      </c>
      <c r="BC2" s="16" t="s">
        <v>54</v>
      </c>
      <c r="BD2" s="16" t="s">
        <v>55</v>
      </c>
      <c r="BE2" s="16" t="s">
        <v>56</v>
      </c>
      <c r="BF2" s="16" t="s">
        <v>57</v>
      </c>
      <c r="BG2" s="16" t="s">
        <v>58</v>
      </c>
      <c r="BH2" s="16" t="s">
        <v>59</v>
      </c>
      <c r="BI2" s="16" t="s">
        <v>60</v>
      </c>
      <c r="BJ2" s="16" t="s">
        <v>61</v>
      </c>
      <c r="BK2" s="16" t="s">
        <v>62</v>
      </c>
      <c r="BL2" s="16" t="s">
        <v>63</v>
      </c>
      <c r="BM2" s="16" t="s">
        <v>64</v>
      </c>
      <c r="BN2" s="16" t="s">
        <v>65</v>
      </c>
      <c r="BO2" s="16" t="s">
        <v>66</v>
      </c>
      <c r="BP2" s="16" t="s">
        <v>67</v>
      </c>
      <c r="BQ2" s="16" t="s">
        <v>68</v>
      </c>
      <c r="BR2" s="16" t="s">
        <v>69</v>
      </c>
      <c r="BS2" s="16" t="s">
        <v>70</v>
      </c>
      <c r="BT2" s="16" t="s">
        <v>71</v>
      </c>
      <c r="BU2" s="16" t="s">
        <v>72</v>
      </c>
      <c r="BV2" s="16" t="s">
        <v>73</v>
      </c>
      <c r="BW2" s="16" t="s">
        <v>74</v>
      </c>
      <c r="BX2" s="16" t="s">
        <v>75</v>
      </c>
      <c r="BY2" s="16" t="s">
        <v>76</v>
      </c>
      <c r="BZ2" s="16" t="s">
        <v>77</v>
      </c>
      <c r="CA2" s="16" t="s">
        <v>78</v>
      </c>
      <c r="CB2" s="16" t="s">
        <v>79</v>
      </c>
      <c r="CC2" s="16" t="s">
        <v>80</v>
      </c>
      <c r="CD2" s="16" t="s">
        <v>81</v>
      </c>
      <c r="CE2" s="16" t="s">
        <v>82</v>
      </c>
      <c r="CF2" s="16" t="s">
        <v>83</v>
      </c>
      <c r="CG2" s="16" t="s">
        <v>84</v>
      </c>
      <c r="CH2" s="16" t="s">
        <v>85</v>
      </c>
      <c r="CI2" s="16" t="s">
        <v>86</v>
      </c>
      <c r="CJ2" s="16" t="s">
        <v>87</v>
      </c>
      <c r="CK2" s="16" t="s">
        <v>88</v>
      </c>
      <c r="CL2" s="16" t="s">
        <v>89</v>
      </c>
      <c r="CM2" s="16" t="s">
        <v>90</v>
      </c>
      <c r="CN2" s="16" t="s">
        <v>91</v>
      </c>
      <c r="CO2" s="16" t="s">
        <v>92</v>
      </c>
      <c r="CP2" s="16" t="s">
        <v>93</v>
      </c>
      <c r="CQ2" s="16" t="s">
        <v>94</v>
      </c>
      <c r="CR2" s="16" t="s">
        <v>95</v>
      </c>
      <c r="CS2" s="16" t="s">
        <v>96</v>
      </c>
      <c r="CT2" s="16" t="s">
        <v>97</v>
      </c>
      <c r="CU2" s="16" t="s">
        <v>98</v>
      </c>
      <c r="CV2" s="16" t="s">
        <v>99</v>
      </c>
      <c r="CW2" s="16" t="s">
        <v>100</v>
      </c>
      <c r="CX2" s="16" t="s">
        <v>101</v>
      </c>
      <c r="CY2" s="16" t="s">
        <v>102</v>
      </c>
      <c r="CZ2" s="16" t="s">
        <v>103</v>
      </c>
      <c r="DA2" s="16" t="s">
        <v>104</v>
      </c>
      <c r="DB2" s="16" t="s">
        <v>105</v>
      </c>
      <c r="DC2" s="16" t="s">
        <v>106</v>
      </c>
      <c r="DD2" s="16" t="s">
        <v>107</v>
      </c>
      <c r="DE2" s="16" t="s">
        <v>108</v>
      </c>
      <c r="DF2" s="16" t="s">
        <v>109</v>
      </c>
      <c r="DG2" s="16" t="s">
        <v>110</v>
      </c>
      <c r="DH2" s="16" t="s">
        <v>111</v>
      </c>
      <c r="DI2" s="16" t="s">
        <v>112</v>
      </c>
      <c r="DJ2" s="16" t="s">
        <v>113</v>
      </c>
      <c r="DK2" s="16" t="s">
        <v>114</v>
      </c>
      <c r="DL2" s="16" t="s">
        <v>115</v>
      </c>
      <c r="DM2" s="16" t="s">
        <v>116</v>
      </c>
      <c r="DN2" s="16" t="s">
        <v>117</v>
      </c>
      <c r="DO2" s="16" t="s">
        <v>118</v>
      </c>
      <c r="DP2" s="16" t="s">
        <v>119</v>
      </c>
      <c r="DQ2" s="16" t="s">
        <v>120</v>
      </c>
      <c r="DR2" s="16" t="s">
        <v>121</v>
      </c>
      <c r="DS2" s="16" t="s">
        <v>122</v>
      </c>
      <c r="DT2" s="16" t="s">
        <v>123</v>
      </c>
      <c r="DU2" s="16" t="s">
        <v>124</v>
      </c>
      <c r="DV2" s="16" t="s">
        <v>125</v>
      </c>
      <c r="DW2" s="16" t="s">
        <v>126</v>
      </c>
      <c r="DX2" s="16" t="s">
        <v>127</v>
      </c>
      <c r="DY2" s="16" t="s">
        <v>128</v>
      </c>
      <c r="DZ2" s="16" t="s">
        <v>129</v>
      </c>
      <c r="EA2" s="16" t="s">
        <v>130</v>
      </c>
      <c r="EB2" s="16" t="s">
        <v>131</v>
      </c>
      <c r="EC2" s="16" t="s">
        <v>132</v>
      </c>
      <c r="ED2" s="17" t="s">
        <v>133</v>
      </c>
      <c r="EE2" s="17" t="s">
        <v>134</v>
      </c>
      <c r="EF2" s="13" t="s">
        <v>135</v>
      </c>
    </row>
    <row r="3" spans="1:136" ht="16">
      <c r="A3" s="4"/>
      <c r="B3" s="6" t="s">
        <v>136</v>
      </c>
      <c r="C3" s="23">
        <v>7.3912657797336578E-2</v>
      </c>
      <c r="D3" s="23">
        <v>7.563493400812149E-2</v>
      </c>
      <c r="E3" s="23">
        <v>5.3515486419200897E-2</v>
      </c>
      <c r="F3" s="23">
        <v>6.1629988253116608E-2</v>
      </c>
      <c r="G3" s="23">
        <v>5.0796419382095337E-2</v>
      </c>
      <c r="H3" s="23">
        <v>3.5059131681919098E-2</v>
      </c>
      <c r="I3" s="23">
        <v>9.0367138385772705E-2</v>
      </c>
      <c r="J3" s="23">
        <v>6.5266318619251251E-2</v>
      </c>
      <c r="K3" s="23">
        <v>-1.2474538758397101E-2</v>
      </c>
      <c r="L3" s="23">
        <v>7.7547639608383179E-2</v>
      </c>
      <c r="M3" s="23">
        <v>6.4441181719303131E-2</v>
      </c>
      <c r="N3" s="23">
        <v>4.6512190252542503E-2</v>
      </c>
      <c r="O3" s="23">
        <v>6.7610271275043488E-2</v>
      </c>
      <c r="P3" s="23">
        <v>-2.5644939392805099E-2</v>
      </c>
      <c r="Q3" s="23">
        <v>3.3374421298503883E-2</v>
      </c>
      <c r="R3" s="23">
        <v>5.7588163763284683E-2</v>
      </c>
      <c r="S3" s="23">
        <v>-3.4195460379123688E-2</v>
      </c>
      <c r="T3" s="23">
        <v>5.8177851140499108E-2</v>
      </c>
      <c r="U3" s="23">
        <v>3.8116455078125E-2</v>
      </c>
      <c r="V3" s="23">
        <v>-5.5063976906239986E-3</v>
      </c>
      <c r="W3" s="23">
        <v>5.813661590218544E-2</v>
      </c>
      <c r="X3" s="23">
        <v>5.6870419532060623E-2</v>
      </c>
      <c r="Y3" s="23">
        <v>5.9794772416353233E-2</v>
      </c>
      <c r="Z3" s="23">
        <v>1.319171953946352E-2</v>
      </c>
      <c r="AA3" s="23">
        <v>6.6306374967098236E-2</v>
      </c>
      <c r="AB3" s="23">
        <v>5.8820508420467377E-2</v>
      </c>
      <c r="AC3" s="23">
        <v>5.7617776095867157E-2</v>
      </c>
      <c r="AD3" s="23">
        <v>3.6969933658838272E-2</v>
      </c>
      <c r="AE3" s="23">
        <v>7.8433975577354431E-2</v>
      </c>
      <c r="AF3" s="23">
        <v>4.3248169124126427E-2</v>
      </c>
      <c r="AG3" s="23">
        <v>5.5671926587820053E-2</v>
      </c>
      <c r="AH3" s="23">
        <v>1.690743304789066E-2</v>
      </c>
      <c r="AI3" s="23">
        <v>3.7138056010007858E-2</v>
      </c>
      <c r="AJ3" s="23">
        <v>3.9113327860832207E-2</v>
      </c>
      <c r="AK3" s="23">
        <v>4.2720824480056763E-2</v>
      </c>
      <c r="AL3" s="23">
        <v>2.7467237785458561E-2</v>
      </c>
      <c r="AM3" s="23">
        <v>5.331827700138092E-2</v>
      </c>
      <c r="AN3" s="23">
        <v>0.1098324954509735</v>
      </c>
      <c r="AO3" s="23">
        <v>1.9733672961592671E-2</v>
      </c>
      <c r="AP3" s="23">
        <v>3.6758668720722198E-2</v>
      </c>
      <c r="AQ3" s="23">
        <v>5.1327180117368698E-2</v>
      </c>
      <c r="AR3" s="23">
        <v>5.3256317973136902E-2</v>
      </c>
      <c r="AS3" s="23">
        <v>5.4331317543983459E-2</v>
      </c>
      <c r="AT3" s="23">
        <v>4.3143793940544128E-2</v>
      </c>
      <c r="AU3" s="23">
        <v>3.8841631263494492E-2</v>
      </c>
      <c r="AV3" s="23">
        <v>5.5265516042709351E-2</v>
      </c>
      <c r="AW3" s="23">
        <v>5.0267204642295837E-2</v>
      </c>
      <c r="AX3" s="23">
        <v>-6.0497067868709557E-2</v>
      </c>
      <c r="AY3" s="23">
        <v>5.6344892829656601E-2</v>
      </c>
      <c r="AZ3" s="23">
        <v>4.4756263494491577E-2</v>
      </c>
      <c r="BA3" s="23">
        <v>4.9546454101800919E-2</v>
      </c>
      <c r="BB3" s="23">
        <v>6.5231695771217346E-2</v>
      </c>
      <c r="BC3" s="23">
        <v>5.2208933979272842E-2</v>
      </c>
      <c r="BD3" s="23">
        <v>5.0287269055843353E-2</v>
      </c>
      <c r="BE3" s="23">
        <v>5.3227733820676797E-2</v>
      </c>
      <c r="BF3" s="23">
        <v>5.2831601351499557E-2</v>
      </c>
      <c r="BG3" s="23">
        <v>-2.2505151107907299E-2</v>
      </c>
      <c r="BH3" s="23">
        <v>5.3355973213911063E-2</v>
      </c>
      <c r="BI3" s="23">
        <v>-4.2333740741014481E-2</v>
      </c>
      <c r="BJ3" s="23">
        <v>-4.1621774435043328E-2</v>
      </c>
      <c r="BK3" s="23">
        <v>5.2732300013303757E-2</v>
      </c>
      <c r="BL3" s="23">
        <v>5.2711453288793557E-2</v>
      </c>
      <c r="BM3" s="23">
        <v>5.2789580076932907E-2</v>
      </c>
      <c r="BN3" s="23">
        <v>5.7516373693943017E-2</v>
      </c>
      <c r="BO3" s="23">
        <v>-4.2583651840686798E-2</v>
      </c>
      <c r="BP3" s="23">
        <v>3.996393084526062E-2</v>
      </c>
      <c r="BQ3" s="23">
        <v>5.2070382982492447E-2</v>
      </c>
      <c r="BR3" s="23">
        <v>5.0181154161691673E-2</v>
      </c>
      <c r="BS3" s="23">
        <v>5.4154157638549798E-2</v>
      </c>
      <c r="BT3" s="23">
        <v>4.9134161323308938E-2</v>
      </c>
      <c r="BU3" s="23">
        <v>5.5349864065647132E-2</v>
      </c>
      <c r="BV3" s="23">
        <v>5.2839476615190513E-2</v>
      </c>
      <c r="BW3" s="23">
        <v>2.9234826564788818E-2</v>
      </c>
      <c r="BX3" s="23">
        <v>4.7284010797739029E-2</v>
      </c>
      <c r="BY3" s="23">
        <v>-4.2058713734149933E-3</v>
      </c>
      <c r="BZ3" s="23">
        <v>5.3063441067934043E-2</v>
      </c>
      <c r="CA3" s="23">
        <v>3.9631478488445282E-2</v>
      </c>
      <c r="CB3" s="23">
        <v>4.600171372294426E-2</v>
      </c>
      <c r="CC3" s="23">
        <v>5.1699593663215637E-2</v>
      </c>
      <c r="CD3" s="23">
        <v>5.2426740527153022E-2</v>
      </c>
      <c r="CE3" s="23">
        <v>4.7352515161037452E-2</v>
      </c>
      <c r="CF3" s="23">
        <v>2.1231763064861301E-2</v>
      </c>
      <c r="CG3" s="23">
        <v>4.5137140899896622E-2</v>
      </c>
      <c r="CH3" s="23">
        <v>-4.9076564610004432E-2</v>
      </c>
      <c r="CI3" s="23">
        <v>2.026702277362347E-2</v>
      </c>
      <c r="CJ3" s="23">
        <v>5.7584956288337708E-2</v>
      </c>
      <c r="CK3" s="23">
        <v>6.9196119904518127E-2</v>
      </c>
      <c r="CL3" s="23">
        <v>4.2080968618392937E-2</v>
      </c>
      <c r="CM3" s="23">
        <v>4.9845971167087548E-2</v>
      </c>
      <c r="CN3" s="23">
        <v>-4.840879887342453E-2</v>
      </c>
      <c r="CO3" s="23">
        <v>4.8292059451341629E-2</v>
      </c>
      <c r="CP3" s="23">
        <v>3.9594132453203201E-2</v>
      </c>
      <c r="CQ3" s="23">
        <v>4.8842102289199829E-2</v>
      </c>
      <c r="CR3" s="23">
        <v>4.9500271677970893E-2</v>
      </c>
      <c r="CS3" s="23">
        <v>4.7897454351186752E-2</v>
      </c>
      <c r="CT3" s="23">
        <v>2.8369873762130741E-2</v>
      </c>
      <c r="CU3" s="23">
        <v>4.4375255703926093E-2</v>
      </c>
      <c r="CV3" s="23">
        <v>5.0530951470136642E-2</v>
      </c>
      <c r="CW3" s="23">
        <v>4.3176311999559402E-2</v>
      </c>
      <c r="CX3" s="23">
        <v>5.2143923938274377E-2</v>
      </c>
      <c r="CY3" s="23">
        <v>5.0900701433420181E-2</v>
      </c>
      <c r="CZ3" s="23">
        <v>4.2558174580335617E-2</v>
      </c>
      <c r="DA3" s="23">
        <v>4.4029783457517617E-2</v>
      </c>
      <c r="DB3" s="23">
        <v>-4.3919529765844352E-2</v>
      </c>
      <c r="DC3" s="23">
        <v>5.1982991397380829E-2</v>
      </c>
      <c r="DD3" s="23">
        <v>-8.4397029131650925E-3</v>
      </c>
      <c r="DE3" s="23">
        <v>5.2998926490545273E-2</v>
      </c>
      <c r="DF3" s="23">
        <v>4.4837679713964462E-2</v>
      </c>
      <c r="DG3" s="23">
        <v>4.3406125158071518E-2</v>
      </c>
      <c r="DH3" s="23">
        <v>4.7541145235300057E-2</v>
      </c>
      <c r="DI3" s="23">
        <v>4.8345033079385757E-2</v>
      </c>
      <c r="DJ3" s="23">
        <v>5.2155863493680947E-2</v>
      </c>
      <c r="DK3" s="23">
        <v>8.9188195765018463E-2</v>
      </c>
      <c r="DL3" s="23">
        <v>-2.6696257293224331E-2</v>
      </c>
      <c r="DM3" s="23">
        <v>4.845760390162468E-2</v>
      </c>
      <c r="DN3" s="23">
        <v>4.64659184217453E-2</v>
      </c>
      <c r="DO3" s="23">
        <v>-2.9918596148490909E-2</v>
      </c>
      <c r="DP3" s="23">
        <v>4.7435946762561798E-2</v>
      </c>
      <c r="DQ3" s="23">
        <v>3.8500402122735977E-2</v>
      </c>
      <c r="DR3" s="23">
        <v>4.9186587333679199E-2</v>
      </c>
      <c r="DS3" s="23">
        <v>4.7889348119497299E-2</v>
      </c>
      <c r="DT3" s="23">
        <v>3.1652722507715232E-2</v>
      </c>
      <c r="DU3" s="23">
        <v>6.1842098832130432E-2</v>
      </c>
      <c r="DV3" s="23">
        <v>4.6563606709241867E-2</v>
      </c>
      <c r="DW3" s="23">
        <v>3.2814890146255493E-2</v>
      </c>
      <c r="DX3" s="23">
        <v>4.826011136174202E-2</v>
      </c>
      <c r="DY3" s="23">
        <v>-5.6952420622110367E-2</v>
      </c>
      <c r="DZ3" s="23">
        <v>3.3931814134120941E-2</v>
      </c>
      <c r="EA3" s="23">
        <v>4.8233494162559509E-2</v>
      </c>
      <c r="EB3" s="23">
        <v>9.788920171558857E-3</v>
      </c>
      <c r="EC3" s="23">
        <v>3.6156386137008667E-2</v>
      </c>
      <c r="ED3" s="23">
        <v>4.0190532803535461E-2</v>
      </c>
      <c r="EE3" s="24">
        <v>4.7531653195619583E-2</v>
      </c>
      <c r="EF3" s="23">
        <v>5.0330590456724167E-2</v>
      </c>
    </row>
    <row r="4" spans="1:136" ht="16">
      <c r="A4" s="4"/>
      <c r="B4" s="6" t="s">
        <v>137</v>
      </c>
      <c r="C4" s="23">
        <v>1.097527518868446E-2</v>
      </c>
      <c r="D4" s="23">
        <v>-4.8196077346801758E-2</v>
      </c>
      <c r="E4" s="23">
        <v>8.2988262176513672E-2</v>
      </c>
      <c r="F4" s="23">
        <v>3.8252770900726318E-2</v>
      </c>
      <c r="G4" s="23">
        <v>5.0002194941043847E-2</v>
      </c>
      <c r="H4" s="23">
        <v>1.3410039246082309E-2</v>
      </c>
      <c r="I4" s="23">
        <v>-2.6064049452543259E-2</v>
      </c>
      <c r="J4" s="23">
        <v>-3.02179642021656E-2</v>
      </c>
      <c r="K4" s="23">
        <v>-3.3898375928401947E-2</v>
      </c>
      <c r="L4" s="23">
        <v>-3.984282910823822E-2</v>
      </c>
      <c r="M4" s="23">
        <v>-4.3122667819261551E-2</v>
      </c>
      <c r="N4" s="23">
        <v>4.2018979787826538E-2</v>
      </c>
      <c r="O4" s="23">
        <v>-3.4795396029949188E-2</v>
      </c>
      <c r="P4" s="23">
        <v>-4.6467673033475883E-2</v>
      </c>
      <c r="Q4" s="23">
        <v>-6.1648782342672348E-2</v>
      </c>
      <c r="R4" s="23">
        <v>-3.4485667943954468E-2</v>
      </c>
      <c r="S4" s="23">
        <v>-2.5171820074319839E-2</v>
      </c>
      <c r="T4" s="23">
        <v>-3.7345178425312042E-2</v>
      </c>
      <c r="U4" s="23">
        <v>8.309655636548996E-2</v>
      </c>
      <c r="V4" s="23">
        <v>8.9860610663890839E-2</v>
      </c>
      <c r="W4" s="23">
        <v>-2.792869508266449E-2</v>
      </c>
      <c r="X4" s="23">
        <v>8.2243978977203369E-2</v>
      </c>
      <c r="Y4" s="23">
        <v>-7.1789160370826721E-2</v>
      </c>
      <c r="Z4" s="23">
        <v>-3.0311709269881248E-2</v>
      </c>
      <c r="AA4" s="23">
        <v>3.6390047520399087E-2</v>
      </c>
      <c r="AB4" s="23">
        <v>3.8148783147335052E-2</v>
      </c>
      <c r="AC4" s="23">
        <v>-2.473837323486805E-2</v>
      </c>
      <c r="AD4" s="23">
        <v>-9.8738029599189758E-2</v>
      </c>
      <c r="AE4" s="23">
        <v>-4.4849235564470291E-2</v>
      </c>
      <c r="AF4" s="23">
        <v>-4.4075444340705872E-2</v>
      </c>
      <c r="AG4" s="23">
        <v>-2.9871419072151181E-2</v>
      </c>
      <c r="AH4" s="23">
        <v>1.6651395708322528E-2</v>
      </c>
      <c r="AI4" s="23">
        <v>2.7999542653560638E-2</v>
      </c>
      <c r="AJ4" s="23">
        <v>-1.5782922506332401E-2</v>
      </c>
      <c r="AK4" s="23">
        <v>-9.3165159225463867E-2</v>
      </c>
      <c r="AL4" s="23">
        <v>5.6960459798574448E-2</v>
      </c>
      <c r="AM4" s="23">
        <v>-2.980230376124382E-2</v>
      </c>
      <c r="AN4" s="23">
        <v>-3.7541721016168587E-2</v>
      </c>
      <c r="AO4" s="23">
        <v>1.405663043260574E-2</v>
      </c>
      <c r="AP4" s="23">
        <v>2.8084170073270801E-2</v>
      </c>
      <c r="AQ4" s="23">
        <v>-2.095661498606205E-2</v>
      </c>
      <c r="AR4" s="23">
        <v>-3.324919193983078E-2</v>
      </c>
      <c r="AS4" s="23">
        <v>2.9234178364276889E-2</v>
      </c>
      <c r="AT4" s="23">
        <v>-3.8568161427974701E-2</v>
      </c>
      <c r="AU4" s="23">
        <v>-3.052850067615509E-2</v>
      </c>
      <c r="AV4" s="23">
        <v>-3.2747495919466019E-2</v>
      </c>
      <c r="AW4" s="23">
        <v>4.592633992433548E-2</v>
      </c>
      <c r="AX4" s="23">
        <v>-3.4888666123151779E-2</v>
      </c>
      <c r="AY4" s="23">
        <v>-3.4154564142227173E-2</v>
      </c>
      <c r="AZ4" s="23">
        <v>2.5950407609343529E-2</v>
      </c>
      <c r="BA4" s="23">
        <v>-3.119267150759697E-2</v>
      </c>
      <c r="BB4" s="23">
        <v>-8.7475843727588654E-2</v>
      </c>
      <c r="BC4" s="23">
        <v>3.5330057144165039E-2</v>
      </c>
      <c r="BD4" s="23">
        <v>-3.112911619246006E-2</v>
      </c>
      <c r="BE4" s="23">
        <v>-5.4915815591812127E-2</v>
      </c>
      <c r="BF4" s="23">
        <v>-3.1478296965360641E-2</v>
      </c>
      <c r="BG4" s="23">
        <v>-4.006657749414444E-2</v>
      </c>
      <c r="BH4" s="23">
        <v>3.062369488179684E-2</v>
      </c>
      <c r="BI4" s="23">
        <v>-3.1123528257012371E-2</v>
      </c>
      <c r="BJ4" s="23">
        <v>-3.0040133744478229E-2</v>
      </c>
      <c r="BK4" s="23">
        <v>-4.1486956179141998E-2</v>
      </c>
      <c r="BL4" s="23">
        <v>3.9935577660799033E-2</v>
      </c>
      <c r="BM4" s="23">
        <v>1.8027245998382568E-2</v>
      </c>
      <c r="BN4" s="23">
        <v>-0.1043956056237221</v>
      </c>
      <c r="BO4" s="23">
        <v>6.9876932539045811E-3</v>
      </c>
      <c r="BP4" s="23">
        <v>4.6952194534242153E-3</v>
      </c>
      <c r="BQ4" s="23">
        <v>1.519524399191141E-2</v>
      </c>
      <c r="BR4" s="23">
        <v>-7.3001924902200699E-3</v>
      </c>
      <c r="BS4" s="23">
        <v>-4.3473392724990838E-2</v>
      </c>
      <c r="BT4" s="23">
        <v>4.9916800111532211E-2</v>
      </c>
      <c r="BU4" s="23">
        <v>3.4368544816970832E-2</v>
      </c>
      <c r="BV4" s="23">
        <v>-4.2206816375255578E-2</v>
      </c>
      <c r="BW4" s="23">
        <v>4.0576938539743423E-2</v>
      </c>
      <c r="BX4" s="23">
        <v>0.11351513117551799</v>
      </c>
      <c r="BY4" s="23">
        <v>-6.0964066535234451E-2</v>
      </c>
      <c r="BZ4" s="23">
        <v>7.4336347170174122E-3</v>
      </c>
      <c r="CA4" s="23">
        <v>-3.4166339784860611E-2</v>
      </c>
      <c r="CB4" s="23">
        <v>-4.2827509343624108E-2</v>
      </c>
      <c r="CC4" s="23">
        <v>-4.052165150642395E-2</v>
      </c>
      <c r="CD4" s="23">
        <v>-2.6725079864263531E-2</v>
      </c>
      <c r="CE4" s="23">
        <v>-4.8888608813285828E-2</v>
      </c>
      <c r="CF4" s="23">
        <v>4.5108072459697723E-2</v>
      </c>
      <c r="CG4" s="23">
        <v>3.2500136643648148E-2</v>
      </c>
      <c r="CH4" s="23">
        <v>3.3603519201278693E-2</v>
      </c>
      <c r="CI4" s="23">
        <v>-5.9029228985309601E-2</v>
      </c>
      <c r="CJ4" s="23">
        <v>-3.3231545239686973E-2</v>
      </c>
      <c r="CK4" s="23">
        <v>3.3614955842494958E-2</v>
      </c>
      <c r="CL4" s="23">
        <v>-8.7717965245246887E-2</v>
      </c>
      <c r="CM4" s="23">
        <v>-7.8791035339236259E-3</v>
      </c>
      <c r="CN4" s="23">
        <v>-3.1603436917066567E-2</v>
      </c>
      <c r="CO4" s="23">
        <v>-2.4560306221246719E-2</v>
      </c>
      <c r="CP4" s="23">
        <v>-2.426661737263203E-2</v>
      </c>
      <c r="CQ4" s="23">
        <v>9.8067363724112511E-3</v>
      </c>
      <c r="CR4" s="23">
        <v>7.6525658369064331E-2</v>
      </c>
      <c r="CS4" s="23">
        <v>2.158103883266449E-2</v>
      </c>
      <c r="CT4" s="23">
        <v>2.1532453596591949E-2</v>
      </c>
      <c r="CU4" s="23">
        <v>3.4501176327466958E-2</v>
      </c>
      <c r="CV4" s="23">
        <v>-6.2654152512550354E-2</v>
      </c>
      <c r="CW4" s="23">
        <v>-4.558606818318367E-2</v>
      </c>
      <c r="CX4" s="23">
        <v>-6.5642617642879486E-2</v>
      </c>
      <c r="CY4" s="23">
        <v>6.3649572432041168E-2</v>
      </c>
      <c r="CZ4" s="23">
        <v>-7.8583814203739166E-2</v>
      </c>
      <c r="DA4" s="23">
        <v>-2.812452428042889E-2</v>
      </c>
      <c r="DB4" s="23">
        <v>-5.8803975582122803E-2</v>
      </c>
      <c r="DC4" s="23">
        <v>-3.1962350010871887E-2</v>
      </c>
      <c r="DD4" s="23">
        <v>-3.8284681737422943E-2</v>
      </c>
      <c r="DE4" s="23">
        <v>4.8030544072389603E-2</v>
      </c>
      <c r="DF4" s="23">
        <v>-2.9363507404923439E-2</v>
      </c>
      <c r="DG4" s="23">
        <v>6.0822788625955582E-2</v>
      </c>
      <c r="DH4" s="23">
        <v>-2.8199369087815281E-2</v>
      </c>
      <c r="DI4" s="23">
        <v>-2.9792105779051781E-2</v>
      </c>
      <c r="DJ4" s="23">
        <v>-3.0000817030668259E-2</v>
      </c>
      <c r="DK4" s="23">
        <v>1.032026950269938E-2</v>
      </c>
      <c r="DL4" s="23">
        <v>-4.2281743139028549E-2</v>
      </c>
      <c r="DM4" s="23">
        <v>-4.8086602240800858E-2</v>
      </c>
      <c r="DN4" s="23">
        <v>-1.942399330437183E-2</v>
      </c>
      <c r="DO4" s="23">
        <v>-4.04704250395298E-2</v>
      </c>
      <c r="DP4" s="23">
        <v>-3.4404326230287552E-2</v>
      </c>
      <c r="DQ4" s="23">
        <v>-2.7822112664580349E-2</v>
      </c>
      <c r="DR4" s="23">
        <v>-2.84544937312603E-2</v>
      </c>
      <c r="DS4" s="23">
        <v>-6.9464683532714844E-2</v>
      </c>
      <c r="DT4" s="23">
        <v>-2.8235232457518581E-2</v>
      </c>
      <c r="DU4" s="23">
        <v>5.3089391440153122E-2</v>
      </c>
      <c r="DV4" s="23">
        <v>-2.7063906192779541E-2</v>
      </c>
      <c r="DW4" s="23">
        <v>-2.4401027709245678E-2</v>
      </c>
      <c r="DX4" s="23">
        <v>2.726493868976831E-3</v>
      </c>
      <c r="DY4" s="23">
        <v>4.3977614492177963E-2</v>
      </c>
      <c r="DZ4" s="23">
        <v>-2.4560714140534401E-2</v>
      </c>
      <c r="EA4" s="23">
        <v>-4.7766271978616708E-2</v>
      </c>
      <c r="EB4" s="23">
        <v>-4.1742835193872452E-2</v>
      </c>
      <c r="EC4" s="23">
        <v>-2.8310522437095639E-2</v>
      </c>
      <c r="ED4" s="23">
        <v>-2.4022841826081279E-2</v>
      </c>
      <c r="EE4" s="23">
        <v>0.11009947955608369</v>
      </c>
      <c r="EF4" s="23">
        <v>-2.9047638177871701E-2</v>
      </c>
    </row>
    <row r="5" spans="1:136" ht="16">
      <c r="A5" s="4"/>
      <c r="B5" s="22" t="s">
        <v>138</v>
      </c>
      <c r="C5" s="23">
        <v>-2.4425527080893521E-3</v>
      </c>
      <c r="D5" s="23">
        <v>-2.162628248333931E-2</v>
      </c>
      <c r="E5" s="23">
        <v>-5.3863544017076492E-3</v>
      </c>
      <c r="F5" s="23">
        <v>-5.3014284931123257E-3</v>
      </c>
      <c r="G5" s="23">
        <v>3.1814873218536377E-2</v>
      </c>
      <c r="H5" s="23">
        <v>5.7366847991943359E-2</v>
      </c>
      <c r="I5" s="23">
        <v>-6.6244855523109436E-2</v>
      </c>
      <c r="J5" s="23">
        <v>3.624555841088295E-2</v>
      </c>
      <c r="K5" s="23">
        <v>-7.1708038449287406E-3</v>
      </c>
      <c r="L5" s="23">
        <v>-7.9015763476490974E-3</v>
      </c>
      <c r="M5" s="23">
        <v>7.1032247506082058E-3</v>
      </c>
      <c r="N5" s="23">
        <v>-3.7834208458662033E-2</v>
      </c>
      <c r="O5" s="23">
        <v>2.087398245930672E-2</v>
      </c>
      <c r="P5" s="23">
        <v>1.444438705220819E-3</v>
      </c>
      <c r="Q5" s="23">
        <v>3.0378168448805809E-3</v>
      </c>
      <c r="R5" s="23">
        <v>-4.4238022528588772E-3</v>
      </c>
      <c r="S5" s="23">
        <v>3.937915712594986E-2</v>
      </c>
      <c r="T5" s="23">
        <v>8.250849787145853E-4</v>
      </c>
      <c r="U5" s="23">
        <v>3.7100087851285928E-2</v>
      </c>
      <c r="V5" s="23">
        <v>1.865322515368462E-2</v>
      </c>
      <c r="W5" s="23">
        <v>-6.4136604778468609E-3</v>
      </c>
      <c r="X5" s="23">
        <v>-3.691675141453743E-3</v>
      </c>
      <c r="Y5" s="23">
        <v>-3.8559310138225562E-2</v>
      </c>
      <c r="Z5" s="23">
        <v>-8.7653528898954391E-3</v>
      </c>
      <c r="AA5" s="23">
        <v>-1.000822801142931E-2</v>
      </c>
      <c r="AB5" s="23">
        <v>-8.1863868981599808E-3</v>
      </c>
      <c r="AC5" s="23">
        <v>-4.3017767369747162E-2</v>
      </c>
      <c r="AD5" s="23">
        <v>-1.1843433603644369E-2</v>
      </c>
      <c r="AE5" s="23">
        <v>-3.2743070274591453E-2</v>
      </c>
      <c r="AF5" s="23">
        <v>-1.433323509991169E-2</v>
      </c>
      <c r="AG5" s="23">
        <v>-6.071711890399456E-3</v>
      </c>
      <c r="AH5" s="23">
        <v>7.1172383613884449E-3</v>
      </c>
      <c r="AI5" s="23">
        <v>-3.749270923435688E-3</v>
      </c>
      <c r="AJ5" s="23">
        <v>-3.687632037326694E-3</v>
      </c>
      <c r="AK5" s="23">
        <v>-5.2553778514266014E-3</v>
      </c>
      <c r="AL5" s="23">
        <v>-5.0698723644018173E-3</v>
      </c>
      <c r="AM5" s="23">
        <v>-6.5165474079549313E-3</v>
      </c>
      <c r="AN5" s="23">
        <v>-3.1071184203028679E-3</v>
      </c>
      <c r="AO5" s="23">
        <v>1.016197819262743E-2</v>
      </c>
      <c r="AP5" s="23">
        <v>-5.1280106417834759E-3</v>
      </c>
      <c r="AQ5" s="23">
        <v>-1.493195351213217E-2</v>
      </c>
      <c r="AR5" s="23">
        <v>-4.0432393550872803E-2</v>
      </c>
      <c r="AS5" s="23">
        <v>4.4245671480894089E-2</v>
      </c>
      <c r="AT5" s="23">
        <v>-1.627960242331028E-2</v>
      </c>
      <c r="AU5" s="23">
        <v>-1.177760493010283E-2</v>
      </c>
      <c r="AV5" s="23">
        <v>3.3210780471563339E-2</v>
      </c>
      <c r="AW5" s="23">
        <v>-1.15481223911047E-2</v>
      </c>
      <c r="AX5" s="23">
        <v>1.135891675949097E-2</v>
      </c>
      <c r="AY5" s="23">
        <v>-1.387173542752862E-3</v>
      </c>
      <c r="AZ5" s="23">
        <v>2.6015019044280049E-2</v>
      </c>
      <c r="BA5" s="23">
        <v>-2.783761010505259E-4</v>
      </c>
      <c r="BB5" s="23">
        <v>-7.3484578169882298E-3</v>
      </c>
      <c r="BC5" s="23">
        <v>2.1762042306363578E-3</v>
      </c>
      <c r="BD5" s="23">
        <v>-1.547292340546846E-2</v>
      </c>
      <c r="BE5" s="23">
        <v>-6.5566743724048138E-3</v>
      </c>
      <c r="BF5" s="23">
        <v>1.8655456369742751E-4</v>
      </c>
      <c r="BG5" s="23">
        <v>0.1231109201908112</v>
      </c>
      <c r="BH5" s="23">
        <v>1.567914895713329E-2</v>
      </c>
      <c r="BI5" s="23">
        <v>-4.0477633476257317E-2</v>
      </c>
      <c r="BJ5" s="23">
        <v>-2.2815016563981769E-4</v>
      </c>
      <c r="BK5" s="23">
        <v>-7.1884272620081902E-3</v>
      </c>
      <c r="BL5" s="23">
        <v>-1.8430699128657579E-3</v>
      </c>
      <c r="BM5" s="23">
        <v>-3.9120744913816452E-3</v>
      </c>
      <c r="BN5" s="23">
        <v>-3.5538640804588789E-4</v>
      </c>
      <c r="BO5" s="23">
        <v>-3.8149822503328319E-3</v>
      </c>
      <c r="BP5" s="23">
        <v>3.1992118805646903E-2</v>
      </c>
      <c r="BQ5" s="23">
        <v>8.8122236775234342E-4</v>
      </c>
      <c r="BR5" s="23">
        <v>8.2531711086630821E-4</v>
      </c>
      <c r="BS5" s="23">
        <v>1.15978941321373E-2</v>
      </c>
      <c r="BT5" s="23">
        <v>-1.8043554155156019E-4</v>
      </c>
      <c r="BU5" s="23">
        <v>-3.6622094921767712E-3</v>
      </c>
      <c r="BV5" s="23">
        <v>-1.5918856952339411E-3</v>
      </c>
      <c r="BW5" s="23">
        <v>1.1063155718147749E-2</v>
      </c>
      <c r="BX5" s="23">
        <v>-2.2377460263669491E-3</v>
      </c>
      <c r="BY5" s="23">
        <v>-2.6888400316238399E-3</v>
      </c>
      <c r="BZ5" s="23">
        <v>1.959662884473801E-2</v>
      </c>
      <c r="CA5" s="23">
        <v>-1.708961836993694E-2</v>
      </c>
      <c r="CB5" s="23">
        <v>-1.78644172847271E-2</v>
      </c>
      <c r="CC5" s="23">
        <v>-6.2383759766817093E-2</v>
      </c>
      <c r="CD5" s="23">
        <v>-6.3154017552733421E-3</v>
      </c>
      <c r="CE5" s="23">
        <v>4.7826808877289304E-3</v>
      </c>
      <c r="CF5" s="23">
        <v>-4.4821593910455704E-3</v>
      </c>
      <c r="CG5" s="23">
        <v>1.214408688247204E-2</v>
      </c>
      <c r="CH5" s="23">
        <v>5.5632010102272027E-2</v>
      </c>
      <c r="CI5" s="23">
        <v>-6.089337170124054E-3</v>
      </c>
      <c r="CJ5" s="23">
        <v>4.1742203757166862E-3</v>
      </c>
      <c r="CK5" s="23">
        <v>-5.3255923092365258E-2</v>
      </c>
      <c r="CL5" s="23">
        <v>-3.5227751359343529E-3</v>
      </c>
      <c r="CM5" s="23">
        <v>-1.0564735159277919E-2</v>
      </c>
      <c r="CN5" s="23">
        <v>-1.4071955811232331E-3</v>
      </c>
      <c r="CO5" s="23">
        <v>2.154150977730751E-3</v>
      </c>
      <c r="CP5" s="23">
        <v>-4.1955962777137763E-2</v>
      </c>
      <c r="CQ5" s="23">
        <v>-4.3455613777041444E-3</v>
      </c>
      <c r="CR5" s="23">
        <v>5.5619608610868454E-4</v>
      </c>
      <c r="CS5" s="23">
        <v>-4.6609323471784592E-3</v>
      </c>
      <c r="CT5" s="23">
        <v>-5.460372194647789E-4</v>
      </c>
      <c r="CU5" s="23">
        <v>2.285588905215263E-2</v>
      </c>
      <c r="CV5" s="23">
        <v>1.362518593668938E-2</v>
      </c>
      <c r="CW5" s="23">
        <v>-3.469586838036776E-3</v>
      </c>
      <c r="CX5" s="23">
        <v>-1.9505729433149099E-3</v>
      </c>
      <c r="CY5" s="23">
        <v>-2.4859204422682519E-3</v>
      </c>
      <c r="CZ5" s="23">
        <v>-1.0054910089820619E-3</v>
      </c>
      <c r="DA5" s="23">
        <v>1.2646311894059179E-2</v>
      </c>
      <c r="DB5" s="23">
        <v>-3.145966213196516E-3</v>
      </c>
      <c r="DC5" s="23">
        <v>-3.897595452144742E-3</v>
      </c>
      <c r="DD5" s="23">
        <v>-4.6709622256457814E-3</v>
      </c>
      <c r="DE5" s="23">
        <v>2.2379271686077121E-2</v>
      </c>
      <c r="DF5" s="23">
        <v>-2.2962655872106549E-2</v>
      </c>
      <c r="DG5" s="23">
        <v>-5.475522018969059E-3</v>
      </c>
      <c r="DH5" s="23">
        <v>-4.3155676685273647E-3</v>
      </c>
      <c r="DI5" s="23">
        <v>-1.630075462162495E-2</v>
      </c>
      <c r="DJ5" s="23">
        <v>6.7051458172500134E-3</v>
      </c>
      <c r="DK5" s="23">
        <v>-8.2752257585525513E-3</v>
      </c>
      <c r="DL5" s="23">
        <v>3.0191972851753231E-2</v>
      </c>
      <c r="DM5" s="23">
        <v>-5.071351770311594E-4</v>
      </c>
      <c r="DN5" s="23">
        <v>-3.951698075979948E-3</v>
      </c>
      <c r="DO5" s="23">
        <v>2.990380628034472E-3</v>
      </c>
      <c r="DP5" s="23">
        <v>-6.3493386842310429E-3</v>
      </c>
      <c r="DQ5" s="23">
        <v>-4.0843049064278603E-3</v>
      </c>
      <c r="DR5" s="23">
        <v>-2.2978853434324261E-2</v>
      </c>
      <c r="DS5" s="23">
        <v>1.368343830108643E-3</v>
      </c>
      <c r="DT5" s="23">
        <v>-3.4443521872162819E-4</v>
      </c>
      <c r="DU5" s="23">
        <v>-6.7529221996665001E-3</v>
      </c>
      <c r="DV5" s="23">
        <v>-1.2841427698731421E-2</v>
      </c>
      <c r="DW5" s="23">
        <v>-8.8949445635080338E-3</v>
      </c>
      <c r="DX5" s="23">
        <v>-6.7950468510389328E-3</v>
      </c>
      <c r="DY5" s="23">
        <v>-2.9764331411570311E-3</v>
      </c>
      <c r="DZ5" s="23">
        <v>-2.276478568091989E-3</v>
      </c>
      <c r="EA5" s="23">
        <v>-3.2696472480893139E-3</v>
      </c>
      <c r="EB5" s="23">
        <v>-5.5572022683918476E-3</v>
      </c>
      <c r="EC5" s="23">
        <v>-4.4316230341792107E-3</v>
      </c>
      <c r="ED5" s="23">
        <v>-6.1979256570339203E-3</v>
      </c>
      <c r="EE5" s="23">
        <v>-6.2301061116158962E-3</v>
      </c>
      <c r="EF5" s="23">
        <v>-6.0357367619872093E-3</v>
      </c>
    </row>
    <row r="6" spans="1:136" ht="16">
      <c r="A6" s="73" t="s">
        <v>139</v>
      </c>
      <c r="B6" s="74"/>
      <c r="C6" s="25" cm="1">
        <f t="array" ref="C6">MATCH(MAX(ABS(C3:C5)), ABS(C3:C5), 0)</f>
        <v>1</v>
      </c>
      <c r="D6" s="25" cm="1">
        <f t="array" ref="D6">MATCH(MAX(ABS(D3:D5)), ABS(D3:D5), 0)</f>
        <v>1</v>
      </c>
      <c r="E6" s="25" cm="1">
        <f t="array" ref="E6">MATCH(MAX(ABS(E3:E5)), ABS(E3:E5), 0)</f>
        <v>2</v>
      </c>
      <c r="F6" s="25" cm="1">
        <f t="array" ref="F6">MATCH(MAX(ABS(F3:F5)), ABS(F3:F5), 0)</f>
        <v>1</v>
      </c>
      <c r="G6" s="25" cm="1">
        <f t="array" ref="G6">MATCH(MAX(ABS(G3:G5)), ABS(G3:G5), 0)</f>
        <v>1</v>
      </c>
      <c r="H6" s="25" cm="1">
        <f t="array" ref="H6">MATCH(MAX(ABS(H3:H5)), ABS(H3:H5), 0)</f>
        <v>3</v>
      </c>
      <c r="I6" s="25" cm="1">
        <f t="array" ref="I6">MATCH(MAX(ABS(I3:I5)), ABS(I3:I5), 0)</f>
        <v>1</v>
      </c>
      <c r="J6" s="25" cm="1">
        <f t="array" ref="J6">MATCH(MAX(ABS(J3:J5)), ABS(J3:J5), 0)</f>
        <v>1</v>
      </c>
      <c r="K6" s="25" cm="1">
        <f t="array" ref="K6">MATCH(MAX(ABS(K3:K5)), ABS(K3:K5), 0)</f>
        <v>2</v>
      </c>
      <c r="L6" s="25" cm="1">
        <f t="array" ref="L6">MATCH(MAX(ABS(L3:L5)), ABS(L3:L5), 0)</f>
        <v>1</v>
      </c>
      <c r="M6" s="25" cm="1">
        <f t="array" ref="M6">MATCH(MAX(ABS(M3:M5)), ABS(M3:M5), 0)</f>
        <v>1</v>
      </c>
      <c r="N6" s="25" cm="1">
        <f t="array" ref="N6">MATCH(MAX(ABS(N3:N5)), ABS(N3:N5), 0)</f>
        <v>1</v>
      </c>
      <c r="O6" s="25" cm="1">
        <f t="array" ref="O6">MATCH(MAX(ABS(O3:O5)), ABS(O3:O5), 0)</f>
        <v>1</v>
      </c>
      <c r="P6" s="25" cm="1">
        <f t="array" ref="P6">MATCH(MAX(ABS(P3:P5)), ABS(P3:P5), 0)</f>
        <v>2</v>
      </c>
      <c r="Q6" s="25" cm="1">
        <f t="array" ref="Q6">MATCH(MAX(ABS(Q3:Q5)), ABS(Q3:Q5), 0)</f>
        <v>2</v>
      </c>
      <c r="R6" s="25" cm="1">
        <f t="array" ref="R6">MATCH(MAX(ABS(R3:R5)), ABS(R3:R5), 0)</f>
        <v>1</v>
      </c>
      <c r="S6" s="25" cm="1">
        <f t="array" ref="S6">MATCH(MAX(ABS(S3:S5)), ABS(S3:S5), 0)</f>
        <v>3</v>
      </c>
      <c r="T6" s="25" cm="1">
        <f t="array" ref="T6">MATCH(MAX(ABS(T3:T5)), ABS(T3:T5), 0)</f>
        <v>1</v>
      </c>
      <c r="U6" s="25" cm="1">
        <f t="array" ref="U6">MATCH(MAX(ABS(U3:U5)), ABS(U3:U5), 0)</f>
        <v>2</v>
      </c>
      <c r="V6" s="25" cm="1">
        <f t="array" ref="V6">MATCH(MAX(ABS(V3:V5)), ABS(V3:V5), 0)</f>
        <v>2</v>
      </c>
      <c r="W6" s="25" cm="1">
        <f t="array" ref="W6">MATCH(MAX(ABS(W3:W5)), ABS(W3:W5), 0)</f>
        <v>1</v>
      </c>
      <c r="X6" s="25" cm="1">
        <f t="array" ref="X6">MATCH(MAX(ABS(X3:X5)), ABS(X3:X5), 0)</f>
        <v>2</v>
      </c>
      <c r="Y6" s="25" cm="1">
        <f t="array" ref="Y6">MATCH(MAX(ABS(Y3:Y5)), ABS(Y3:Y5), 0)</f>
        <v>2</v>
      </c>
      <c r="Z6" s="25" cm="1">
        <f t="array" ref="Z6">MATCH(MAX(ABS(Z3:Z5)), ABS(Z3:Z5), 0)</f>
        <v>2</v>
      </c>
      <c r="AA6" s="25" cm="1">
        <f t="array" ref="AA6">MATCH(MAX(ABS(AA3:AA5)), ABS(AA3:AA5), 0)</f>
        <v>1</v>
      </c>
      <c r="AB6" s="25" cm="1">
        <f t="array" ref="AB6">MATCH(MAX(ABS(AB3:AB5)), ABS(AB3:AB5), 0)</f>
        <v>1</v>
      </c>
      <c r="AC6" s="25" cm="1">
        <f t="array" ref="AC6">MATCH(MAX(ABS(AC3:AC5)), ABS(AC3:AC5), 0)</f>
        <v>1</v>
      </c>
      <c r="AD6" s="25" cm="1">
        <f t="array" ref="AD6">MATCH(MAX(ABS(AD3:AD5)), ABS(AD3:AD5), 0)</f>
        <v>2</v>
      </c>
      <c r="AE6" s="25" cm="1">
        <f t="array" ref="AE6">MATCH(MAX(ABS(AE3:AE5)), ABS(AE3:AE5), 0)</f>
        <v>1</v>
      </c>
      <c r="AF6" s="25" cm="1">
        <f t="array" ref="AF6">MATCH(MAX(ABS(AF3:AF5)), ABS(AF3:AF5), 0)</f>
        <v>2</v>
      </c>
      <c r="AG6" s="25" cm="1">
        <f t="array" ref="AG6">MATCH(MAX(ABS(AG3:AG5)), ABS(AG3:AG5), 0)</f>
        <v>1</v>
      </c>
      <c r="AH6" s="25" cm="1">
        <f t="array" ref="AH6">MATCH(MAX(ABS(AH3:AH5)), ABS(AH3:AH5), 0)</f>
        <v>1</v>
      </c>
      <c r="AI6" s="25" cm="1">
        <f t="array" ref="AI6">MATCH(MAX(ABS(AI3:AI5)), ABS(AI3:AI5), 0)</f>
        <v>1</v>
      </c>
      <c r="AJ6" s="25" cm="1">
        <f t="array" ref="AJ6">MATCH(MAX(ABS(AJ3:AJ5)), ABS(AJ3:AJ5), 0)</f>
        <v>1</v>
      </c>
      <c r="AK6" s="25" cm="1">
        <f t="array" ref="AK6">MATCH(MAX(ABS(AK3:AK5)), ABS(AK3:AK5), 0)</f>
        <v>2</v>
      </c>
      <c r="AL6" s="25" cm="1">
        <f t="array" ref="AL6">MATCH(MAX(ABS(AL3:AL5)), ABS(AL3:AL5), 0)</f>
        <v>2</v>
      </c>
      <c r="AM6" s="25" cm="1">
        <f t="array" ref="AM6">MATCH(MAX(ABS(AM3:AM5)), ABS(AM3:AM5), 0)</f>
        <v>1</v>
      </c>
      <c r="AN6" s="25" cm="1">
        <f t="array" ref="AN6">MATCH(MAX(ABS(AN3:AN5)), ABS(AN3:AN5), 0)</f>
        <v>1</v>
      </c>
      <c r="AO6" s="25" cm="1">
        <f t="array" ref="AO6">MATCH(MAX(ABS(AO3:AO5)), ABS(AO3:AO5), 0)</f>
        <v>1</v>
      </c>
      <c r="AP6" s="25" cm="1">
        <f t="array" ref="AP6">MATCH(MAX(ABS(AP3:AP5)), ABS(AP3:AP5), 0)</f>
        <v>1</v>
      </c>
      <c r="AQ6" s="25" cm="1">
        <f t="array" ref="AQ6">MATCH(MAX(ABS(AQ3:AQ5)), ABS(AQ3:AQ5), 0)</f>
        <v>1</v>
      </c>
      <c r="AR6" s="25" cm="1">
        <f t="array" ref="AR6">MATCH(MAX(ABS(AR3:AR5)), ABS(AR3:AR5), 0)</f>
        <v>1</v>
      </c>
      <c r="AS6" s="25" cm="1">
        <f t="array" ref="AS6">MATCH(MAX(ABS(AS3:AS5)), ABS(AS3:AS5), 0)</f>
        <v>1</v>
      </c>
      <c r="AT6" s="25" cm="1">
        <f t="array" ref="AT6">MATCH(MAX(ABS(AT3:AT5)), ABS(AT3:AT5), 0)</f>
        <v>1</v>
      </c>
      <c r="AU6" s="25" cm="1">
        <f t="array" ref="AU6">MATCH(MAX(ABS(AU3:AU5)), ABS(AU3:AU5), 0)</f>
        <v>1</v>
      </c>
      <c r="AV6" s="25" cm="1">
        <f t="array" ref="AV6">MATCH(MAX(ABS(AV3:AV5)), ABS(AV3:AV5), 0)</f>
        <v>1</v>
      </c>
      <c r="AW6" s="25" cm="1">
        <f t="array" ref="AW6">MATCH(MAX(ABS(AW3:AW5)), ABS(AW3:AW5), 0)</f>
        <v>1</v>
      </c>
      <c r="AX6" s="25" cm="1">
        <f t="array" ref="AX6">MATCH(MAX(ABS(AX3:AX5)), ABS(AX3:AX5), 0)</f>
        <v>1</v>
      </c>
      <c r="AY6" s="25" cm="1">
        <f t="array" ref="AY6">MATCH(MAX(ABS(AY3:AY5)), ABS(AY3:AY5), 0)</f>
        <v>1</v>
      </c>
      <c r="AZ6" s="25" cm="1">
        <f t="array" ref="AZ6">MATCH(MAX(ABS(AZ3:AZ5)), ABS(AZ3:AZ5), 0)</f>
        <v>1</v>
      </c>
      <c r="BA6" s="25" cm="1">
        <f t="array" ref="BA6">MATCH(MAX(ABS(BA3:BA5)), ABS(BA3:BA5), 0)</f>
        <v>1</v>
      </c>
      <c r="BB6" s="25" cm="1">
        <f t="array" ref="BB6">MATCH(MAX(ABS(BB3:BB5)), ABS(BB3:BB5), 0)</f>
        <v>2</v>
      </c>
      <c r="BC6" s="25" cm="1">
        <f t="array" ref="BC6">MATCH(MAX(ABS(BC3:BC5)), ABS(BC3:BC5), 0)</f>
        <v>1</v>
      </c>
      <c r="BD6" s="25" cm="1">
        <f t="array" ref="BD6">MATCH(MAX(ABS(BD3:BD5)), ABS(BD3:BD5), 0)</f>
        <v>1</v>
      </c>
      <c r="BE6" s="25" cm="1">
        <f t="array" ref="BE6">MATCH(MAX(ABS(BE3:BE5)), ABS(BE3:BE5), 0)</f>
        <v>2</v>
      </c>
      <c r="BF6" s="25" cm="1">
        <f t="array" ref="BF6">MATCH(MAX(ABS(BF3:BF5)), ABS(BF3:BF5), 0)</f>
        <v>1</v>
      </c>
      <c r="BG6" s="25" cm="1">
        <f t="array" ref="BG6">MATCH(MAX(ABS(BG3:BG5)), ABS(BG3:BG5), 0)</f>
        <v>3</v>
      </c>
      <c r="BH6" s="25" cm="1">
        <f t="array" ref="BH6">MATCH(MAX(ABS(BH3:BH5)), ABS(BH3:BH5), 0)</f>
        <v>1</v>
      </c>
      <c r="BI6" s="25" cm="1">
        <f t="array" ref="BI6">MATCH(MAX(ABS(BI3:BI5)), ABS(BI3:BI5), 0)</f>
        <v>1</v>
      </c>
      <c r="BJ6" s="25" cm="1">
        <f t="array" ref="BJ6">MATCH(MAX(ABS(BJ3:BJ5)), ABS(BJ3:BJ5), 0)</f>
        <v>1</v>
      </c>
      <c r="BK6" s="25" cm="1">
        <f t="array" ref="BK6">MATCH(MAX(ABS(BK3:BK5)), ABS(BK3:BK5), 0)</f>
        <v>1</v>
      </c>
      <c r="BL6" s="25" cm="1">
        <f t="array" ref="BL6">MATCH(MAX(ABS(BL3:BL5)), ABS(BL3:BL5), 0)</f>
        <v>1</v>
      </c>
      <c r="BM6" s="25" cm="1">
        <f t="array" ref="BM6">MATCH(MAX(ABS(BM3:BM5)), ABS(BM3:BM5), 0)</f>
        <v>1</v>
      </c>
      <c r="BN6" s="25" cm="1">
        <f t="array" ref="BN6">MATCH(MAX(ABS(BN3:BN5)), ABS(BN3:BN5), 0)</f>
        <v>2</v>
      </c>
      <c r="BO6" s="25" cm="1">
        <f t="array" ref="BO6">MATCH(MAX(ABS(BO3:BO5)), ABS(BO3:BO5), 0)</f>
        <v>1</v>
      </c>
      <c r="BP6" s="25" cm="1">
        <f t="array" ref="BP6">MATCH(MAX(ABS(BP3:BP5)), ABS(BP3:BP5), 0)</f>
        <v>1</v>
      </c>
      <c r="BQ6" s="25" cm="1">
        <f t="array" ref="BQ6">MATCH(MAX(ABS(BQ3:BQ5)), ABS(BQ3:BQ5), 0)</f>
        <v>1</v>
      </c>
      <c r="BR6" s="25" cm="1">
        <f t="array" ref="BR6">MATCH(MAX(ABS(BR3:BR5)), ABS(BR3:BR5), 0)</f>
        <v>1</v>
      </c>
      <c r="BS6" s="25" cm="1">
        <f t="array" ref="BS6">MATCH(MAX(ABS(BS3:BS5)), ABS(BS3:BS5), 0)</f>
        <v>1</v>
      </c>
      <c r="BT6" s="25" cm="1">
        <f t="array" ref="BT6">MATCH(MAX(ABS(BT3:BT5)), ABS(BT3:BT5), 0)</f>
        <v>2</v>
      </c>
      <c r="BU6" s="25" cm="1">
        <f t="array" ref="BU6">MATCH(MAX(ABS(BU3:BU5)), ABS(BU3:BU5), 0)</f>
        <v>1</v>
      </c>
      <c r="BV6" s="25" cm="1">
        <f t="array" ref="BV6">MATCH(MAX(ABS(BV3:BV5)), ABS(BV3:BV5), 0)</f>
        <v>1</v>
      </c>
      <c r="BW6" s="25" cm="1">
        <f t="array" ref="BW6">MATCH(MAX(ABS(BW3:BW5)), ABS(BW3:BW5), 0)</f>
        <v>2</v>
      </c>
      <c r="BX6" s="25" cm="1">
        <f t="array" ref="BX6">MATCH(MAX(ABS(BX3:BX5)), ABS(BX3:BX5), 0)</f>
        <v>2</v>
      </c>
      <c r="BY6" s="25" cm="1">
        <f t="array" ref="BY6">MATCH(MAX(ABS(BY3:BY5)), ABS(BY3:BY5), 0)</f>
        <v>2</v>
      </c>
      <c r="BZ6" s="25" cm="1">
        <f t="array" ref="BZ6">MATCH(MAX(ABS(BZ3:BZ5)), ABS(BZ3:BZ5), 0)</f>
        <v>1</v>
      </c>
      <c r="CA6" s="25" cm="1">
        <f t="array" ref="CA6">MATCH(MAX(ABS(CA3:CA5)), ABS(CA3:CA5), 0)</f>
        <v>1</v>
      </c>
      <c r="CB6" s="25" cm="1">
        <f t="array" ref="CB6">MATCH(MAX(ABS(CB3:CB5)), ABS(CB3:CB5), 0)</f>
        <v>1</v>
      </c>
      <c r="CC6" s="25" cm="1">
        <f t="array" ref="CC6">MATCH(MAX(ABS(CC3:CC5)), ABS(CC3:CC5), 0)</f>
        <v>3</v>
      </c>
      <c r="CD6" s="25" cm="1">
        <f t="array" ref="CD6">MATCH(MAX(ABS(CD3:CD5)), ABS(CD3:CD5), 0)</f>
        <v>1</v>
      </c>
      <c r="CE6" s="25" cm="1">
        <f t="array" ref="CE6">MATCH(MAX(ABS(CE3:CE5)), ABS(CE3:CE5), 0)</f>
        <v>2</v>
      </c>
      <c r="CF6" s="25" cm="1">
        <f t="array" ref="CF6">MATCH(MAX(ABS(CF3:CF5)), ABS(CF3:CF5), 0)</f>
        <v>2</v>
      </c>
      <c r="CG6" s="25" cm="1">
        <f t="array" ref="CG6">MATCH(MAX(ABS(CG3:CG5)), ABS(CG3:CG5), 0)</f>
        <v>1</v>
      </c>
      <c r="CH6" s="25" cm="1">
        <f t="array" ref="CH6">MATCH(MAX(ABS(CH3:CH5)), ABS(CH3:CH5), 0)</f>
        <v>3</v>
      </c>
      <c r="CI6" s="25" cm="1">
        <f t="array" ref="CI6">MATCH(MAX(ABS(CI3:CI5)), ABS(CI3:CI5), 0)</f>
        <v>2</v>
      </c>
      <c r="CJ6" s="25" cm="1">
        <f t="array" ref="CJ6">MATCH(MAX(ABS(CJ3:CJ5)), ABS(CJ3:CJ5), 0)</f>
        <v>1</v>
      </c>
      <c r="CK6" s="25" cm="1">
        <f t="array" ref="CK6">MATCH(MAX(ABS(CK3:CK5)), ABS(CK3:CK5), 0)</f>
        <v>1</v>
      </c>
      <c r="CL6" s="25" cm="1">
        <f t="array" ref="CL6">MATCH(MAX(ABS(CL3:CL5)), ABS(CL3:CL5), 0)</f>
        <v>2</v>
      </c>
      <c r="CM6" s="25" cm="1">
        <f t="array" ref="CM6">MATCH(MAX(ABS(CM3:CM5)), ABS(CM3:CM5), 0)</f>
        <v>1</v>
      </c>
      <c r="CN6" s="25" cm="1">
        <f t="array" ref="CN6">MATCH(MAX(ABS(CN3:CN5)), ABS(CN3:CN5), 0)</f>
        <v>1</v>
      </c>
      <c r="CO6" s="25" cm="1">
        <f t="array" ref="CO6">MATCH(MAX(ABS(CO3:CO5)), ABS(CO3:CO5), 0)</f>
        <v>1</v>
      </c>
      <c r="CP6" s="25" cm="1">
        <f t="array" ref="CP6">MATCH(MAX(ABS(CP3:CP5)), ABS(CP3:CP5), 0)</f>
        <v>3</v>
      </c>
      <c r="CQ6" s="25" cm="1">
        <f t="array" ref="CQ6">MATCH(MAX(ABS(CQ3:CQ5)), ABS(CQ3:CQ5), 0)</f>
        <v>1</v>
      </c>
      <c r="CR6" s="25" cm="1">
        <f t="array" ref="CR6">MATCH(MAX(ABS(CR3:CR5)), ABS(CR3:CR5), 0)</f>
        <v>2</v>
      </c>
      <c r="CS6" s="25" cm="1">
        <f t="array" ref="CS6">MATCH(MAX(ABS(CS3:CS5)), ABS(CS3:CS5), 0)</f>
        <v>1</v>
      </c>
      <c r="CT6" s="25" cm="1">
        <f t="array" ref="CT6">MATCH(MAX(ABS(CT3:CT5)), ABS(CT3:CT5), 0)</f>
        <v>1</v>
      </c>
      <c r="CU6" s="25" cm="1">
        <f t="array" ref="CU6">MATCH(MAX(ABS(CU3:CU5)), ABS(CU3:CU5), 0)</f>
        <v>1</v>
      </c>
      <c r="CV6" s="25" cm="1">
        <f t="array" ref="CV6">MATCH(MAX(ABS(CV3:CV5)), ABS(CV3:CV5), 0)</f>
        <v>2</v>
      </c>
      <c r="CW6" s="25" cm="1">
        <f t="array" ref="CW6">MATCH(MAX(ABS(CW3:CW5)), ABS(CW3:CW5), 0)</f>
        <v>2</v>
      </c>
      <c r="CX6" s="25" cm="1">
        <f t="array" ref="CX6">MATCH(MAX(ABS(CX3:CX5)), ABS(CX3:CX5), 0)</f>
        <v>2</v>
      </c>
      <c r="CY6" s="25" cm="1">
        <f t="array" ref="CY6">MATCH(MAX(ABS(CY3:CY5)), ABS(CY3:CY5), 0)</f>
        <v>2</v>
      </c>
      <c r="CZ6" s="25" cm="1">
        <f t="array" ref="CZ6">MATCH(MAX(ABS(CZ3:CZ5)), ABS(CZ3:CZ5), 0)</f>
        <v>2</v>
      </c>
      <c r="DA6" s="25" cm="1">
        <f t="array" ref="DA6">MATCH(MAX(ABS(DA3:DA5)), ABS(DA3:DA5), 0)</f>
        <v>1</v>
      </c>
      <c r="DB6" s="25" cm="1">
        <f t="array" ref="DB6">MATCH(MAX(ABS(DB3:DB5)), ABS(DB3:DB5), 0)</f>
        <v>2</v>
      </c>
      <c r="DC6" s="25" cm="1">
        <f t="array" ref="DC6">MATCH(MAX(ABS(DC3:DC5)), ABS(DC3:DC5), 0)</f>
        <v>1</v>
      </c>
      <c r="DD6" s="25" cm="1">
        <f t="array" ref="DD6">MATCH(MAX(ABS(DD3:DD5)), ABS(DD3:DD5), 0)</f>
        <v>2</v>
      </c>
      <c r="DE6" s="25" cm="1">
        <f t="array" ref="DE6">MATCH(MAX(ABS(DE3:DE5)), ABS(DE3:DE5), 0)</f>
        <v>1</v>
      </c>
      <c r="DF6" s="25" cm="1">
        <f t="array" ref="DF6">MATCH(MAX(ABS(DF3:DF5)), ABS(DF3:DF5), 0)</f>
        <v>1</v>
      </c>
      <c r="DG6" s="25" cm="1">
        <f t="array" ref="DG6">MATCH(MAX(ABS(DG3:DG5)), ABS(DG3:DG5), 0)</f>
        <v>2</v>
      </c>
      <c r="DH6" s="25" cm="1">
        <f t="array" ref="DH6">MATCH(MAX(ABS(DH3:DH5)), ABS(DH3:DH5), 0)</f>
        <v>1</v>
      </c>
      <c r="DI6" s="25" cm="1">
        <f t="array" ref="DI6">MATCH(MAX(ABS(DI3:DI5)), ABS(DI3:DI5), 0)</f>
        <v>1</v>
      </c>
      <c r="DJ6" s="25" cm="1">
        <f t="array" ref="DJ6">MATCH(MAX(ABS(DJ3:DJ5)), ABS(DJ3:DJ5), 0)</f>
        <v>1</v>
      </c>
      <c r="DK6" s="25" cm="1">
        <f t="array" ref="DK6">MATCH(MAX(ABS(DK3:DK5)), ABS(DK3:DK5), 0)</f>
        <v>1</v>
      </c>
      <c r="DL6" s="25" cm="1">
        <f t="array" ref="DL6">MATCH(MAX(ABS(DL3:DL5)), ABS(DL3:DL5), 0)</f>
        <v>2</v>
      </c>
      <c r="DM6" s="25" cm="1">
        <f t="array" ref="DM6">MATCH(MAX(ABS(DM3:DM5)), ABS(DM3:DM5), 0)</f>
        <v>1</v>
      </c>
      <c r="DN6" s="25" cm="1">
        <f t="array" ref="DN6">MATCH(MAX(ABS(DN3:DN5)), ABS(DN3:DN5), 0)</f>
        <v>1</v>
      </c>
      <c r="DO6" s="25" cm="1">
        <f t="array" ref="DO6">MATCH(MAX(ABS(DO3:DO5)), ABS(DO3:DO5), 0)</f>
        <v>2</v>
      </c>
      <c r="DP6" s="25" cm="1">
        <f t="array" ref="DP6">MATCH(MAX(ABS(DP3:DP5)), ABS(DP3:DP5), 0)</f>
        <v>1</v>
      </c>
      <c r="DQ6" s="25" cm="1">
        <f t="array" ref="DQ6">MATCH(MAX(ABS(DQ3:DQ5)), ABS(DQ3:DQ5), 0)</f>
        <v>1</v>
      </c>
      <c r="DR6" s="25" cm="1">
        <f t="array" ref="DR6">MATCH(MAX(ABS(DR3:DR5)), ABS(DR3:DR5), 0)</f>
        <v>1</v>
      </c>
      <c r="DS6" s="25" cm="1">
        <f t="array" ref="DS6">MATCH(MAX(ABS(DS3:DS5)), ABS(DS3:DS5), 0)</f>
        <v>2</v>
      </c>
      <c r="DT6" s="25" cm="1">
        <f t="array" ref="DT6">MATCH(MAX(ABS(DT3:DT5)), ABS(DT3:DT5), 0)</f>
        <v>1</v>
      </c>
      <c r="DU6" s="25" cm="1">
        <f t="array" ref="DU6">MATCH(MAX(ABS(DU3:DU5)), ABS(DU3:DU5), 0)</f>
        <v>1</v>
      </c>
      <c r="DV6" s="25" cm="1">
        <f t="array" ref="DV6">MATCH(MAX(ABS(DV3:DV5)), ABS(DV3:DV5), 0)</f>
        <v>1</v>
      </c>
      <c r="DW6" s="25" cm="1">
        <f t="array" ref="DW6">MATCH(MAX(ABS(DW3:DW5)), ABS(DW3:DW5), 0)</f>
        <v>1</v>
      </c>
      <c r="DX6" s="25" cm="1">
        <f t="array" ref="DX6">MATCH(MAX(ABS(DX3:DX5)), ABS(DX3:DX5), 0)</f>
        <v>1</v>
      </c>
      <c r="DY6" s="25" cm="1">
        <f t="array" ref="DY6">MATCH(MAX(ABS(DY3:DY5)), ABS(DY3:DY5), 0)</f>
        <v>1</v>
      </c>
      <c r="DZ6" s="25" cm="1">
        <f t="array" ref="DZ6">MATCH(MAX(ABS(DZ3:DZ5)), ABS(DZ3:DZ5), 0)</f>
        <v>1</v>
      </c>
      <c r="EA6" s="25" cm="1">
        <f t="array" ref="EA6">MATCH(MAX(ABS(EA3:EA5)), ABS(EA3:EA5), 0)</f>
        <v>1</v>
      </c>
      <c r="EB6" s="25" cm="1">
        <f t="array" ref="EB6">MATCH(MAX(ABS(EB3:EB5)), ABS(EB3:EB5), 0)</f>
        <v>2</v>
      </c>
      <c r="EC6" s="25" cm="1">
        <f t="array" ref="EC6">MATCH(MAX(ABS(EC3:EC5)), ABS(EC3:EC5), 0)</f>
        <v>1</v>
      </c>
      <c r="ED6" s="25" cm="1">
        <f t="array" ref="ED6">MATCH(MAX(ABS(ED3:ED5)), ABS(ED3:ED5), 0)</f>
        <v>1</v>
      </c>
      <c r="EE6" s="25" cm="1">
        <f t="array" ref="EE6">MATCH(MAX(ABS(EE3:EE5)), ABS(EE3:EE5), 0)</f>
        <v>2</v>
      </c>
      <c r="EF6" s="25" cm="1">
        <f t="array" ref="EF6">MATCH(MAX(ABS(EF3:EF5)), ABS(EF3:EF5), 0)</f>
        <v>1</v>
      </c>
    </row>
    <row r="7" spans="1:136" ht="16">
      <c r="A7" s="4"/>
      <c r="B7" s="20"/>
      <c r="C7" s="25" t="str">
        <f>IF(C6=1,"bm",IF(C6=2,"size",IF(C6=3,"mom")))</f>
        <v>bm</v>
      </c>
      <c r="D7" s="25" t="str">
        <f t="shared" ref="D7:BO7" si="0">IF(D6=1,"bm",IF(D6=2,"size",IF(D6=3,"mom")))</f>
        <v>bm</v>
      </c>
      <c r="E7" s="25" t="str">
        <f t="shared" si="0"/>
        <v>size</v>
      </c>
      <c r="F7" s="25" t="str">
        <f t="shared" si="0"/>
        <v>bm</v>
      </c>
      <c r="G7" s="25" t="str">
        <f t="shared" si="0"/>
        <v>bm</v>
      </c>
      <c r="H7" s="25" t="str">
        <f t="shared" si="0"/>
        <v>mom</v>
      </c>
      <c r="I7" s="25" t="str">
        <f t="shared" si="0"/>
        <v>bm</v>
      </c>
      <c r="J7" s="25" t="str">
        <f t="shared" si="0"/>
        <v>bm</v>
      </c>
      <c r="K7" s="25" t="str">
        <f t="shared" si="0"/>
        <v>size</v>
      </c>
      <c r="L7" s="25" t="str">
        <f t="shared" si="0"/>
        <v>bm</v>
      </c>
      <c r="M7" s="25" t="str">
        <f t="shared" si="0"/>
        <v>bm</v>
      </c>
      <c r="N7" s="25" t="str">
        <f t="shared" si="0"/>
        <v>bm</v>
      </c>
      <c r="O7" s="25" t="str">
        <f t="shared" si="0"/>
        <v>bm</v>
      </c>
      <c r="P7" s="25" t="str">
        <f t="shared" si="0"/>
        <v>size</v>
      </c>
      <c r="Q7" s="25" t="str">
        <f t="shared" si="0"/>
        <v>size</v>
      </c>
      <c r="R7" s="25" t="str">
        <f t="shared" si="0"/>
        <v>bm</v>
      </c>
      <c r="S7" s="25" t="str">
        <f t="shared" si="0"/>
        <v>mom</v>
      </c>
      <c r="T7" s="25" t="str">
        <f t="shared" si="0"/>
        <v>bm</v>
      </c>
      <c r="U7" s="25" t="str">
        <f t="shared" si="0"/>
        <v>size</v>
      </c>
      <c r="V7" s="25" t="str">
        <f t="shared" si="0"/>
        <v>size</v>
      </c>
      <c r="W7" s="25" t="str">
        <f t="shared" si="0"/>
        <v>bm</v>
      </c>
      <c r="X7" s="25" t="str">
        <f t="shared" si="0"/>
        <v>size</v>
      </c>
      <c r="Y7" s="25" t="str">
        <f t="shared" si="0"/>
        <v>size</v>
      </c>
      <c r="Z7" s="25" t="str">
        <f t="shared" si="0"/>
        <v>size</v>
      </c>
      <c r="AA7" s="25" t="str">
        <f t="shared" si="0"/>
        <v>bm</v>
      </c>
      <c r="AB7" s="25" t="str">
        <f t="shared" si="0"/>
        <v>bm</v>
      </c>
      <c r="AC7" s="25" t="str">
        <f t="shared" si="0"/>
        <v>bm</v>
      </c>
      <c r="AD7" s="25" t="str">
        <f t="shared" si="0"/>
        <v>size</v>
      </c>
      <c r="AE7" s="25" t="str">
        <f t="shared" si="0"/>
        <v>bm</v>
      </c>
      <c r="AF7" s="25" t="str">
        <f t="shared" si="0"/>
        <v>size</v>
      </c>
      <c r="AG7" s="25" t="str">
        <f t="shared" si="0"/>
        <v>bm</v>
      </c>
      <c r="AH7" s="25" t="str">
        <f t="shared" si="0"/>
        <v>bm</v>
      </c>
      <c r="AI7" s="25" t="str">
        <f t="shared" si="0"/>
        <v>bm</v>
      </c>
      <c r="AJ7" s="25" t="str">
        <f t="shared" si="0"/>
        <v>bm</v>
      </c>
      <c r="AK7" s="25" t="str">
        <f t="shared" si="0"/>
        <v>size</v>
      </c>
      <c r="AL7" s="25" t="str">
        <f t="shared" si="0"/>
        <v>size</v>
      </c>
      <c r="AM7" s="25" t="str">
        <f t="shared" si="0"/>
        <v>bm</v>
      </c>
      <c r="AN7" s="25" t="str">
        <f t="shared" si="0"/>
        <v>bm</v>
      </c>
      <c r="AO7" s="25" t="str">
        <f t="shared" si="0"/>
        <v>bm</v>
      </c>
      <c r="AP7" s="25" t="str">
        <f t="shared" si="0"/>
        <v>bm</v>
      </c>
      <c r="AQ7" s="25" t="str">
        <f t="shared" si="0"/>
        <v>bm</v>
      </c>
      <c r="AR7" s="25" t="str">
        <f t="shared" si="0"/>
        <v>bm</v>
      </c>
      <c r="AS7" s="25" t="str">
        <f t="shared" si="0"/>
        <v>bm</v>
      </c>
      <c r="AT7" s="25" t="str">
        <f t="shared" si="0"/>
        <v>bm</v>
      </c>
      <c r="AU7" s="25" t="str">
        <f t="shared" si="0"/>
        <v>bm</v>
      </c>
      <c r="AV7" s="25" t="str">
        <f t="shared" si="0"/>
        <v>bm</v>
      </c>
      <c r="AW7" s="25" t="str">
        <f t="shared" si="0"/>
        <v>bm</v>
      </c>
      <c r="AX7" s="25" t="str">
        <f t="shared" si="0"/>
        <v>bm</v>
      </c>
      <c r="AY7" s="25" t="str">
        <f t="shared" si="0"/>
        <v>bm</v>
      </c>
      <c r="AZ7" s="25" t="str">
        <f t="shared" si="0"/>
        <v>bm</v>
      </c>
      <c r="BA7" s="25" t="str">
        <f t="shared" si="0"/>
        <v>bm</v>
      </c>
      <c r="BB7" s="25" t="str">
        <f t="shared" si="0"/>
        <v>size</v>
      </c>
      <c r="BC7" s="25" t="str">
        <f t="shared" si="0"/>
        <v>bm</v>
      </c>
      <c r="BD7" s="25" t="str">
        <f t="shared" si="0"/>
        <v>bm</v>
      </c>
      <c r="BE7" s="25" t="str">
        <f t="shared" si="0"/>
        <v>size</v>
      </c>
      <c r="BF7" s="25" t="str">
        <f t="shared" si="0"/>
        <v>bm</v>
      </c>
      <c r="BG7" s="25" t="str">
        <f t="shared" si="0"/>
        <v>mom</v>
      </c>
      <c r="BH7" s="25" t="str">
        <f t="shared" si="0"/>
        <v>bm</v>
      </c>
      <c r="BI7" s="25" t="str">
        <f t="shared" si="0"/>
        <v>bm</v>
      </c>
      <c r="BJ7" s="25" t="str">
        <f t="shared" si="0"/>
        <v>bm</v>
      </c>
      <c r="BK7" s="25" t="str">
        <f t="shared" si="0"/>
        <v>bm</v>
      </c>
      <c r="BL7" s="25" t="str">
        <f t="shared" si="0"/>
        <v>bm</v>
      </c>
      <c r="BM7" s="25" t="str">
        <f t="shared" si="0"/>
        <v>bm</v>
      </c>
      <c r="BN7" s="25" t="str">
        <f t="shared" si="0"/>
        <v>size</v>
      </c>
      <c r="BO7" s="25" t="str">
        <f t="shared" si="0"/>
        <v>bm</v>
      </c>
      <c r="BP7" s="25" t="str">
        <f t="shared" ref="BP7:EA7" si="1">IF(BP6=1,"bm",IF(BP6=2,"size",IF(BP6=3,"mom")))</f>
        <v>bm</v>
      </c>
      <c r="BQ7" s="25" t="str">
        <f t="shared" si="1"/>
        <v>bm</v>
      </c>
      <c r="BR7" s="25" t="str">
        <f t="shared" si="1"/>
        <v>bm</v>
      </c>
      <c r="BS7" s="25" t="str">
        <f t="shared" si="1"/>
        <v>bm</v>
      </c>
      <c r="BT7" s="25" t="str">
        <f t="shared" si="1"/>
        <v>size</v>
      </c>
      <c r="BU7" s="25" t="str">
        <f t="shared" si="1"/>
        <v>bm</v>
      </c>
      <c r="BV7" s="25" t="str">
        <f t="shared" si="1"/>
        <v>bm</v>
      </c>
      <c r="BW7" s="25" t="str">
        <f t="shared" si="1"/>
        <v>size</v>
      </c>
      <c r="BX7" s="25" t="str">
        <f t="shared" si="1"/>
        <v>size</v>
      </c>
      <c r="BY7" s="25" t="str">
        <f t="shared" si="1"/>
        <v>size</v>
      </c>
      <c r="BZ7" s="25" t="str">
        <f t="shared" si="1"/>
        <v>bm</v>
      </c>
      <c r="CA7" s="25" t="str">
        <f t="shared" si="1"/>
        <v>bm</v>
      </c>
      <c r="CB7" s="25" t="str">
        <f t="shared" si="1"/>
        <v>bm</v>
      </c>
      <c r="CC7" s="25" t="str">
        <f t="shared" si="1"/>
        <v>mom</v>
      </c>
      <c r="CD7" s="25" t="str">
        <f t="shared" si="1"/>
        <v>bm</v>
      </c>
      <c r="CE7" s="25" t="str">
        <f t="shared" si="1"/>
        <v>size</v>
      </c>
      <c r="CF7" s="25" t="str">
        <f t="shared" si="1"/>
        <v>size</v>
      </c>
      <c r="CG7" s="25" t="str">
        <f t="shared" si="1"/>
        <v>bm</v>
      </c>
      <c r="CH7" s="25" t="str">
        <f t="shared" si="1"/>
        <v>mom</v>
      </c>
      <c r="CI7" s="25" t="str">
        <f t="shared" si="1"/>
        <v>size</v>
      </c>
      <c r="CJ7" s="25" t="str">
        <f t="shared" si="1"/>
        <v>bm</v>
      </c>
      <c r="CK7" s="25" t="str">
        <f t="shared" si="1"/>
        <v>bm</v>
      </c>
      <c r="CL7" s="25" t="str">
        <f t="shared" si="1"/>
        <v>size</v>
      </c>
      <c r="CM7" s="25" t="str">
        <f t="shared" si="1"/>
        <v>bm</v>
      </c>
      <c r="CN7" s="25" t="str">
        <f t="shared" si="1"/>
        <v>bm</v>
      </c>
      <c r="CO7" s="25" t="str">
        <f t="shared" si="1"/>
        <v>bm</v>
      </c>
      <c r="CP7" s="25" t="str">
        <f t="shared" si="1"/>
        <v>mom</v>
      </c>
      <c r="CQ7" s="25" t="str">
        <f t="shared" si="1"/>
        <v>bm</v>
      </c>
      <c r="CR7" s="25" t="str">
        <f t="shared" si="1"/>
        <v>size</v>
      </c>
      <c r="CS7" s="25" t="str">
        <f t="shared" si="1"/>
        <v>bm</v>
      </c>
      <c r="CT7" s="25" t="str">
        <f t="shared" si="1"/>
        <v>bm</v>
      </c>
      <c r="CU7" s="25" t="str">
        <f t="shared" si="1"/>
        <v>bm</v>
      </c>
      <c r="CV7" s="25" t="str">
        <f t="shared" si="1"/>
        <v>size</v>
      </c>
      <c r="CW7" s="25" t="str">
        <f t="shared" si="1"/>
        <v>size</v>
      </c>
      <c r="CX7" s="25" t="str">
        <f t="shared" si="1"/>
        <v>size</v>
      </c>
      <c r="CY7" s="25" t="str">
        <f t="shared" si="1"/>
        <v>size</v>
      </c>
      <c r="CZ7" s="25" t="str">
        <f t="shared" si="1"/>
        <v>size</v>
      </c>
      <c r="DA7" s="25" t="str">
        <f t="shared" si="1"/>
        <v>bm</v>
      </c>
      <c r="DB7" s="25" t="str">
        <f t="shared" si="1"/>
        <v>size</v>
      </c>
      <c r="DC7" s="25" t="str">
        <f t="shared" si="1"/>
        <v>bm</v>
      </c>
      <c r="DD7" s="25" t="str">
        <f t="shared" si="1"/>
        <v>size</v>
      </c>
      <c r="DE7" s="25" t="str">
        <f t="shared" si="1"/>
        <v>bm</v>
      </c>
      <c r="DF7" s="25" t="str">
        <f t="shared" si="1"/>
        <v>bm</v>
      </c>
      <c r="DG7" s="25" t="str">
        <f t="shared" si="1"/>
        <v>size</v>
      </c>
      <c r="DH7" s="25" t="str">
        <f t="shared" si="1"/>
        <v>bm</v>
      </c>
      <c r="DI7" s="25" t="str">
        <f t="shared" si="1"/>
        <v>bm</v>
      </c>
      <c r="DJ7" s="25" t="str">
        <f t="shared" si="1"/>
        <v>bm</v>
      </c>
      <c r="DK7" s="25" t="str">
        <f t="shared" si="1"/>
        <v>bm</v>
      </c>
      <c r="DL7" s="25" t="str">
        <f t="shared" si="1"/>
        <v>size</v>
      </c>
      <c r="DM7" s="25" t="str">
        <f t="shared" si="1"/>
        <v>bm</v>
      </c>
      <c r="DN7" s="25" t="str">
        <f t="shared" si="1"/>
        <v>bm</v>
      </c>
      <c r="DO7" s="25" t="str">
        <f t="shared" si="1"/>
        <v>size</v>
      </c>
      <c r="DP7" s="25" t="str">
        <f t="shared" si="1"/>
        <v>bm</v>
      </c>
      <c r="DQ7" s="25" t="str">
        <f t="shared" si="1"/>
        <v>bm</v>
      </c>
      <c r="DR7" s="25" t="str">
        <f t="shared" si="1"/>
        <v>bm</v>
      </c>
      <c r="DS7" s="25" t="str">
        <f t="shared" si="1"/>
        <v>size</v>
      </c>
      <c r="DT7" s="25" t="str">
        <f t="shared" si="1"/>
        <v>bm</v>
      </c>
      <c r="DU7" s="25" t="str">
        <f t="shared" si="1"/>
        <v>bm</v>
      </c>
      <c r="DV7" s="25" t="str">
        <f t="shared" si="1"/>
        <v>bm</v>
      </c>
      <c r="DW7" s="25" t="str">
        <f t="shared" si="1"/>
        <v>bm</v>
      </c>
      <c r="DX7" s="25" t="str">
        <f t="shared" si="1"/>
        <v>bm</v>
      </c>
      <c r="DY7" s="25" t="str">
        <f t="shared" si="1"/>
        <v>bm</v>
      </c>
      <c r="DZ7" s="25" t="str">
        <f t="shared" si="1"/>
        <v>bm</v>
      </c>
      <c r="EA7" s="25" t="str">
        <f t="shared" si="1"/>
        <v>bm</v>
      </c>
      <c r="EB7" s="25" t="str">
        <f t="shared" ref="EB7:EF7" si="2">IF(EB6=1,"bm",IF(EB6=2,"size",IF(EB6=3,"mom")))</f>
        <v>size</v>
      </c>
      <c r="EC7" s="25" t="str">
        <f t="shared" si="2"/>
        <v>bm</v>
      </c>
      <c r="ED7" s="25" t="str">
        <f t="shared" si="2"/>
        <v>bm</v>
      </c>
      <c r="EE7" s="25" t="str">
        <f t="shared" si="2"/>
        <v>size</v>
      </c>
      <c r="EF7" s="25" t="str">
        <f t="shared" si="2"/>
        <v>bm</v>
      </c>
    </row>
    <row r="8" spans="1:136" ht="16">
      <c r="A8" s="4"/>
      <c r="B8" s="21"/>
      <c r="C8" s="25">
        <f>IF(C6=1,C3,IF(C6=2,C4,IF(C6=3,C5)))</f>
        <v>7.3912657797336578E-2</v>
      </c>
      <c r="D8" s="25">
        <f t="shared" ref="D8:BO8" si="3">IF(D6=1,D3,IF(D6=2,D4,IF(D6=3,D5)))</f>
        <v>7.563493400812149E-2</v>
      </c>
      <c r="E8" s="25">
        <f t="shared" si="3"/>
        <v>8.2988262176513672E-2</v>
      </c>
      <c r="F8" s="25">
        <f t="shared" si="3"/>
        <v>6.1629988253116608E-2</v>
      </c>
      <c r="G8" s="25">
        <f t="shared" si="3"/>
        <v>5.0796419382095337E-2</v>
      </c>
      <c r="H8" s="25">
        <f t="shared" si="3"/>
        <v>5.7366847991943359E-2</v>
      </c>
      <c r="I8" s="25">
        <f t="shared" si="3"/>
        <v>9.0367138385772705E-2</v>
      </c>
      <c r="J8" s="25">
        <f t="shared" si="3"/>
        <v>6.5266318619251251E-2</v>
      </c>
      <c r="K8" s="25">
        <f t="shared" si="3"/>
        <v>-3.3898375928401947E-2</v>
      </c>
      <c r="L8" s="25">
        <f t="shared" si="3"/>
        <v>7.7547639608383179E-2</v>
      </c>
      <c r="M8" s="25">
        <f t="shared" si="3"/>
        <v>6.4441181719303131E-2</v>
      </c>
      <c r="N8" s="25">
        <f t="shared" si="3"/>
        <v>4.6512190252542503E-2</v>
      </c>
      <c r="O8" s="25">
        <f t="shared" si="3"/>
        <v>6.7610271275043488E-2</v>
      </c>
      <c r="P8" s="25">
        <f t="shared" si="3"/>
        <v>-4.6467673033475883E-2</v>
      </c>
      <c r="Q8" s="25">
        <f t="shared" si="3"/>
        <v>-6.1648782342672348E-2</v>
      </c>
      <c r="R8" s="25">
        <f t="shared" si="3"/>
        <v>5.7588163763284683E-2</v>
      </c>
      <c r="S8" s="25">
        <f t="shared" si="3"/>
        <v>3.937915712594986E-2</v>
      </c>
      <c r="T8" s="25">
        <f t="shared" si="3"/>
        <v>5.8177851140499108E-2</v>
      </c>
      <c r="U8" s="25">
        <f t="shared" si="3"/>
        <v>8.309655636548996E-2</v>
      </c>
      <c r="V8" s="25">
        <f t="shared" si="3"/>
        <v>8.9860610663890839E-2</v>
      </c>
      <c r="W8" s="25">
        <f t="shared" si="3"/>
        <v>5.813661590218544E-2</v>
      </c>
      <c r="X8" s="25">
        <f t="shared" si="3"/>
        <v>8.2243978977203369E-2</v>
      </c>
      <c r="Y8" s="25">
        <f t="shared" si="3"/>
        <v>-7.1789160370826721E-2</v>
      </c>
      <c r="Z8" s="25">
        <f t="shared" si="3"/>
        <v>-3.0311709269881248E-2</v>
      </c>
      <c r="AA8" s="25">
        <f t="shared" si="3"/>
        <v>6.6306374967098236E-2</v>
      </c>
      <c r="AB8" s="25">
        <f t="shared" si="3"/>
        <v>5.8820508420467377E-2</v>
      </c>
      <c r="AC8" s="25">
        <f t="shared" si="3"/>
        <v>5.7617776095867157E-2</v>
      </c>
      <c r="AD8" s="25">
        <f t="shared" si="3"/>
        <v>-9.8738029599189758E-2</v>
      </c>
      <c r="AE8" s="25">
        <f t="shared" si="3"/>
        <v>7.8433975577354431E-2</v>
      </c>
      <c r="AF8" s="25">
        <f t="shared" si="3"/>
        <v>-4.4075444340705872E-2</v>
      </c>
      <c r="AG8" s="25">
        <f t="shared" si="3"/>
        <v>5.5671926587820053E-2</v>
      </c>
      <c r="AH8" s="25">
        <f t="shared" si="3"/>
        <v>1.690743304789066E-2</v>
      </c>
      <c r="AI8" s="25">
        <f t="shared" si="3"/>
        <v>3.7138056010007858E-2</v>
      </c>
      <c r="AJ8" s="25">
        <f t="shared" si="3"/>
        <v>3.9113327860832207E-2</v>
      </c>
      <c r="AK8" s="25">
        <f t="shared" si="3"/>
        <v>-9.3165159225463867E-2</v>
      </c>
      <c r="AL8" s="25">
        <f t="shared" si="3"/>
        <v>5.6960459798574448E-2</v>
      </c>
      <c r="AM8" s="25">
        <f t="shared" si="3"/>
        <v>5.331827700138092E-2</v>
      </c>
      <c r="AN8" s="25">
        <f t="shared" si="3"/>
        <v>0.1098324954509735</v>
      </c>
      <c r="AO8" s="25">
        <f t="shared" si="3"/>
        <v>1.9733672961592671E-2</v>
      </c>
      <c r="AP8" s="25">
        <f t="shared" si="3"/>
        <v>3.6758668720722198E-2</v>
      </c>
      <c r="AQ8" s="25">
        <f t="shared" si="3"/>
        <v>5.1327180117368698E-2</v>
      </c>
      <c r="AR8" s="25">
        <f t="shared" si="3"/>
        <v>5.3256317973136902E-2</v>
      </c>
      <c r="AS8" s="25">
        <f t="shared" si="3"/>
        <v>5.4331317543983459E-2</v>
      </c>
      <c r="AT8" s="25">
        <f t="shared" si="3"/>
        <v>4.3143793940544128E-2</v>
      </c>
      <c r="AU8" s="25">
        <f t="shared" si="3"/>
        <v>3.8841631263494492E-2</v>
      </c>
      <c r="AV8" s="25">
        <f t="shared" si="3"/>
        <v>5.5265516042709351E-2</v>
      </c>
      <c r="AW8" s="25">
        <f t="shared" si="3"/>
        <v>5.0267204642295837E-2</v>
      </c>
      <c r="AX8" s="25">
        <f t="shared" si="3"/>
        <v>-6.0497067868709557E-2</v>
      </c>
      <c r="AY8" s="25">
        <f t="shared" si="3"/>
        <v>5.6344892829656601E-2</v>
      </c>
      <c r="AZ8" s="25">
        <f t="shared" si="3"/>
        <v>4.4756263494491577E-2</v>
      </c>
      <c r="BA8" s="25">
        <f t="shared" si="3"/>
        <v>4.9546454101800919E-2</v>
      </c>
      <c r="BB8" s="25">
        <f t="shared" si="3"/>
        <v>-8.7475843727588654E-2</v>
      </c>
      <c r="BC8" s="25">
        <f t="shared" si="3"/>
        <v>5.2208933979272842E-2</v>
      </c>
      <c r="BD8" s="25">
        <f t="shared" si="3"/>
        <v>5.0287269055843353E-2</v>
      </c>
      <c r="BE8" s="25">
        <f t="shared" si="3"/>
        <v>-5.4915815591812127E-2</v>
      </c>
      <c r="BF8" s="25">
        <f t="shared" si="3"/>
        <v>5.2831601351499557E-2</v>
      </c>
      <c r="BG8" s="25">
        <f t="shared" si="3"/>
        <v>0.1231109201908112</v>
      </c>
      <c r="BH8" s="25">
        <f t="shared" si="3"/>
        <v>5.3355973213911063E-2</v>
      </c>
      <c r="BI8" s="25">
        <f t="shared" si="3"/>
        <v>-4.2333740741014481E-2</v>
      </c>
      <c r="BJ8" s="25">
        <f t="shared" si="3"/>
        <v>-4.1621774435043328E-2</v>
      </c>
      <c r="BK8" s="25">
        <f t="shared" si="3"/>
        <v>5.2732300013303757E-2</v>
      </c>
      <c r="BL8" s="25">
        <f t="shared" si="3"/>
        <v>5.2711453288793557E-2</v>
      </c>
      <c r="BM8" s="25">
        <f t="shared" si="3"/>
        <v>5.2789580076932907E-2</v>
      </c>
      <c r="BN8" s="25">
        <f t="shared" si="3"/>
        <v>-0.1043956056237221</v>
      </c>
      <c r="BO8" s="25">
        <f t="shared" si="3"/>
        <v>-4.2583651840686798E-2</v>
      </c>
      <c r="BP8" s="25">
        <f t="shared" ref="BP8:EA8" si="4">IF(BP6=1,BP3,IF(BP6=2,BP4,IF(BP6=3,BP5)))</f>
        <v>3.996393084526062E-2</v>
      </c>
      <c r="BQ8" s="25">
        <f t="shared" si="4"/>
        <v>5.2070382982492447E-2</v>
      </c>
      <c r="BR8" s="25">
        <f t="shared" si="4"/>
        <v>5.0181154161691673E-2</v>
      </c>
      <c r="BS8" s="25">
        <f t="shared" si="4"/>
        <v>5.4154157638549798E-2</v>
      </c>
      <c r="BT8" s="25">
        <f t="shared" si="4"/>
        <v>4.9916800111532211E-2</v>
      </c>
      <c r="BU8" s="25">
        <f t="shared" si="4"/>
        <v>5.5349864065647132E-2</v>
      </c>
      <c r="BV8" s="25">
        <f t="shared" si="4"/>
        <v>5.2839476615190513E-2</v>
      </c>
      <c r="BW8" s="25">
        <f t="shared" si="4"/>
        <v>4.0576938539743423E-2</v>
      </c>
      <c r="BX8" s="25">
        <f t="shared" si="4"/>
        <v>0.11351513117551799</v>
      </c>
      <c r="BY8" s="25">
        <f t="shared" si="4"/>
        <v>-6.0964066535234451E-2</v>
      </c>
      <c r="BZ8" s="25">
        <f t="shared" si="4"/>
        <v>5.3063441067934043E-2</v>
      </c>
      <c r="CA8" s="25">
        <f t="shared" si="4"/>
        <v>3.9631478488445282E-2</v>
      </c>
      <c r="CB8" s="25">
        <f t="shared" si="4"/>
        <v>4.600171372294426E-2</v>
      </c>
      <c r="CC8" s="25">
        <f t="shared" si="4"/>
        <v>-6.2383759766817093E-2</v>
      </c>
      <c r="CD8" s="25">
        <f t="shared" si="4"/>
        <v>5.2426740527153022E-2</v>
      </c>
      <c r="CE8" s="25">
        <f t="shared" si="4"/>
        <v>-4.8888608813285828E-2</v>
      </c>
      <c r="CF8" s="25">
        <f t="shared" si="4"/>
        <v>4.5108072459697723E-2</v>
      </c>
      <c r="CG8" s="25">
        <f t="shared" si="4"/>
        <v>4.5137140899896622E-2</v>
      </c>
      <c r="CH8" s="25">
        <f t="shared" si="4"/>
        <v>5.5632010102272027E-2</v>
      </c>
      <c r="CI8" s="25">
        <f t="shared" si="4"/>
        <v>-5.9029228985309601E-2</v>
      </c>
      <c r="CJ8" s="25">
        <f t="shared" si="4"/>
        <v>5.7584956288337708E-2</v>
      </c>
      <c r="CK8" s="25">
        <f t="shared" si="4"/>
        <v>6.9196119904518127E-2</v>
      </c>
      <c r="CL8" s="25">
        <f t="shared" si="4"/>
        <v>-8.7717965245246887E-2</v>
      </c>
      <c r="CM8" s="25">
        <f t="shared" si="4"/>
        <v>4.9845971167087548E-2</v>
      </c>
      <c r="CN8" s="25">
        <f t="shared" si="4"/>
        <v>-4.840879887342453E-2</v>
      </c>
      <c r="CO8" s="25">
        <f t="shared" si="4"/>
        <v>4.8292059451341629E-2</v>
      </c>
      <c r="CP8" s="25">
        <f t="shared" si="4"/>
        <v>-4.1955962777137763E-2</v>
      </c>
      <c r="CQ8" s="25">
        <f t="shared" si="4"/>
        <v>4.8842102289199829E-2</v>
      </c>
      <c r="CR8" s="25">
        <f t="shared" si="4"/>
        <v>7.6525658369064331E-2</v>
      </c>
      <c r="CS8" s="25">
        <f t="shared" si="4"/>
        <v>4.7897454351186752E-2</v>
      </c>
      <c r="CT8" s="25">
        <f t="shared" si="4"/>
        <v>2.8369873762130741E-2</v>
      </c>
      <c r="CU8" s="25">
        <f t="shared" si="4"/>
        <v>4.4375255703926093E-2</v>
      </c>
      <c r="CV8" s="25">
        <f t="shared" si="4"/>
        <v>-6.2654152512550354E-2</v>
      </c>
      <c r="CW8" s="25">
        <f t="shared" si="4"/>
        <v>-4.558606818318367E-2</v>
      </c>
      <c r="CX8" s="25">
        <f t="shared" si="4"/>
        <v>-6.5642617642879486E-2</v>
      </c>
      <c r="CY8" s="25">
        <f t="shared" si="4"/>
        <v>6.3649572432041168E-2</v>
      </c>
      <c r="CZ8" s="25">
        <f t="shared" si="4"/>
        <v>-7.8583814203739166E-2</v>
      </c>
      <c r="DA8" s="25">
        <f t="shared" si="4"/>
        <v>4.4029783457517617E-2</v>
      </c>
      <c r="DB8" s="25">
        <f t="shared" si="4"/>
        <v>-5.8803975582122803E-2</v>
      </c>
      <c r="DC8" s="25">
        <f t="shared" si="4"/>
        <v>5.1982991397380829E-2</v>
      </c>
      <c r="DD8" s="25">
        <f t="shared" si="4"/>
        <v>-3.8284681737422943E-2</v>
      </c>
      <c r="DE8" s="25">
        <f t="shared" si="4"/>
        <v>5.2998926490545273E-2</v>
      </c>
      <c r="DF8" s="25">
        <f t="shared" si="4"/>
        <v>4.4837679713964462E-2</v>
      </c>
      <c r="DG8" s="25">
        <f t="shared" si="4"/>
        <v>6.0822788625955582E-2</v>
      </c>
      <c r="DH8" s="25">
        <f t="shared" si="4"/>
        <v>4.7541145235300057E-2</v>
      </c>
      <c r="DI8" s="25">
        <f t="shared" si="4"/>
        <v>4.8345033079385757E-2</v>
      </c>
      <c r="DJ8" s="25">
        <f t="shared" si="4"/>
        <v>5.2155863493680947E-2</v>
      </c>
      <c r="DK8" s="25">
        <f t="shared" si="4"/>
        <v>8.9188195765018463E-2</v>
      </c>
      <c r="DL8" s="25">
        <f t="shared" si="4"/>
        <v>-4.2281743139028549E-2</v>
      </c>
      <c r="DM8" s="25">
        <f t="shared" si="4"/>
        <v>4.845760390162468E-2</v>
      </c>
      <c r="DN8" s="25">
        <f t="shared" si="4"/>
        <v>4.64659184217453E-2</v>
      </c>
      <c r="DO8" s="25">
        <f t="shared" si="4"/>
        <v>-4.04704250395298E-2</v>
      </c>
      <c r="DP8" s="25">
        <f t="shared" si="4"/>
        <v>4.7435946762561798E-2</v>
      </c>
      <c r="DQ8" s="25">
        <f t="shared" si="4"/>
        <v>3.8500402122735977E-2</v>
      </c>
      <c r="DR8" s="25">
        <f t="shared" si="4"/>
        <v>4.9186587333679199E-2</v>
      </c>
      <c r="DS8" s="25">
        <f t="shared" si="4"/>
        <v>-6.9464683532714844E-2</v>
      </c>
      <c r="DT8" s="25">
        <f t="shared" si="4"/>
        <v>3.1652722507715232E-2</v>
      </c>
      <c r="DU8" s="25">
        <f t="shared" si="4"/>
        <v>6.1842098832130432E-2</v>
      </c>
      <c r="DV8" s="25">
        <f t="shared" si="4"/>
        <v>4.6563606709241867E-2</v>
      </c>
      <c r="DW8" s="25">
        <f t="shared" si="4"/>
        <v>3.2814890146255493E-2</v>
      </c>
      <c r="DX8" s="25">
        <f t="shared" si="4"/>
        <v>4.826011136174202E-2</v>
      </c>
      <c r="DY8" s="25">
        <f t="shared" si="4"/>
        <v>-5.6952420622110367E-2</v>
      </c>
      <c r="DZ8" s="25">
        <f t="shared" si="4"/>
        <v>3.3931814134120941E-2</v>
      </c>
      <c r="EA8" s="25">
        <f t="shared" si="4"/>
        <v>4.8233494162559509E-2</v>
      </c>
      <c r="EB8" s="25">
        <f t="shared" ref="EB8:EF8" si="5">IF(EB6=1,EB3,IF(EB6=2,EB4,IF(EB6=3,EB5)))</f>
        <v>-4.1742835193872452E-2</v>
      </c>
      <c r="EC8" s="25">
        <f t="shared" si="5"/>
        <v>3.6156386137008667E-2</v>
      </c>
      <c r="ED8" s="25">
        <f t="shared" si="5"/>
        <v>4.0190532803535461E-2</v>
      </c>
      <c r="EE8" s="25">
        <f t="shared" si="5"/>
        <v>0.11009947955608369</v>
      </c>
      <c r="EF8" s="25">
        <f t="shared" si="5"/>
        <v>5.0330590456724167E-2</v>
      </c>
    </row>
    <row r="9" spans="1:136" ht="16">
      <c r="A9" s="28"/>
      <c r="B9" s="28"/>
      <c r="C9" s="28"/>
      <c r="D9" s="4"/>
      <c r="E9" s="4"/>
      <c r="F9" s="4"/>
      <c r="G9" s="4"/>
      <c r="H9" s="4"/>
      <c r="I9" s="4"/>
      <c r="J9" s="4"/>
      <c r="K9" s="28"/>
      <c r="L9" s="4"/>
      <c r="M9" s="4"/>
      <c r="N9" s="4"/>
      <c r="O9" s="4"/>
      <c r="P9" s="4"/>
      <c r="Q9" s="4"/>
      <c r="R9" s="4"/>
      <c r="S9" s="4"/>
      <c r="T9" s="4"/>
      <c r="U9" s="5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</row>
    <row r="10" spans="1:136" ht="16">
      <c r="A10" s="73" t="s">
        <v>140</v>
      </c>
      <c r="B10" s="74"/>
      <c r="C10" s="10" t="s">
        <v>141</v>
      </c>
      <c r="D10" s="10">
        <v>964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</row>
    <row r="11" spans="1:136" ht="16">
      <c r="A11" s="6" t="s">
        <v>142</v>
      </c>
      <c r="B11" s="6" t="s">
        <v>143</v>
      </c>
      <c r="C11" s="13" t="s">
        <v>3</v>
      </c>
      <c r="D11" s="13" t="s">
        <v>4</v>
      </c>
      <c r="E11" s="13" t="s">
        <v>5</v>
      </c>
      <c r="F11" s="13" t="s">
        <v>6</v>
      </c>
      <c r="G11" s="13" t="s">
        <v>7</v>
      </c>
      <c r="H11" s="13" t="s">
        <v>8</v>
      </c>
      <c r="I11" s="13" t="s">
        <v>9</v>
      </c>
      <c r="J11" s="13" t="s">
        <v>10</v>
      </c>
      <c r="K11" s="13" t="s">
        <v>11</v>
      </c>
      <c r="L11" s="13" t="s">
        <v>12</v>
      </c>
      <c r="M11" s="13" t="s">
        <v>13</v>
      </c>
      <c r="N11" s="13" t="s">
        <v>14</v>
      </c>
      <c r="O11" s="13" t="s">
        <v>15</v>
      </c>
      <c r="P11" s="13" t="s">
        <v>16</v>
      </c>
      <c r="Q11" s="13" t="s">
        <v>17</v>
      </c>
      <c r="R11" s="13" t="s">
        <v>18</v>
      </c>
      <c r="S11" s="13" t="s">
        <v>19</v>
      </c>
      <c r="T11" s="13" t="s">
        <v>20</v>
      </c>
      <c r="U11" s="13" t="s">
        <v>21</v>
      </c>
      <c r="V11" s="13" t="s">
        <v>22</v>
      </c>
      <c r="W11" s="13" t="s">
        <v>23</v>
      </c>
      <c r="X11" s="13" t="s">
        <v>24</v>
      </c>
      <c r="Y11" s="13" t="s">
        <v>25</v>
      </c>
      <c r="Z11" s="13" t="s">
        <v>26</v>
      </c>
      <c r="AA11" s="13" t="s">
        <v>27</v>
      </c>
      <c r="AB11" s="13" t="s">
        <v>28</v>
      </c>
      <c r="AC11" s="13" t="s">
        <v>29</v>
      </c>
      <c r="AD11" s="13" t="s">
        <v>30</v>
      </c>
      <c r="AE11" s="13" t="s">
        <v>31</v>
      </c>
      <c r="AF11" s="13" t="s">
        <v>32</v>
      </c>
      <c r="AG11" s="13" t="s">
        <v>33</v>
      </c>
      <c r="AH11" s="13" t="s">
        <v>34</v>
      </c>
      <c r="AI11" s="13" t="s">
        <v>35</v>
      </c>
      <c r="AJ11" s="13" t="s">
        <v>36</v>
      </c>
      <c r="AK11" s="13" t="s">
        <v>37</v>
      </c>
      <c r="AL11" s="13" t="s">
        <v>38</v>
      </c>
      <c r="AM11" s="13" t="s">
        <v>39</v>
      </c>
      <c r="AN11" s="13" t="s">
        <v>40</v>
      </c>
      <c r="AO11" s="13" t="s">
        <v>41</v>
      </c>
      <c r="AP11" s="13" t="s">
        <v>42</v>
      </c>
      <c r="AQ11" s="13" t="s">
        <v>43</v>
      </c>
      <c r="AR11" s="13" t="s">
        <v>44</v>
      </c>
      <c r="AS11" s="13" t="s">
        <v>45</v>
      </c>
      <c r="AT11" s="13" t="s">
        <v>46</v>
      </c>
      <c r="AU11" s="13" t="s">
        <v>47</v>
      </c>
      <c r="AV11" s="13" t="s">
        <v>48</v>
      </c>
      <c r="AW11" s="13" t="s">
        <v>49</v>
      </c>
      <c r="AX11" s="13" t="s">
        <v>50</v>
      </c>
      <c r="AY11" s="13" t="s">
        <v>51</v>
      </c>
      <c r="AZ11" s="13" t="s">
        <v>52</v>
      </c>
      <c r="BA11" s="13" t="s">
        <v>53</v>
      </c>
      <c r="BB11" s="13" t="s">
        <v>54</v>
      </c>
      <c r="BC11" s="13" t="s">
        <v>55</v>
      </c>
      <c r="BD11" s="13" t="s">
        <v>56</v>
      </c>
      <c r="BE11" s="13" t="s">
        <v>57</v>
      </c>
      <c r="BF11" s="13" t="s">
        <v>58</v>
      </c>
      <c r="BG11" s="13" t="s">
        <v>59</v>
      </c>
      <c r="BH11" s="13" t="s">
        <v>60</v>
      </c>
      <c r="BI11" s="13" t="s">
        <v>61</v>
      </c>
      <c r="BJ11" s="13" t="s">
        <v>62</v>
      </c>
      <c r="BK11" s="13" t="s">
        <v>63</v>
      </c>
      <c r="BL11" s="13" t="s">
        <v>64</v>
      </c>
      <c r="BM11" s="13" t="s">
        <v>65</v>
      </c>
      <c r="BN11" s="13" t="s">
        <v>66</v>
      </c>
      <c r="BO11" s="13" t="s">
        <v>67</v>
      </c>
      <c r="BP11" s="13" t="s">
        <v>68</v>
      </c>
      <c r="BQ11" s="13" t="s">
        <v>69</v>
      </c>
      <c r="BR11" s="13" t="s">
        <v>70</v>
      </c>
      <c r="BS11" s="13" t="s">
        <v>71</v>
      </c>
      <c r="BT11" s="13" t="s">
        <v>72</v>
      </c>
      <c r="BU11" s="13" t="s">
        <v>73</v>
      </c>
      <c r="BV11" s="13" t="s">
        <v>74</v>
      </c>
      <c r="BW11" s="13" t="s">
        <v>75</v>
      </c>
      <c r="BX11" s="13" t="s">
        <v>76</v>
      </c>
      <c r="BY11" s="13" t="s">
        <v>77</v>
      </c>
      <c r="BZ11" s="13" t="s">
        <v>78</v>
      </c>
      <c r="CA11" s="13" t="s">
        <v>79</v>
      </c>
      <c r="CB11" s="13" t="s">
        <v>80</v>
      </c>
      <c r="CC11" s="13" t="s">
        <v>81</v>
      </c>
      <c r="CD11" s="13" t="s">
        <v>82</v>
      </c>
      <c r="CE11" s="13" t="s">
        <v>83</v>
      </c>
      <c r="CF11" s="13" t="s">
        <v>84</v>
      </c>
      <c r="CG11" s="13" t="s">
        <v>85</v>
      </c>
      <c r="CH11" s="13" t="s">
        <v>86</v>
      </c>
      <c r="CI11" s="13" t="s">
        <v>87</v>
      </c>
      <c r="CJ11" s="13" t="s">
        <v>88</v>
      </c>
      <c r="CK11" s="13" t="s">
        <v>89</v>
      </c>
      <c r="CL11" s="13" t="s">
        <v>90</v>
      </c>
      <c r="CM11" s="13" t="s">
        <v>91</v>
      </c>
      <c r="CN11" s="13" t="s">
        <v>92</v>
      </c>
      <c r="CO11" s="13" t="s">
        <v>93</v>
      </c>
      <c r="CP11" s="13" t="s">
        <v>94</v>
      </c>
      <c r="CQ11" s="13" t="s">
        <v>95</v>
      </c>
      <c r="CR11" s="13" t="s">
        <v>96</v>
      </c>
      <c r="CS11" s="13" t="s">
        <v>97</v>
      </c>
      <c r="CT11" s="13" t="s">
        <v>98</v>
      </c>
      <c r="CU11" s="13" t="s">
        <v>99</v>
      </c>
      <c r="CV11" s="13" t="s">
        <v>100</v>
      </c>
      <c r="CW11" s="13" t="s">
        <v>101</v>
      </c>
      <c r="CX11" s="13" t="s">
        <v>102</v>
      </c>
      <c r="CY11" s="13" t="s">
        <v>103</v>
      </c>
      <c r="CZ11" s="13" t="s">
        <v>104</v>
      </c>
      <c r="DA11" s="13" t="s">
        <v>105</v>
      </c>
      <c r="DB11" s="13" t="s">
        <v>106</v>
      </c>
      <c r="DC11" s="13" t="s">
        <v>107</v>
      </c>
      <c r="DD11" s="13" t="s">
        <v>108</v>
      </c>
      <c r="DE11" s="13" t="s">
        <v>109</v>
      </c>
      <c r="DF11" s="13" t="s">
        <v>110</v>
      </c>
      <c r="DG11" s="13" t="s">
        <v>111</v>
      </c>
      <c r="DH11" s="13" t="s">
        <v>112</v>
      </c>
      <c r="DI11" s="13" t="s">
        <v>113</v>
      </c>
      <c r="DJ11" s="13" t="s">
        <v>114</v>
      </c>
      <c r="DK11" s="13" t="s">
        <v>115</v>
      </c>
      <c r="DL11" s="13" t="s">
        <v>116</v>
      </c>
      <c r="DM11" s="13" t="s">
        <v>117</v>
      </c>
      <c r="DN11" s="13" t="s">
        <v>118</v>
      </c>
      <c r="DO11" s="13" t="s">
        <v>119</v>
      </c>
      <c r="DP11" s="13" t="s">
        <v>120</v>
      </c>
      <c r="DQ11" s="13" t="s">
        <v>121</v>
      </c>
      <c r="DR11" s="13" t="s">
        <v>122</v>
      </c>
      <c r="DS11" s="13" t="s">
        <v>123</v>
      </c>
      <c r="DT11" s="13" t="s">
        <v>124</v>
      </c>
      <c r="DU11" s="13" t="s">
        <v>125</v>
      </c>
      <c r="DV11" s="13" t="s">
        <v>126</v>
      </c>
      <c r="DW11" s="13" t="s">
        <v>127</v>
      </c>
      <c r="DX11" s="13" t="s">
        <v>128</v>
      </c>
      <c r="DY11" s="13" t="s">
        <v>129</v>
      </c>
      <c r="DZ11" s="13" t="s">
        <v>130</v>
      </c>
      <c r="EA11" s="13" t="s">
        <v>131</v>
      </c>
      <c r="EB11" s="13" t="s">
        <v>132</v>
      </c>
      <c r="EC11" s="13" t="s">
        <v>133</v>
      </c>
      <c r="ED11" s="13" t="s">
        <v>134</v>
      </c>
      <c r="EE11" s="13" t="s">
        <v>135</v>
      </c>
      <c r="EF11" s="13" t="s">
        <v>144</v>
      </c>
    </row>
    <row r="12" spans="1:136" ht="16">
      <c r="A12" s="6">
        <v>10</v>
      </c>
      <c r="B12" s="6">
        <v>96</v>
      </c>
      <c r="C12" s="11">
        <v>4.6867682744863907E-2</v>
      </c>
      <c r="D12" s="11">
        <v>2.0629537210400919E-2</v>
      </c>
      <c r="E12" s="11">
        <v>-4.802682338720253E-2</v>
      </c>
      <c r="F12" s="11">
        <v>-1.88177157454043E-2</v>
      </c>
      <c r="G12" s="11">
        <v>8.59720291315174E-3</v>
      </c>
      <c r="H12" s="11">
        <v>9.5992583565995809E-3</v>
      </c>
      <c r="I12" s="11">
        <v>3.8097115239531458E-2</v>
      </c>
      <c r="J12" s="11">
        <v>4.3784578744871523E-2</v>
      </c>
      <c r="K12" s="11">
        <v>1.8774380137331209E-2</v>
      </c>
      <c r="L12" s="12">
        <v>-1.279800547193503E-3</v>
      </c>
      <c r="M12" s="12">
        <v>-1.555180420016113E-2</v>
      </c>
      <c r="N12" s="12">
        <v>5.2394332188299843E-2</v>
      </c>
      <c r="O12" s="14">
        <v>1.810678468652642E-2</v>
      </c>
      <c r="P12" s="1">
        <v>-3.6607013048987891E-4</v>
      </c>
      <c r="Q12" s="1">
        <v>3.5269885452478403E-2</v>
      </c>
      <c r="R12" s="1">
        <v>1.289817377469633E-2</v>
      </c>
      <c r="S12" s="1">
        <v>1.105502977333921E-2</v>
      </c>
      <c r="T12" s="1">
        <v>-4.2663290708050298E-2</v>
      </c>
      <c r="U12" s="1">
        <v>1.6178598882878859E-2</v>
      </c>
      <c r="V12" s="1">
        <v>-6.2044700693444643E-3</v>
      </c>
      <c r="W12" s="1">
        <v>1.9277946223610089E-2</v>
      </c>
      <c r="X12" s="1">
        <v>-2.574962461327239E-2</v>
      </c>
      <c r="Y12" s="1">
        <v>1.544036841356077E-2</v>
      </c>
      <c r="Z12" s="1">
        <v>5.1659076098035227E-3</v>
      </c>
      <c r="AA12" s="1">
        <v>-3.8366021618305018E-2</v>
      </c>
      <c r="AB12" s="1">
        <v>3.4604260170603751E-2</v>
      </c>
      <c r="AC12" s="1">
        <v>3.7235419696677492E-2</v>
      </c>
      <c r="AD12" s="1">
        <v>1.123079877814899E-2</v>
      </c>
      <c r="AE12" s="1">
        <v>-3.7521220957971363E-2</v>
      </c>
      <c r="AF12" s="1">
        <v>4.6181508919833553E-2</v>
      </c>
      <c r="AG12" s="1">
        <v>3.0618440007522639E-2</v>
      </c>
      <c r="AH12" s="1">
        <v>1.3096859936119341E-2</v>
      </c>
      <c r="AI12" s="1">
        <v>1.9004465170339341E-2</v>
      </c>
      <c r="AJ12" s="1">
        <v>7.4902167130851093E-3</v>
      </c>
      <c r="AK12" s="1">
        <v>1.017928375194547E-2</v>
      </c>
      <c r="AL12" s="1">
        <v>-3.4105621243576391E-2</v>
      </c>
      <c r="AM12" s="1">
        <v>3.2204353759093952E-2</v>
      </c>
      <c r="AN12" s="1">
        <v>7.0370866473731905E-2</v>
      </c>
      <c r="AO12" s="1">
        <v>2.13860488609894E-3</v>
      </c>
      <c r="AP12" s="1">
        <v>-3.3728995771188847E-2</v>
      </c>
      <c r="AQ12" s="1">
        <v>-7.1760162381872376E-3</v>
      </c>
      <c r="AR12" s="1">
        <v>1.285081343613181E-2</v>
      </c>
      <c r="AS12" s="1">
        <v>1.9726131394207671E-2</v>
      </c>
      <c r="AT12" s="1">
        <v>1.3068926506940861E-2</v>
      </c>
      <c r="AU12" s="1">
        <v>1.9974649689404891E-2</v>
      </c>
      <c r="AV12" s="1">
        <v>-4.112607099176907E-2</v>
      </c>
      <c r="AW12" s="1">
        <v>9.295475433588607E-4</v>
      </c>
      <c r="AX12" s="1">
        <v>-4.3020460111572283E-2</v>
      </c>
      <c r="AY12" s="1">
        <v>2.448335394421234E-2</v>
      </c>
      <c r="AZ12" s="1">
        <v>-3.0582148605065619E-3</v>
      </c>
      <c r="BA12" s="1">
        <v>4.1573905541135263E-3</v>
      </c>
      <c r="BB12" s="1">
        <v>5.7853949142751861E-3</v>
      </c>
      <c r="BC12" s="1">
        <v>1.2985576387445449E-2</v>
      </c>
      <c r="BD12" s="1">
        <v>1.143142399369595E-2</v>
      </c>
      <c r="BE12" s="1">
        <v>-4.5598544985067067E-2</v>
      </c>
      <c r="BF12" s="1">
        <v>6.8729809015135521E-2</v>
      </c>
      <c r="BG12" s="1">
        <v>-4.6757753881283733E-2</v>
      </c>
      <c r="BH12" s="1">
        <v>1.114891561300402E-2</v>
      </c>
      <c r="BI12" s="1">
        <v>-5.1439927386970313E-2</v>
      </c>
      <c r="BJ12" s="1">
        <v>7.9599331991781624E-4</v>
      </c>
      <c r="BK12" s="1">
        <v>-2.169647440444759E-2</v>
      </c>
      <c r="BL12" s="1">
        <v>2.4709245830148639E-2</v>
      </c>
      <c r="BM12" s="1">
        <v>-1.9252831032387019E-3</v>
      </c>
      <c r="BN12" s="1">
        <v>-1.9502538210119671E-2</v>
      </c>
      <c r="BO12" s="1">
        <v>-2.4246310256236889E-2</v>
      </c>
      <c r="BP12" s="1">
        <v>-1.0576816494296939E-2</v>
      </c>
      <c r="BQ12" s="1">
        <v>1.520658027131792E-2</v>
      </c>
      <c r="BR12" s="1">
        <v>-1.506664413690911E-3</v>
      </c>
      <c r="BS12" s="1">
        <v>1.7696906558417349E-2</v>
      </c>
      <c r="BT12" s="1">
        <v>2.1288097232098721E-2</v>
      </c>
      <c r="BU12" s="1">
        <v>1.020950071261458E-2</v>
      </c>
      <c r="BV12" s="1">
        <v>3.0223813217716548E-2</v>
      </c>
      <c r="BW12" s="1">
        <v>-5.548755950963561E-2</v>
      </c>
      <c r="BX12" s="1">
        <v>-1.5984151640729919E-2</v>
      </c>
      <c r="BY12" s="1">
        <v>-4.5815986232830307E-2</v>
      </c>
      <c r="BZ12" s="1">
        <v>4.5004028183990963E-2</v>
      </c>
      <c r="CA12" s="1">
        <v>-3.044777350243975E-2</v>
      </c>
      <c r="CB12" s="1">
        <v>1.6648876145019531E-3</v>
      </c>
      <c r="CC12" s="1">
        <v>-1.612118070707726E-2</v>
      </c>
      <c r="CD12" s="1">
        <v>0.1109336335844525</v>
      </c>
      <c r="CE12" s="1">
        <v>0.15400701288974189</v>
      </c>
      <c r="CF12" s="1">
        <v>-4.0778952837748463E-3</v>
      </c>
      <c r="CG12" s="1">
        <v>4.130933339268713E-2</v>
      </c>
      <c r="CH12" s="1">
        <v>-1.6463112378785821E-2</v>
      </c>
      <c r="CI12" s="1">
        <v>-2.434149805161382E-2</v>
      </c>
      <c r="CJ12" s="1">
        <v>1.7613849541033368E-2</v>
      </c>
      <c r="CK12" s="1">
        <v>1.199406837785265E-2</v>
      </c>
      <c r="CL12" s="1">
        <v>3.3134010431475597E-2</v>
      </c>
      <c r="CM12" s="1">
        <v>-1.438269061297669E-2</v>
      </c>
      <c r="CN12" s="1">
        <v>2.5586962886869249E-2</v>
      </c>
      <c r="CO12" s="1">
        <v>-2.6747945350733469E-2</v>
      </c>
      <c r="CP12" s="1">
        <v>1.0050220356918669E-3</v>
      </c>
      <c r="CQ12" s="1">
        <v>3.7258660740219933E-2</v>
      </c>
      <c r="CR12" s="1">
        <v>-4.814662528730166E-2</v>
      </c>
      <c r="CS12" s="1">
        <v>-1.5201647687045549E-2</v>
      </c>
      <c r="CT12" s="1">
        <v>-9.6164620390248173E-4</v>
      </c>
      <c r="CU12" s="1">
        <v>3.2036178763345129E-2</v>
      </c>
      <c r="CV12" s="1">
        <v>4.3232553547918467E-3</v>
      </c>
      <c r="CW12" s="1">
        <v>2.975768942836746E-2</v>
      </c>
      <c r="CX12" s="1">
        <v>4.6547458464468637E-2</v>
      </c>
      <c r="CY12" s="1">
        <v>-4.6072977665454977E-2</v>
      </c>
      <c r="CZ12" s="1">
        <v>8.8561726128694895E-2</v>
      </c>
      <c r="DA12" s="1">
        <v>3.4032079955525099E-3</v>
      </c>
      <c r="DB12" s="1">
        <v>8.8981816498044985E-2</v>
      </c>
      <c r="DC12" s="1">
        <v>3.3044377283177648E-2</v>
      </c>
      <c r="DD12" s="1">
        <v>-3.9091997331507103E-2</v>
      </c>
      <c r="DE12" s="1">
        <v>-1.847442450316206E-4</v>
      </c>
      <c r="DF12" s="1">
        <v>-6.8330161835898516E-3</v>
      </c>
      <c r="DG12" s="1">
        <v>4.6409817779524638E-2</v>
      </c>
      <c r="DH12" s="1">
        <v>-5.262143774803156E-3</v>
      </c>
      <c r="DI12" s="1">
        <v>-5.4443172992132458E-2</v>
      </c>
      <c r="DJ12" s="1">
        <v>8.0625982547704537E-3</v>
      </c>
      <c r="DK12" s="1">
        <v>-1.526440322238466E-2</v>
      </c>
      <c r="DL12" s="1">
        <v>3.089111509929313E-3</v>
      </c>
      <c r="DM12" s="1">
        <v>-5.7147713958668224E-3</v>
      </c>
      <c r="DN12" s="1">
        <v>3.9228342632839662E-2</v>
      </c>
      <c r="DO12" s="1">
        <v>3.055694210149083E-2</v>
      </c>
      <c r="DP12" s="1">
        <v>3.2584449600297112E-2</v>
      </c>
      <c r="DQ12" s="1">
        <v>-2.3448390551494561E-2</v>
      </c>
      <c r="DR12" s="1">
        <v>1.8778943279386909E-2</v>
      </c>
      <c r="DS12" s="1">
        <v>6.9650552069699723E-2</v>
      </c>
      <c r="DT12" s="1">
        <v>-4.4221204803796148E-2</v>
      </c>
      <c r="DU12" s="1">
        <v>1.3752648086382459E-2</v>
      </c>
      <c r="DV12" s="1">
        <v>5.2173183809525743E-2</v>
      </c>
      <c r="DW12" s="1">
        <v>3.9694301624267903E-2</v>
      </c>
      <c r="DX12" s="1">
        <v>-4.9619206803227477E-2</v>
      </c>
      <c r="DY12" s="1">
        <v>-1.72451479372299E-2</v>
      </c>
      <c r="DZ12" s="1">
        <v>-4.7575251258613243E-3</v>
      </c>
      <c r="EA12" s="1">
        <v>6.4003941323197033E-2</v>
      </c>
      <c r="EB12" s="1">
        <v>5.7859705603806079E-3</v>
      </c>
      <c r="EC12" s="1">
        <v>2.6651509579665299E-2</v>
      </c>
      <c r="ED12" s="1">
        <v>-5.6628035807395623E-2</v>
      </c>
      <c r="EE12" s="1">
        <v>2.6506892161147658E-2</v>
      </c>
      <c r="EF12" s="1">
        <v>3.9233348038795662E-2</v>
      </c>
    </row>
    <row r="13" spans="1:136" ht="16">
      <c r="A13" s="6">
        <v>20</v>
      </c>
      <c r="B13" s="6">
        <v>48</v>
      </c>
      <c r="C13" s="9">
        <v>5.420904267159625E-2</v>
      </c>
      <c r="D13" s="9">
        <v>2.8012090832407702E-2</v>
      </c>
      <c r="E13" s="9">
        <v>-6.9861556352806456E-2</v>
      </c>
      <c r="F13" s="9">
        <v>-3.4922155882654508E-2</v>
      </c>
      <c r="G13" s="9">
        <v>-1.490797975730339E-2</v>
      </c>
      <c r="H13" s="9">
        <v>1.7388387027498991E-2</v>
      </c>
      <c r="I13" s="9">
        <v>3.731568416166707E-2</v>
      </c>
      <c r="J13" s="9">
        <v>3.6406901371248572E-2</v>
      </c>
      <c r="K13" s="9">
        <v>-1.3673068264474649E-3</v>
      </c>
      <c r="L13" s="2">
        <v>-3.1294960158911242E-2</v>
      </c>
      <c r="M13" s="2">
        <v>7.7086562624922028E-3</v>
      </c>
      <c r="N13" s="2">
        <v>4.3978510046390272E-2</v>
      </c>
      <c r="O13" s="1">
        <v>3.6901341058643518E-2</v>
      </c>
      <c r="P13" s="1">
        <v>1.679162773809062E-2</v>
      </c>
      <c r="Q13" s="1">
        <v>7.3224368487557437E-2</v>
      </c>
      <c r="R13" s="1">
        <v>1.6841702109824989E-2</v>
      </c>
      <c r="S13" s="1">
        <v>-6.0138030070422746E-3</v>
      </c>
      <c r="T13" s="1">
        <v>-5.025189671871233E-2</v>
      </c>
      <c r="U13" s="1">
        <v>-1.5970162331858111E-3</v>
      </c>
      <c r="V13" s="1">
        <v>2.009432801387449E-2</v>
      </c>
      <c r="W13" s="1">
        <v>3.1103087884369909E-2</v>
      </c>
      <c r="X13" s="1">
        <v>-5.327689472594363E-2</v>
      </c>
      <c r="Y13" s="1">
        <v>1.392099255764867E-2</v>
      </c>
      <c r="Z13" s="1">
        <v>2.0583761169128259E-2</v>
      </c>
      <c r="AA13" s="1">
        <v>-3.1285864158620849E-2</v>
      </c>
      <c r="AB13" s="1">
        <v>4.6782349815727153E-2</v>
      </c>
      <c r="AC13" s="1">
        <v>2.1349036566415101E-2</v>
      </c>
      <c r="AD13" s="1">
        <v>2.1543689785275402E-2</v>
      </c>
      <c r="AE13" s="1">
        <v>-4.6284108752590758E-2</v>
      </c>
      <c r="AF13" s="1">
        <v>5.1935557823136913E-2</v>
      </c>
      <c r="AG13" s="1">
        <v>3.1681783055002889E-2</v>
      </c>
      <c r="AH13" s="1">
        <v>1.134035233784291E-2</v>
      </c>
      <c r="AI13" s="1">
        <v>1.206755007407281E-2</v>
      </c>
      <c r="AJ13" s="1">
        <v>-1.8507843536879679E-2</v>
      </c>
      <c r="AK13" s="1">
        <v>3.3184447714405541E-3</v>
      </c>
      <c r="AL13" s="1">
        <v>-2.255035758653683E-2</v>
      </c>
      <c r="AM13" s="1">
        <v>4.5764674553409511E-2</v>
      </c>
      <c r="AN13" s="1">
        <v>0.10533023813603409</v>
      </c>
      <c r="AO13" s="1">
        <v>1.5714423922884631E-2</v>
      </c>
      <c r="AP13" s="1">
        <v>-5.9538220172873163E-2</v>
      </c>
      <c r="AQ13" s="1">
        <v>-3.5494868066371921E-3</v>
      </c>
      <c r="AR13" s="1">
        <v>1.4371062818850731E-2</v>
      </c>
      <c r="AS13" s="1">
        <v>3.9777952989674729E-2</v>
      </c>
      <c r="AT13" s="1">
        <v>4.0463087854439729E-2</v>
      </c>
      <c r="AU13" s="1">
        <v>4.2460982227971428E-2</v>
      </c>
      <c r="AV13" s="1">
        <v>-9.000778021233561E-3</v>
      </c>
      <c r="AW13" s="1">
        <v>3.2682708380548479E-3</v>
      </c>
      <c r="AX13" s="1">
        <v>-6.5349021476021063E-2</v>
      </c>
      <c r="AY13" s="1">
        <v>1.5767643403076691E-2</v>
      </c>
      <c r="AZ13" s="1">
        <v>-8.9977638524273464E-3</v>
      </c>
      <c r="BA13" s="1">
        <v>7.8944526317949112E-3</v>
      </c>
      <c r="BB13" s="1">
        <v>2.6046345532896049E-2</v>
      </c>
      <c r="BC13" s="1">
        <v>1.302658025364759E-2</v>
      </c>
      <c r="BD13" s="1">
        <v>5.6020821153025258E-3</v>
      </c>
      <c r="BE13" s="1">
        <v>-4.6048256587478499E-2</v>
      </c>
      <c r="BF13" s="1">
        <v>8.3929415307496771E-2</v>
      </c>
      <c r="BG13" s="1">
        <v>-8.8397545856320814E-2</v>
      </c>
      <c r="BH13" s="1">
        <v>6.9762719011622898E-3</v>
      </c>
      <c r="BI13" s="1">
        <v>-5.2788119566948392E-2</v>
      </c>
      <c r="BJ13" s="1">
        <v>1.765410852616266E-2</v>
      </c>
      <c r="BK13" s="1">
        <v>-1.8391024879749449E-2</v>
      </c>
      <c r="BL13" s="1">
        <v>3.6962610176948373E-2</v>
      </c>
      <c r="BM13" s="1">
        <v>1.505624964647417E-2</v>
      </c>
      <c r="BN13" s="1">
        <v>4.1015372255685661E-3</v>
      </c>
      <c r="BO13" s="1">
        <v>-3.1735312331920007E-2</v>
      </c>
      <c r="BP13" s="1">
        <v>7.6519468243173693E-3</v>
      </c>
      <c r="BQ13" s="1">
        <v>4.0819096771410428E-2</v>
      </c>
      <c r="BR13" s="1">
        <v>-7.0713814766287129E-3</v>
      </c>
      <c r="BS13" s="1">
        <v>7.2582425079335874E-3</v>
      </c>
      <c r="BT13" s="1">
        <v>3.3667769757919193E-2</v>
      </c>
      <c r="BU13" s="1">
        <v>1.6526994744897359E-2</v>
      </c>
      <c r="BV13" s="1">
        <v>2.0643875001298689E-2</v>
      </c>
      <c r="BW13" s="1">
        <v>-8.6230154651292246E-2</v>
      </c>
      <c r="BX13" s="1">
        <v>-1.477434776242115E-3</v>
      </c>
      <c r="BY13" s="1">
        <v>-3.0827759664373209E-2</v>
      </c>
      <c r="BZ13" s="1">
        <v>7.692787072442861E-2</v>
      </c>
      <c r="CA13" s="1">
        <v>-3.3531565600396843E-2</v>
      </c>
      <c r="CB13" s="1">
        <v>-7.1318694078340711E-3</v>
      </c>
      <c r="CC13" s="1">
        <v>8.2248093719304062E-3</v>
      </c>
      <c r="CD13" s="1">
        <v>0.1054918782280385</v>
      </c>
      <c r="CE13" s="1">
        <v>0.18382783645560871</v>
      </c>
      <c r="CF13" s="1">
        <v>-1.8228940836627482E-2</v>
      </c>
      <c r="CG13" s="1">
        <v>3.7015271900835547E-2</v>
      </c>
      <c r="CH13" s="1">
        <v>-4.0295060582103241E-3</v>
      </c>
      <c r="CI13" s="1">
        <v>-7.895534435908208E-3</v>
      </c>
      <c r="CJ13" s="1">
        <v>-3.876600294492813E-3</v>
      </c>
      <c r="CK13" s="1">
        <v>3.2045269236463961E-2</v>
      </c>
      <c r="CL13" s="1">
        <v>4.4000391247388533E-2</v>
      </c>
      <c r="CM13" s="1">
        <v>-1.0296803756394969E-2</v>
      </c>
      <c r="CN13" s="1">
        <v>2.6887565998852329E-2</v>
      </c>
      <c r="CO13" s="1">
        <v>-1.345745856322739E-2</v>
      </c>
      <c r="CP13" s="1">
        <v>-2.0576995740129469E-2</v>
      </c>
      <c r="CQ13" s="1">
        <v>3.7948964821826262E-2</v>
      </c>
      <c r="CR13" s="1">
        <v>-6.4380648737412241E-2</v>
      </c>
      <c r="CS13" s="1">
        <v>1.2078160331627031E-2</v>
      </c>
      <c r="CT13" s="1">
        <v>8.0707993163786768E-3</v>
      </c>
      <c r="CU13" s="1">
        <v>3.6006915534289197E-2</v>
      </c>
      <c r="CV13" s="1">
        <v>2.431898301869664E-2</v>
      </c>
      <c r="CW13" s="1">
        <v>1.0456962931318739E-2</v>
      </c>
      <c r="CX13" s="1">
        <v>4.9872955511131058E-3</v>
      </c>
      <c r="CY13" s="1">
        <v>-6.4973824772045274E-2</v>
      </c>
      <c r="CZ13" s="1">
        <v>9.0290205436995882E-2</v>
      </c>
      <c r="DA13" s="1">
        <v>-7.0965309514403824E-3</v>
      </c>
      <c r="DB13" s="1">
        <v>0.1062353213029536</v>
      </c>
      <c r="DC13" s="1">
        <v>2.9740185333726261E-2</v>
      </c>
      <c r="DD13" s="1">
        <v>-5.1406653602818438E-2</v>
      </c>
      <c r="DE13" s="1">
        <v>5.1676528954192752E-3</v>
      </c>
      <c r="DF13" s="1">
        <v>-2.8518796793634778E-2</v>
      </c>
      <c r="DG13" s="1">
        <v>4.7729083606459478E-2</v>
      </c>
      <c r="DH13" s="1">
        <v>1.2992245045791989E-2</v>
      </c>
      <c r="DI13" s="1">
        <v>-4.6561456814233543E-2</v>
      </c>
      <c r="DJ13" s="1">
        <v>2.8247996829593169E-4</v>
      </c>
      <c r="DK13" s="1">
        <v>1.202678983884406E-2</v>
      </c>
      <c r="DL13" s="1">
        <v>2.7121939431540568E-2</v>
      </c>
      <c r="DM13" s="1">
        <v>-6.6588690484439203E-3</v>
      </c>
      <c r="DN13" s="1">
        <v>1.4839797780264639E-2</v>
      </c>
      <c r="DO13" s="1">
        <v>3.7863465084792783E-2</v>
      </c>
      <c r="DP13" s="1">
        <v>4.7238153226040899E-2</v>
      </c>
      <c r="DQ13" s="1">
        <v>-2.6430081417128711E-2</v>
      </c>
      <c r="DR13" s="1">
        <v>1.377120927231194E-2</v>
      </c>
      <c r="DS13" s="1">
        <v>6.8596852640390879E-2</v>
      </c>
      <c r="DT13" s="1">
        <v>-3.542630104766481E-2</v>
      </c>
      <c r="DU13" s="1">
        <v>2.0848414519023192E-2</v>
      </c>
      <c r="DV13" s="1">
        <v>7.9620144024188558E-2</v>
      </c>
      <c r="DW13" s="1">
        <v>4.5686979428007042E-2</v>
      </c>
      <c r="DX13" s="1">
        <v>-6.4641919490531136E-2</v>
      </c>
      <c r="DY13" s="1">
        <v>-3.5306137940869793E-2</v>
      </c>
      <c r="DZ13" s="1">
        <v>-1.177046576227069E-2</v>
      </c>
      <c r="EA13" s="1">
        <v>7.659036634905636E-2</v>
      </c>
      <c r="EB13" s="1">
        <v>2.012062189251651E-4</v>
      </c>
      <c r="EC13" s="1">
        <v>4.1659753435228923E-2</v>
      </c>
      <c r="ED13" s="1">
        <v>-6.5682093659234955E-2</v>
      </c>
      <c r="EE13" s="1">
        <v>4.1234383995911589E-2</v>
      </c>
      <c r="EF13" s="1">
        <v>6.7291156741452265E-2</v>
      </c>
    </row>
    <row r="14" spans="1:136" ht="16">
      <c r="A14" s="6">
        <v>50</v>
      </c>
      <c r="B14" s="6">
        <v>19</v>
      </c>
      <c r="C14" s="9">
        <v>-3.0371566279064999E-2</v>
      </c>
      <c r="D14" s="9">
        <v>8.3347311543301411E-2</v>
      </c>
      <c r="E14" s="9">
        <v>-9.8768248142222112E-2</v>
      </c>
      <c r="F14" s="9">
        <v>-4.8454142799859851E-2</v>
      </c>
      <c r="G14" s="9">
        <v>-4.1019916497925447E-2</v>
      </c>
      <c r="H14" s="9">
        <v>-1.1508260862123591E-2</v>
      </c>
      <c r="I14" s="9">
        <v>4.3787359823142302E-2</v>
      </c>
      <c r="J14" s="9">
        <v>1.861218086468263E-2</v>
      </c>
      <c r="K14" s="9">
        <v>1.245116151579238E-2</v>
      </c>
      <c r="L14" s="2">
        <v>4.847197187706806E-3</v>
      </c>
      <c r="M14" s="2">
        <v>5.6961927636317916E-3</v>
      </c>
      <c r="N14" s="2">
        <v>8.2693466848407296E-2</v>
      </c>
      <c r="O14" s="1">
        <v>3.7475787013006502E-2</v>
      </c>
      <c r="P14" s="1">
        <v>4.7779764282807252E-2</v>
      </c>
      <c r="Q14" s="1">
        <v>5.8237946154634852E-2</v>
      </c>
      <c r="R14" s="1">
        <v>-1.5941187297101821E-2</v>
      </c>
      <c r="S14" s="1">
        <v>-2.480674609276777E-2</v>
      </c>
      <c r="T14" s="1">
        <v>-6.9841479520895866E-2</v>
      </c>
      <c r="U14" s="1">
        <v>-3.6579129519701881E-2</v>
      </c>
      <c r="V14" s="1">
        <v>3.837554626450454E-2</v>
      </c>
      <c r="W14" s="1">
        <v>7.4008159388253003E-2</v>
      </c>
      <c r="X14" s="1">
        <v>-5.3581708514183243E-2</v>
      </c>
      <c r="Y14" s="1">
        <v>-1.676266335668946E-2</v>
      </c>
      <c r="Z14" s="1">
        <v>2.1252201103450899E-2</v>
      </c>
      <c r="AA14" s="1">
        <v>-3.9450180302082173E-2</v>
      </c>
      <c r="AB14" s="1">
        <v>6.7753922577577369E-2</v>
      </c>
      <c r="AC14" s="1">
        <v>-1.2246684679868549E-2</v>
      </c>
      <c r="AD14" s="1">
        <v>3.9327892190029898E-2</v>
      </c>
      <c r="AE14" s="1">
        <v>-0.1074343436932835</v>
      </c>
      <c r="AF14" s="1">
        <v>8.4317009176674104E-2</v>
      </c>
      <c r="AG14" s="1">
        <v>1.8490820215532919E-2</v>
      </c>
      <c r="AH14" s="1">
        <v>-3.3462742209097521E-3</v>
      </c>
      <c r="AI14" s="1">
        <v>7.2072950927120863E-2</v>
      </c>
      <c r="AJ14" s="1">
        <v>1.505903608315101E-2</v>
      </c>
      <c r="AK14" s="1">
        <v>-1.1509462937175179E-2</v>
      </c>
      <c r="AL14" s="1">
        <v>-1.8559542258206829E-2</v>
      </c>
      <c r="AM14" s="1">
        <v>6.8283273401007955E-2</v>
      </c>
      <c r="AN14" s="1">
        <v>9.2260489203576102E-2</v>
      </c>
      <c r="AO14" s="1">
        <v>6.0905705465409958E-2</v>
      </c>
      <c r="AP14" s="1">
        <v>-6.9976525152084218E-2</v>
      </c>
      <c r="AQ14" s="1">
        <v>-8.7938602839236855E-4</v>
      </c>
      <c r="AR14" s="1">
        <v>3.764583976226292E-2</v>
      </c>
      <c r="AS14" s="1">
        <v>8.2332976041211745E-2</v>
      </c>
      <c r="AT14" s="1">
        <v>4.0924565658097392E-2</v>
      </c>
      <c r="AU14" s="1">
        <v>4.7021353908674138E-2</v>
      </c>
      <c r="AV14" s="1">
        <v>-2.2684786340637021E-2</v>
      </c>
      <c r="AW14" s="1">
        <v>-1.542137812325498E-2</v>
      </c>
      <c r="AX14" s="1">
        <v>-0.13695102829439271</v>
      </c>
      <c r="AY14" s="1">
        <v>1.5068118771761551E-2</v>
      </c>
      <c r="AZ14" s="1">
        <v>-5.3158247705062792E-2</v>
      </c>
      <c r="BA14" s="1">
        <v>2.0125911036837359E-2</v>
      </c>
      <c r="BB14" s="1">
        <v>0.101898340258458</v>
      </c>
      <c r="BC14" s="1">
        <v>-9.0839235255182754E-3</v>
      </c>
      <c r="BD14" s="1">
        <v>4.3327781667405418E-2</v>
      </c>
      <c r="BE14" s="1">
        <v>-2.411701849660209E-2</v>
      </c>
      <c r="BF14" s="1">
        <v>4.0770521545689782E-2</v>
      </c>
      <c r="BG14" s="1">
        <v>-0.12530530643958979</v>
      </c>
      <c r="BH14" s="1">
        <v>-2.8344416701581171E-4</v>
      </c>
      <c r="BI14" s="1">
        <v>-5.2014235626168727E-2</v>
      </c>
      <c r="BJ14" s="1">
        <v>1.32542788140672E-2</v>
      </c>
      <c r="BK14" s="1">
        <v>-8.7325279752963059E-5</v>
      </c>
      <c r="BL14" s="1">
        <v>5.9737766842370338E-2</v>
      </c>
      <c r="BM14" s="1">
        <v>3.2002837226371338E-2</v>
      </c>
      <c r="BN14" s="1">
        <v>4.5371706308739268E-2</v>
      </c>
      <c r="BO14" s="1">
        <v>-3.3609045677264478E-2</v>
      </c>
      <c r="BP14" s="1">
        <v>1.282266739040127E-2</v>
      </c>
      <c r="BQ14" s="1">
        <v>1.204942278513583E-2</v>
      </c>
      <c r="BR14" s="1">
        <v>-2.7929429532617921E-2</v>
      </c>
      <c r="BS14" s="1">
        <v>-3.8629203614304157E-2</v>
      </c>
      <c r="BT14" s="1">
        <v>-1.5287927903372821E-2</v>
      </c>
      <c r="BU14" s="1">
        <v>-8.8548353580308568E-3</v>
      </c>
      <c r="BV14" s="1">
        <v>2.8891421882955771E-2</v>
      </c>
      <c r="BW14" s="1">
        <v>-0.11840804197930491</v>
      </c>
      <c r="BX14" s="1">
        <v>3.071342246663937E-4</v>
      </c>
      <c r="BY14" s="1">
        <v>-8.0399768583761216E-2</v>
      </c>
      <c r="BZ14" s="1">
        <v>0.1117805205315809</v>
      </c>
      <c r="CA14" s="1">
        <v>-2.4465266114937059E-2</v>
      </c>
      <c r="CB14" s="1">
        <v>2.2127616542174811E-2</v>
      </c>
      <c r="CC14" s="1">
        <v>2.8975681486368681E-2</v>
      </c>
      <c r="CD14" s="1">
        <v>9.8016709932197743E-2</v>
      </c>
      <c r="CE14" s="1">
        <v>0.1705553024885505</v>
      </c>
      <c r="CF14" s="1">
        <v>2.0310216922519591E-2</v>
      </c>
      <c r="CG14" s="1">
        <v>5.3067028295838897E-2</v>
      </c>
      <c r="CH14" s="1">
        <v>-4.8879670456065782E-2</v>
      </c>
      <c r="CI14" s="1">
        <v>-3.829356134685134E-3</v>
      </c>
      <c r="CJ14" s="1">
        <v>-3.2530406678910828E-2</v>
      </c>
      <c r="CK14" s="1">
        <v>1.40163643906461E-2</v>
      </c>
      <c r="CL14" s="1">
        <v>0.1300328670856512</v>
      </c>
      <c r="CM14" s="1">
        <v>3.2040010368317121E-2</v>
      </c>
      <c r="CN14" s="1">
        <v>2.0479398043205661E-2</v>
      </c>
      <c r="CO14" s="1">
        <v>-7.3587720038892968E-2</v>
      </c>
      <c r="CP14" s="1">
        <v>-9.3659357741041893E-2</v>
      </c>
      <c r="CQ14" s="1">
        <v>5.321162809167454E-2</v>
      </c>
      <c r="CR14" s="1">
        <v>-6.2640655376448015E-2</v>
      </c>
      <c r="CS14" s="1">
        <v>5.9027120263655718E-2</v>
      </c>
      <c r="CT14" s="1">
        <v>1.910057655068487E-2</v>
      </c>
      <c r="CU14" s="1">
        <v>-4.4544442113006052E-2</v>
      </c>
      <c r="CV14" s="1">
        <v>3.9399433901219798E-2</v>
      </c>
      <c r="CW14" s="1">
        <v>8.2340018803759574E-3</v>
      </c>
      <c r="CX14" s="1">
        <v>2.4244256487495751E-2</v>
      </c>
      <c r="CY14" s="1">
        <v>-5.0137743473948983E-2</v>
      </c>
      <c r="CZ14" s="1">
        <v>0.13617204681910691</v>
      </c>
      <c r="DA14" s="1">
        <v>-2.4304289170584491E-2</v>
      </c>
      <c r="DB14" s="1">
        <v>0.1046074411002299</v>
      </c>
      <c r="DC14" s="1">
        <v>2.7534092600391691E-2</v>
      </c>
      <c r="DD14" s="1">
        <v>-5.389996674879375E-2</v>
      </c>
      <c r="DE14" s="1">
        <v>5.3842996077645561E-3</v>
      </c>
      <c r="DF14" s="1">
        <v>-3.9770460462142318E-2</v>
      </c>
      <c r="DG14" s="1">
        <v>4.5583395726898353E-2</v>
      </c>
      <c r="DH14" s="1">
        <v>4.7748372429115976E-3</v>
      </c>
      <c r="DI14" s="1">
        <v>-5.3191997244607769E-2</v>
      </c>
      <c r="DJ14" s="1">
        <v>1.023724267297355E-3</v>
      </c>
      <c r="DK14" s="1">
        <v>1.831737607687968E-2</v>
      </c>
      <c r="DL14" s="1">
        <v>-9.2741823572412251E-3</v>
      </c>
      <c r="DM14" s="1">
        <v>5.504269093650517E-3</v>
      </c>
      <c r="DN14" s="1">
        <v>3.9851707566544763E-2</v>
      </c>
      <c r="DO14" s="1">
        <v>0.1025921893632338</v>
      </c>
      <c r="DP14" s="1">
        <v>4.053222750423735E-2</v>
      </c>
      <c r="DQ14" s="1">
        <v>-8.9367860040811792E-2</v>
      </c>
      <c r="DR14" s="1">
        <v>5.2622519458999567E-2</v>
      </c>
      <c r="DS14" s="1">
        <v>5.6051819928563652E-2</v>
      </c>
      <c r="DT14" s="1">
        <v>-4.4433183840340729E-2</v>
      </c>
      <c r="DU14" s="1">
        <v>-4.4914948618981987E-2</v>
      </c>
      <c r="DV14" s="1">
        <v>0.10826235453010739</v>
      </c>
      <c r="DW14" s="1">
        <v>9.1809329055838426E-2</v>
      </c>
      <c r="DX14" s="1">
        <v>-0.10216121988583921</v>
      </c>
      <c r="DY14" s="1">
        <v>-3.7997079946848547E-2</v>
      </c>
      <c r="DZ14" s="1">
        <v>-4.3403395724387417E-3</v>
      </c>
      <c r="EA14" s="1">
        <v>7.8105265887936245E-2</v>
      </c>
      <c r="EB14" s="1">
        <v>-2.510952061826455E-2</v>
      </c>
      <c r="EC14" s="1">
        <v>6.079382148132988E-3</v>
      </c>
      <c r="ED14" s="1">
        <v>-0.102629709186187</v>
      </c>
      <c r="EE14" s="1">
        <v>-3.3992535180725199E-3</v>
      </c>
      <c r="EF14" s="1">
        <v>6.6632346729412442E-2</v>
      </c>
    </row>
    <row r="15" spans="1:136" ht="16">
      <c r="A15" s="6">
        <v>100</v>
      </c>
      <c r="B15" s="6">
        <v>10</v>
      </c>
      <c r="C15" s="9">
        <v>-9.6503141994516081E-2</v>
      </c>
      <c r="D15" s="9">
        <v>1.5948528524351739E-2</v>
      </c>
      <c r="E15" s="9">
        <v>-6.6038487211205685E-2</v>
      </c>
      <c r="F15" s="9">
        <v>-0.1085622933731899</v>
      </c>
      <c r="G15" s="9">
        <v>-4.542205246389433E-2</v>
      </c>
      <c r="H15" s="9">
        <v>-1.2437260581051001E-3</v>
      </c>
      <c r="I15" s="9">
        <v>5.843144427986554E-2</v>
      </c>
      <c r="J15" s="9">
        <v>4.9961465247389647E-2</v>
      </c>
      <c r="K15" s="9">
        <v>-4.2103663853407802E-3</v>
      </c>
      <c r="L15" s="2">
        <v>3.2558505157184642E-2</v>
      </c>
      <c r="M15" s="2">
        <v>2.5497709479487259E-2</v>
      </c>
      <c r="N15" s="2">
        <v>0.11648181212860299</v>
      </c>
      <c r="O15" s="1">
        <v>7.0841604183816256E-2</v>
      </c>
      <c r="P15" s="1">
        <v>5.298328319235554E-2</v>
      </c>
      <c r="Q15" s="1">
        <v>0.1003753495838908</v>
      </c>
      <c r="R15" s="1">
        <v>-5.2129690105117463E-2</v>
      </c>
      <c r="S15" s="1">
        <v>8.5487890205940886E-2</v>
      </c>
      <c r="T15" s="1">
        <v>-6.6800124943112091E-2</v>
      </c>
      <c r="U15" s="1">
        <v>-4.6790243158631693E-2</v>
      </c>
      <c r="V15" s="1">
        <v>8.5680881878873433E-2</v>
      </c>
      <c r="W15" s="1">
        <v>0.1025435939827431</v>
      </c>
      <c r="X15" s="1">
        <v>-7.8436412445587397E-2</v>
      </c>
      <c r="Y15" s="1">
        <v>-2.41886185471549E-2</v>
      </c>
      <c r="Z15" s="1">
        <v>-2.3656418685670762E-2</v>
      </c>
      <c r="AA15" s="1">
        <v>-5.1268006025394948E-2</v>
      </c>
      <c r="AB15" s="1">
        <v>6.6775213871771322E-2</v>
      </c>
      <c r="AC15" s="1">
        <v>1.6480966208188091E-2</v>
      </c>
      <c r="AD15" s="1">
        <v>3.9690481127708267E-2</v>
      </c>
      <c r="AE15" s="1">
        <v>-0.101313316198875</v>
      </c>
      <c r="AF15" s="1">
        <v>4.9772024875114299E-2</v>
      </c>
      <c r="AG15" s="1">
        <v>1.012347826165556E-2</v>
      </c>
      <c r="AH15" s="1">
        <v>-3.3604373357676472E-2</v>
      </c>
      <c r="AI15" s="1">
        <v>5.0854449586025072E-2</v>
      </c>
      <c r="AJ15" s="1">
        <v>9.4648599674757375E-3</v>
      </c>
      <c r="AK15" s="1">
        <v>-3.6999311756730033E-2</v>
      </c>
      <c r="AL15" s="1">
        <v>6.8817591114361167E-3</v>
      </c>
      <c r="AM15" s="1">
        <v>5.5122622134627111E-2</v>
      </c>
      <c r="AN15" s="1">
        <v>9.2861913417686362E-2</v>
      </c>
      <c r="AO15" s="1">
        <v>6.3369812463467096E-2</v>
      </c>
      <c r="AP15" s="1">
        <v>-8.645776651050277E-2</v>
      </c>
      <c r="AQ15" s="1">
        <v>-3.2597542006349858E-2</v>
      </c>
      <c r="AR15" s="1">
        <v>7.8517256867441307E-2</v>
      </c>
      <c r="AS15" s="1">
        <v>5.3821179037114017E-2</v>
      </c>
      <c r="AT15" s="1">
        <v>6.5254990652428568E-2</v>
      </c>
      <c r="AU15" s="1">
        <v>3.9943261089466317E-2</v>
      </c>
      <c r="AV15" s="1">
        <v>-4.7226818327438858E-2</v>
      </c>
      <c r="AW15" s="1">
        <v>1.5659939254580951E-2</v>
      </c>
      <c r="AX15" s="1">
        <v>-0.12523397717473519</v>
      </c>
      <c r="AY15" s="1">
        <v>2.8109416462786169E-2</v>
      </c>
      <c r="AZ15" s="1">
        <v>-9.1323280068503487E-2</v>
      </c>
      <c r="BA15" s="1">
        <v>1.061351480765297E-2</v>
      </c>
      <c r="BB15" s="1">
        <v>0.1087890998161227</v>
      </c>
      <c r="BC15" s="1">
        <v>6.2155143667830287E-2</v>
      </c>
      <c r="BD15" s="1">
        <v>4.294982035196844E-2</v>
      </c>
      <c r="BE15" s="1">
        <v>-4.6217113983022272E-2</v>
      </c>
      <c r="BF15" s="1">
        <v>5.1177887277543473E-2</v>
      </c>
      <c r="BG15" s="1">
        <v>-0.16605121546459681</v>
      </c>
      <c r="BH15" s="1">
        <v>3.3556537286376982E-2</v>
      </c>
      <c r="BI15" s="1">
        <v>-6.8586659114969639E-2</v>
      </c>
      <c r="BJ15" s="1">
        <v>1.561910267199181E-2</v>
      </c>
      <c r="BK15" s="1">
        <v>-1.115636771345601E-2</v>
      </c>
      <c r="BL15" s="1">
        <v>6.274817600019017E-2</v>
      </c>
      <c r="BM15" s="1">
        <v>6.5206882998733687E-2</v>
      </c>
      <c r="BN15" s="1">
        <v>6.6054035225581897E-2</v>
      </c>
      <c r="BO15" s="1">
        <v>-2.773447595493098E-2</v>
      </c>
      <c r="BP15" s="1">
        <v>1.4184220707804779E-2</v>
      </c>
      <c r="BQ15" s="1">
        <v>1.280293129032776E-2</v>
      </c>
      <c r="BR15" s="1">
        <v>-5.0157429122059692E-2</v>
      </c>
      <c r="BS15" s="1">
        <v>-1.682377745028632E-2</v>
      </c>
      <c r="BT15" s="1">
        <v>3.6633666195559952E-2</v>
      </c>
      <c r="BU15" s="1">
        <v>1.9476419795793471E-2</v>
      </c>
      <c r="BV15" s="1">
        <v>5.9228936960448321E-2</v>
      </c>
      <c r="BW15" s="1">
        <v>-0.20414583935248479</v>
      </c>
      <c r="BX15" s="1">
        <v>-2.3949431437341431E-2</v>
      </c>
      <c r="BY15" s="1">
        <v>-9.333839246383685E-2</v>
      </c>
      <c r="BZ15" s="1">
        <v>0.1029064689773473</v>
      </c>
      <c r="CA15" s="1">
        <v>-1.859202079644226E-2</v>
      </c>
      <c r="CB15" s="1">
        <v>1.5056894011824499E-2</v>
      </c>
      <c r="CC15" s="1">
        <v>-3.5358543172516708E-2</v>
      </c>
      <c r="CD15" s="1">
        <v>0.1201520839630844</v>
      </c>
      <c r="CE15" s="1">
        <v>7.3368120048450503E-2</v>
      </c>
      <c r="CF15" s="1">
        <v>3.626816930322469E-3</v>
      </c>
      <c r="CG15" s="1">
        <v>-4.2988792533641684E-3</v>
      </c>
      <c r="CH15" s="1">
        <v>-8.1342607983328249E-2</v>
      </c>
      <c r="CI15" s="1">
        <v>-6.9336844735236963E-2</v>
      </c>
      <c r="CJ15" s="1">
        <v>-8.7044356072718071E-2</v>
      </c>
      <c r="CK15" s="1">
        <v>5.667264577209942E-2</v>
      </c>
      <c r="CL15" s="1">
        <v>0.21275088750665541</v>
      </c>
      <c r="CM15" s="1">
        <v>7.4631116128453773E-2</v>
      </c>
      <c r="CN15" s="1">
        <v>4.2634115799160301E-2</v>
      </c>
      <c r="CO15" s="1">
        <v>-0.12944902488204141</v>
      </c>
      <c r="CP15" s="1">
        <v>-0.13009874767373969</v>
      </c>
      <c r="CQ15" s="1">
        <v>3.6876324363669319E-2</v>
      </c>
      <c r="CR15" s="1">
        <v>-2.4374318697755349E-2</v>
      </c>
      <c r="CS15" s="1">
        <v>6.0185172463594637E-2</v>
      </c>
      <c r="CT15" s="1">
        <v>7.3945749754547726E-3</v>
      </c>
      <c r="CU15" s="1">
        <v>-6.3178659914772728E-2</v>
      </c>
      <c r="CV15" s="1">
        <v>6.0444495689389928E-2</v>
      </c>
      <c r="CW15" s="1">
        <v>-2.7257441545493911E-2</v>
      </c>
      <c r="CX15" s="1">
        <v>1.7868891816779579E-2</v>
      </c>
      <c r="CY15" s="1">
        <v>-5.5732710824827947E-2</v>
      </c>
      <c r="CZ15" s="1">
        <v>0.1153640450929759</v>
      </c>
      <c r="DA15" s="1">
        <v>-2.6375835441876511E-2</v>
      </c>
      <c r="DB15" s="1">
        <v>9.7048241525465193E-2</v>
      </c>
      <c r="DC15" s="1">
        <v>2.4821106930732879E-2</v>
      </c>
      <c r="DD15" s="1">
        <v>-6.7526409067735202E-2</v>
      </c>
      <c r="DE15" s="1">
        <v>2.494871474504301E-2</v>
      </c>
      <c r="DF15" s="1">
        <v>-4.2391306399394757E-2</v>
      </c>
      <c r="DG15" s="1">
        <v>4.7917484974342339E-2</v>
      </c>
      <c r="DH15" s="1">
        <v>-1.8709011043892099E-2</v>
      </c>
      <c r="DI15" s="1">
        <v>-1.171844900945769E-2</v>
      </c>
      <c r="DJ15" s="1">
        <v>-5.1522810823404298E-2</v>
      </c>
      <c r="DK15" s="1">
        <v>0.101774834051468</v>
      </c>
      <c r="DL15" s="1">
        <v>7.7378337781703003E-3</v>
      </c>
      <c r="DM15" s="1">
        <v>-2.380854686766869E-2</v>
      </c>
      <c r="DN15" s="1">
        <v>4.3996497423619649E-2</v>
      </c>
      <c r="DO15" s="1">
        <v>0.15954541135927219</v>
      </c>
      <c r="DP15" s="1">
        <v>2.3735602006892551E-2</v>
      </c>
      <c r="DQ15" s="1">
        <v>-9.9672215055135627E-2</v>
      </c>
      <c r="DR15" s="1">
        <v>3.9785608055100882E-2</v>
      </c>
      <c r="DS15" s="1">
        <v>3.7530143777968331E-2</v>
      </c>
      <c r="DT15" s="1">
        <v>-7.2163631718163007E-2</v>
      </c>
      <c r="DU15" s="1">
        <v>-4.5770728951680668E-2</v>
      </c>
      <c r="DV15" s="1">
        <v>0.13976835694087139</v>
      </c>
      <c r="DW15" s="1">
        <v>2.553862714683254E-2</v>
      </c>
      <c r="DX15" s="1">
        <v>-0.1186162506499864</v>
      </c>
      <c r="DY15" s="1">
        <v>-0.10653916660100959</v>
      </c>
      <c r="DZ15" s="1">
        <v>-1.8920244069384411E-2</v>
      </c>
      <c r="EA15" s="1">
        <v>3.2239691299037927E-2</v>
      </c>
      <c r="EB15" s="1">
        <v>-5.6126480267324717E-2</v>
      </c>
      <c r="EC15" s="1">
        <v>5.0736498768636222E-2</v>
      </c>
      <c r="ED15" s="1">
        <v>-0.1133570559353114</v>
      </c>
      <c r="EE15" s="1">
        <v>3.1907205015268242E-3</v>
      </c>
      <c r="EF15" s="1">
        <v>6.2208305239075959E-2</v>
      </c>
    </row>
    <row r="16" spans="1:136" ht="16">
      <c r="A16" s="6">
        <v>107</v>
      </c>
      <c r="B16" s="6">
        <v>9</v>
      </c>
      <c r="C16" s="9">
        <v>-2.7383644610379052E-2</v>
      </c>
      <c r="D16" s="9">
        <v>-7.202486673170555E-4</v>
      </c>
      <c r="E16" s="9">
        <v>-6.500657711132822E-2</v>
      </c>
      <c r="F16" s="9">
        <v>-9.9382492855487087E-2</v>
      </c>
      <c r="G16" s="9">
        <v>-7.3696265126923857E-2</v>
      </c>
      <c r="H16" s="9">
        <v>-6.4934945682303775E-4</v>
      </c>
      <c r="I16" s="9">
        <v>5.7530618665621432E-2</v>
      </c>
      <c r="J16" s="9">
        <v>4.6709926042666168E-2</v>
      </c>
      <c r="K16" s="9">
        <v>1.79251045182631E-2</v>
      </c>
      <c r="L16" s="2">
        <v>9.8865345878687977E-3</v>
      </c>
      <c r="M16" s="2">
        <v>4.0334454725240582E-2</v>
      </c>
      <c r="N16" s="2">
        <v>0.1206483082846176</v>
      </c>
      <c r="O16" s="1">
        <v>8.0984387642561134E-2</v>
      </c>
      <c r="P16" s="1">
        <v>6.1979735280907847E-2</v>
      </c>
      <c r="Q16" s="1">
        <v>9.6618173174909727E-2</v>
      </c>
      <c r="R16" s="1">
        <v>-4.899097828292652E-2</v>
      </c>
      <c r="S16" s="1">
        <v>0.1098590443348066</v>
      </c>
      <c r="T16" s="1">
        <v>-6.7219060157601318E-2</v>
      </c>
      <c r="U16" s="1">
        <v>-4.8651515792801768E-2</v>
      </c>
      <c r="V16" s="1">
        <v>0.1043161756014417</v>
      </c>
      <c r="W16" s="1">
        <v>0.1084247383760011</v>
      </c>
      <c r="X16" s="1">
        <v>-7.3678277657467109E-2</v>
      </c>
      <c r="Y16" s="1">
        <v>-4.2874470917364169E-3</v>
      </c>
      <c r="Z16" s="1">
        <v>-2.0075794878424799E-2</v>
      </c>
      <c r="AA16" s="1">
        <v>-4.3487635835992113E-2</v>
      </c>
      <c r="AB16" s="1">
        <v>7.4985041637980393E-2</v>
      </c>
      <c r="AC16" s="1">
        <v>4.5629502980193422E-2</v>
      </c>
      <c r="AD16" s="1">
        <v>3.481117185725148E-2</v>
      </c>
      <c r="AE16" s="1">
        <v>-9.6502360488605665E-2</v>
      </c>
      <c r="AF16" s="1">
        <v>1.5008623012342881E-2</v>
      </c>
      <c r="AG16" s="1">
        <v>1.32907530365354E-2</v>
      </c>
      <c r="AH16" s="1">
        <v>-3.1765400449440553E-2</v>
      </c>
      <c r="AI16" s="1">
        <v>4.907804317656804E-2</v>
      </c>
      <c r="AJ16" s="1">
        <v>-7.0259660718760518E-3</v>
      </c>
      <c r="AK16" s="1">
        <v>-7.9871677299248253E-3</v>
      </c>
      <c r="AL16" s="1">
        <v>1.4472511517458609E-2</v>
      </c>
      <c r="AM16" s="1">
        <v>6.6076730601797973E-2</v>
      </c>
      <c r="AN16" s="1">
        <v>0.1064562000896756</v>
      </c>
      <c r="AO16" s="1">
        <v>5.879525226607351E-2</v>
      </c>
      <c r="AP16" s="1">
        <v>-7.779836814558852E-2</v>
      </c>
      <c r="AQ16" s="1">
        <v>-3.8466200146068608E-2</v>
      </c>
      <c r="AR16" s="1">
        <v>0.1032911790604924</v>
      </c>
      <c r="AS16" s="1">
        <v>6.5068225473969343E-2</v>
      </c>
      <c r="AT16" s="1">
        <v>5.9867139144394142E-2</v>
      </c>
      <c r="AU16" s="1">
        <v>4.1826838254895117E-2</v>
      </c>
      <c r="AV16" s="1">
        <v>-9.0725067800187069E-3</v>
      </c>
      <c r="AW16" s="1">
        <v>3.9252930074650652E-2</v>
      </c>
      <c r="AX16" s="1">
        <v>-0.10082977324397289</v>
      </c>
      <c r="AY16" s="1">
        <v>3.3812589844345937E-2</v>
      </c>
      <c r="AZ16" s="1">
        <v>-0.1049096351787122</v>
      </c>
      <c r="BA16" s="1">
        <v>9.8081985443499303E-3</v>
      </c>
      <c r="BB16" s="1">
        <v>0.1324747375965718</v>
      </c>
      <c r="BC16" s="1">
        <v>6.6102245099688817E-2</v>
      </c>
      <c r="BD16" s="1">
        <v>3.5936711545904013E-2</v>
      </c>
      <c r="BE16" s="1">
        <v>-4.4139136640068882E-2</v>
      </c>
      <c r="BF16" s="1">
        <v>6.4268054319718215E-2</v>
      </c>
      <c r="BG16" s="1">
        <v>-0.16122956958435061</v>
      </c>
      <c r="BH16" s="1">
        <v>-5.4124800669573259E-3</v>
      </c>
      <c r="BI16" s="1">
        <v>-5.2335760294464642E-2</v>
      </c>
      <c r="BJ16" s="1">
        <v>2.0503816283207601E-2</v>
      </c>
      <c r="BK16" s="1">
        <v>-2.122951812515751E-3</v>
      </c>
      <c r="BL16" s="1">
        <v>7.0623565707523178E-2</v>
      </c>
      <c r="BM16" s="1">
        <v>9.1107172349872617E-2</v>
      </c>
      <c r="BN16" s="1">
        <v>6.7197970404689056E-2</v>
      </c>
      <c r="BO16" s="1">
        <v>-2.1890359953657689E-2</v>
      </c>
      <c r="BP16" s="1">
        <v>1.174719798333914E-2</v>
      </c>
      <c r="BQ16" s="1">
        <v>1.331245374481595E-2</v>
      </c>
      <c r="BR16" s="1">
        <v>-2.6296848021444389E-2</v>
      </c>
      <c r="BS16" s="1">
        <v>-1.319157314746418E-2</v>
      </c>
      <c r="BT16" s="1">
        <v>3.8066078212245447E-2</v>
      </c>
      <c r="BU16" s="1">
        <v>5.7765110184800447E-2</v>
      </c>
      <c r="BV16" s="1">
        <v>6.3782488349153427E-2</v>
      </c>
      <c r="BW16" s="1">
        <v>-0.2239449140016582</v>
      </c>
      <c r="BX16" s="1">
        <v>-2.4078271829347249E-2</v>
      </c>
      <c r="BY16" s="1">
        <v>-0.1189947080532785</v>
      </c>
      <c r="BZ16" s="1">
        <v>0.11152584850164921</v>
      </c>
      <c r="CA16" s="1">
        <v>-1.7116103683771391E-2</v>
      </c>
      <c r="CB16" s="1">
        <v>-1.4280449892172949E-3</v>
      </c>
      <c r="CC16" s="1">
        <v>-2.0683160701185161E-2</v>
      </c>
      <c r="CD16" s="1">
        <v>0.15507127162636181</v>
      </c>
      <c r="CE16" s="1">
        <v>9.3614230467915741E-2</v>
      </c>
      <c r="CF16" s="1">
        <v>1.4696062966429431E-2</v>
      </c>
      <c r="CG16" s="1">
        <v>6.4480215472076802E-3</v>
      </c>
      <c r="CH16" s="1">
        <v>-5.0448724703996098E-2</v>
      </c>
      <c r="CI16" s="1">
        <v>-5.8344749844507937E-2</v>
      </c>
      <c r="CJ16" s="1">
        <v>-4.5523550787666608E-2</v>
      </c>
      <c r="CK16" s="1">
        <v>7.6472983717690388E-2</v>
      </c>
      <c r="CL16" s="1">
        <v>0.24393815656542189</v>
      </c>
      <c r="CM16" s="1">
        <v>8.8988628149511681E-2</v>
      </c>
      <c r="CN16" s="1">
        <v>3.3057515140949983E-2</v>
      </c>
      <c r="CO16" s="1">
        <v>-0.17087869110724641</v>
      </c>
      <c r="CP16" s="1">
        <v>-0.1111514502016443</v>
      </c>
      <c r="CQ16" s="1">
        <v>4.0878176324455222E-2</v>
      </c>
      <c r="CR16" s="1">
        <v>-2.5228656512159529E-2</v>
      </c>
      <c r="CS16" s="1">
        <v>6.4948402196479196E-2</v>
      </c>
      <c r="CT16" s="1">
        <v>5.0674065008409694E-3</v>
      </c>
      <c r="CU16" s="1">
        <v>-6.4113369063883735E-2</v>
      </c>
      <c r="CV16" s="1">
        <v>5.9453992785835942E-2</v>
      </c>
      <c r="CW16" s="1">
        <v>-3.1673114171682698E-2</v>
      </c>
      <c r="CX16" s="1">
        <v>6.6867776782281244E-3</v>
      </c>
      <c r="CY16" s="1">
        <v>-5.8554306171252721E-2</v>
      </c>
      <c r="CZ16" s="1">
        <v>0.16621831718246161</v>
      </c>
      <c r="DA16" s="1">
        <v>-2.9804793967235531E-2</v>
      </c>
      <c r="DB16" s="1">
        <v>9.8017282885796683E-2</v>
      </c>
      <c r="DC16" s="1">
        <v>3.5357719183528223E-2</v>
      </c>
      <c r="DD16" s="1">
        <v>-7.4371115002597243E-2</v>
      </c>
      <c r="DE16" s="1">
        <v>-3.1193128036132781E-2</v>
      </c>
      <c r="DF16" s="1">
        <v>-2.31464332255591E-2</v>
      </c>
      <c r="DG16" s="1">
        <v>4.5676915028892429E-2</v>
      </c>
      <c r="DH16" s="1">
        <v>-1.9129343417971109E-2</v>
      </c>
      <c r="DI16" s="1">
        <v>-1.323342571252226E-2</v>
      </c>
      <c r="DJ16" s="1">
        <v>-3.66431427315837E-2</v>
      </c>
      <c r="DK16" s="1">
        <v>0.1335943566255807</v>
      </c>
      <c r="DL16" s="1">
        <v>1.365972087922711E-3</v>
      </c>
      <c r="DM16" s="1">
        <v>-3.0330949758340948E-2</v>
      </c>
      <c r="DN16" s="1">
        <v>4.2437853359407113E-2</v>
      </c>
      <c r="DO16" s="1">
        <v>0.16959094638807429</v>
      </c>
      <c r="DP16" s="1">
        <v>1.9841948579226051E-2</v>
      </c>
      <c r="DQ16" s="1">
        <v>-8.3033658077016542E-2</v>
      </c>
      <c r="DR16" s="1">
        <v>5.5191251649515209E-2</v>
      </c>
      <c r="DS16" s="1">
        <v>2.144067271249302E-2</v>
      </c>
      <c r="DT16" s="1">
        <v>-0.1006933242958723</v>
      </c>
      <c r="DU16" s="1">
        <v>-6.447373376953866E-2</v>
      </c>
      <c r="DV16" s="1">
        <v>0.13695373201779351</v>
      </c>
      <c r="DW16" s="1">
        <v>4.0917729699690833E-2</v>
      </c>
      <c r="DX16" s="1">
        <v>-0.1252847063239774</v>
      </c>
      <c r="DY16" s="1">
        <v>-0.11635433491034319</v>
      </c>
      <c r="DZ16" s="1">
        <v>-3.1277079824676451E-2</v>
      </c>
      <c r="EA16" s="1">
        <v>4.6661371555726909E-2</v>
      </c>
      <c r="EB16" s="1">
        <v>-7.0875443779551073E-2</v>
      </c>
      <c r="EC16" s="1">
        <v>5.1117652254380558E-2</v>
      </c>
      <c r="ED16" s="1">
        <v>-0.1154167474989211</v>
      </c>
      <c r="EE16" s="1">
        <v>4.3966753067597054E-3</v>
      </c>
      <c r="EF16" s="1">
        <v>3.9893906712643798E-2</v>
      </c>
    </row>
    <row r="17" spans="1:137" ht="16">
      <c r="A17" s="6">
        <v>120</v>
      </c>
      <c r="B17" s="6">
        <v>8</v>
      </c>
      <c r="C17" s="9">
        <v>-4.5056429492109057E-2</v>
      </c>
      <c r="D17" s="9">
        <v>-1.7334374733087798E-2</v>
      </c>
      <c r="E17" s="9">
        <v>-7.9589849390753017E-2</v>
      </c>
      <c r="F17" s="9">
        <v>-0.1128375151172957</v>
      </c>
      <c r="G17" s="9">
        <v>-7.8063040828595276E-2</v>
      </c>
      <c r="H17" s="9">
        <v>7.9428568480016878E-3</v>
      </c>
      <c r="I17" s="9">
        <v>0.1137250278021875</v>
      </c>
      <c r="J17" s="9">
        <v>4.1858395118229183E-2</v>
      </c>
      <c r="K17" s="9">
        <v>3.9444991917733881E-2</v>
      </c>
      <c r="L17" s="2">
        <v>5.4577589303980156E-3</v>
      </c>
      <c r="M17" s="2">
        <v>6.4932034983486209E-2</v>
      </c>
      <c r="N17" s="2">
        <v>0.1359484320527852</v>
      </c>
      <c r="O17" s="1">
        <v>8.2517107640363144E-2</v>
      </c>
      <c r="P17" s="1">
        <v>7.6915603502900942E-2</v>
      </c>
      <c r="Q17" s="1">
        <v>0.1064302532864768</v>
      </c>
      <c r="R17" s="1">
        <v>-5.2057608904527208E-2</v>
      </c>
      <c r="S17" s="1">
        <v>0.1190543893253307</v>
      </c>
      <c r="T17" s="1">
        <v>-7.120201453280707E-2</v>
      </c>
      <c r="U17" s="1">
        <v>-5.2290233946816159E-2</v>
      </c>
      <c r="V17" s="1">
        <v>0.11635630202540009</v>
      </c>
      <c r="W17" s="1">
        <v>0.12350090053788521</v>
      </c>
      <c r="X17" s="1">
        <v>-0.1001859670039883</v>
      </c>
      <c r="Y17" s="1">
        <v>1.500501326537191E-3</v>
      </c>
      <c r="Z17" s="1">
        <v>-2.160848979426638E-2</v>
      </c>
      <c r="AA17" s="1">
        <v>-3.7262612041013693E-2</v>
      </c>
      <c r="AB17" s="1">
        <v>8.4852062878172319E-2</v>
      </c>
      <c r="AC17" s="1">
        <v>5.8728690290493803E-2</v>
      </c>
      <c r="AD17" s="1">
        <v>6.8619823236846789E-2</v>
      </c>
      <c r="AE17" s="1">
        <v>-0.127158422447225</v>
      </c>
      <c r="AF17" s="1">
        <v>8.4112432483115646E-3</v>
      </c>
      <c r="AG17" s="1">
        <v>3.1873572577670171E-2</v>
      </c>
      <c r="AH17" s="1">
        <v>-4.943754228054096E-2</v>
      </c>
      <c r="AI17" s="1">
        <v>3.058770864151358E-2</v>
      </c>
      <c r="AJ17" s="1">
        <v>-4.2602630518956887E-2</v>
      </c>
      <c r="AK17" s="1">
        <v>-1.3325712752363659E-2</v>
      </c>
      <c r="AL17" s="1">
        <v>9.9837333349987543E-3</v>
      </c>
      <c r="AM17" s="1">
        <v>7.5369367587656985E-2</v>
      </c>
      <c r="AN17" s="1">
        <v>0.1132871203459177</v>
      </c>
      <c r="AO17" s="1">
        <v>1.2632334595724191E-2</v>
      </c>
      <c r="AP17" s="1">
        <v>-7.7242814419585484E-2</v>
      </c>
      <c r="AQ17" s="1">
        <v>-6.0527137401499037E-2</v>
      </c>
      <c r="AR17" s="1">
        <v>0.11644964662764121</v>
      </c>
      <c r="AS17" s="1">
        <v>5.6323562034475708E-2</v>
      </c>
      <c r="AT17" s="1">
        <v>5.2267806449722218E-2</v>
      </c>
      <c r="AU17" s="1">
        <v>5.2648231242993053E-2</v>
      </c>
      <c r="AV17" s="1">
        <v>-2.1508362937905631E-2</v>
      </c>
      <c r="AW17" s="1">
        <v>1.916397377431981E-2</v>
      </c>
      <c r="AX17" s="1">
        <v>-9.6240558508798979E-2</v>
      </c>
      <c r="AY17" s="1">
        <v>2.742369669060089E-2</v>
      </c>
      <c r="AZ17" s="1">
        <v>-0.12511082490736811</v>
      </c>
      <c r="BA17" s="1">
        <v>9.8251791071129642E-3</v>
      </c>
      <c r="BB17" s="1">
        <v>0.15327128427838471</v>
      </c>
      <c r="BC17" s="1">
        <v>8.2716571543810222E-2</v>
      </c>
      <c r="BD17" s="1">
        <v>2.235648224620481E-2</v>
      </c>
      <c r="BE17" s="1">
        <v>-1.6297388770544239E-2</v>
      </c>
      <c r="BF17" s="1">
        <v>5.5197496608953713E-2</v>
      </c>
      <c r="BG17" s="1">
        <v>-0.18575157813088089</v>
      </c>
      <c r="BH17" s="1">
        <v>-1.7313847646246161E-3</v>
      </c>
      <c r="BI17" s="1">
        <v>-9.9365392037550321E-2</v>
      </c>
      <c r="BJ17" s="1">
        <v>9.8580642732364818E-3</v>
      </c>
      <c r="BK17" s="1">
        <v>-1.3822952070105509E-2</v>
      </c>
      <c r="BL17" s="1">
        <v>7.3931305201746164E-2</v>
      </c>
      <c r="BM17" s="1">
        <v>7.5997770445859966E-2</v>
      </c>
      <c r="BN17" s="1">
        <v>7.3656767936365913E-2</v>
      </c>
      <c r="BO17" s="1">
        <v>-1.9886080708886981E-2</v>
      </c>
      <c r="BP17" s="1">
        <v>2.683750107843403E-2</v>
      </c>
      <c r="BQ17" s="1">
        <v>1.1376510446451601E-2</v>
      </c>
      <c r="BR17" s="1">
        <v>-9.1794540592071705E-4</v>
      </c>
      <c r="BS17" s="1">
        <v>-4.1034691106065987E-3</v>
      </c>
      <c r="BT17" s="1">
        <v>3.3647573246358371E-2</v>
      </c>
      <c r="BU17" s="1">
        <v>7.1127818750752414E-2</v>
      </c>
      <c r="BV17" s="1">
        <v>7.4446900798735116E-2</v>
      </c>
      <c r="BW17" s="1">
        <v>-0.22723409350896309</v>
      </c>
      <c r="BX17" s="1">
        <v>-7.2009502804254097E-3</v>
      </c>
      <c r="BY17" s="1">
        <v>-9.5860871919991084E-2</v>
      </c>
      <c r="BZ17" s="1">
        <v>0.12057815588108529</v>
      </c>
      <c r="CA17" s="1">
        <v>-2.7934832358489561E-2</v>
      </c>
      <c r="CB17" s="1">
        <v>-1.3353103341121051E-3</v>
      </c>
      <c r="CC17" s="1">
        <v>-0.1146808468537778</v>
      </c>
      <c r="CD17" s="1">
        <v>0.17295974121914859</v>
      </c>
      <c r="CE17" s="1">
        <v>9.5708073661495086E-2</v>
      </c>
      <c r="CF17" s="1">
        <v>9.5123348938203942E-2</v>
      </c>
      <c r="CG17" s="1">
        <v>-2.2222469242222098E-3</v>
      </c>
      <c r="CH17" s="1">
        <v>-3.296907217045305E-2</v>
      </c>
      <c r="CI17" s="1">
        <v>-8.2452914320057163E-2</v>
      </c>
      <c r="CJ17" s="1">
        <v>-5.0742321484442049E-2</v>
      </c>
      <c r="CK17" s="1">
        <v>9.1738572657912937E-2</v>
      </c>
      <c r="CL17" s="1">
        <v>0.28717909798135349</v>
      </c>
      <c r="CM17" s="1">
        <v>0.13456934443157431</v>
      </c>
      <c r="CN17" s="1">
        <v>2.6718061150986971E-2</v>
      </c>
      <c r="CO17" s="1">
        <v>-0.20253862726298949</v>
      </c>
      <c r="CP17" s="1">
        <v>-0.108221383508889</v>
      </c>
      <c r="CQ17" s="1">
        <v>4.1087933183403327E-2</v>
      </c>
      <c r="CR17" s="1">
        <v>-2.3005829537998311E-2</v>
      </c>
      <c r="CS17" s="1">
        <v>9.3039920700191861E-2</v>
      </c>
      <c r="CT17" s="1">
        <v>4.9260056389193077E-2</v>
      </c>
      <c r="CU17" s="1">
        <v>-7.440830758325391E-2</v>
      </c>
      <c r="CV17" s="1">
        <v>6.7891017071279439E-2</v>
      </c>
      <c r="CW17" s="1">
        <v>-2.3155844814847809E-2</v>
      </c>
      <c r="CX17" s="1">
        <v>2.4992449205521659E-2</v>
      </c>
      <c r="CY17" s="1">
        <v>-5.9497951859822741E-2</v>
      </c>
      <c r="CZ17" s="1">
        <v>0.18413320062612309</v>
      </c>
      <c r="DA17" s="1">
        <v>-4.3895859145134192E-2</v>
      </c>
      <c r="DB17" s="1">
        <v>0.1042716259030833</v>
      </c>
      <c r="DC17" s="1">
        <v>4.3363468977499313E-2</v>
      </c>
      <c r="DD17" s="1">
        <v>-4.8130589338511678E-2</v>
      </c>
      <c r="DE17" s="1">
        <v>-3.3180930667267239E-2</v>
      </c>
      <c r="DF17" s="1">
        <v>-1.123137032665928E-2</v>
      </c>
      <c r="DG17" s="1">
        <v>4.7210988428523781E-2</v>
      </c>
      <c r="DH17" s="1">
        <v>-3.8726650938012717E-2</v>
      </c>
      <c r="DI17" s="1">
        <v>-5.2932443237824409E-3</v>
      </c>
      <c r="DJ17" s="1">
        <v>-4.5336157540819967E-2</v>
      </c>
      <c r="DK17" s="1">
        <v>0.15603642811654619</v>
      </c>
      <c r="DL17" s="1">
        <v>-5.7903457454932094E-3</v>
      </c>
      <c r="DM17" s="1">
        <v>-5.2252910582316028E-2</v>
      </c>
      <c r="DN17" s="1">
        <v>3.5489032714339008E-2</v>
      </c>
      <c r="DO17" s="1">
        <v>0.17976292609872879</v>
      </c>
      <c r="DP17" s="1">
        <v>-1.6878609333896889E-2</v>
      </c>
      <c r="DQ17" s="1">
        <v>-0.1077024687966308</v>
      </c>
      <c r="DR17" s="1">
        <v>5.5884814876328279E-2</v>
      </c>
      <c r="DS17" s="1">
        <v>3.7354088755102308E-2</v>
      </c>
      <c r="DT17" s="1">
        <v>-9.3980212362723553E-2</v>
      </c>
      <c r="DU17" s="1">
        <v>-7.1730706050505327E-2</v>
      </c>
      <c r="DV17" s="1">
        <v>0.11776539811095429</v>
      </c>
      <c r="DW17" s="1">
        <v>4.8681483414150163E-2</v>
      </c>
      <c r="DX17" s="1">
        <v>-0.12953898259647401</v>
      </c>
      <c r="DY17" s="1">
        <v>-0.1031206782681542</v>
      </c>
      <c r="DZ17" s="1">
        <v>-4.8145298847007592E-2</v>
      </c>
      <c r="EA17" s="1">
        <v>1.181792386571255E-2</v>
      </c>
      <c r="EB17" s="1">
        <v>-7.3780969717652869E-2</v>
      </c>
      <c r="EC17" s="1">
        <v>1.6425217216060651E-2</v>
      </c>
      <c r="ED17" s="1">
        <v>-0.12832444392891271</v>
      </c>
      <c r="EE17" s="1">
        <v>-1.9352114607941879E-4</v>
      </c>
      <c r="EF17" s="1">
        <v>4.7709767009851849E-2</v>
      </c>
    </row>
    <row r="18" spans="1:137" ht="16">
      <c r="A18" s="6">
        <v>137</v>
      </c>
      <c r="B18" s="6">
        <v>7</v>
      </c>
      <c r="C18" s="9">
        <v>-5.3942228163147227E-2</v>
      </c>
      <c r="D18" s="9">
        <v>1.6715166584862232E-2</v>
      </c>
      <c r="E18" s="9">
        <v>-5.3439350267724013E-2</v>
      </c>
      <c r="F18" s="9">
        <v>-0.13441437443338569</v>
      </c>
      <c r="G18" s="9">
        <v>-8.0794247020859855E-2</v>
      </c>
      <c r="H18" s="9">
        <v>8.6222277544443261E-3</v>
      </c>
      <c r="I18" s="9">
        <v>0.13550018022324109</v>
      </c>
      <c r="J18" s="9">
        <v>4.3411515751641608E-2</v>
      </c>
      <c r="K18" s="9">
        <v>3.1586450310913693E-2</v>
      </c>
      <c r="L18" s="2">
        <v>1.298248684698161E-2</v>
      </c>
      <c r="M18" s="2">
        <v>6.9806303560508057E-2</v>
      </c>
      <c r="N18" s="2">
        <v>0.1429924272847711</v>
      </c>
      <c r="O18" s="1">
        <v>8.0799770101222523E-2</v>
      </c>
      <c r="P18" s="1">
        <v>5.4569613110984121E-2</v>
      </c>
      <c r="Q18" s="1">
        <v>0.12173637166463511</v>
      </c>
      <c r="R18" s="1">
        <v>-6.9734027137790394E-2</v>
      </c>
      <c r="S18" s="1">
        <v>0.14380522729889919</v>
      </c>
      <c r="T18" s="1">
        <v>-5.7206381649403372E-2</v>
      </c>
      <c r="U18" s="1">
        <v>-2.813552763259065E-2</v>
      </c>
      <c r="V18" s="1">
        <v>0.13125392693944099</v>
      </c>
      <c r="W18" s="1">
        <v>0.1379172379157062</v>
      </c>
      <c r="X18" s="1">
        <v>-0.1271228086254903</v>
      </c>
      <c r="Y18" s="1">
        <v>2.421380772058089E-2</v>
      </c>
      <c r="Z18" s="1">
        <v>-1.690571618738388E-2</v>
      </c>
      <c r="AA18" s="1">
        <v>-4.1705245182724067E-2</v>
      </c>
      <c r="AB18" s="1">
        <v>8.8397637444001725E-2</v>
      </c>
      <c r="AC18" s="1">
        <v>2.0368969995502941E-2</v>
      </c>
      <c r="AD18" s="1">
        <v>9.6285845185419314E-2</v>
      </c>
      <c r="AE18" s="1">
        <v>-0.1435292414290745</v>
      </c>
      <c r="AF18" s="1">
        <v>-1.751491948521124E-3</v>
      </c>
      <c r="AG18" s="1">
        <v>1.5743669970475001E-2</v>
      </c>
      <c r="AH18" s="1">
        <v>-4.0197460968514703E-2</v>
      </c>
      <c r="AI18" s="1">
        <v>4.6855541353756032E-2</v>
      </c>
      <c r="AJ18" s="1">
        <v>-4.7393756166449127E-2</v>
      </c>
      <c r="AK18" s="1">
        <v>2.7289927297043159E-2</v>
      </c>
      <c r="AL18" s="1">
        <v>8.5555505437218517E-4</v>
      </c>
      <c r="AM18" s="1">
        <v>6.6643405424771207E-2</v>
      </c>
      <c r="AN18" s="1">
        <v>7.9294639955201793E-2</v>
      </c>
      <c r="AO18" s="1">
        <v>5.4275349676927882E-3</v>
      </c>
      <c r="AP18" s="1">
        <v>-7.8278591933806971E-2</v>
      </c>
      <c r="AQ18" s="1">
        <v>-7.6230845326449942E-2</v>
      </c>
      <c r="AR18" s="1">
        <v>0.1382332373375689</v>
      </c>
      <c r="AS18" s="1">
        <v>8.5826551553969135E-2</v>
      </c>
      <c r="AT18" s="1">
        <v>4.3325649820578682E-2</v>
      </c>
      <c r="AU18" s="1">
        <v>6.8315340056693138E-2</v>
      </c>
      <c r="AV18" s="1">
        <v>-2.8768755881717199E-2</v>
      </c>
      <c r="AW18" s="1">
        <v>2.4538034241107461E-2</v>
      </c>
      <c r="AX18" s="1">
        <v>-0.10756086825583611</v>
      </c>
      <c r="AY18" s="1">
        <v>3.4783278641148073E-2</v>
      </c>
      <c r="AZ18" s="1">
        <v>-0.14840908238889911</v>
      </c>
      <c r="BA18" s="1">
        <v>-5.1212561330724396E-4</v>
      </c>
      <c r="BB18" s="1">
        <v>0.16725801848079261</v>
      </c>
      <c r="BC18" s="1">
        <v>8.3201572593320589E-2</v>
      </c>
      <c r="BD18" s="1">
        <v>-2.4016271687300441E-2</v>
      </c>
      <c r="BE18" s="1">
        <v>-2.2230541258883942E-2</v>
      </c>
      <c r="BF18" s="1">
        <v>4.5884536299578838E-2</v>
      </c>
      <c r="BG18" s="1">
        <v>-0.1467139748282886</v>
      </c>
      <c r="BH18" s="1">
        <v>3.0015991980721329E-2</v>
      </c>
      <c r="BI18" s="1">
        <v>-0.1090000069186657</v>
      </c>
      <c r="BJ18" s="1">
        <v>-5.9560640504595433E-3</v>
      </c>
      <c r="BK18" s="1">
        <v>-5.0745051384061532E-2</v>
      </c>
      <c r="BL18" s="1">
        <v>8.1157673820204085E-2</v>
      </c>
      <c r="BM18" s="1">
        <v>0.1027739390634396</v>
      </c>
      <c r="BN18" s="1">
        <v>7.8208699482375382E-2</v>
      </c>
      <c r="BO18" s="1">
        <v>-2.0227496106374639E-2</v>
      </c>
      <c r="BP18" s="1">
        <v>4.6857540334682007E-2</v>
      </c>
      <c r="BQ18" s="1">
        <v>1.916784109848992E-3</v>
      </c>
      <c r="BR18" s="1">
        <v>-5.7481935839547244E-3</v>
      </c>
      <c r="BS18" s="1">
        <v>-2.149720138170149E-2</v>
      </c>
      <c r="BT18" s="1">
        <v>1.329915077767777E-2</v>
      </c>
      <c r="BU18" s="1">
        <v>8.0677444040040805E-2</v>
      </c>
      <c r="BV18" s="1">
        <v>8.0923395277042356E-2</v>
      </c>
      <c r="BW18" s="1">
        <v>-0.26103993029855499</v>
      </c>
      <c r="BX18" s="1">
        <v>1.5811923945792471E-2</v>
      </c>
      <c r="BY18" s="1">
        <v>-6.2686744450084916E-2</v>
      </c>
      <c r="BZ18" s="1">
        <v>0.15331998780259809</v>
      </c>
      <c r="CA18" s="1">
        <v>-1.6076543892860819E-2</v>
      </c>
      <c r="CB18" s="1">
        <v>-2.4577356612448309E-2</v>
      </c>
      <c r="CC18" s="1">
        <v>-0.10559806271589139</v>
      </c>
      <c r="CD18" s="1">
        <v>0.19371681864683071</v>
      </c>
      <c r="CE18" s="1">
        <v>7.7260394878222755E-2</v>
      </c>
      <c r="CF18" s="1">
        <v>0.101858615532994</v>
      </c>
      <c r="CG18" s="1">
        <v>-2.8013589394155079E-3</v>
      </c>
      <c r="CH18" s="1">
        <v>-4.5365648959158789E-2</v>
      </c>
      <c r="CI18" s="1">
        <v>-0.11772540993228391</v>
      </c>
      <c r="CJ18" s="1">
        <v>-6.2313677824909687E-2</v>
      </c>
      <c r="CK18" s="1">
        <v>9.0667784292283726E-2</v>
      </c>
      <c r="CL18" s="1">
        <v>0.31710861291846171</v>
      </c>
      <c r="CM18" s="1">
        <v>0.15963579775903361</v>
      </c>
      <c r="CN18" s="1">
        <v>3.7997037094380737E-2</v>
      </c>
      <c r="CO18" s="1">
        <v>-0.23157387854942929</v>
      </c>
      <c r="CP18" s="1">
        <v>-0.1162703198079334</v>
      </c>
      <c r="CQ18" s="1">
        <v>4.7976536408267538E-2</v>
      </c>
      <c r="CR18" s="1">
        <v>-3.3743302271192592E-2</v>
      </c>
      <c r="CS18" s="1">
        <v>8.7017130839473586E-2</v>
      </c>
      <c r="CT18" s="1">
        <v>9.4951029065485665E-2</v>
      </c>
      <c r="CU18" s="1">
        <v>-7.1648691205109999E-2</v>
      </c>
      <c r="CV18" s="1">
        <v>6.8594139646989599E-2</v>
      </c>
      <c r="CW18" s="1">
        <v>-2.8328256584809738E-2</v>
      </c>
      <c r="CX18" s="1">
        <v>-1.40787475802823E-2</v>
      </c>
      <c r="CY18" s="1">
        <v>-7.1432458912374111E-2</v>
      </c>
      <c r="CZ18" s="1">
        <v>0.2044103385591152</v>
      </c>
      <c r="DA18" s="1">
        <v>-4.7380939518693557E-2</v>
      </c>
      <c r="DB18" s="1">
        <v>0.1181147182852117</v>
      </c>
      <c r="DC18" s="1">
        <v>3.6408781495506221E-2</v>
      </c>
      <c r="DD18" s="1">
        <v>-7.1071299907563223E-2</v>
      </c>
      <c r="DE18" s="1">
        <v>-3.4801347670990683E-2</v>
      </c>
      <c r="DF18" s="1">
        <v>-3.5042778782370249E-2</v>
      </c>
      <c r="DG18" s="1">
        <v>5.4770484126873797E-2</v>
      </c>
      <c r="DH18" s="1">
        <v>-2.8038013248649029E-2</v>
      </c>
      <c r="DI18" s="1">
        <v>-1.6114629238026808E-2</v>
      </c>
      <c r="DJ18" s="1">
        <v>-4.5204039785289522E-2</v>
      </c>
      <c r="DK18" s="1">
        <v>0.15851362709242739</v>
      </c>
      <c r="DL18" s="1">
        <v>-2.3410528135820521E-2</v>
      </c>
      <c r="DM18" s="1">
        <v>-6.650814073203816E-2</v>
      </c>
      <c r="DN18" s="1">
        <v>-1.6722064078021251E-2</v>
      </c>
      <c r="DO18" s="1">
        <v>0.22032021179129849</v>
      </c>
      <c r="DP18" s="1">
        <v>-2.0604686466865741E-2</v>
      </c>
      <c r="DQ18" s="1">
        <v>-0.1007272783058315</v>
      </c>
      <c r="DR18" s="1">
        <v>7.6840654771961045E-2</v>
      </c>
      <c r="DS18" s="1">
        <v>1.1277982255682851E-2</v>
      </c>
      <c r="DT18" s="1">
        <v>-0.1160173901109771</v>
      </c>
      <c r="DU18" s="1">
        <v>-9.6895186076904644E-2</v>
      </c>
      <c r="DV18" s="1">
        <v>0.1056406088000619</v>
      </c>
      <c r="DW18" s="1">
        <v>8.1908692284373169E-2</v>
      </c>
      <c r="DX18" s="1">
        <v>-0.1536029774624818</v>
      </c>
      <c r="DY18" s="1">
        <v>-9.7428036975949608E-2</v>
      </c>
      <c r="DZ18" s="1">
        <v>-7.5516359296365659E-2</v>
      </c>
      <c r="EA18" s="1">
        <v>-6.3615627439817801E-3</v>
      </c>
      <c r="EB18" s="1">
        <v>-9.7042689542278932E-2</v>
      </c>
      <c r="EC18" s="1">
        <v>5.8228474754975761E-3</v>
      </c>
      <c r="ED18" s="1">
        <v>-0.1200774322763405</v>
      </c>
      <c r="EE18" s="1">
        <v>1.111287672357628E-3</v>
      </c>
      <c r="EF18" s="1">
        <v>4.8955017110416547E-2</v>
      </c>
    </row>
    <row r="19" spans="1:137" ht="16">
      <c r="A19" s="6">
        <v>160</v>
      </c>
      <c r="B19" s="6">
        <v>6</v>
      </c>
      <c r="C19" s="9">
        <v>-7.7959416087486216E-2</v>
      </c>
      <c r="D19" s="9">
        <v>8.8822731564350346E-3</v>
      </c>
      <c r="E19" s="9">
        <v>-4.4403931966815142E-2</v>
      </c>
      <c r="F19" s="9">
        <v>-3.864668188624408E-2</v>
      </c>
      <c r="G19" s="9">
        <v>-9.7512090561600123E-2</v>
      </c>
      <c r="H19" s="9">
        <v>-1.2068788462484921E-2</v>
      </c>
      <c r="I19" s="9">
        <v>0.1346543328914665</v>
      </c>
      <c r="J19" s="9">
        <v>3.5429584520191022E-2</v>
      </c>
      <c r="K19" s="9">
        <v>5.6540969561565207E-2</v>
      </c>
      <c r="L19" s="2">
        <v>4.4544214914161627E-2</v>
      </c>
      <c r="M19" s="2">
        <v>8.5793573557677472E-2</v>
      </c>
      <c r="N19" s="2">
        <v>9.5347885689980899E-2</v>
      </c>
      <c r="O19" s="1">
        <v>9.2221383019457218E-2</v>
      </c>
      <c r="P19" s="1">
        <v>2.2785213112093351E-2</v>
      </c>
      <c r="Q19" s="1">
        <v>0.17046229208001809</v>
      </c>
      <c r="R19" s="1">
        <v>-9.0299090630856282E-2</v>
      </c>
      <c r="S19" s="1">
        <v>0.1226918763357415</v>
      </c>
      <c r="T19" s="1">
        <v>-2.7154277986299109E-2</v>
      </c>
      <c r="U19" s="1">
        <v>-4.4186857998324967E-2</v>
      </c>
      <c r="V19" s="1">
        <v>0.11868445851892109</v>
      </c>
      <c r="W19" s="1">
        <v>0.14662099071751011</v>
      </c>
      <c r="X19" s="1">
        <v>-0.122923146245717</v>
      </c>
      <c r="Y19" s="1">
        <v>2.406430534505774E-2</v>
      </c>
      <c r="Z19" s="1">
        <v>-2.2223239298902381E-2</v>
      </c>
      <c r="AA19" s="1">
        <v>-3.2985429909115772E-2</v>
      </c>
      <c r="AB19" s="1">
        <v>9.9241927245629705E-2</v>
      </c>
      <c r="AC19" s="1">
        <v>2.8452834641691321E-2</v>
      </c>
      <c r="AD19" s="1">
        <v>9.5993377798068158E-2</v>
      </c>
      <c r="AE19" s="1">
        <v>-0.1694160609977898</v>
      </c>
      <c r="AF19" s="1">
        <v>2.6256871835687168E-4</v>
      </c>
      <c r="AG19" s="1">
        <v>2.7942319450978619E-2</v>
      </c>
      <c r="AH19" s="1">
        <v>-4.2845934068549293E-2</v>
      </c>
      <c r="AI19" s="1">
        <v>8.1770124789496509E-2</v>
      </c>
      <c r="AJ19" s="1">
        <v>-5.1545290327262273E-2</v>
      </c>
      <c r="AK19" s="1">
        <v>4.9058784633890858E-2</v>
      </c>
      <c r="AL19" s="1">
        <v>1.136262181352635E-3</v>
      </c>
      <c r="AM19" s="1">
        <v>3.1311424844951023E-2</v>
      </c>
      <c r="AN19" s="1">
        <v>8.3568294365682083E-2</v>
      </c>
      <c r="AO19" s="1">
        <v>2.589290304541441E-2</v>
      </c>
      <c r="AP19" s="1">
        <v>-8.757412027285208E-2</v>
      </c>
      <c r="AQ19" s="1">
        <v>-8.8252757060650638E-2</v>
      </c>
      <c r="AR19" s="1">
        <v>0.16303313150329971</v>
      </c>
      <c r="AS19" s="1">
        <v>9.7796955268314459E-2</v>
      </c>
      <c r="AT19" s="1">
        <v>4.9294981765701303E-2</v>
      </c>
      <c r="AU19" s="1">
        <v>7.6428715713654158E-2</v>
      </c>
      <c r="AV19" s="1">
        <v>-4.8463101573846611E-2</v>
      </c>
      <c r="AW19" s="1">
        <v>2.2356168154136491E-2</v>
      </c>
      <c r="AX19" s="1">
        <v>-8.0206414310412866E-2</v>
      </c>
      <c r="AY19" s="1">
        <v>2.9528970393379841E-2</v>
      </c>
      <c r="AZ19" s="1">
        <v>-0.18687961816817431</v>
      </c>
      <c r="BA19" s="1">
        <v>-3.4363883954073027E-2</v>
      </c>
      <c r="BB19" s="1">
        <v>0.2018019106632078</v>
      </c>
      <c r="BC19" s="1">
        <v>6.4055486346185755E-2</v>
      </c>
      <c r="BD19" s="1">
        <v>-3.2343926300681461E-3</v>
      </c>
      <c r="BE19" s="1">
        <v>-3.0390671068303308E-2</v>
      </c>
      <c r="BF19" s="1">
        <v>1.3570974149138619E-2</v>
      </c>
      <c r="BG19" s="1">
        <v>-0.15330875116978829</v>
      </c>
      <c r="BH19" s="1">
        <v>2.0182017014309939E-3</v>
      </c>
      <c r="BI19" s="1">
        <v>-0.12779862881921869</v>
      </c>
      <c r="BJ19" s="1">
        <v>-2.1707301538579211E-2</v>
      </c>
      <c r="BK19" s="1">
        <v>-5.1749526091992383E-2</v>
      </c>
      <c r="BL19" s="1">
        <v>7.9964658146503109E-2</v>
      </c>
      <c r="BM19" s="1">
        <v>0.1142506002586957</v>
      </c>
      <c r="BN19" s="1">
        <v>8.141326020016787E-2</v>
      </c>
      <c r="BO19" s="1">
        <v>-2.5728961265115379E-2</v>
      </c>
      <c r="BP19" s="1">
        <v>3.742626287653638E-2</v>
      </c>
      <c r="BQ19" s="1">
        <v>9.9340444543230683E-3</v>
      </c>
      <c r="BR19" s="1">
        <v>6.6752460235200081E-3</v>
      </c>
      <c r="BS19" s="1">
        <v>-2.4256338744482069E-2</v>
      </c>
      <c r="BT19" s="1">
        <v>-1.3193669203137359E-2</v>
      </c>
      <c r="BU19" s="1">
        <v>7.593625123423807E-2</v>
      </c>
      <c r="BV19" s="1">
        <v>9.3655241153346391E-2</v>
      </c>
      <c r="BW19" s="1">
        <v>-0.29597629583303142</v>
      </c>
      <c r="BX19" s="1">
        <v>3.6398889558793571E-2</v>
      </c>
      <c r="BY19" s="1">
        <v>-2.7675492411660479E-2</v>
      </c>
      <c r="BZ19" s="1">
        <v>6.3815393767213791E-2</v>
      </c>
      <c r="CA19" s="1">
        <v>-2.154569013117932E-2</v>
      </c>
      <c r="CB19" s="1">
        <v>-4.804116850824483E-2</v>
      </c>
      <c r="CC19" s="1">
        <v>-0.1054167570187242</v>
      </c>
      <c r="CD19" s="1">
        <v>0.20708580064935611</v>
      </c>
      <c r="CE19" s="1">
        <v>8.8474858937667905E-2</v>
      </c>
      <c r="CF19" s="1">
        <v>0.1116984874650168</v>
      </c>
      <c r="CG19" s="1">
        <v>-5.0633530014653497E-2</v>
      </c>
      <c r="CH19" s="1">
        <v>-4.271504374273416E-2</v>
      </c>
      <c r="CI19" s="1">
        <v>-0.16520241227091251</v>
      </c>
      <c r="CJ19" s="1">
        <v>-6.194049996603615E-2</v>
      </c>
      <c r="CK19" s="1">
        <v>0.1039677178170982</v>
      </c>
      <c r="CL19" s="1">
        <v>0.31115170360423011</v>
      </c>
      <c r="CM19" s="1">
        <v>0.17534764158171501</v>
      </c>
      <c r="CN19" s="1">
        <v>7.6932654667303466E-2</v>
      </c>
      <c r="CO19" s="1">
        <v>-0.27245440462850651</v>
      </c>
      <c r="CP19" s="1">
        <v>-0.13741472475783589</v>
      </c>
      <c r="CQ19" s="1">
        <v>-2.7299081545619341E-3</v>
      </c>
      <c r="CR19" s="1">
        <v>-2.4299202463726639E-2</v>
      </c>
      <c r="CS19" s="1">
        <v>6.0700850898538133E-2</v>
      </c>
      <c r="CT19" s="1">
        <v>0.1226204266300308</v>
      </c>
      <c r="CU19" s="1">
        <v>-8.3436397113892974E-2</v>
      </c>
      <c r="CV19" s="1">
        <v>7.6142494479096948E-2</v>
      </c>
      <c r="CW19" s="1">
        <v>-3.2192133387815562E-2</v>
      </c>
      <c r="CX19" s="1">
        <v>1.127594617394229E-3</v>
      </c>
      <c r="CY19" s="1">
        <v>-7.3151337307962833E-2</v>
      </c>
      <c r="CZ19" s="1">
        <v>0.1580120007118182</v>
      </c>
      <c r="DA19" s="1">
        <v>-5.8223876703236761E-2</v>
      </c>
      <c r="DB19" s="1">
        <v>0.14796184676961621</v>
      </c>
      <c r="DC19" s="1">
        <v>-3.5179399902094073E-2</v>
      </c>
      <c r="DD19" s="1">
        <v>-6.3547464152502509E-2</v>
      </c>
      <c r="DE19" s="1">
        <v>-4.3945635940460762E-2</v>
      </c>
      <c r="DF19" s="1">
        <v>-6.969304689302265E-2</v>
      </c>
      <c r="DG19" s="1">
        <v>6.6374264994436313E-2</v>
      </c>
      <c r="DH19" s="1">
        <v>-1.569831294047225E-4</v>
      </c>
      <c r="DI19" s="1">
        <v>3.666424442421171E-3</v>
      </c>
      <c r="DJ19" s="1">
        <v>-4.8514350722976607E-2</v>
      </c>
      <c r="DK19" s="1">
        <v>0.1241445877842076</v>
      </c>
      <c r="DL19" s="1">
        <v>-2.331354503458705E-2</v>
      </c>
      <c r="DM19" s="1">
        <v>-8.1952255033994378E-2</v>
      </c>
      <c r="DN19" s="1">
        <v>-4.1776448032685917E-3</v>
      </c>
      <c r="DO19" s="1">
        <v>0.2492619517097443</v>
      </c>
      <c r="DP19" s="1">
        <v>2.716544251136371E-2</v>
      </c>
      <c r="DQ19" s="1">
        <v>-0.1204893793606352</v>
      </c>
      <c r="DR19" s="1">
        <v>7.5962353325048193E-2</v>
      </c>
      <c r="DS19" s="1">
        <v>-5.6773135189909819E-3</v>
      </c>
      <c r="DT19" s="1">
        <v>-0.13312850061934939</v>
      </c>
      <c r="DU19" s="1">
        <v>-0.14283069805444029</v>
      </c>
      <c r="DV19" s="1">
        <v>0.119531844414402</v>
      </c>
      <c r="DW19" s="1">
        <v>6.0609139340684293E-2</v>
      </c>
      <c r="DX19" s="1">
        <v>-0.1383651342381777</v>
      </c>
      <c r="DY19" s="1">
        <v>-7.0109577687923127E-2</v>
      </c>
      <c r="DZ19" s="1">
        <v>-0.1119208288639931</v>
      </c>
      <c r="EA19" s="1">
        <v>-2.807935347566733E-2</v>
      </c>
      <c r="EB19" s="1">
        <v>-0.1062458580254447</v>
      </c>
      <c r="EC19" s="1">
        <v>-8.6215224985549642E-3</v>
      </c>
      <c r="ED19" s="1">
        <v>-0.15093531699015689</v>
      </c>
      <c r="EE19" s="1">
        <v>-7.3065266771277096E-3</v>
      </c>
      <c r="EF19" s="1">
        <v>1.697795487476916E-2</v>
      </c>
    </row>
    <row r="20" spans="1:137" ht="16">
      <c r="A20" s="6">
        <v>192</v>
      </c>
      <c r="B20" s="6">
        <v>5</v>
      </c>
      <c r="C20" s="9">
        <v>-0.13932460396499161</v>
      </c>
      <c r="D20" s="9">
        <v>3.5171826374555398E-4</v>
      </c>
      <c r="E20" s="9">
        <v>-5.7336350326780597E-2</v>
      </c>
      <c r="F20" s="9">
        <v>-9.1218422172045968E-2</v>
      </c>
      <c r="G20" s="9">
        <v>-0.11160447316731489</v>
      </c>
      <c r="H20" s="9">
        <v>1.158302607857771E-2</v>
      </c>
      <c r="I20" s="9">
        <v>0.15814956260110169</v>
      </c>
      <c r="J20" s="9">
        <v>6.6721149881054528E-2</v>
      </c>
      <c r="K20" s="9">
        <v>3.7404684852111583E-2</v>
      </c>
      <c r="L20" s="2">
        <v>9.5708635504535719E-2</v>
      </c>
      <c r="M20" s="2">
        <v>0.100133414364086</v>
      </c>
      <c r="N20" s="2">
        <v>0.10192492904563991</v>
      </c>
      <c r="O20" s="1">
        <v>9.9101484144473756E-2</v>
      </c>
      <c r="P20" s="1">
        <v>4.0028494751770102E-2</v>
      </c>
      <c r="Q20" s="1">
        <v>0.2248248109923951</v>
      </c>
      <c r="R20" s="1">
        <v>-0.1092530556374688</v>
      </c>
      <c r="S20" s="1">
        <v>8.2562610707287917E-2</v>
      </c>
      <c r="T20" s="1">
        <v>1.566291051925937E-2</v>
      </c>
      <c r="U20" s="1">
        <v>-3.2237658419507161E-2</v>
      </c>
      <c r="V20" s="1">
        <v>0.13628806336757671</v>
      </c>
      <c r="W20" s="1">
        <v>0.17308537617758091</v>
      </c>
      <c r="X20" s="1">
        <v>-0.15004231162753859</v>
      </c>
      <c r="Y20" s="1">
        <v>-4.8557578603156213E-3</v>
      </c>
      <c r="Z20" s="1">
        <v>2.9157350054346439E-2</v>
      </c>
      <c r="AA20" s="1">
        <v>-9.1431785221624297E-3</v>
      </c>
      <c r="AB20" s="1">
        <v>8.4759840726173208E-2</v>
      </c>
      <c r="AC20" s="1">
        <v>5.6443345640519567E-2</v>
      </c>
      <c r="AD20" s="1">
        <v>0.12984341871366439</v>
      </c>
      <c r="AE20" s="1">
        <v>-0.17528151456321139</v>
      </c>
      <c r="AF20" s="1">
        <v>-6.4692814832951473E-3</v>
      </c>
      <c r="AG20" s="1">
        <v>2.7659218539892259E-2</v>
      </c>
      <c r="AH20" s="1">
        <v>-9.0178200714782636E-2</v>
      </c>
      <c r="AI20" s="1">
        <v>7.8154544921168481E-2</v>
      </c>
      <c r="AJ20" s="1">
        <v>-6.1990034547547639E-2</v>
      </c>
      <c r="AK20" s="1">
        <v>6.6966361142645286E-2</v>
      </c>
      <c r="AL20" s="1">
        <v>5.6166263617408981E-3</v>
      </c>
      <c r="AM20" s="1">
        <v>3.3095980748802607E-2</v>
      </c>
      <c r="AN20" s="1">
        <v>7.5470193518998266E-2</v>
      </c>
      <c r="AO20" s="1">
        <v>2.1987304008247891E-2</v>
      </c>
      <c r="AP20" s="1">
        <v>-0.13173046125538779</v>
      </c>
      <c r="AQ20" s="1">
        <v>2.7452485332951051E-2</v>
      </c>
      <c r="AR20" s="1">
        <v>0.181467687707455</v>
      </c>
      <c r="AS20" s="1">
        <v>0.112095809682817</v>
      </c>
      <c r="AT20" s="1">
        <v>5.858773760205771E-3</v>
      </c>
      <c r="AU20" s="1">
        <v>7.2899818140919309E-2</v>
      </c>
      <c r="AV20" s="1">
        <v>-5.4625713782478207E-2</v>
      </c>
      <c r="AW20" s="1">
        <v>6.8652681791509596E-3</v>
      </c>
      <c r="AX20" s="1">
        <v>-0.11073254799870159</v>
      </c>
      <c r="AY20" s="1">
        <v>3.8674698442909439E-2</v>
      </c>
      <c r="AZ20" s="1">
        <v>-0.21380243117708869</v>
      </c>
      <c r="BA20" s="1">
        <v>-5.4045134010306708E-2</v>
      </c>
      <c r="BB20" s="1">
        <v>0.2312136261880767</v>
      </c>
      <c r="BC20" s="1">
        <v>7.0605567677740205E-2</v>
      </c>
      <c r="BD20" s="1">
        <v>-5.3429813221597323E-2</v>
      </c>
      <c r="BE20" s="1">
        <v>-3.8466832445436583E-2</v>
      </c>
      <c r="BF20" s="1">
        <v>5.6885823313286886E-3</v>
      </c>
      <c r="BG20" s="1">
        <v>-9.4062055608340231E-2</v>
      </c>
      <c r="BH20" s="1">
        <v>-7.1606447114111002E-2</v>
      </c>
      <c r="BI20" s="1">
        <v>-0.13174526708517489</v>
      </c>
      <c r="BJ20" s="1">
        <v>-2.1629511833186621E-2</v>
      </c>
      <c r="BK20" s="1">
        <v>-5.9233167842827283E-2</v>
      </c>
      <c r="BL20" s="1">
        <v>8.6292231176454737E-2</v>
      </c>
      <c r="BM20" s="1">
        <v>0.1369176613284383</v>
      </c>
      <c r="BN20" s="1">
        <v>-1.8638027253166291E-2</v>
      </c>
      <c r="BO20" s="1">
        <v>3.8461717515979203E-2</v>
      </c>
      <c r="BP20" s="1">
        <v>6.0407520762954983E-2</v>
      </c>
      <c r="BQ20" s="1">
        <v>1.5451706960843021E-2</v>
      </c>
      <c r="BR20" s="1">
        <v>8.200082575215574E-3</v>
      </c>
      <c r="BS20" s="1">
        <v>-2.122683588664995E-3</v>
      </c>
      <c r="BT20" s="1">
        <v>-5.2467623281905747E-2</v>
      </c>
      <c r="BU20" s="1">
        <v>9.8754949367706665E-2</v>
      </c>
      <c r="BV20" s="1">
        <v>0.11591833156307201</v>
      </c>
      <c r="BW20" s="1">
        <v>-0.3420426788792848</v>
      </c>
      <c r="BX20" s="1">
        <v>5.2861421730525368E-2</v>
      </c>
      <c r="BY20" s="1">
        <v>-4.3183482687236242E-2</v>
      </c>
      <c r="BZ20" s="1">
        <v>9.02714042602836E-2</v>
      </c>
      <c r="CA20" s="1">
        <v>-1.9938221409499298E-3</v>
      </c>
      <c r="CB20" s="1">
        <v>-3.8251950010927849E-2</v>
      </c>
      <c r="CC20" s="1">
        <v>-0.1014293809649939</v>
      </c>
      <c r="CD20" s="1">
        <v>0.1810274974905971</v>
      </c>
      <c r="CE20" s="1">
        <v>8.5778172602440458E-2</v>
      </c>
      <c r="CF20" s="1">
        <v>0.1312085557648148</v>
      </c>
      <c r="CG20" s="1">
        <v>-9.9052888530088784E-2</v>
      </c>
      <c r="CH20" s="1">
        <v>-2.219522902413288E-2</v>
      </c>
      <c r="CI20" s="1">
        <v>-0.13148573441164721</v>
      </c>
      <c r="CJ20" s="1">
        <v>-0.123440319887351</v>
      </c>
      <c r="CK20" s="1">
        <v>9.0978396750106633E-2</v>
      </c>
      <c r="CL20" s="1">
        <v>0.29793491036415792</v>
      </c>
      <c r="CM20" s="1">
        <v>0.18905116517062071</v>
      </c>
      <c r="CN20" s="1">
        <v>-2.215941137048465E-2</v>
      </c>
      <c r="CO20" s="1">
        <v>-0.41597133516901241</v>
      </c>
      <c r="CP20" s="1">
        <v>-0.15666075519518291</v>
      </c>
      <c r="CQ20" s="1">
        <v>6.1113579290622234E-3</v>
      </c>
      <c r="CR20" s="1">
        <v>-2.5362552774013961E-2</v>
      </c>
      <c r="CS20" s="1">
        <v>8.8364277012261461E-2</v>
      </c>
      <c r="CT20" s="1">
        <v>9.0474037414266281E-2</v>
      </c>
      <c r="CU20" s="1">
        <v>-0.10410089779242621</v>
      </c>
      <c r="CV20" s="1">
        <v>9.7003954321720084E-2</v>
      </c>
      <c r="CW20" s="1">
        <v>-2.5816402571476719E-2</v>
      </c>
      <c r="CX20" s="1">
        <v>9.3861437533022188E-3</v>
      </c>
      <c r="CY20" s="1">
        <v>-0.108732838402072</v>
      </c>
      <c r="CZ20" s="1">
        <v>0.12830070160238419</v>
      </c>
      <c r="DA20" s="1">
        <v>-4.7471893155177573E-2</v>
      </c>
      <c r="DB20" s="1">
        <v>7.696806977078402E-2</v>
      </c>
      <c r="DC20" s="1">
        <v>-4.7084133307763107E-2</v>
      </c>
      <c r="DD20" s="1">
        <v>-6.8163012313784327E-2</v>
      </c>
      <c r="DE20" s="1">
        <v>-2.674986392092854E-2</v>
      </c>
      <c r="DF20" s="1">
        <v>8.591215324206241E-4</v>
      </c>
      <c r="DG20" s="1">
        <v>5.2344813299819028E-2</v>
      </c>
      <c r="DH20" s="1">
        <v>-1.097541174252706E-2</v>
      </c>
      <c r="DI20" s="1">
        <v>-7.7575680139924984E-3</v>
      </c>
      <c r="DJ20" s="1">
        <v>-3.9459946268887811E-2</v>
      </c>
      <c r="DK20" s="1">
        <v>8.4953981446054899E-2</v>
      </c>
      <c r="DL20" s="1">
        <v>1.0186968683304249E-2</v>
      </c>
      <c r="DM20" s="1">
        <v>9.2836502794370751E-3</v>
      </c>
      <c r="DN20" s="1">
        <v>5.8019206654199171E-2</v>
      </c>
      <c r="DO20" s="1">
        <v>0.25800136345901148</v>
      </c>
      <c r="DP20" s="1">
        <v>9.8305313908873052E-3</v>
      </c>
      <c r="DQ20" s="1">
        <v>-0.19132953845628339</v>
      </c>
      <c r="DR20" s="1">
        <v>7.8512660028290493E-2</v>
      </c>
      <c r="DS20" s="1">
        <v>-7.4906957537590798E-3</v>
      </c>
      <c r="DT20" s="1">
        <v>-0.12727470188755299</v>
      </c>
      <c r="DU20" s="1">
        <v>-0.1720691072058694</v>
      </c>
      <c r="DV20" s="1">
        <v>0.12934547183885869</v>
      </c>
      <c r="DW20" s="1">
        <v>6.9060203958039607E-2</v>
      </c>
      <c r="DX20" s="1">
        <v>-0.15386632960631469</v>
      </c>
      <c r="DY20" s="1">
        <v>-5.3618609351648763E-2</v>
      </c>
      <c r="DZ20" s="1">
        <v>-8.4474578309692155E-2</v>
      </c>
      <c r="EA20" s="1">
        <v>1.3808726201357891E-2</v>
      </c>
      <c r="EB20" s="1">
        <v>-0.10631226685028709</v>
      </c>
      <c r="EC20" s="1">
        <v>3.4049581413941779E-2</v>
      </c>
      <c r="ED20" s="1">
        <v>-0.17691886106701021</v>
      </c>
      <c r="EE20" s="1">
        <v>-1.7409797518545299E-3</v>
      </c>
      <c r="EF20" s="1">
        <v>2.0281416615907238E-2</v>
      </c>
    </row>
    <row r="21" spans="1:137" ht="16">
      <c r="A21" s="6">
        <v>241</v>
      </c>
      <c r="B21" s="6">
        <v>4</v>
      </c>
      <c r="C21" s="9">
        <v>-0.19764916434148611</v>
      </c>
      <c r="D21" s="9">
        <v>-3.6770939515919088E-4</v>
      </c>
      <c r="E21" s="9">
        <v>1.3690170285790599E-2</v>
      </c>
      <c r="F21" s="9">
        <v>-5.1097483846408213E-2</v>
      </c>
      <c r="G21" s="9">
        <v>-7.2961380278514509E-3</v>
      </c>
      <c r="H21" s="9">
        <v>-3.7844077028292407E-2</v>
      </c>
      <c r="I21" s="9">
        <v>0.14725560812747299</v>
      </c>
      <c r="J21" s="9">
        <v>6.0435325691642318E-2</v>
      </c>
      <c r="K21" s="9">
        <v>1.4702959601359119E-3</v>
      </c>
      <c r="L21" s="2">
        <v>0.1096796074542299</v>
      </c>
      <c r="M21" s="2">
        <v>-0.19587050354916219</v>
      </c>
      <c r="N21" s="2">
        <v>9.9587412122941574E-2</v>
      </c>
      <c r="O21" s="1">
        <v>0.1121592744613126</v>
      </c>
      <c r="P21" s="1">
        <v>4.5427193017503087E-2</v>
      </c>
      <c r="Q21" s="1">
        <v>0.27408344527068967</v>
      </c>
      <c r="R21" s="1">
        <v>-0.1058357103667746</v>
      </c>
      <c r="S21" s="1">
        <v>0.2091594754749645</v>
      </c>
      <c r="T21" s="1">
        <v>-1.4040364340204919E-2</v>
      </c>
      <c r="U21" s="1">
        <v>9.8246407343969278E-3</v>
      </c>
      <c r="V21" s="1">
        <v>0.13175048865250241</v>
      </c>
      <c r="W21" s="1">
        <v>0.16036515570555779</v>
      </c>
      <c r="X21" s="1">
        <v>-0.20780126735333779</v>
      </c>
      <c r="Y21" s="1">
        <v>-1.014366037320256E-2</v>
      </c>
      <c r="Z21" s="1">
        <v>3.9457715679957053E-2</v>
      </c>
      <c r="AA21" s="1">
        <v>1.9491043540093941E-2</v>
      </c>
      <c r="AB21" s="1">
        <v>0.12814324497488999</v>
      </c>
      <c r="AC21" s="1">
        <v>7.43011297920224E-2</v>
      </c>
      <c r="AD21" s="1">
        <v>0.1288246656475579</v>
      </c>
      <c r="AE21" s="1">
        <v>-0.24045611049318669</v>
      </c>
      <c r="AF21" s="1">
        <v>-3.3566825383980557E-2</v>
      </c>
      <c r="AG21" s="1">
        <v>4.4302777789794079E-2</v>
      </c>
      <c r="AH21" s="1">
        <v>-0.10758136256479831</v>
      </c>
      <c r="AI21" s="1">
        <v>7.9594209333291061E-2</v>
      </c>
      <c r="AJ21" s="1">
        <v>-7.0405341946468691E-2</v>
      </c>
      <c r="AK21" s="1">
        <v>0.10498861015229349</v>
      </c>
      <c r="AL21" s="1">
        <v>-1.9780813559851541E-2</v>
      </c>
      <c r="AM21" s="1">
        <v>6.4856977806355839E-2</v>
      </c>
      <c r="AN21" s="1">
        <v>0.11195605606309431</v>
      </c>
      <c r="AO21" s="1">
        <v>4.7726395643726653E-2</v>
      </c>
      <c r="AP21" s="1">
        <v>-6.239055369893616E-2</v>
      </c>
      <c r="AQ21" s="1">
        <v>2.459114042312649E-2</v>
      </c>
      <c r="AR21" s="1">
        <v>0.20518227823048121</v>
      </c>
      <c r="AS21" s="1">
        <v>6.4455868646629361E-2</v>
      </c>
      <c r="AT21" s="1">
        <v>-2.4929112771550628E-3</v>
      </c>
      <c r="AU21" s="1">
        <v>4.7809631508957028E-2</v>
      </c>
      <c r="AV21" s="1">
        <v>-5.5520780062133721E-2</v>
      </c>
      <c r="AW21" s="1">
        <v>9.7910299540974015E-3</v>
      </c>
      <c r="AX21" s="1">
        <v>-0.1431476874697567</v>
      </c>
      <c r="AY21" s="1">
        <v>4.7021290978038012E-2</v>
      </c>
      <c r="AZ21" s="1">
        <v>-0.25491126989713642</v>
      </c>
      <c r="BA21" s="1">
        <v>-7.1032181648085849E-2</v>
      </c>
      <c r="BB21" s="1">
        <v>0.29451263697732177</v>
      </c>
      <c r="BC21" s="1">
        <v>3.8321147725193877E-2</v>
      </c>
      <c r="BD21" s="1">
        <v>-2.1750863370627919E-2</v>
      </c>
      <c r="BE21" s="1">
        <v>-4.0588332503811789E-2</v>
      </c>
      <c r="BF21" s="1">
        <v>3.5771001804346838E-3</v>
      </c>
      <c r="BG21" s="1">
        <v>-9.2285571507253639E-2</v>
      </c>
      <c r="BH21" s="1">
        <v>-7.6321363138755302E-2</v>
      </c>
      <c r="BI21" s="1">
        <v>-0.1659695961783918</v>
      </c>
      <c r="BJ21" s="1">
        <v>-2.3579026181717661E-2</v>
      </c>
      <c r="BK21" s="1">
        <v>-6.8449880379534783E-2</v>
      </c>
      <c r="BL21" s="1">
        <v>0.1427210926463498</v>
      </c>
      <c r="BM21" s="1">
        <v>0.15512000392109981</v>
      </c>
      <c r="BN21" s="1">
        <v>-2.5790766448446922E-2</v>
      </c>
      <c r="BO21" s="1">
        <v>1.066839155318992E-2</v>
      </c>
      <c r="BP21" s="1">
        <v>0.1045091294194143</v>
      </c>
      <c r="BQ21" s="1">
        <v>5.4542230834504879E-2</v>
      </c>
      <c r="BR21" s="1">
        <v>1.3963257139615239E-2</v>
      </c>
      <c r="BS21" s="1">
        <v>-2.5079854410496889E-2</v>
      </c>
      <c r="BT21" s="1">
        <v>-6.0820742542524793E-2</v>
      </c>
      <c r="BU21" s="1">
        <v>0.120820939350189</v>
      </c>
      <c r="BV21" s="1">
        <v>0.14214300018545339</v>
      </c>
      <c r="BW21" s="1">
        <v>-0.4021309158390593</v>
      </c>
      <c r="BX21" s="1">
        <v>7.7165002520596909E-2</v>
      </c>
      <c r="BY21" s="1">
        <v>-1.491637891683696E-2</v>
      </c>
      <c r="BZ21" s="1">
        <v>9.8156710439898404E-2</v>
      </c>
      <c r="CA21" s="1">
        <v>-2.4556068552787459E-2</v>
      </c>
      <c r="CB21" s="1">
        <v>-0.1122436107991584</v>
      </c>
      <c r="CC21" s="1">
        <v>-5.3307577939454079E-2</v>
      </c>
      <c r="CD21" s="1">
        <v>0.28805606436247322</v>
      </c>
      <c r="CE21" s="1">
        <v>6.1514882354154247E-2</v>
      </c>
      <c r="CF21" s="1">
        <v>0.1271704760916082</v>
      </c>
      <c r="CG21" s="1">
        <v>-0.14375118915768581</v>
      </c>
      <c r="CH21" s="1">
        <v>-0.15662644062696859</v>
      </c>
      <c r="CI21" s="1">
        <v>-0.123293346411547</v>
      </c>
      <c r="CJ21" s="1">
        <v>-7.1754661956045684E-2</v>
      </c>
      <c r="CK21" s="1">
        <v>0.12705054673013411</v>
      </c>
      <c r="CL21" s="1">
        <v>0.36208375089819639</v>
      </c>
      <c r="CM21" s="1">
        <v>0.2255029884033713</v>
      </c>
      <c r="CN21" s="1">
        <v>-3.05388902037756E-2</v>
      </c>
      <c r="CO21" s="1">
        <v>-0.51486524859759264</v>
      </c>
      <c r="CP21" s="1">
        <v>-9.8307306124050364E-2</v>
      </c>
      <c r="CQ21" s="1">
        <v>3.2880917250907721E-3</v>
      </c>
      <c r="CR21" s="1">
        <v>-1.161578886010306E-2</v>
      </c>
      <c r="CS21" s="1">
        <v>6.9646396146771747E-2</v>
      </c>
      <c r="CT21" s="1">
        <v>8.2292872854338978E-2</v>
      </c>
      <c r="CU21" s="1">
        <v>-6.2673560169491313E-2</v>
      </c>
      <c r="CV21" s="1">
        <v>0.13162753116195661</v>
      </c>
      <c r="CW21" s="1">
        <v>-3.0752481308038811E-2</v>
      </c>
      <c r="CX21" s="1">
        <v>1.339552396105914E-2</v>
      </c>
      <c r="CY21" s="1">
        <v>-0.102505161081563</v>
      </c>
      <c r="CZ21" s="1">
        <v>0.1902933866431426</v>
      </c>
      <c r="DA21" s="1">
        <v>1.192256456731756E-3</v>
      </c>
      <c r="DB21" s="1">
        <v>7.1461213773998111E-2</v>
      </c>
      <c r="DC21" s="1">
        <v>-3.8546270664913319E-2</v>
      </c>
      <c r="DD21" s="1">
        <v>-6.7027496200741665E-2</v>
      </c>
      <c r="DE21" s="1">
        <v>1.2238108588318921E-2</v>
      </c>
      <c r="DF21" s="1">
        <v>7.7285592716186992E-3</v>
      </c>
      <c r="DG21" s="1">
        <v>5.9409518844913557E-2</v>
      </c>
      <c r="DH21" s="1">
        <v>1.407682021245452E-2</v>
      </c>
      <c r="DI21" s="1">
        <v>3.4407478280179482E-2</v>
      </c>
      <c r="DJ21" s="1">
        <v>-3.7911313190560098E-2</v>
      </c>
      <c r="DK21" s="1">
        <v>0.13950270681890459</v>
      </c>
      <c r="DL21" s="1">
        <v>3.2208203249560433E-2</v>
      </c>
      <c r="DM21" s="1">
        <v>-2.9834119642240212E-2</v>
      </c>
      <c r="DN21" s="1">
        <v>6.1960781446788349E-2</v>
      </c>
      <c r="DO21" s="1">
        <v>0.33162680487864599</v>
      </c>
      <c r="DP21" s="1">
        <v>2.426615509356601E-2</v>
      </c>
      <c r="DQ21" s="1">
        <v>-0.12775339309865241</v>
      </c>
      <c r="DR21" s="1">
        <v>5.0170859037080733E-2</v>
      </c>
      <c r="DS21" s="1">
        <v>-1.6720946793213241E-3</v>
      </c>
      <c r="DT21" s="1">
        <v>-0.17057080268546079</v>
      </c>
      <c r="DU21" s="1">
        <v>-2.8090293996378659E-2</v>
      </c>
      <c r="DV21" s="1">
        <v>0.140275976869878</v>
      </c>
      <c r="DW21" s="1">
        <v>0.11934721737400381</v>
      </c>
      <c r="DX21" s="1">
        <v>-0.18596621403118341</v>
      </c>
      <c r="DY21" s="1">
        <v>-2.459599553801604E-2</v>
      </c>
      <c r="DZ21" s="1">
        <v>-5.2844066560288887E-2</v>
      </c>
      <c r="EA21" s="1">
        <v>-2.625089648126052E-2</v>
      </c>
      <c r="EB21" s="1">
        <v>-0.10329555902400769</v>
      </c>
      <c r="EC21" s="1">
        <v>3.0649685027988702E-3</v>
      </c>
      <c r="ED21" s="1">
        <v>-5.4498856348180663E-2</v>
      </c>
      <c r="EE21" s="1">
        <v>2.1310592307867391E-2</v>
      </c>
      <c r="EF21" s="1">
        <v>-7.9916028560319194E-3</v>
      </c>
    </row>
    <row r="22" spans="1:137" ht="16">
      <c r="A22" s="6">
        <v>321</v>
      </c>
      <c r="B22" s="6">
        <v>3</v>
      </c>
      <c r="C22" s="9">
        <v>6.4235717628454689E-2</v>
      </c>
      <c r="D22" s="9">
        <v>-4.4680896903486519E-2</v>
      </c>
      <c r="E22" s="9">
        <v>1.7355098916458981E-2</v>
      </c>
      <c r="F22" s="9">
        <v>-9.7433995578986451E-2</v>
      </c>
      <c r="G22" s="9">
        <v>-3.2954824249798613E-2</v>
      </c>
      <c r="H22" s="9">
        <v>-0.22980554449140059</v>
      </c>
      <c r="I22" s="9">
        <v>0.12349316933806979</v>
      </c>
      <c r="J22" s="9">
        <v>5.2598589265342909E-2</v>
      </c>
      <c r="K22" s="9">
        <v>2.8656780116393998E-2</v>
      </c>
      <c r="L22" s="2">
        <v>0.17118335942590121</v>
      </c>
      <c r="M22" s="2">
        <v>-0.22515860506358171</v>
      </c>
      <c r="N22" s="2">
        <v>0.1332804190232465</v>
      </c>
      <c r="O22" s="1">
        <v>0.1434803460042724</v>
      </c>
      <c r="P22" s="1">
        <v>9.0630874426634297E-2</v>
      </c>
      <c r="Q22" s="1">
        <v>0.12727089023139021</v>
      </c>
      <c r="R22" s="1">
        <v>-3.6628434271588052E-2</v>
      </c>
      <c r="S22" s="1">
        <v>0.24705662952972959</v>
      </c>
      <c r="T22" s="1">
        <v>-7.1651900389641296E-2</v>
      </c>
      <c r="U22" s="1">
        <v>-5.2488906495621809E-2</v>
      </c>
      <c r="V22" s="1">
        <v>0.1756249024704124</v>
      </c>
      <c r="W22" s="1">
        <v>0.20748026702429739</v>
      </c>
      <c r="X22" s="1">
        <v>-0.25720235121349699</v>
      </c>
      <c r="Y22" s="1">
        <v>-6.9853331702800808E-2</v>
      </c>
      <c r="Z22" s="1">
        <v>2.386612179035642E-2</v>
      </c>
      <c r="AA22" s="1">
        <v>7.0480168868567589E-3</v>
      </c>
      <c r="AB22" s="1">
        <v>0.13443621271332551</v>
      </c>
      <c r="AC22" s="1">
        <v>7.4420380840427389E-2</v>
      </c>
      <c r="AD22" s="1">
        <v>1.357278877236134E-2</v>
      </c>
      <c r="AE22" s="1">
        <v>-0.26268572135214352</v>
      </c>
      <c r="AF22" s="1">
        <v>-8.6404239042423531E-2</v>
      </c>
      <c r="AG22" s="1">
        <v>5.2841540175733892E-2</v>
      </c>
      <c r="AH22" s="1">
        <v>-0.10586595942047269</v>
      </c>
      <c r="AI22" s="1">
        <v>9.4141260657386039E-2</v>
      </c>
      <c r="AJ22" s="1">
        <v>-3.1699849326408271E-2</v>
      </c>
      <c r="AK22" s="1">
        <v>-6.826932816412784E-2</v>
      </c>
      <c r="AL22" s="1">
        <v>9.4397384737102564E-3</v>
      </c>
      <c r="AM22" s="1">
        <v>8.4088903467703563E-2</v>
      </c>
      <c r="AN22" s="1">
        <v>0.1111328096635593</v>
      </c>
      <c r="AO22" s="1">
        <v>7.4717373393705613E-2</v>
      </c>
      <c r="AP22" s="1">
        <v>-6.2536353887992696E-2</v>
      </c>
      <c r="AQ22" s="1">
        <v>1.4495983822223869E-2</v>
      </c>
      <c r="AR22" s="1">
        <v>0.23790114102724971</v>
      </c>
      <c r="AS22" s="1">
        <v>8.2810438898549957E-2</v>
      </c>
      <c r="AT22" s="1">
        <v>6.5803903490195548E-3</v>
      </c>
      <c r="AU22" s="1">
        <v>5.3142791700378257E-2</v>
      </c>
      <c r="AV22" s="1">
        <v>-5.9813176675879959E-2</v>
      </c>
      <c r="AW22" s="1">
        <v>-3.014938920700894E-2</v>
      </c>
      <c r="AX22" s="1">
        <v>-0.17376339998002421</v>
      </c>
      <c r="AY22" s="1">
        <v>7.1733385334230598E-2</v>
      </c>
      <c r="AZ22" s="1">
        <v>-0.1549037783211521</v>
      </c>
      <c r="BA22" s="1">
        <v>-4.5598425167461952E-2</v>
      </c>
      <c r="BB22" s="1">
        <v>0.36955058329648782</v>
      </c>
      <c r="BC22" s="1">
        <v>-0.13083693812295519</v>
      </c>
      <c r="BD22" s="1">
        <v>1.294738984257221E-2</v>
      </c>
      <c r="BE22" s="1">
        <v>-6.8483036868100741E-2</v>
      </c>
      <c r="BF22" s="1">
        <v>1.363881733831962E-2</v>
      </c>
      <c r="BG22" s="1">
        <v>4.1231469152780448E-2</v>
      </c>
      <c r="BH22" s="1">
        <v>-0.12796054233813189</v>
      </c>
      <c r="BI22" s="1">
        <v>-0.111088719409907</v>
      </c>
      <c r="BJ22" s="1">
        <v>-5.4996415150720922E-2</v>
      </c>
      <c r="BK22" s="1">
        <v>-4.1839635933665138E-2</v>
      </c>
      <c r="BL22" s="1">
        <v>0.16178033907103531</v>
      </c>
      <c r="BM22" s="1">
        <v>0.1056044769577115</v>
      </c>
      <c r="BN22" s="1">
        <v>-8.2937899200322518E-2</v>
      </c>
      <c r="BO22" s="1">
        <v>9.7012895523605869E-2</v>
      </c>
      <c r="BP22" s="1">
        <v>7.4835550155106345E-2</v>
      </c>
      <c r="BQ22" s="1">
        <v>2.7830097398312589E-2</v>
      </c>
      <c r="BR22" s="1">
        <v>2.081360946645289E-2</v>
      </c>
      <c r="BS22" s="1">
        <v>-1.637278237679916E-2</v>
      </c>
      <c r="BT22" s="1">
        <v>8.8726194332783462E-2</v>
      </c>
      <c r="BU22" s="1">
        <v>0.21294876613801031</v>
      </c>
      <c r="BV22" s="1">
        <v>0.1585439723976089</v>
      </c>
      <c r="BW22" s="1">
        <v>-0.42771649646437632</v>
      </c>
      <c r="BX22" s="1">
        <v>0.1130288989043652</v>
      </c>
      <c r="BY22" s="1">
        <v>3.2352875520499369E-2</v>
      </c>
      <c r="BZ22" s="1">
        <v>4.725773586289217E-2</v>
      </c>
      <c r="CA22" s="1">
        <v>-2.749007848032349E-2</v>
      </c>
      <c r="CB22" s="1">
        <v>-0.14899327824592659</v>
      </c>
      <c r="CC22" s="1">
        <v>2.243146575298537E-2</v>
      </c>
      <c r="CD22" s="1">
        <v>0.33387803671272293</v>
      </c>
      <c r="CE22" s="1">
        <v>6.6840145636817616E-2</v>
      </c>
      <c r="CF22" s="1">
        <v>0.15557256842246689</v>
      </c>
      <c r="CG22" s="1">
        <v>-0.20326309220258709</v>
      </c>
      <c r="CH22" s="1">
        <v>-0.1536062848095433</v>
      </c>
      <c r="CI22" s="1">
        <v>-0.23044916703818419</v>
      </c>
      <c r="CJ22" s="1">
        <v>-0.1033795050895627</v>
      </c>
      <c r="CK22" s="1">
        <v>3.6163342604682402E-2</v>
      </c>
      <c r="CL22" s="1">
        <v>0.55395436540251797</v>
      </c>
      <c r="CM22" s="1">
        <v>0.30176025790948191</v>
      </c>
      <c r="CN22" s="1">
        <v>8.5467718209073992E-3</v>
      </c>
      <c r="CO22" s="1">
        <v>-0.64995646824915565</v>
      </c>
      <c r="CP22" s="1">
        <v>-0.17184373314239881</v>
      </c>
      <c r="CQ22" s="1">
        <v>-1.233377932566462E-2</v>
      </c>
      <c r="CR22" s="1">
        <v>2.8422205079160712E-2</v>
      </c>
      <c r="CS22" s="1">
        <v>-1.5202183521422779E-2</v>
      </c>
      <c r="CT22" s="1">
        <v>5.8232521355985362E-2</v>
      </c>
      <c r="CU22" s="1">
        <v>-0.11084141964186579</v>
      </c>
      <c r="CV22" s="1">
        <v>0.12961749876888301</v>
      </c>
      <c r="CW22" s="1">
        <v>-1.349979853596164E-2</v>
      </c>
      <c r="CX22" s="1">
        <v>4.7285453258790341E-2</v>
      </c>
      <c r="CY22" s="1">
        <v>-0.1045108260680616</v>
      </c>
      <c r="CZ22" s="1">
        <v>0.20669386208575841</v>
      </c>
      <c r="DA22" s="1">
        <v>-3.9917538819241108E-3</v>
      </c>
      <c r="DB22" s="1">
        <v>5.4041621710522049E-2</v>
      </c>
      <c r="DC22" s="1">
        <v>-3.9494329949896927E-2</v>
      </c>
      <c r="DD22" s="1">
        <v>-1.596257781556271E-2</v>
      </c>
      <c r="DE22" s="1">
        <v>-5.4917579819501461E-3</v>
      </c>
      <c r="DF22" s="1">
        <v>1.7031775273553061E-2</v>
      </c>
      <c r="DG22" s="1">
        <v>7.1889499417003094E-2</v>
      </c>
      <c r="DH22" s="1">
        <v>1.3945346183503959E-2</v>
      </c>
      <c r="DI22" s="1">
        <v>6.356099926224941E-2</v>
      </c>
      <c r="DJ22" s="1">
        <v>-5.0246005833095859E-2</v>
      </c>
      <c r="DK22" s="1">
        <v>0.1791347138228401</v>
      </c>
      <c r="DL22" s="1">
        <v>2.1680326157890579E-2</v>
      </c>
      <c r="DM22" s="1">
        <v>-6.3466051038033502E-2</v>
      </c>
      <c r="DN22" s="1">
        <v>4.6763328204007498E-2</v>
      </c>
      <c r="DO22" s="1">
        <v>7.5715816054906154E-2</v>
      </c>
      <c r="DP22" s="1">
        <v>2.1723233390302729E-3</v>
      </c>
      <c r="DQ22" s="1">
        <v>-0.13103100381943991</v>
      </c>
      <c r="DR22" s="1">
        <v>-6.0925526153180337E-3</v>
      </c>
      <c r="DS22" s="1">
        <v>-3.6346262249535841E-2</v>
      </c>
      <c r="DT22" s="1">
        <v>-2.637635623620076E-2</v>
      </c>
      <c r="DU22" s="1">
        <v>-5.7495390836838987E-2</v>
      </c>
      <c r="DV22" s="1">
        <v>0.12570511767817799</v>
      </c>
      <c r="DW22" s="1">
        <v>0.1095030666415643</v>
      </c>
      <c r="DX22" s="1">
        <v>-0.22244260844829469</v>
      </c>
      <c r="DY22" s="1">
        <v>8.1471166255399959E-3</v>
      </c>
      <c r="DZ22" s="1">
        <v>-0.10374798094555759</v>
      </c>
      <c r="EA22" s="1">
        <v>-7.0548648839358755E-2</v>
      </c>
      <c r="EB22" s="1">
        <v>-0.14292707605232749</v>
      </c>
      <c r="EC22" s="1">
        <v>2.1495101575638179E-2</v>
      </c>
      <c r="ED22" s="1">
        <v>-7.7413567057607463E-2</v>
      </c>
      <c r="EE22" s="1">
        <v>4.7636659384698889E-2</v>
      </c>
      <c r="EF22" s="1">
        <v>-3.4790246372172352E-2</v>
      </c>
    </row>
    <row r="23" spans="1:137" ht="16">
      <c r="A23" s="6">
        <v>482</v>
      </c>
      <c r="B23" s="6">
        <v>2</v>
      </c>
      <c r="C23" s="9">
        <v>-3.4987009286289193E-2</v>
      </c>
      <c r="D23" s="9">
        <v>-2.981066768542209E-2</v>
      </c>
      <c r="E23" s="9">
        <v>-0.13300519405617101</v>
      </c>
      <c r="F23" s="9">
        <v>-0.14166490905190171</v>
      </c>
      <c r="G23" s="9">
        <v>-5.2224173846498377E-2</v>
      </c>
      <c r="H23" s="9">
        <v>-0.2628102412014528</v>
      </c>
      <c r="I23" s="9">
        <v>0.148152028600294</v>
      </c>
      <c r="J23" s="9">
        <v>-9.8162291146452377E-2</v>
      </c>
      <c r="K23" s="9">
        <v>-5.9917884508062888E-2</v>
      </c>
      <c r="L23" s="2">
        <v>5.4043529775598627E-2</v>
      </c>
      <c r="M23" s="2">
        <v>-0.26736657000997882</v>
      </c>
      <c r="N23" s="2">
        <v>0.15641923763601279</v>
      </c>
      <c r="O23" s="1">
        <v>0.20456437797300209</v>
      </c>
      <c r="P23" s="1">
        <v>5.46815260345479E-2</v>
      </c>
      <c r="Q23" s="1">
        <v>0.29117349346670462</v>
      </c>
      <c r="R23" s="1">
        <v>-2.4313794611937441E-2</v>
      </c>
      <c r="S23" s="1">
        <v>0.16929499991324401</v>
      </c>
      <c r="T23" s="1">
        <v>-3.733692084787466E-4</v>
      </c>
      <c r="U23" s="1">
        <v>-5.924178948110146E-2</v>
      </c>
      <c r="V23" s="1">
        <v>0.2324772033709247</v>
      </c>
      <c r="W23" s="1">
        <v>0.33161915024914451</v>
      </c>
      <c r="X23" s="1">
        <v>-0.1945564614576443</v>
      </c>
      <c r="Y23" s="1">
        <v>-6.7949921591350784E-2</v>
      </c>
      <c r="Z23" s="1">
        <v>4.1051966520251372E-2</v>
      </c>
      <c r="AA23" s="1">
        <v>6.6062919694702682E-3</v>
      </c>
      <c r="AB23" s="1">
        <v>6.4039779876783498E-2</v>
      </c>
      <c r="AC23" s="1">
        <v>7.6346338146838E-2</v>
      </c>
      <c r="AD23" s="1">
        <v>7.1628868085674022E-2</v>
      </c>
      <c r="AE23" s="1">
        <v>-0.36197537925355378</v>
      </c>
      <c r="AF23" s="1">
        <v>-2.5300492366547252E-2</v>
      </c>
      <c r="AG23" s="1">
        <v>9.1873657646360199E-2</v>
      </c>
      <c r="AH23" s="1">
        <v>-8.417158452318324E-2</v>
      </c>
      <c r="AI23" s="1">
        <v>1.7205917313467271E-2</v>
      </c>
      <c r="AJ23" s="1">
        <v>4.8195600190128897E-2</v>
      </c>
      <c r="AK23" s="1">
        <v>1.8557730736711249E-2</v>
      </c>
      <c r="AL23" s="1">
        <v>1.4066593107004361E-2</v>
      </c>
      <c r="AM23" s="1">
        <v>7.769489004865255E-3</v>
      </c>
      <c r="AN23" s="1">
        <v>0.24231469935730071</v>
      </c>
      <c r="AO23" s="1">
        <v>-5.3369521914240978E-3</v>
      </c>
      <c r="AP23" s="1">
        <v>3.1210993523056942E-3</v>
      </c>
      <c r="AQ23" s="1">
        <v>8.9424992259610633E-2</v>
      </c>
      <c r="AR23" s="1">
        <v>0.33674404384506768</v>
      </c>
      <c r="AS23" s="1">
        <v>-1.470688799737762E-2</v>
      </c>
      <c r="AT23" s="1">
        <v>-4.1427721813649641E-2</v>
      </c>
      <c r="AU23" s="1">
        <v>3.3145526128504327E-2</v>
      </c>
      <c r="AV23" s="1">
        <v>-2.7638994197374041E-2</v>
      </c>
      <c r="AW23" s="1">
        <v>-5.202690983840276E-2</v>
      </c>
      <c r="AX23" s="1">
        <v>-6.9838153827044058E-2</v>
      </c>
      <c r="AY23" s="1">
        <v>0.17023398084058211</v>
      </c>
      <c r="AZ23" s="1">
        <v>-6.3753617401060211E-2</v>
      </c>
      <c r="BA23" s="1">
        <v>9.6467800801007808E-3</v>
      </c>
      <c r="BB23" s="1">
        <v>0.56682652604744033</v>
      </c>
      <c r="BC23" s="1">
        <v>-0.30082824917306578</v>
      </c>
      <c r="BD23" s="1">
        <v>9.4830881346450333E-2</v>
      </c>
      <c r="BE23" s="1">
        <v>-8.6532394790002992E-2</v>
      </c>
      <c r="BF23" s="1">
        <v>-2.284699060468626E-2</v>
      </c>
      <c r="BG23" s="1">
        <v>-3.8322827419145812E-2</v>
      </c>
      <c r="BH23" s="1">
        <v>-0.2034839813552872</v>
      </c>
      <c r="BI23" s="1">
        <v>-0.1911120793231991</v>
      </c>
      <c r="BJ23" s="1">
        <v>-0.1040033152679269</v>
      </c>
      <c r="BK23" s="1">
        <v>4.6869777109240134E-3</v>
      </c>
      <c r="BL23" s="1">
        <v>0.14953429625023959</v>
      </c>
      <c r="BM23" s="1">
        <v>0.18918068678715391</v>
      </c>
      <c r="BN23" s="1">
        <v>-3.8453237240273198E-2</v>
      </c>
      <c r="BO23" s="1">
        <v>0.16631016589269049</v>
      </c>
      <c r="BP23" s="1">
        <v>9.8266399211456468E-2</v>
      </c>
      <c r="BQ23" s="1">
        <v>4.9611841287991017E-2</v>
      </c>
      <c r="BR23" s="1">
        <v>1.7844321463962809E-2</v>
      </c>
      <c r="BS23" s="1">
        <v>-7.3275388657911791E-2</v>
      </c>
      <c r="BT23" s="1">
        <v>0.2181866761329041</v>
      </c>
      <c r="BU23" s="1">
        <v>0.20568773584594591</v>
      </c>
      <c r="BV23" s="1">
        <v>0.11346756836018849</v>
      </c>
      <c r="BW23" s="1">
        <v>-0.60099752643345095</v>
      </c>
      <c r="BX23" s="1">
        <v>6.8735089330797944E-2</v>
      </c>
      <c r="BY23" s="1">
        <v>3.9939448876130351E-2</v>
      </c>
      <c r="BZ23" s="1">
        <v>7.6697624318448621E-3</v>
      </c>
      <c r="CA23" s="1">
        <v>-7.5653199746629096E-2</v>
      </c>
      <c r="CB23" s="1">
        <v>-0.21761420299243989</v>
      </c>
      <c r="CC23" s="1">
        <v>8.3555909038169007E-2</v>
      </c>
      <c r="CD23" s="1">
        <v>0.19167645501478511</v>
      </c>
      <c r="CE23" s="1">
        <v>5.9602301837717461E-2</v>
      </c>
      <c r="CF23" s="1">
        <v>0.18343323628555941</v>
      </c>
      <c r="CG23" s="1">
        <v>-0.3932437879236767</v>
      </c>
      <c r="CH23" s="1">
        <v>-0.16212257431707061</v>
      </c>
      <c r="CI23" s="1">
        <v>-5.9122473913523821E-2</v>
      </c>
      <c r="CJ23" s="1">
        <v>-1.9875367550410569E-2</v>
      </c>
      <c r="CK23" s="1">
        <v>9.6116994727961536E-2</v>
      </c>
      <c r="CL23" s="1">
        <v>0.82114882676553158</v>
      </c>
      <c r="CM23" s="1">
        <v>0.3867329465229094</v>
      </c>
      <c r="CN23" s="1">
        <v>5.3005178369803271E-2</v>
      </c>
      <c r="CO23" s="1">
        <v>-0.90892328736561978</v>
      </c>
      <c r="CP23" s="1">
        <v>-0.24610177245621889</v>
      </c>
      <c r="CQ23" s="1">
        <v>-9.1837444998058917E-3</v>
      </c>
      <c r="CR23" s="1">
        <v>3.8232839171219918E-2</v>
      </c>
      <c r="CS23" s="1">
        <v>-3.697421899127859E-2</v>
      </c>
      <c r="CT23" s="1">
        <v>4.5662541711253862E-2</v>
      </c>
      <c r="CU23" s="1">
        <v>-2.1056595713287041E-2</v>
      </c>
      <c r="CV23" s="1">
        <v>0.20185146288687841</v>
      </c>
      <c r="CW23" s="1">
        <v>6.4165112115841361E-2</v>
      </c>
      <c r="CX23" s="1">
        <v>-4.425407954953503E-2</v>
      </c>
      <c r="CY23" s="1">
        <v>-0.15375033367153881</v>
      </c>
      <c r="CZ23" s="1">
        <v>0.16600444921733951</v>
      </c>
      <c r="DA23" s="1">
        <v>-3.0982136225910391E-2</v>
      </c>
      <c r="DB23" s="1">
        <v>1.8747066443219641E-2</v>
      </c>
      <c r="DC23" s="1">
        <v>0.1191904860704142</v>
      </c>
      <c r="DD23" s="1">
        <v>-1.8407826273001211E-2</v>
      </c>
      <c r="DE23" s="1">
        <v>-9.3952259516448811E-3</v>
      </c>
      <c r="DF23" s="1">
        <v>6.194212704490535E-2</v>
      </c>
      <c r="DG23" s="1">
        <v>6.7620427406409236E-2</v>
      </c>
      <c r="DH23" s="1">
        <v>5.5413447308742453E-2</v>
      </c>
      <c r="DI23" s="1">
        <v>5.3479596916020812E-2</v>
      </c>
      <c r="DJ23" s="1">
        <v>-8.7058008172347823E-2</v>
      </c>
      <c r="DK23" s="1">
        <v>0.27783321655884308</v>
      </c>
      <c r="DL23" s="1">
        <v>-5.6607334331075572E-2</v>
      </c>
      <c r="DM23" s="1">
        <v>-1.949730491936592E-2</v>
      </c>
      <c r="DN23" s="1">
        <v>6.4971960439702253E-3</v>
      </c>
      <c r="DO23" s="1">
        <v>0.124068441987729</v>
      </c>
      <c r="DP23" s="1">
        <v>4.7088232655722921E-2</v>
      </c>
      <c r="DQ23" s="1">
        <v>-0.17021099650353791</v>
      </c>
      <c r="DR23" s="1">
        <v>-8.9886002731306744E-2</v>
      </c>
      <c r="DS23" s="1">
        <v>-0.1165759916669394</v>
      </c>
      <c r="DT23" s="1">
        <v>-0.12395522319619889</v>
      </c>
      <c r="DU23" s="1">
        <v>3.4287185254997438E-2</v>
      </c>
      <c r="DV23" s="1">
        <v>0.27627160832943959</v>
      </c>
      <c r="DW23" s="1">
        <v>0.14122823258283859</v>
      </c>
      <c r="DX23" s="1">
        <v>-0.31349320637896622</v>
      </c>
      <c r="DY23" s="1">
        <v>-0.16987682865225409</v>
      </c>
      <c r="DZ23" s="1">
        <v>-8.5690902482961295E-2</v>
      </c>
      <c r="EA23" s="1">
        <v>-2.3448907613119421E-2</v>
      </c>
      <c r="EB23" s="1">
        <v>-0.13822549512320209</v>
      </c>
      <c r="EC23" s="1">
        <v>-3.6584316325813361E-2</v>
      </c>
      <c r="ED23" s="1">
        <v>-9.1425904619781034E-2</v>
      </c>
      <c r="EE23" s="1">
        <v>6.9212075984992683E-2</v>
      </c>
      <c r="EF23" s="1">
        <v>-4.7782278591659677E-2</v>
      </c>
    </row>
    <row r="24" spans="1:137" ht="16">
      <c r="A24" s="6">
        <v>964</v>
      </c>
      <c r="B24" s="6">
        <v>1</v>
      </c>
      <c r="C24" s="9">
        <v>0.162993136931085</v>
      </c>
      <c r="D24" s="9">
        <v>-0.1040490099724129</v>
      </c>
      <c r="E24" s="9">
        <v>-0.28451249769050191</v>
      </c>
      <c r="F24" s="9">
        <v>-0.22715954663674881</v>
      </c>
      <c r="G24" s="9">
        <v>0.2257600230575724</v>
      </c>
      <c r="H24" s="9">
        <v>-0.35082219133103881</v>
      </c>
      <c r="I24" s="9">
        <v>-2.111933203143501E-3</v>
      </c>
      <c r="J24" s="9">
        <v>-9.9972192910136135E-2</v>
      </c>
      <c r="K24" s="9">
        <v>5.3732996668234008E-2</v>
      </c>
      <c r="L24" s="2">
        <v>9.5623250508682117E-2</v>
      </c>
      <c r="M24" s="2">
        <v>-0.46302754420013847</v>
      </c>
      <c r="N24" s="2">
        <v>0.14413045240043321</v>
      </c>
      <c r="O24" s="1">
        <v>0.235309193405423</v>
      </c>
      <c r="P24" s="1">
        <v>1.736288864347235E-3</v>
      </c>
      <c r="Q24" s="1">
        <v>-2.847135602397292E-3</v>
      </c>
      <c r="R24" s="1">
        <v>-0.24569737077925971</v>
      </c>
      <c r="S24" s="1">
        <v>0.13988379956700059</v>
      </c>
      <c r="T24" s="1">
        <v>0.1236910440917892</v>
      </c>
      <c r="U24" s="1">
        <v>-0.28585628998140078</v>
      </c>
      <c r="V24" s="1">
        <v>9.8678511259329957E-2</v>
      </c>
      <c r="W24" s="1">
        <v>0.49571198595594262</v>
      </c>
      <c r="X24" s="1">
        <v>8.988764650171982E-4</v>
      </c>
      <c r="Y24" s="1">
        <v>-0.1203174930645305</v>
      </c>
      <c r="Z24" s="1">
        <v>-2.439454874957615E-2</v>
      </c>
      <c r="AA24" s="1">
        <v>1.354776823757727E-2</v>
      </c>
      <c r="AB24" s="1">
        <v>0.1953396226752438</v>
      </c>
      <c r="AC24" s="1">
        <v>0.125380380775965</v>
      </c>
      <c r="AD24" s="1">
        <v>0.1011752992567229</v>
      </c>
      <c r="AE24" s="1">
        <v>-0.54125812124628125</v>
      </c>
      <c r="AF24" s="1">
        <v>-0.16570377964654229</v>
      </c>
      <c r="AG24" s="1">
        <v>0.13873571762663761</v>
      </c>
      <c r="AH24" s="1">
        <v>-5.6697360067789589E-2</v>
      </c>
      <c r="AI24" s="1">
        <v>-8.8083310984272967E-3</v>
      </c>
      <c r="AJ24" s="1">
        <v>-8.089124399937539E-2</v>
      </c>
      <c r="AK24" s="1">
        <v>1.440977079948152E-3</v>
      </c>
      <c r="AL24" s="1">
        <v>-8.7173701476634946E-2</v>
      </c>
      <c r="AM24" s="1">
        <v>-1.89192814205267E-2</v>
      </c>
      <c r="AN24" s="1">
        <v>0.22118946514543131</v>
      </c>
      <c r="AO24" s="1">
        <v>6.6090111828990022E-2</v>
      </c>
      <c r="AP24" s="1">
        <v>-2.28517154890964E-2</v>
      </c>
      <c r="AQ24" s="1">
        <v>4.7076972834245667E-2</v>
      </c>
      <c r="AR24" s="1">
        <v>9.6392566076069844E-3</v>
      </c>
      <c r="AS24" s="1">
        <v>-2.7956077266590069E-2</v>
      </c>
      <c r="AT24" s="1">
        <v>3.045920748470865E-2</v>
      </c>
      <c r="AU24" s="1">
        <v>4.4095319865224331E-2</v>
      </c>
      <c r="AV24" s="1">
        <v>-8.7151952186895892E-2</v>
      </c>
      <c r="AW24" s="1">
        <v>4.9875415110391882E-3</v>
      </c>
      <c r="AX24" s="1">
        <v>-2.8306186588424521E-2</v>
      </c>
      <c r="AY24" s="1">
        <v>0.16812729388488939</v>
      </c>
      <c r="AZ24" s="1">
        <v>3.7867073599665187E-2</v>
      </c>
      <c r="BA24" s="1">
        <v>-5.3794732084633153E-2</v>
      </c>
      <c r="BB24" s="1">
        <v>0.69077653138067185</v>
      </c>
      <c r="BC24" s="1">
        <v>-0.59942164102389184</v>
      </c>
      <c r="BD24" s="1">
        <v>0.18559521924643521</v>
      </c>
      <c r="BE24" s="1">
        <v>-0.1041311228506846</v>
      </c>
      <c r="BF24" s="1">
        <v>8.765133605409231E-2</v>
      </c>
      <c r="BG24" s="1">
        <v>9.0984227707435611E-2</v>
      </c>
      <c r="BH24" s="1">
        <v>-0.38625533691353497</v>
      </c>
      <c r="BI24" s="1">
        <v>-0.2236291060700471</v>
      </c>
      <c r="BJ24" s="1">
        <v>-3.3483157548845829E-3</v>
      </c>
      <c r="BK24" s="1">
        <v>4.0235468942862278E-3</v>
      </c>
      <c r="BL24" s="1">
        <v>0.31716429392471662</v>
      </c>
      <c r="BM24" s="1">
        <v>1.1473019117737151E-2</v>
      </c>
      <c r="BN24" s="1">
        <v>-0.10891326031654749</v>
      </c>
      <c r="BO24" s="1">
        <v>0.16110969109564191</v>
      </c>
      <c r="BP24" s="1">
        <v>0.1233511811293219</v>
      </c>
      <c r="BQ24" s="1">
        <v>-6.4169633330115036E-2</v>
      </c>
      <c r="BR24" s="1">
        <v>4.2356223303417713E-2</v>
      </c>
      <c r="BS24" s="1">
        <v>-1.284717484456964E-3</v>
      </c>
      <c r="BT24" s="1">
        <v>0.27671901614020838</v>
      </c>
      <c r="BU24" s="1">
        <v>0.22832663155994071</v>
      </c>
      <c r="BV24" s="1">
        <v>0.1077284538879829</v>
      </c>
      <c r="BW24" s="1">
        <v>-1.109012070037362</v>
      </c>
      <c r="BX24" s="1">
        <v>0.1039550340490914</v>
      </c>
      <c r="BY24" s="1">
        <v>-0.29033687494541688</v>
      </c>
      <c r="BZ24" s="1">
        <v>0.25889289884999689</v>
      </c>
      <c r="CA24" s="1">
        <v>-0.1152216807734147</v>
      </c>
      <c r="CB24" s="1">
        <v>0.20876197428786911</v>
      </c>
      <c r="CC24" s="1">
        <v>0.2198311932012271</v>
      </c>
      <c r="CD24" s="1">
        <v>3.2392267354276312E-2</v>
      </c>
      <c r="CE24" s="1">
        <v>0.16556487399111461</v>
      </c>
      <c r="CF24" s="1">
        <v>0.16513135300939591</v>
      </c>
      <c r="CG24" s="1">
        <v>-0.32381797901906062</v>
      </c>
      <c r="CH24" s="1">
        <v>-0.2129728840293183</v>
      </c>
      <c r="CI24" s="1">
        <v>-5.850815723303885E-2</v>
      </c>
      <c r="CJ24" s="1">
        <v>1.310948541941956E-2</v>
      </c>
      <c r="CK24" s="1">
        <v>9.3530079315696568E-2</v>
      </c>
      <c r="CL24" s="1">
        <v>1.1486200348703459</v>
      </c>
      <c r="CM24" s="1">
        <v>0.54958710995910021</v>
      </c>
      <c r="CN24" s="1">
        <v>0.1077387664572132</v>
      </c>
      <c r="CO24" s="1">
        <v>-0.77665321833623113</v>
      </c>
      <c r="CP24" s="1">
        <v>-0.19806734554709299</v>
      </c>
      <c r="CQ24" s="1">
        <v>0.1146871738632968</v>
      </c>
      <c r="CR24" s="1">
        <v>9.681790719133844E-2</v>
      </c>
      <c r="CS24" s="1">
        <v>-8.5895232746805786E-2</v>
      </c>
      <c r="CT24" s="1">
        <v>9.6419008147395818E-2</v>
      </c>
      <c r="CU24" s="1">
        <v>-7.2751347656710041E-2</v>
      </c>
      <c r="CV24" s="1">
        <v>0.36148029535141007</v>
      </c>
      <c r="CW24" s="1">
        <v>-1.5881422078077021E-3</v>
      </c>
      <c r="CX24" s="1">
        <v>5.2765258843267028E-2</v>
      </c>
      <c r="CY24" s="1">
        <v>-0.32114775220674069</v>
      </c>
      <c r="CZ24" s="1">
        <v>0.32258987735690992</v>
      </c>
      <c r="DA24" s="1">
        <v>2.451120416275485E-2</v>
      </c>
      <c r="DB24" s="1">
        <v>-1.6501865848996312E-2</v>
      </c>
      <c r="DC24" s="1">
        <v>0.19445359829121789</v>
      </c>
      <c r="DD24" s="1">
        <v>4.9299772670775198E-2</v>
      </c>
      <c r="DE24" s="1">
        <v>-0.17606275750953501</v>
      </c>
      <c r="DF24" s="1">
        <v>-0.1046649760205613</v>
      </c>
      <c r="DG24" s="1">
        <v>0.11954528640013271</v>
      </c>
      <c r="DH24" s="1">
        <v>9.936698049993925E-2</v>
      </c>
      <c r="DI24" s="1">
        <v>0.1418754589382695</v>
      </c>
      <c r="DJ24" s="1">
        <v>-0.13248861050923971</v>
      </c>
      <c r="DK24" s="1">
        <v>0.33950921063044381</v>
      </c>
      <c r="DL24" s="1">
        <v>-3.174869831458027E-2</v>
      </c>
      <c r="DM24" s="1">
        <v>-0.14143952722687489</v>
      </c>
      <c r="DN24" s="1">
        <v>0.23333457077469619</v>
      </c>
      <c r="DO24" s="1">
        <v>0.1156119550234804</v>
      </c>
      <c r="DP24" s="1">
        <v>0.1143734254860139</v>
      </c>
      <c r="DQ24" s="1">
        <v>-0.13297735123596999</v>
      </c>
      <c r="DR24" s="1">
        <v>-2.0515630212029241E-2</v>
      </c>
      <c r="DS24" s="1">
        <v>-6.7362545713944635E-2</v>
      </c>
      <c r="DT24" s="1">
        <v>-3.8362866170129663E-2</v>
      </c>
      <c r="DU24" s="1">
        <v>-4.7638587273757492E-2</v>
      </c>
      <c r="DV24" s="1">
        <v>0.1582246986438143</v>
      </c>
      <c r="DW24" s="1">
        <v>0.10885708989133031</v>
      </c>
      <c r="DX24" s="1">
        <v>-0.31159312779250392</v>
      </c>
      <c r="DY24" s="1">
        <v>-0.34380428679820851</v>
      </c>
      <c r="DZ24" s="1">
        <v>-5.0469182403116652E-2</v>
      </c>
      <c r="EA24" s="1">
        <v>7.7350922227335792E-2</v>
      </c>
      <c r="EB24" s="1">
        <v>-0.1092287723728063</v>
      </c>
      <c r="EC24" s="1">
        <v>-1.4309918770678909E-2</v>
      </c>
      <c r="ED24" s="1">
        <v>-5.6172845298362112E-2</v>
      </c>
      <c r="EE24" s="1">
        <v>0.10748065723441801</v>
      </c>
      <c r="EF24" s="1">
        <v>6.7276677043968364E-2</v>
      </c>
    </row>
    <row r="25" spans="1:137" ht="16">
      <c r="A25" s="6" t="s">
        <v>145</v>
      </c>
      <c r="B25" s="6" t="s">
        <v>146</v>
      </c>
      <c r="C25" s="26">
        <v>-1.7446770539390338E-2</v>
      </c>
      <c r="D25" s="26">
        <v>2.070106053181563E-2</v>
      </c>
      <c r="E25" s="26">
        <v>2.3982129254766709E-2</v>
      </c>
      <c r="F25" s="26">
        <v>-6.557578972823077E-3</v>
      </c>
      <c r="G25" s="26">
        <v>3.1845129800519692E-2</v>
      </c>
      <c r="H25" s="26">
        <v>3.4348532736990518E-2</v>
      </c>
      <c r="I25" s="26">
        <v>-8.2549327813252367E-3</v>
      </c>
      <c r="J25" s="26">
        <v>1.2843524394052759E-2</v>
      </c>
      <c r="K25" s="26">
        <v>-5.1018524626790823E-2</v>
      </c>
      <c r="L25" s="26">
        <v>8.7394274103658827E-4</v>
      </c>
      <c r="M25" s="26">
        <v>2.3389575505495919E-2</v>
      </c>
      <c r="N25" s="26">
        <v>1.2988972200332851E-2</v>
      </c>
      <c r="O25" s="26">
        <v>5.8545887256348812E-3</v>
      </c>
      <c r="P25" s="26">
        <v>2.7413206571790558E-2</v>
      </c>
      <c r="Q25" s="26">
        <v>-3.7129361176928542E-3</v>
      </c>
      <c r="R25" s="26">
        <v>2.4076614047823328E-2</v>
      </c>
      <c r="S25" s="26">
        <v>-1.219002529903996E-2</v>
      </c>
      <c r="T25" s="26">
        <v>-3.9749578159589592E-2</v>
      </c>
      <c r="U25" s="26">
        <v>-7.3155449831649552E-2</v>
      </c>
      <c r="V25" s="26">
        <v>-5.8260229910114661E-2</v>
      </c>
      <c r="W25" s="26">
        <v>7.7279756550837221E-4</v>
      </c>
      <c r="X25" s="26">
        <v>4.459152113521897E-2</v>
      </c>
      <c r="Y25" s="26">
        <v>-2.7699680050213091E-2</v>
      </c>
      <c r="Z25" s="26">
        <v>2.0950059497436462E-3</v>
      </c>
      <c r="AA25" s="26">
        <v>-2.340055099256411E-2</v>
      </c>
      <c r="AB25" s="26">
        <v>3.2129371097322189E-2</v>
      </c>
      <c r="AC25" s="26">
        <v>3.890327309406643E-2</v>
      </c>
      <c r="AD25" s="26">
        <v>-4.286538217110427E-2</v>
      </c>
      <c r="AE25" s="26">
        <v>1.8647194550152159E-2</v>
      </c>
      <c r="AF25" s="26">
        <v>1.5229768322528949E-2</v>
      </c>
      <c r="AG25" s="26">
        <v>3.6016603778892417E-2</v>
      </c>
      <c r="AH25" s="26">
        <v>9.3546113853161701E-3</v>
      </c>
      <c r="AI25" s="26">
        <v>1.0748251336838139E-2</v>
      </c>
      <c r="AJ25" s="26">
        <v>1.335775405308097E-2</v>
      </c>
      <c r="AK25" s="26">
        <v>-5.3327473290953921E-3</v>
      </c>
      <c r="AL25" s="26">
        <v>1.383135807261675E-3</v>
      </c>
      <c r="AM25" s="26">
        <v>2.079592842007446E-2</v>
      </c>
      <c r="AN25" s="26">
        <v>3.1517702220390638E-2</v>
      </c>
      <c r="AO25" s="26">
        <v>6.2417165333294418E-3</v>
      </c>
      <c r="AP25" s="26">
        <v>6.1452616535713897E-3</v>
      </c>
      <c r="AQ25" s="26">
        <v>1.694635767669651E-2</v>
      </c>
      <c r="AR25" s="26">
        <v>3.4682830454308228E-2</v>
      </c>
      <c r="AS25" s="26">
        <v>3.0985886171969678E-3</v>
      </c>
      <c r="AT25" s="26">
        <v>1.508134714348611E-2</v>
      </c>
      <c r="AU25" s="26">
        <v>-1.9251209229863991E-2</v>
      </c>
      <c r="AV25" s="26">
        <v>3.8711513387631437E-2</v>
      </c>
      <c r="AW25" s="26">
        <v>-2.1856951135736599E-2</v>
      </c>
      <c r="AX25" s="26">
        <v>7.7743007097896798E-3</v>
      </c>
      <c r="AY25" s="26">
        <v>4.2397246695325942E-2</v>
      </c>
      <c r="AZ25" s="26">
        <v>-2.630897486115975E-2</v>
      </c>
      <c r="BA25" s="26">
        <v>9.5717493087162323E-3</v>
      </c>
      <c r="BB25" s="26">
        <v>-2.424974126627483E-2</v>
      </c>
      <c r="BC25" s="26">
        <v>2.0163374143915822E-2</v>
      </c>
      <c r="BD25" s="26">
        <v>-3.5049987821160239E-3</v>
      </c>
      <c r="BE25" s="26">
        <v>2.0151935098542271E-2</v>
      </c>
      <c r="BF25" s="26">
        <v>5.8133623077027128E-4</v>
      </c>
      <c r="BG25" s="26">
        <v>-5.2197009532526043E-3</v>
      </c>
      <c r="BH25" s="26">
        <v>-0.11587176140213</v>
      </c>
      <c r="BI25" s="26">
        <v>8.7252256924373536E-3</v>
      </c>
      <c r="BJ25" s="26">
        <v>-1.6377260977822151E-2</v>
      </c>
      <c r="BK25" s="26">
        <v>2.0840371600260421E-2</v>
      </c>
      <c r="BL25" s="26">
        <v>4.4975872102114713E-2</v>
      </c>
      <c r="BM25" s="26">
        <v>2.3954306081863871E-2</v>
      </c>
      <c r="BN25" s="26">
        <v>3.0239101391442601E-2</v>
      </c>
      <c r="BO25" s="26">
        <v>-4.372588759108751E-2</v>
      </c>
      <c r="BP25" s="26">
        <v>2.1889469568198618E-2</v>
      </c>
      <c r="BQ25" s="26">
        <v>8.6274302635084028E-3</v>
      </c>
      <c r="BR25" s="26">
        <v>-1.9192953994658781E-2</v>
      </c>
      <c r="BS25" s="26">
        <v>1.973512988813305E-2</v>
      </c>
      <c r="BT25" s="26">
        <v>4.7694337483699438E-2</v>
      </c>
      <c r="BU25" s="26">
        <v>1.145481680658339E-2</v>
      </c>
      <c r="BV25" s="26">
        <v>4.3228620735213191E-2</v>
      </c>
      <c r="BW25" s="26">
        <v>-4.2747430436922793E-2</v>
      </c>
      <c r="BX25" s="26">
        <v>-1.781129242779457E-2</v>
      </c>
      <c r="BY25" s="26">
        <v>-0.1511530968690756</v>
      </c>
      <c r="BZ25" s="26">
        <v>0.12422400361957529</v>
      </c>
      <c r="CA25" s="26">
        <v>-4.5572538445296431E-3</v>
      </c>
      <c r="CB25" s="26">
        <v>6.0211240204911178E-2</v>
      </c>
      <c r="CC25" s="26">
        <v>8.5992033482502284E-2</v>
      </c>
      <c r="CD25" s="26">
        <v>-5.8084795823660634E-3</v>
      </c>
      <c r="CE25" s="26">
        <v>-6.0413469889680736E-3</v>
      </c>
      <c r="CF25" s="26">
        <v>2.4523243722520739E-3</v>
      </c>
      <c r="CG25" s="26">
        <v>8.963625193702289E-2</v>
      </c>
      <c r="CH25" s="26">
        <v>7.099273252675789E-2</v>
      </c>
      <c r="CI25" s="26">
        <v>2.7170642901783448E-2</v>
      </c>
      <c r="CJ25" s="26">
        <v>5.2468428425330033E-2</v>
      </c>
      <c r="CK25" s="26">
        <v>2.9480660943049509E-2</v>
      </c>
      <c r="CL25" s="26">
        <v>6.6825081060201283E-2</v>
      </c>
      <c r="CM25" s="26">
        <v>-2.8772229019816971E-2</v>
      </c>
      <c r="CN25" s="26">
        <v>3.9462515901637851E-2</v>
      </c>
      <c r="CO25" s="26">
        <v>-2.9031086977359909E-2</v>
      </c>
      <c r="CP25" s="26">
        <v>1.3983882519467901E-2</v>
      </c>
      <c r="CQ25" s="26">
        <v>-3.2276964959333833E-2</v>
      </c>
      <c r="CR25" s="26">
        <v>3.1035766128940231E-3</v>
      </c>
      <c r="CS25" s="26">
        <v>2.5591855767083171E-2</v>
      </c>
      <c r="CT25" s="26">
        <v>4.4391886287193302E-2</v>
      </c>
      <c r="CU25" s="26">
        <v>-3.0338958549577438E-2</v>
      </c>
      <c r="CV25" s="26">
        <v>-1.2579764545717069E-3</v>
      </c>
      <c r="CW25" s="26">
        <v>2.336356455857952E-3</v>
      </c>
      <c r="CX25" s="26">
        <v>-6.4264144925906069E-2</v>
      </c>
      <c r="CY25" s="26">
        <v>1.2909779458992439E-2</v>
      </c>
      <c r="CZ25" s="26">
        <v>-0.12547709467085871</v>
      </c>
      <c r="DA25" s="26">
        <v>1.1690682939792569E-2</v>
      </c>
      <c r="DB25" s="26">
        <v>6.3378437007417512E-3</v>
      </c>
      <c r="DC25" s="26">
        <v>-0.1173053564693855</v>
      </c>
      <c r="DD25" s="26">
        <v>-3.6010872049446613E-2</v>
      </c>
      <c r="DE25" s="26">
        <v>0.1389113040722679</v>
      </c>
      <c r="DF25" s="26">
        <v>-5.1143506226105737E-2</v>
      </c>
      <c r="DG25" s="26">
        <v>7.6731447181969059E-2</v>
      </c>
      <c r="DH25" s="26">
        <v>1.550878219700816E-2</v>
      </c>
      <c r="DI25" s="26">
        <v>2.3223773674755831E-2</v>
      </c>
      <c r="DJ25" s="26">
        <v>-1.8372876361227891E-2</v>
      </c>
      <c r="DK25" s="26">
        <v>6.2199014085099431E-2</v>
      </c>
      <c r="DL25" s="26">
        <v>2.0098304486957191E-2</v>
      </c>
      <c r="DM25" s="26">
        <v>1.349893974806809E-2</v>
      </c>
      <c r="DN25" s="26">
        <v>-3.025221272842088E-2</v>
      </c>
      <c r="DO25" s="26">
        <v>-1.7022835708053841E-2</v>
      </c>
      <c r="DP25" s="26">
        <v>-2.1788523272461981E-2</v>
      </c>
      <c r="DQ25" s="26">
        <v>8.5745624585137223E-2</v>
      </c>
      <c r="DR25" s="26">
        <v>2.8106743604973752E-2</v>
      </c>
      <c r="DS25" s="26">
        <v>-2.3031598073594501E-3</v>
      </c>
      <c r="DT25" s="26">
        <v>5.8471198131487503E-2</v>
      </c>
      <c r="DU25" s="26">
        <v>6.7658949048647651E-2</v>
      </c>
      <c r="DV25" s="26">
        <v>5.0207706404322644E-3</v>
      </c>
      <c r="DW25" s="26">
        <v>3.7416183675207063E-2</v>
      </c>
      <c r="DX25" s="26">
        <v>8.4111003746042121E-2</v>
      </c>
      <c r="DY25" s="26">
        <v>-3.6832398544012837E-2</v>
      </c>
      <c r="DZ25" s="26">
        <v>3.0917028169369942E-3</v>
      </c>
      <c r="EA25" s="26">
        <v>-1.957628214294549E-3</v>
      </c>
      <c r="EB25" s="26">
        <v>2.6459103603519739E-2</v>
      </c>
      <c r="EC25" s="26">
        <v>-2.4752538760690269E-2</v>
      </c>
      <c r="ED25" s="26">
        <v>3.4115490982559941E-2</v>
      </c>
      <c r="EE25" s="26">
        <v>2.1061973989032982E-2</v>
      </c>
      <c r="EF25" s="26">
        <v>-2.0277392706005919E-2</v>
      </c>
      <c r="EG25" s="3"/>
    </row>
    <row r="26" spans="1:137" ht="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3"/>
    </row>
    <row r="27" spans="1:137">
      <c r="C27" s="69">
        <v>1101</v>
      </c>
      <c r="D27" s="70">
        <v>2484</v>
      </c>
      <c r="E27" s="70">
        <v>1233</v>
      </c>
      <c r="F27" s="70">
        <v>2379</v>
      </c>
      <c r="G27" s="70">
        <v>2379</v>
      </c>
      <c r="H27" s="70">
        <v>2611</v>
      </c>
      <c r="I27" s="70">
        <v>2379</v>
      </c>
      <c r="J27" s="70">
        <v>2379</v>
      </c>
      <c r="K27" s="69">
        <v>1233</v>
      </c>
      <c r="L27" s="70">
        <v>2379</v>
      </c>
      <c r="M27" s="70">
        <v>2379</v>
      </c>
      <c r="N27" s="70">
        <v>2329</v>
      </c>
      <c r="O27" s="70">
        <v>3033</v>
      </c>
      <c r="P27" s="70">
        <v>4402</v>
      </c>
      <c r="Q27" s="70">
        <v>5515</v>
      </c>
      <c r="R27" s="70">
        <v>3024</v>
      </c>
      <c r="S27" s="70">
        <v>2464</v>
      </c>
      <c r="T27" s="70">
        <v>3024</v>
      </c>
      <c r="U27" s="70">
        <v>1233</v>
      </c>
      <c r="V27" s="70">
        <v>5521</v>
      </c>
      <c r="W27" s="70">
        <v>3024</v>
      </c>
      <c r="X27" s="70">
        <v>5521</v>
      </c>
      <c r="Y27" s="70">
        <v>5521</v>
      </c>
      <c r="Z27" s="70">
        <v>5521</v>
      </c>
      <c r="AA27" s="70">
        <v>5201</v>
      </c>
      <c r="AB27" s="70">
        <v>5201</v>
      </c>
      <c r="AC27" s="70">
        <v>5201</v>
      </c>
      <c r="AD27" s="70">
        <v>5521</v>
      </c>
      <c r="AE27" s="70">
        <v>3017</v>
      </c>
      <c r="AF27" s="70">
        <v>5521</v>
      </c>
      <c r="AG27" s="70">
        <v>3017</v>
      </c>
      <c r="AH27" s="70">
        <v>3033</v>
      </c>
      <c r="AI27" s="70">
        <v>3033</v>
      </c>
      <c r="AJ27" s="70">
        <v>2451</v>
      </c>
      <c r="AK27" s="70">
        <v>4413</v>
      </c>
      <c r="AL27" s="70">
        <v>4413</v>
      </c>
      <c r="AM27" s="70">
        <v>2451</v>
      </c>
      <c r="AN27" s="70">
        <v>2451</v>
      </c>
      <c r="AO27" s="70">
        <v>2451</v>
      </c>
      <c r="AP27" s="70">
        <v>2451</v>
      </c>
      <c r="AQ27" s="70">
        <v>2451</v>
      </c>
      <c r="AR27" s="70">
        <v>2451</v>
      </c>
      <c r="AS27" s="70">
        <v>2451</v>
      </c>
      <c r="AT27" s="70">
        <v>6101</v>
      </c>
      <c r="AU27" s="70">
        <v>6021</v>
      </c>
      <c r="AV27" s="70">
        <v>6186</v>
      </c>
      <c r="AW27" s="70">
        <v>6186</v>
      </c>
      <c r="AX27" s="70">
        <v>6186</v>
      </c>
      <c r="AY27" s="70">
        <v>6186</v>
      </c>
      <c r="AZ27" s="70">
        <v>6186</v>
      </c>
      <c r="BA27" s="70">
        <v>6186</v>
      </c>
      <c r="BB27" s="70">
        <v>5523</v>
      </c>
      <c r="BC27" s="70">
        <v>6186</v>
      </c>
      <c r="BD27" s="70">
        <v>8938</v>
      </c>
      <c r="BE27" s="70">
        <v>5523</v>
      </c>
      <c r="BF27" s="70">
        <v>6186</v>
      </c>
      <c r="BG27" s="70">
        <v>3051</v>
      </c>
      <c r="BH27" s="70">
        <v>6186</v>
      </c>
      <c r="BI27" s="70">
        <v>6186</v>
      </c>
      <c r="BJ27" s="70">
        <v>6186</v>
      </c>
      <c r="BK27" s="70">
        <v>6186</v>
      </c>
      <c r="BL27" s="69">
        <v>3005</v>
      </c>
      <c r="BM27" s="70">
        <v>2537</v>
      </c>
      <c r="BN27" s="70">
        <v>8927</v>
      </c>
      <c r="BO27" s="70">
        <v>2537</v>
      </c>
      <c r="BP27" s="70">
        <v>2537</v>
      </c>
      <c r="BQ27" s="70">
        <v>2537</v>
      </c>
      <c r="BR27" s="70">
        <v>6261</v>
      </c>
      <c r="BS27" s="70">
        <v>6261</v>
      </c>
      <c r="BT27" s="70">
        <v>5007</v>
      </c>
      <c r="BU27" s="70">
        <v>6242</v>
      </c>
      <c r="BV27" s="70">
        <v>6242</v>
      </c>
      <c r="BW27" s="70">
        <v>5345</v>
      </c>
      <c r="BX27" s="70">
        <v>8927</v>
      </c>
      <c r="BY27" s="70">
        <v>5345</v>
      </c>
      <c r="BZ27" s="70">
        <v>6242</v>
      </c>
      <c r="CA27" s="70">
        <v>6242</v>
      </c>
      <c r="CB27" s="70">
        <v>6242</v>
      </c>
      <c r="CC27" s="70">
        <v>1737</v>
      </c>
      <c r="CD27" s="70">
        <v>6242</v>
      </c>
      <c r="CE27" s="70">
        <v>8927</v>
      </c>
      <c r="CF27" s="70">
        <v>8927</v>
      </c>
      <c r="CG27" s="70">
        <v>6242</v>
      </c>
      <c r="CH27" s="70">
        <v>8074</v>
      </c>
      <c r="CI27" s="70">
        <v>8927</v>
      </c>
      <c r="CJ27" s="70">
        <v>6242</v>
      </c>
      <c r="CK27" s="70">
        <v>6242</v>
      </c>
      <c r="CL27" s="70">
        <v>6239</v>
      </c>
      <c r="CM27" s="70">
        <v>6242</v>
      </c>
      <c r="CN27" s="70">
        <v>6242</v>
      </c>
      <c r="CO27" s="70">
        <v>6242</v>
      </c>
      <c r="CP27" s="70">
        <v>3016</v>
      </c>
      <c r="CQ27" s="70">
        <v>6242</v>
      </c>
      <c r="CR27" s="70">
        <v>2493</v>
      </c>
      <c r="CS27" s="70">
        <v>6242</v>
      </c>
      <c r="CT27" s="70">
        <v>5371</v>
      </c>
      <c r="CU27" s="70">
        <v>5371</v>
      </c>
      <c r="CV27" s="70">
        <v>6237</v>
      </c>
      <c r="CW27" s="70">
        <v>5315</v>
      </c>
      <c r="CX27" s="70">
        <v>9904</v>
      </c>
      <c r="CY27" s="70">
        <v>9904</v>
      </c>
      <c r="CZ27" s="70">
        <v>5007</v>
      </c>
      <c r="DA27" s="70">
        <v>8072</v>
      </c>
      <c r="DB27" s="70">
        <v>9904</v>
      </c>
      <c r="DC27" s="70">
        <v>8072</v>
      </c>
      <c r="DD27" s="70">
        <v>2538</v>
      </c>
      <c r="DE27" s="70">
        <v>5371</v>
      </c>
      <c r="DF27" s="70">
        <v>8072</v>
      </c>
      <c r="DG27" s="70">
        <v>2538</v>
      </c>
      <c r="DH27" s="70">
        <v>2493</v>
      </c>
      <c r="DI27" s="70">
        <v>2493</v>
      </c>
      <c r="DJ27" s="70">
        <v>2493</v>
      </c>
      <c r="DK27" s="70">
        <v>2493</v>
      </c>
      <c r="DL27" s="70">
        <v>2538</v>
      </c>
      <c r="DM27" s="70">
        <v>2493</v>
      </c>
      <c r="DN27" s="70">
        <v>4402</v>
      </c>
      <c r="DO27" s="70">
        <v>2538</v>
      </c>
      <c r="DP27" s="70">
        <v>4402</v>
      </c>
      <c r="DQ27" s="70">
        <v>4402</v>
      </c>
      <c r="DR27" s="70">
        <v>4402</v>
      </c>
      <c r="DS27" s="70">
        <v>6291</v>
      </c>
      <c r="DT27" s="70">
        <v>3232</v>
      </c>
      <c r="DU27" s="70">
        <v>3232</v>
      </c>
      <c r="DV27" s="70">
        <v>3232</v>
      </c>
      <c r="DW27" s="70">
        <v>3232</v>
      </c>
      <c r="DX27" s="70">
        <v>6291</v>
      </c>
      <c r="DY27" s="70">
        <v>6291</v>
      </c>
      <c r="DZ27" s="70">
        <v>3232</v>
      </c>
      <c r="EA27" s="70">
        <v>3232</v>
      </c>
      <c r="EB27" s="70">
        <v>2538</v>
      </c>
      <c r="EC27" s="70">
        <v>3232</v>
      </c>
      <c r="ED27" s="70">
        <v>4402</v>
      </c>
      <c r="EE27" s="70">
        <v>2538</v>
      </c>
      <c r="EF27" s="70">
        <v>4402</v>
      </c>
    </row>
    <row r="28" spans="1:137" ht="16">
      <c r="A28" s="28"/>
      <c r="B28" s="28"/>
      <c r="C28" s="71" t="s">
        <v>171</v>
      </c>
      <c r="D28" s="72" t="s">
        <v>172</v>
      </c>
      <c r="E28" s="72" t="s">
        <v>173</v>
      </c>
      <c r="F28" s="72" t="s">
        <v>174</v>
      </c>
      <c r="G28" s="72" t="s">
        <v>174</v>
      </c>
      <c r="H28" s="72" t="s">
        <v>175</v>
      </c>
      <c r="I28" s="72" t="s">
        <v>174</v>
      </c>
      <c r="J28" s="72" t="s">
        <v>174</v>
      </c>
      <c r="K28" s="71" t="s">
        <v>173</v>
      </c>
      <c r="L28" s="72" t="s">
        <v>174</v>
      </c>
      <c r="M28" s="72" t="s">
        <v>174</v>
      </c>
      <c r="N28" s="72" t="s">
        <v>176</v>
      </c>
      <c r="O28" s="72" t="s">
        <v>177</v>
      </c>
      <c r="P28" s="72" t="s">
        <v>178</v>
      </c>
      <c r="Q28" s="72" t="s">
        <v>179</v>
      </c>
      <c r="R28" s="72" t="s">
        <v>180</v>
      </c>
      <c r="S28" s="72" t="s">
        <v>181</v>
      </c>
      <c r="T28" s="72" t="s">
        <v>180</v>
      </c>
      <c r="U28" s="72" t="s">
        <v>173</v>
      </c>
      <c r="V28" s="72" t="s">
        <v>182</v>
      </c>
      <c r="W28" s="72" t="s">
        <v>180</v>
      </c>
      <c r="X28" s="72" t="s">
        <v>182</v>
      </c>
      <c r="Y28" s="72" t="s">
        <v>182</v>
      </c>
      <c r="Z28" s="72" t="s">
        <v>182</v>
      </c>
      <c r="AA28" s="72" t="s">
        <v>183</v>
      </c>
      <c r="AB28" s="72" t="s">
        <v>183</v>
      </c>
      <c r="AC28" s="72" t="s">
        <v>183</v>
      </c>
      <c r="AD28" s="72" t="s">
        <v>182</v>
      </c>
      <c r="AE28" s="72" t="s">
        <v>184</v>
      </c>
      <c r="AF28" s="72" t="s">
        <v>182</v>
      </c>
      <c r="AG28" s="72" t="s">
        <v>184</v>
      </c>
      <c r="AH28" s="72" t="s">
        <v>177</v>
      </c>
      <c r="AI28" s="72" t="s">
        <v>177</v>
      </c>
      <c r="AJ28" s="72" t="s">
        <v>185</v>
      </c>
      <c r="AK28" s="72" t="s">
        <v>186</v>
      </c>
      <c r="AL28" s="72" t="s">
        <v>186</v>
      </c>
      <c r="AM28" s="72" t="s">
        <v>185</v>
      </c>
      <c r="AN28" s="72" t="s">
        <v>185</v>
      </c>
      <c r="AO28" s="72" t="s">
        <v>185</v>
      </c>
      <c r="AP28" s="72" t="s">
        <v>185</v>
      </c>
      <c r="AQ28" s="72" t="s">
        <v>185</v>
      </c>
      <c r="AR28" s="72" t="s">
        <v>185</v>
      </c>
      <c r="AS28" s="72" t="s">
        <v>185</v>
      </c>
      <c r="AT28" s="72" t="s">
        <v>187</v>
      </c>
      <c r="AU28" s="72" t="s">
        <v>188</v>
      </c>
      <c r="AV28" s="72" t="s">
        <v>189</v>
      </c>
      <c r="AW28" s="72" t="s">
        <v>189</v>
      </c>
      <c r="AX28" s="72" t="s">
        <v>189</v>
      </c>
      <c r="AY28" s="72" t="s">
        <v>189</v>
      </c>
      <c r="AZ28" s="72" t="s">
        <v>189</v>
      </c>
      <c r="BA28" s="72" t="s">
        <v>189</v>
      </c>
      <c r="BB28" s="72" t="s">
        <v>190</v>
      </c>
      <c r="BC28" s="72" t="s">
        <v>189</v>
      </c>
      <c r="BD28" s="72" t="s">
        <v>191</v>
      </c>
      <c r="BE28" s="72" t="s">
        <v>190</v>
      </c>
      <c r="BF28" s="72" t="s">
        <v>189</v>
      </c>
      <c r="BG28" s="72" t="s">
        <v>192</v>
      </c>
      <c r="BH28" s="72" t="s">
        <v>189</v>
      </c>
      <c r="BI28" s="72" t="s">
        <v>189</v>
      </c>
      <c r="BJ28" s="72" t="s">
        <v>189</v>
      </c>
      <c r="BK28" s="72" t="s">
        <v>189</v>
      </c>
      <c r="BL28" s="72" t="s">
        <v>193</v>
      </c>
      <c r="BM28" s="72" t="s">
        <v>194</v>
      </c>
      <c r="BN28" s="72" t="s">
        <v>195</v>
      </c>
      <c r="BO28" s="72" t="s">
        <v>194</v>
      </c>
      <c r="BP28" s="72" t="s">
        <v>194</v>
      </c>
      <c r="BQ28" s="72" t="s">
        <v>194</v>
      </c>
      <c r="BR28" s="72" t="s">
        <v>196</v>
      </c>
      <c r="BS28" s="72" t="s">
        <v>196</v>
      </c>
      <c r="BT28" s="72" t="s">
        <v>197</v>
      </c>
      <c r="BU28" s="72" t="s">
        <v>198</v>
      </c>
      <c r="BV28" s="72" t="s">
        <v>198</v>
      </c>
      <c r="BW28" s="72" t="s">
        <v>199</v>
      </c>
      <c r="BX28" s="72" t="s">
        <v>195</v>
      </c>
      <c r="BY28" s="72" t="s">
        <v>199</v>
      </c>
      <c r="BZ28" s="72" t="s">
        <v>198</v>
      </c>
      <c r="CA28" s="72" t="s">
        <v>198</v>
      </c>
      <c r="CB28" s="72" t="s">
        <v>198</v>
      </c>
      <c r="CC28" s="72" t="s">
        <v>200</v>
      </c>
      <c r="CD28" s="72" t="s">
        <v>198</v>
      </c>
      <c r="CE28" s="72" t="s">
        <v>195</v>
      </c>
      <c r="CF28" s="72" t="s">
        <v>195</v>
      </c>
      <c r="CG28" s="72" t="s">
        <v>198</v>
      </c>
      <c r="CH28" s="72" t="s">
        <v>201</v>
      </c>
      <c r="CI28" s="72" t="s">
        <v>195</v>
      </c>
      <c r="CJ28" s="72" t="s">
        <v>198</v>
      </c>
      <c r="CK28" s="72" t="s">
        <v>198</v>
      </c>
      <c r="CL28" s="72" t="s">
        <v>202</v>
      </c>
      <c r="CM28" s="72" t="s">
        <v>198</v>
      </c>
      <c r="CN28" s="72" t="s">
        <v>198</v>
      </c>
      <c r="CO28" s="72" t="s">
        <v>198</v>
      </c>
      <c r="CP28" s="72" t="s">
        <v>203</v>
      </c>
      <c r="CQ28" s="72" t="s">
        <v>198</v>
      </c>
      <c r="CR28" s="72" t="s">
        <v>204</v>
      </c>
      <c r="CS28" s="72" t="s">
        <v>198</v>
      </c>
      <c r="CT28" s="72" t="s">
        <v>205</v>
      </c>
      <c r="CU28" s="72" t="s">
        <v>205</v>
      </c>
      <c r="CV28" s="72" t="s">
        <v>206</v>
      </c>
      <c r="CW28" s="72" t="s">
        <v>207</v>
      </c>
      <c r="CX28" s="72" t="s">
        <v>208</v>
      </c>
      <c r="CY28" s="72" t="s">
        <v>208</v>
      </c>
      <c r="CZ28" s="72" t="s">
        <v>197</v>
      </c>
      <c r="DA28" s="72" t="s">
        <v>209</v>
      </c>
      <c r="DB28" s="72" t="s">
        <v>208</v>
      </c>
      <c r="DC28" s="72" t="s">
        <v>209</v>
      </c>
      <c r="DD28" s="72" t="s">
        <v>210</v>
      </c>
      <c r="DE28" s="72" t="s">
        <v>205</v>
      </c>
      <c r="DF28" s="72" t="s">
        <v>209</v>
      </c>
      <c r="DG28" s="72" t="s">
        <v>210</v>
      </c>
      <c r="DH28" s="72" t="s">
        <v>204</v>
      </c>
      <c r="DI28" s="72" t="s">
        <v>204</v>
      </c>
      <c r="DJ28" s="72" t="s">
        <v>204</v>
      </c>
      <c r="DK28" s="72" t="s">
        <v>204</v>
      </c>
      <c r="DL28" s="72" t="s">
        <v>210</v>
      </c>
      <c r="DM28" s="72" t="s">
        <v>204</v>
      </c>
      <c r="DN28" s="72" t="s">
        <v>178</v>
      </c>
      <c r="DO28" s="72" t="s">
        <v>210</v>
      </c>
      <c r="DP28" s="72" t="s">
        <v>178</v>
      </c>
      <c r="DQ28" s="72" t="s">
        <v>178</v>
      </c>
      <c r="DR28" s="72" t="s">
        <v>178</v>
      </c>
      <c r="DS28" s="72" t="s">
        <v>211</v>
      </c>
      <c r="DT28" s="72" t="s">
        <v>212</v>
      </c>
      <c r="DU28" s="72" t="s">
        <v>212</v>
      </c>
      <c r="DV28" s="72" t="s">
        <v>212</v>
      </c>
      <c r="DW28" s="72" t="s">
        <v>212</v>
      </c>
      <c r="DX28" s="72" t="s">
        <v>211</v>
      </c>
      <c r="DY28" s="72" t="s">
        <v>211</v>
      </c>
      <c r="DZ28" s="72" t="s">
        <v>212</v>
      </c>
      <c r="EA28" s="72" t="s">
        <v>212</v>
      </c>
      <c r="EB28" s="72" t="s">
        <v>210</v>
      </c>
      <c r="EC28" s="72" t="s">
        <v>212</v>
      </c>
      <c r="ED28" s="72" t="s">
        <v>178</v>
      </c>
      <c r="EE28" s="72" t="s">
        <v>210</v>
      </c>
      <c r="EF28" s="72" t="s">
        <v>178</v>
      </c>
    </row>
    <row r="29" spans="1:137">
      <c r="C29" s="69">
        <v>9951</v>
      </c>
      <c r="D29" s="70">
        <v>3219</v>
      </c>
      <c r="E29" s="70">
        <v>2328</v>
      </c>
      <c r="F29" s="70">
        <v>2002</v>
      </c>
      <c r="G29" s="70">
        <v>2002</v>
      </c>
      <c r="H29" s="70">
        <v>2489</v>
      </c>
      <c r="I29" s="70">
        <v>1805</v>
      </c>
      <c r="J29" s="70">
        <v>1440</v>
      </c>
      <c r="K29" s="69">
        <v>2328</v>
      </c>
      <c r="L29" s="70">
        <v>9904</v>
      </c>
      <c r="M29" s="70">
        <v>9904</v>
      </c>
      <c r="N29" s="70">
        <v>9904</v>
      </c>
      <c r="O29" s="70">
        <v>2524</v>
      </c>
      <c r="P29" s="70">
        <v>2328</v>
      </c>
      <c r="Q29" s="70">
        <v>2328</v>
      </c>
      <c r="R29" s="70">
        <v>2524</v>
      </c>
      <c r="S29" s="70">
        <v>1473</v>
      </c>
      <c r="T29" s="70">
        <v>2524</v>
      </c>
      <c r="U29" s="70">
        <v>2328</v>
      </c>
      <c r="V29" s="70">
        <v>2328</v>
      </c>
      <c r="W29" s="70">
        <v>2524</v>
      </c>
      <c r="X29" s="70">
        <v>2328</v>
      </c>
      <c r="Y29" s="70">
        <v>2328</v>
      </c>
      <c r="Z29" s="70">
        <v>2328</v>
      </c>
      <c r="AA29" s="70">
        <v>2524</v>
      </c>
      <c r="AB29" s="70">
        <v>2524</v>
      </c>
      <c r="AC29" s="70">
        <v>2524</v>
      </c>
      <c r="AD29" s="70">
        <v>2328</v>
      </c>
      <c r="AE29" s="70">
        <v>2524</v>
      </c>
      <c r="AF29" s="70">
        <v>2328</v>
      </c>
      <c r="AG29" s="70">
        <v>2524</v>
      </c>
      <c r="AH29" s="70">
        <v>2527</v>
      </c>
      <c r="AI29" s="70">
        <v>2524</v>
      </c>
      <c r="AJ29" s="70">
        <v>2002</v>
      </c>
      <c r="AK29" s="70">
        <v>2328</v>
      </c>
      <c r="AL29" s="70">
        <v>2328</v>
      </c>
      <c r="AM29" s="70">
        <v>2538</v>
      </c>
      <c r="AN29" s="70">
        <v>2022</v>
      </c>
      <c r="AO29" s="70">
        <v>2023</v>
      </c>
      <c r="AP29" s="70">
        <v>2023</v>
      </c>
      <c r="AQ29" s="70">
        <v>2023</v>
      </c>
      <c r="AR29" s="70">
        <v>2023</v>
      </c>
      <c r="AS29" s="70">
        <v>2022</v>
      </c>
      <c r="AT29" s="70">
        <v>2538</v>
      </c>
      <c r="AU29" s="70">
        <v>2538</v>
      </c>
      <c r="AV29" s="70">
        <v>2538</v>
      </c>
      <c r="AW29" s="70">
        <v>2527</v>
      </c>
      <c r="AX29" s="70">
        <v>2527</v>
      </c>
      <c r="AY29" s="70">
        <v>2527</v>
      </c>
      <c r="AZ29" s="70">
        <v>2527</v>
      </c>
      <c r="BA29" s="70">
        <v>2527</v>
      </c>
      <c r="BB29" s="70">
        <v>2328</v>
      </c>
      <c r="BC29" s="70">
        <v>2527</v>
      </c>
      <c r="BD29" s="70">
        <v>2527</v>
      </c>
      <c r="BE29" s="70">
        <v>2328</v>
      </c>
      <c r="BF29" s="70">
        <v>2524</v>
      </c>
      <c r="BG29" s="70">
        <v>5523</v>
      </c>
      <c r="BH29" s="70">
        <v>1785</v>
      </c>
      <c r="BI29" s="70">
        <v>1785</v>
      </c>
      <c r="BJ29" s="70">
        <v>1785</v>
      </c>
      <c r="BK29" s="70">
        <v>1785</v>
      </c>
      <c r="BL29" s="69">
        <v>1785</v>
      </c>
      <c r="BM29" s="70">
        <v>1785</v>
      </c>
      <c r="BN29" s="70">
        <v>2328</v>
      </c>
      <c r="BO29" s="70">
        <v>1785</v>
      </c>
      <c r="BP29" s="70">
        <v>1785</v>
      </c>
      <c r="BQ29" s="70">
        <v>1785</v>
      </c>
      <c r="BR29" s="70">
        <v>1785</v>
      </c>
      <c r="BS29" s="70">
        <v>1785</v>
      </c>
      <c r="BT29" s="70">
        <v>2328</v>
      </c>
      <c r="BU29" s="70">
        <v>2488</v>
      </c>
      <c r="BV29" s="70">
        <v>2488</v>
      </c>
      <c r="BW29" s="70">
        <v>2328</v>
      </c>
      <c r="BX29" s="70">
        <v>2328</v>
      </c>
      <c r="BY29" s="70">
        <v>2328</v>
      </c>
      <c r="BZ29" s="70">
        <v>2504</v>
      </c>
      <c r="CA29" s="70">
        <v>4205</v>
      </c>
      <c r="CB29" s="70">
        <v>4205</v>
      </c>
      <c r="CC29" s="70">
        <v>5345</v>
      </c>
      <c r="CD29" s="70">
        <v>4205</v>
      </c>
      <c r="CE29" s="70">
        <v>2328</v>
      </c>
      <c r="CF29" s="70">
        <v>2328</v>
      </c>
      <c r="CG29" s="70">
        <v>5315</v>
      </c>
      <c r="CH29" s="70">
        <v>8066</v>
      </c>
      <c r="CI29" s="70">
        <v>2328</v>
      </c>
      <c r="CJ29" s="70">
        <v>5315</v>
      </c>
      <c r="CK29" s="70">
        <v>4205</v>
      </c>
      <c r="CL29" s="70">
        <v>2328</v>
      </c>
      <c r="CM29" s="70">
        <v>4205</v>
      </c>
      <c r="CN29" s="70">
        <v>4205</v>
      </c>
      <c r="CO29" s="70">
        <v>1436</v>
      </c>
      <c r="CP29" s="70">
        <v>6128</v>
      </c>
      <c r="CQ29" s="70">
        <v>4207</v>
      </c>
      <c r="CR29" s="70">
        <v>2328</v>
      </c>
      <c r="CS29" s="70">
        <v>4205</v>
      </c>
      <c r="CT29" s="70">
        <v>4205</v>
      </c>
      <c r="CU29" s="70">
        <v>4205</v>
      </c>
      <c r="CV29" s="70">
        <v>2328</v>
      </c>
      <c r="CW29" s="70">
        <v>2328</v>
      </c>
      <c r="CX29" s="70">
        <v>2328</v>
      </c>
      <c r="CY29" s="70">
        <v>2328</v>
      </c>
      <c r="CZ29" s="70">
        <v>2328</v>
      </c>
      <c r="DA29" s="70">
        <v>2809</v>
      </c>
      <c r="DB29" s="70">
        <v>2328</v>
      </c>
      <c r="DC29" s="70">
        <v>4205</v>
      </c>
      <c r="DD29" s="70">
        <v>2328</v>
      </c>
      <c r="DE29" s="70">
        <v>5306</v>
      </c>
      <c r="DF29" s="70">
        <v>8074</v>
      </c>
      <c r="DG29" s="70">
        <v>2328</v>
      </c>
      <c r="DH29" s="70">
        <v>4205</v>
      </c>
      <c r="DI29" s="70">
        <v>5340</v>
      </c>
      <c r="DJ29" s="70">
        <v>4205</v>
      </c>
      <c r="DK29" s="70">
        <v>4205</v>
      </c>
      <c r="DL29" s="70">
        <v>2328</v>
      </c>
      <c r="DM29" s="70">
        <v>3232</v>
      </c>
      <c r="DN29" s="70">
        <v>8074</v>
      </c>
      <c r="DO29" s="70">
        <v>2328</v>
      </c>
      <c r="DP29" s="70">
        <v>8074</v>
      </c>
      <c r="DQ29" s="70">
        <v>8074</v>
      </c>
      <c r="DR29" s="70">
        <v>8074</v>
      </c>
      <c r="DS29" s="70">
        <v>2328</v>
      </c>
      <c r="DT29" s="70">
        <v>2434</v>
      </c>
      <c r="DU29" s="70">
        <v>2434</v>
      </c>
      <c r="DV29" s="70">
        <v>3049</v>
      </c>
      <c r="DW29" s="70">
        <v>2434</v>
      </c>
      <c r="DX29" s="70">
        <v>2434</v>
      </c>
      <c r="DY29" s="70">
        <v>2434</v>
      </c>
      <c r="DZ29" s="70">
        <v>2434</v>
      </c>
      <c r="EA29" s="70">
        <v>2434</v>
      </c>
      <c r="EB29" s="70">
        <v>2328</v>
      </c>
      <c r="EC29" s="70">
        <v>3049</v>
      </c>
      <c r="ED29" s="70">
        <v>4205</v>
      </c>
      <c r="EE29" s="70">
        <v>2328</v>
      </c>
      <c r="EF29" s="70">
        <v>1454</v>
      </c>
    </row>
    <row r="30" spans="1:137">
      <c r="C30" s="69" t="s">
        <v>213</v>
      </c>
      <c r="D30" s="70" t="s">
        <v>214</v>
      </c>
      <c r="E30" s="70" t="s">
        <v>215</v>
      </c>
      <c r="F30" s="70" t="s">
        <v>216</v>
      </c>
      <c r="G30" s="70" t="s">
        <v>216</v>
      </c>
      <c r="H30" s="70" t="s">
        <v>217</v>
      </c>
      <c r="I30" s="70" t="s">
        <v>218</v>
      </c>
      <c r="J30" s="70" t="s">
        <v>219</v>
      </c>
      <c r="K30" s="69" t="s">
        <v>215</v>
      </c>
      <c r="L30" s="70" t="s">
        <v>208</v>
      </c>
      <c r="M30" s="70" t="s">
        <v>208</v>
      </c>
      <c r="N30" s="70" t="s">
        <v>208</v>
      </c>
      <c r="O30" s="70" t="s">
        <v>220</v>
      </c>
      <c r="P30" s="70" t="s">
        <v>215</v>
      </c>
      <c r="Q30" s="70" t="s">
        <v>215</v>
      </c>
      <c r="R30" s="70" t="s">
        <v>220</v>
      </c>
      <c r="S30" s="70" t="s">
        <v>221</v>
      </c>
      <c r="T30" s="70" t="s">
        <v>220</v>
      </c>
      <c r="U30" s="70" t="s">
        <v>215</v>
      </c>
      <c r="V30" s="70" t="s">
        <v>215</v>
      </c>
      <c r="W30" s="70" t="s">
        <v>220</v>
      </c>
      <c r="X30" s="70" t="s">
        <v>215</v>
      </c>
      <c r="Y30" s="70" t="s">
        <v>215</v>
      </c>
      <c r="Z30" s="70" t="s">
        <v>215</v>
      </c>
      <c r="AA30" s="70" t="s">
        <v>220</v>
      </c>
      <c r="AB30" s="70" t="s">
        <v>220</v>
      </c>
      <c r="AC30" s="70" t="s">
        <v>220</v>
      </c>
      <c r="AD30" s="70" t="s">
        <v>215</v>
      </c>
      <c r="AE30" s="70" t="s">
        <v>220</v>
      </c>
      <c r="AF30" s="70" t="s">
        <v>215</v>
      </c>
      <c r="AG30" s="70" t="s">
        <v>220</v>
      </c>
      <c r="AH30" s="70" t="s">
        <v>222</v>
      </c>
      <c r="AI30" s="70" t="s">
        <v>220</v>
      </c>
      <c r="AJ30" s="70" t="s">
        <v>216</v>
      </c>
      <c r="AK30" s="70" t="s">
        <v>215</v>
      </c>
      <c r="AL30" s="70" t="s">
        <v>215</v>
      </c>
      <c r="AM30" s="70" t="s">
        <v>210</v>
      </c>
      <c r="AN30" s="70" t="s">
        <v>223</v>
      </c>
      <c r="AO30" s="70" t="s">
        <v>224</v>
      </c>
      <c r="AP30" s="70" t="s">
        <v>224</v>
      </c>
      <c r="AQ30" s="70" t="s">
        <v>224</v>
      </c>
      <c r="AR30" s="70" t="s">
        <v>224</v>
      </c>
      <c r="AS30" s="70" t="s">
        <v>223</v>
      </c>
      <c r="AT30" s="70" t="s">
        <v>210</v>
      </c>
      <c r="AU30" s="70" t="s">
        <v>210</v>
      </c>
      <c r="AV30" s="70" t="s">
        <v>210</v>
      </c>
      <c r="AW30" s="70" t="s">
        <v>222</v>
      </c>
      <c r="AX30" s="70" t="s">
        <v>222</v>
      </c>
      <c r="AY30" s="70" t="s">
        <v>222</v>
      </c>
      <c r="AZ30" s="70" t="s">
        <v>222</v>
      </c>
      <c r="BA30" s="70" t="s">
        <v>222</v>
      </c>
      <c r="BB30" s="70" t="s">
        <v>215</v>
      </c>
      <c r="BC30" s="70" t="s">
        <v>222</v>
      </c>
      <c r="BD30" s="70" t="s">
        <v>222</v>
      </c>
      <c r="BE30" s="70" t="s">
        <v>215</v>
      </c>
      <c r="BF30" s="70" t="s">
        <v>220</v>
      </c>
      <c r="BG30" s="70" t="s">
        <v>190</v>
      </c>
      <c r="BH30" s="70" t="s">
        <v>225</v>
      </c>
      <c r="BI30" s="70" t="s">
        <v>225</v>
      </c>
      <c r="BJ30" s="70" t="s">
        <v>225</v>
      </c>
      <c r="BK30" s="70" t="s">
        <v>225</v>
      </c>
      <c r="BL30" s="69" t="s">
        <v>225</v>
      </c>
      <c r="BM30" s="70" t="s">
        <v>225</v>
      </c>
      <c r="BN30" s="70" t="s">
        <v>215</v>
      </c>
      <c r="BO30" s="70" t="s">
        <v>225</v>
      </c>
      <c r="BP30" s="70" t="s">
        <v>225</v>
      </c>
      <c r="BQ30" s="70" t="s">
        <v>225</v>
      </c>
      <c r="BR30" s="70" t="s">
        <v>225</v>
      </c>
      <c r="BS30" s="70" t="s">
        <v>225</v>
      </c>
      <c r="BT30" s="70" t="s">
        <v>215</v>
      </c>
      <c r="BU30" s="70" t="s">
        <v>226</v>
      </c>
      <c r="BV30" s="70" t="s">
        <v>226</v>
      </c>
      <c r="BW30" s="70" t="s">
        <v>215</v>
      </c>
      <c r="BX30" s="70" t="s">
        <v>215</v>
      </c>
      <c r="BY30" s="70" t="s">
        <v>215</v>
      </c>
      <c r="BZ30" s="70" t="s">
        <v>227</v>
      </c>
      <c r="CA30" s="70" t="s">
        <v>228</v>
      </c>
      <c r="CB30" s="70" t="s">
        <v>228</v>
      </c>
      <c r="CC30" s="70" t="s">
        <v>199</v>
      </c>
      <c r="CD30" s="70" t="s">
        <v>228</v>
      </c>
      <c r="CE30" s="70" t="s">
        <v>215</v>
      </c>
      <c r="CF30" s="70" t="s">
        <v>215</v>
      </c>
      <c r="CG30" s="70" t="s">
        <v>207</v>
      </c>
      <c r="CH30" s="70" t="s">
        <v>229</v>
      </c>
      <c r="CI30" s="70" t="s">
        <v>215</v>
      </c>
      <c r="CJ30" s="70" t="s">
        <v>207</v>
      </c>
      <c r="CK30" s="70" t="s">
        <v>228</v>
      </c>
      <c r="CL30" s="70" t="s">
        <v>215</v>
      </c>
      <c r="CM30" s="70" t="s">
        <v>228</v>
      </c>
      <c r="CN30" s="70" t="s">
        <v>228</v>
      </c>
      <c r="CO30" s="70" t="s">
        <v>230</v>
      </c>
      <c r="CP30" s="70" t="s">
        <v>231</v>
      </c>
      <c r="CQ30" s="70" t="s">
        <v>232</v>
      </c>
      <c r="CR30" s="70" t="s">
        <v>215</v>
      </c>
      <c r="CS30" s="70" t="s">
        <v>228</v>
      </c>
      <c r="CT30" s="70" t="s">
        <v>228</v>
      </c>
      <c r="CU30" s="70" t="s">
        <v>228</v>
      </c>
      <c r="CV30" s="70" t="s">
        <v>215</v>
      </c>
      <c r="CW30" s="70" t="s">
        <v>215</v>
      </c>
      <c r="CX30" s="70" t="s">
        <v>215</v>
      </c>
      <c r="CY30" s="70" t="s">
        <v>215</v>
      </c>
      <c r="CZ30" s="70" t="s">
        <v>215</v>
      </c>
      <c r="DA30" s="70" t="s">
        <v>233</v>
      </c>
      <c r="DB30" s="70" t="s">
        <v>215</v>
      </c>
      <c r="DC30" s="70" t="s">
        <v>228</v>
      </c>
      <c r="DD30" s="70" t="s">
        <v>215</v>
      </c>
      <c r="DE30" s="70" t="s">
        <v>234</v>
      </c>
      <c r="DF30" s="70" t="s">
        <v>201</v>
      </c>
      <c r="DG30" s="70" t="s">
        <v>215</v>
      </c>
      <c r="DH30" s="70" t="s">
        <v>228</v>
      </c>
      <c r="DI30" s="70" t="s">
        <v>235</v>
      </c>
      <c r="DJ30" s="70" t="s">
        <v>228</v>
      </c>
      <c r="DK30" s="70" t="s">
        <v>228</v>
      </c>
      <c r="DL30" s="70" t="s">
        <v>215</v>
      </c>
      <c r="DM30" s="70" t="s">
        <v>212</v>
      </c>
      <c r="DN30" s="70" t="s">
        <v>201</v>
      </c>
      <c r="DO30" s="70" t="s">
        <v>215</v>
      </c>
      <c r="DP30" s="70" t="s">
        <v>201</v>
      </c>
      <c r="DQ30" s="70" t="s">
        <v>201</v>
      </c>
      <c r="DR30" s="70" t="s">
        <v>201</v>
      </c>
      <c r="DS30" s="70" t="s">
        <v>215</v>
      </c>
      <c r="DT30" s="70" t="s">
        <v>236</v>
      </c>
      <c r="DU30" s="70" t="s">
        <v>236</v>
      </c>
      <c r="DV30" s="70" t="s">
        <v>237</v>
      </c>
      <c r="DW30" s="70" t="s">
        <v>236</v>
      </c>
      <c r="DX30" s="70" t="s">
        <v>236</v>
      </c>
      <c r="DY30" s="70" t="s">
        <v>236</v>
      </c>
      <c r="DZ30" s="70" t="s">
        <v>236</v>
      </c>
      <c r="EA30" s="70" t="s">
        <v>236</v>
      </c>
      <c r="EB30" s="70" t="s">
        <v>215</v>
      </c>
      <c r="EC30" s="70" t="s">
        <v>237</v>
      </c>
      <c r="ED30" s="70" t="s">
        <v>228</v>
      </c>
      <c r="EE30" s="70" t="s">
        <v>215</v>
      </c>
      <c r="EF30" s="70" t="s">
        <v>238</v>
      </c>
    </row>
  </sheetData>
  <mergeCells count="2">
    <mergeCell ref="A6:B6"/>
    <mergeCell ref="A10:B10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H28"/>
  <sheetViews>
    <sheetView topLeftCell="DL13" zoomScale="81" workbookViewId="0">
      <selection activeCell="EG11" sqref="EG11:EH24"/>
    </sheetView>
  </sheetViews>
  <sheetFormatPr baseColWidth="10" defaultColWidth="8.83203125" defaultRowHeight="15"/>
  <cols>
    <col min="1" max="1" width="8.33203125" style="27" customWidth="1"/>
    <col min="2" max="3" width="9.33203125" style="27" customWidth="1"/>
    <col min="11" max="11" width="8.1640625" style="27" customWidth="1"/>
    <col min="64" max="64" width="8.33203125" style="27" customWidth="1"/>
  </cols>
  <sheetData>
    <row r="1" spans="1:138" ht="16">
      <c r="A1" s="15" t="s">
        <v>147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2" spans="1:138" ht="16">
      <c r="A2" s="4"/>
      <c r="B2" s="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18</v>
      </c>
      <c r="T2" s="16" t="s">
        <v>19</v>
      </c>
      <c r="U2" s="16" t="s">
        <v>20</v>
      </c>
      <c r="V2" s="16" t="s">
        <v>21</v>
      </c>
      <c r="W2" s="16" t="s">
        <v>22</v>
      </c>
      <c r="X2" s="16" t="s">
        <v>23</v>
      </c>
      <c r="Y2" s="16" t="s">
        <v>24</v>
      </c>
      <c r="Z2" s="16" t="s">
        <v>25</v>
      </c>
      <c r="AA2" s="16" t="s">
        <v>26</v>
      </c>
      <c r="AB2" s="16" t="s">
        <v>27</v>
      </c>
      <c r="AC2" s="16" t="s">
        <v>28</v>
      </c>
      <c r="AD2" s="16" t="s">
        <v>29</v>
      </c>
      <c r="AE2" s="16" t="s">
        <v>30</v>
      </c>
      <c r="AF2" s="16" t="s">
        <v>31</v>
      </c>
      <c r="AG2" s="16" t="s">
        <v>32</v>
      </c>
      <c r="AH2" s="16" t="s">
        <v>33</v>
      </c>
      <c r="AI2" s="16" t="s">
        <v>34</v>
      </c>
      <c r="AJ2" s="16" t="s">
        <v>35</v>
      </c>
      <c r="AK2" s="16" t="s">
        <v>36</v>
      </c>
      <c r="AL2" s="16" t="s">
        <v>37</v>
      </c>
      <c r="AM2" s="16" t="s">
        <v>38</v>
      </c>
      <c r="AN2" s="16" t="s">
        <v>39</v>
      </c>
      <c r="AO2" s="16" t="s">
        <v>40</v>
      </c>
      <c r="AP2" s="16" t="s">
        <v>41</v>
      </c>
      <c r="AQ2" s="16" t="s">
        <v>42</v>
      </c>
      <c r="AR2" s="16" t="s">
        <v>43</v>
      </c>
      <c r="AS2" s="16" t="s">
        <v>44</v>
      </c>
      <c r="AT2" s="16" t="s">
        <v>45</v>
      </c>
      <c r="AU2" s="16" t="s">
        <v>46</v>
      </c>
      <c r="AV2" s="16" t="s">
        <v>47</v>
      </c>
      <c r="AW2" s="16" t="s">
        <v>48</v>
      </c>
      <c r="AX2" s="16" t="s">
        <v>49</v>
      </c>
      <c r="AY2" s="16" t="s">
        <v>50</v>
      </c>
      <c r="AZ2" s="16" t="s">
        <v>51</v>
      </c>
      <c r="BA2" s="16" t="s">
        <v>52</v>
      </c>
      <c r="BB2" s="16" t="s">
        <v>53</v>
      </c>
      <c r="BC2" s="16" t="s">
        <v>54</v>
      </c>
      <c r="BD2" s="16" t="s">
        <v>55</v>
      </c>
      <c r="BE2" s="16" t="s">
        <v>56</v>
      </c>
      <c r="BF2" s="16" t="s">
        <v>57</v>
      </c>
      <c r="BG2" s="16" t="s">
        <v>58</v>
      </c>
      <c r="BH2" s="16" t="s">
        <v>59</v>
      </c>
      <c r="BI2" s="16" t="s">
        <v>60</v>
      </c>
      <c r="BJ2" s="16" t="s">
        <v>61</v>
      </c>
      <c r="BK2" s="16" t="s">
        <v>62</v>
      </c>
      <c r="BL2" s="16" t="s">
        <v>63</v>
      </c>
      <c r="BM2" s="16" t="s">
        <v>64</v>
      </c>
      <c r="BN2" s="16" t="s">
        <v>65</v>
      </c>
      <c r="BO2" s="16" t="s">
        <v>66</v>
      </c>
      <c r="BP2" s="16" t="s">
        <v>67</v>
      </c>
      <c r="BQ2" s="16" t="s">
        <v>68</v>
      </c>
      <c r="BR2" s="16" t="s">
        <v>69</v>
      </c>
      <c r="BS2" s="16" t="s">
        <v>70</v>
      </c>
      <c r="BT2" s="16" t="s">
        <v>71</v>
      </c>
      <c r="BU2" s="16" t="s">
        <v>72</v>
      </c>
      <c r="BV2" s="16" t="s">
        <v>73</v>
      </c>
      <c r="BW2" s="16" t="s">
        <v>74</v>
      </c>
      <c r="BX2" s="16" t="s">
        <v>75</v>
      </c>
      <c r="BY2" s="16" t="s">
        <v>76</v>
      </c>
      <c r="BZ2" s="16" t="s">
        <v>77</v>
      </c>
      <c r="CA2" s="16" t="s">
        <v>78</v>
      </c>
      <c r="CB2" s="16" t="s">
        <v>79</v>
      </c>
      <c r="CC2" s="16" t="s">
        <v>80</v>
      </c>
      <c r="CD2" s="16" t="s">
        <v>81</v>
      </c>
      <c r="CE2" s="16" t="s">
        <v>82</v>
      </c>
      <c r="CF2" s="16" t="s">
        <v>83</v>
      </c>
      <c r="CG2" s="16" t="s">
        <v>84</v>
      </c>
      <c r="CH2" s="16" t="s">
        <v>85</v>
      </c>
      <c r="CI2" s="16" t="s">
        <v>86</v>
      </c>
      <c r="CJ2" s="16" t="s">
        <v>87</v>
      </c>
      <c r="CK2" s="16" t="s">
        <v>88</v>
      </c>
      <c r="CL2" s="16" t="s">
        <v>89</v>
      </c>
      <c r="CM2" s="16" t="s">
        <v>90</v>
      </c>
      <c r="CN2" s="16" t="s">
        <v>91</v>
      </c>
      <c r="CO2" s="16" t="s">
        <v>92</v>
      </c>
      <c r="CP2" s="16" t="s">
        <v>93</v>
      </c>
      <c r="CQ2" s="16" t="s">
        <v>94</v>
      </c>
      <c r="CR2" s="16" t="s">
        <v>95</v>
      </c>
      <c r="CS2" s="16" t="s">
        <v>96</v>
      </c>
      <c r="CT2" s="16" t="s">
        <v>97</v>
      </c>
      <c r="CU2" s="16" t="s">
        <v>98</v>
      </c>
      <c r="CV2" s="16" t="s">
        <v>99</v>
      </c>
      <c r="CW2" s="16" t="s">
        <v>100</v>
      </c>
      <c r="CX2" s="16" t="s">
        <v>101</v>
      </c>
      <c r="CY2" s="16" t="s">
        <v>102</v>
      </c>
      <c r="CZ2" s="16" t="s">
        <v>103</v>
      </c>
      <c r="DA2" s="16" t="s">
        <v>104</v>
      </c>
      <c r="DB2" s="16" t="s">
        <v>105</v>
      </c>
      <c r="DC2" s="16" t="s">
        <v>106</v>
      </c>
      <c r="DD2" s="16" t="s">
        <v>107</v>
      </c>
      <c r="DE2" s="16" t="s">
        <v>108</v>
      </c>
      <c r="DF2" s="16" t="s">
        <v>109</v>
      </c>
      <c r="DG2" s="16" t="s">
        <v>110</v>
      </c>
      <c r="DH2" s="16" t="s">
        <v>111</v>
      </c>
      <c r="DI2" s="16" t="s">
        <v>112</v>
      </c>
      <c r="DJ2" s="16" t="s">
        <v>113</v>
      </c>
      <c r="DK2" s="16" t="s">
        <v>114</v>
      </c>
      <c r="DL2" s="16" t="s">
        <v>115</v>
      </c>
      <c r="DM2" s="16" t="s">
        <v>116</v>
      </c>
      <c r="DN2" s="16" t="s">
        <v>117</v>
      </c>
      <c r="DO2" s="16" t="s">
        <v>118</v>
      </c>
      <c r="DP2" s="16" t="s">
        <v>119</v>
      </c>
      <c r="DQ2" s="16" t="s">
        <v>120</v>
      </c>
      <c r="DR2" s="16" t="s">
        <v>121</v>
      </c>
      <c r="DS2" s="16" t="s">
        <v>122</v>
      </c>
      <c r="DT2" s="16" t="s">
        <v>123</v>
      </c>
      <c r="DU2" s="16" t="s">
        <v>124</v>
      </c>
      <c r="DV2" s="16" t="s">
        <v>125</v>
      </c>
      <c r="DW2" s="16" t="s">
        <v>126</v>
      </c>
      <c r="DX2" s="16" t="s">
        <v>127</v>
      </c>
      <c r="DY2" s="16" t="s">
        <v>128</v>
      </c>
      <c r="DZ2" s="16" t="s">
        <v>129</v>
      </c>
      <c r="EA2" s="16" t="s">
        <v>130</v>
      </c>
      <c r="EB2" s="16" t="s">
        <v>131</v>
      </c>
      <c r="EC2" s="16" t="s">
        <v>132</v>
      </c>
      <c r="ED2" s="17" t="s">
        <v>133</v>
      </c>
      <c r="EE2" s="17" t="s">
        <v>134</v>
      </c>
      <c r="EF2" s="13" t="s">
        <v>135</v>
      </c>
    </row>
    <row r="3" spans="1:138" ht="16">
      <c r="A3" s="4"/>
      <c r="B3" s="6" t="s">
        <v>136</v>
      </c>
      <c r="C3" s="23">
        <v>7.3912657797336578E-2</v>
      </c>
      <c r="D3" s="23">
        <v>7.563493400812149E-2</v>
      </c>
      <c r="E3" s="23">
        <v>5.3515486419200897E-2</v>
      </c>
      <c r="F3" s="23">
        <v>6.1629988253116608E-2</v>
      </c>
      <c r="G3" s="23">
        <v>5.0796419382095337E-2</v>
      </c>
      <c r="H3" s="23">
        <v>3.5059131681919098E-2</v>
      </c>
      <c r="I3" s="23">
        <v>9.0367138385772705E-2</v>
      </c>
      <c r="J3" s="23">
        <v>6.5266318619251251E-2</v>
      </c>
      <c r="K3" s="23">
        <v>-1.2474538758397101E-2</v>
      </c>
      <c r="L3" s="23">
        <v>7.7547639608383179E-2</v>
      </c>
      <c r="M3" s="23">
        <v>6.4441181719303131E-2</v>
      </c>
      <c r="N3" s="23">
        <v>4.6512190252542503E-2</v>
      </c>
      <c r="O3" s="23">
        <v>6.7610271275043488E-2</v>
      </c>
      <c r="P3" s="23">
        <v>-2.5644939392805099E-2</v>
      </c>
      <c r="Q3" s="23">
        <v>3.3374421298503883E-2</v>
      </c>
      <c r="R3" s="23">
        <v>5.7588163763284683E-2</v>
      </c>
      <c r="S3" s="23">
        <v>-3.4195460379123688E-2</v>
      </c>
      <c r="T3" s="23">
        <v>5.8177851140499108E-2</v>
      </c>
      <c r="U3" s="23">
        <v>3.8116455078125E-2</v>
      </c>
      <c r="V3" s="23">
        <v>-5.5063976906239986E-3</v>
      </c>
      <c r="W3" s="23">
        <v>5.813661590218544E-2</v>
      </c>
      <c r="X3" s="23">
        <v>5.6870419532060623E-2</v>
      </c>
      <c r="Y3" s="23">
        <v>5.9794772416353233E-2</v>
      </c>
      <c r="Z3" s="23">
        <v>1.319171953946352E-2</v>
      </c>
      <c r="AA3" s="23">
        <v>6.6306374967098236E-2</v>
      </c>
      <c r="AB3" s="23">
        <v>5.8820508420467377E-2</v>
      </c>
      <c r="AC3" s="23">
        <v>5.7617776095867157E-2</v>
      </c>
      <c r="AD3" s="23">
        <v>3.6969933658838272E-2</v>
      </c>
      <c r="AE3" s="23">
        <v>7.8433975577354431E-2</v>
      </c>
      <c r="AF3" s="23">
        <v>4.3248169124126427E-2</v>
      </c>
      <c r="AG3" s="23">
        <v>5.5671926587820053E-2</v>
      </c>
      <c r="AH3" s="23">
        <v>1.690743304789066E-2</v>
      </c>
      <c r="AI3" s="23">
        <v>3.7138056010007858E-2</v>
      </c>
      <c r="AJ3" s="23">
        <v>3.9113327860832207E-2</v>
      </c>
      <c r="AK3" s="23">
        <v>4.2720824480056763E-2</v>
      </c>
      <c r="AL3" s="23">
        <v>2.7467237785458561E-2</v>
      </c>
      <c r="AM3" s="23">
        <v>5.331827700138092E-2</v>
      </c>
      <c r="AN3" s="23">
        <v>0.1098324954509735</v>
      </c>
      <c r="AO3" s="23">
        <v>1.9733672961592671E-2</v>
      </c>
      <c r="AP3" s="23">
        <v>3.6758668720722198E-2</v>
      </c>
      <c r="AQ3" s="23">
        <v>5.1327180117368698E-2</v>
      </c>
      <c r="AR3" s="23">
        <v>5.3256317973136902E-2</v>
      </c>
      <c r="AS3" s="23">
        <v>5.4331317543983459E-2</v>
      </c>
      <c r="AT3" s="23">
        <v>4.3143793940544128E-2</v>
      </c>
      <c r="AU3" s="23">
        <v>3.8841631263494492E-2</v>
      </c>
      <c r="AV3" s="23">
        <v>5.5265516042709351E-2</v>
      </c>
      <c r="AW3" s="23">
        <v>5.0267204642295837E-2</v>
      </c>
      <c r="AX3" s="23">
        <v>-6.0497067868709557E-2</v>
      </c>
      <c r="AY3" s="23">
        <v>5.6344892829656601E-2</v>
      </c>
      <c r="AZ3" s="23">
        <v>4.4756263494491577E-2</v>
      </c>
      <c r="BA3" s="23">
        <v>4.9546454101800919E-2</v>
      </c>
      <c r="BB3" s="23">
        <v>6.5231695771217346E-2</v>
      </c>
      <c r="BC3" s="23">
        <v>5.2208933979272842E-2</v>
      </c>
      <c r="BD3" s="23">
        <v>5.0287269055843353E-2</v>
      </c>
      <c r="BE3" s="23">
        <v>5.3227733820676797E-2</v>
      </c>
      <c r="BF3" s="23">
        <v>5.2831601351499557E-2</v>
      </c>
      <c r="BG3" s="23">
        <v>-2.2505151107907299E-2</v>
      </c>
      <c r="BH3" s="23">
        <v>5.3355973213911063E-2</v>
      </c>
      <c r="BI3" s="23">
        <v>-4.2333740741014481E-2</v>
      </c>
      <c r="BJ3" s="23">
        <v>-4.1621774435043328E-2</v>
      </c>
      <c r="BK3" s="23">
        <v>5.2732300013303757E-2</v>
      </c>
      <c r="BL3" s="23">
        <v>5.2711453288793557E-2</v>
      </c>
      <c r="BM3" s="23">
        <v>5.2789580076932907E-2</v>
      </c>
      <c r="BN3" s="23">
        <v>5.7516373693943017E-2</v>
      </c>
      <c r="BO3" s="23">
        <v>-4.2583651840686798E-2</v>
      </c>
      <c r="BP3" s="23">
        <v>3.996393084526062E-2</v>
      </c>
      <c r="BQ3" s="23">
        <v>5.2070382982492447E-2</v>
      </c>
      <c r="BR3" s="23">
        <v>5.0181154161691673E-2</v>
      </c>
      <c r="BS3" s="23">
        <v>5.4154157638549798E-2</v>
      </c>
      <c r="BT3" s="23">
        <v>4.9134161323308938E-2</v>
      </c>
      <c r="BU3" s="23">
        <v>5.5349864065647132E-2</v>
      </c>
      <c r="BV3" s="23">
        <v>5.2839476615190513E-2</v>
      </c>
      <c r="BW3" s="23">
        <v>2.9234826564788818E-2</v>
      </c>
      <c r="BX3" s="23">
        <v>4.7284010797739029E-2</v>
      </c>
      <c r="BY3" s="23">
        <v>-4.2058713734149933E-3</v>
      </c>
      <c r="BZ3" s="23">
        <v>5.3063441067934043E-2</v>
      </c>
      <c r="CA3" s="23">
        <v>3.9631478488445282E-2</v>
      </c>
      <c r="CB3" s="23">
        <v>4.600171372294426E-2</v>
      </c>
      <c r="CC3" s="23">
        <v>5.1699593663215637E-2</v>
      </c>
      <c r="CD3" s="23">
        <v>5.2426740527153022E-2</v>
      </c>
      <c r="CE3" s="23">
        <v>4.7352515161037452E-2</v>
      </c>
      <c r="CF3" s="23">
        <v>2.1231763064861301E-2</v>
      </c>
      <c r="CG3" s="23">
        <v>4.5137140899896622E-2</v>
      </c>
      <c r="CH3" s="23">
        <v>-4.9076564610004432E-2</v>
      </c>
      <c r="CI3" s="23">
        <v>2.026702277362347E-2</v>
      </c>
      <c r="CJ3" s="23">
        <v>5.7584956288337708E-2</v>
      </c>
      <c r="CK3" s="23">
        <v>6.9196119904518127E-2</v>
      </c>
      <c r="CL3" s="23">
        <v>4.2080968618392937E-2</v>
      </c>
      <c r="CM3" s="23">
        <v>4.9845971167087548E-2</v>
      </c>
      <c r="CN3" s="23">
        <v>-4.840879887342453E-2</v>
      </c>
      <c r="CO3" s="23">
        <v>4.8292059451341629E-2</v>
      </c>
      <c r="CP3" s="23">
        <v>3.9594132453203201E-2</v>
      </c>
      <c r="CQ3" s="23">
        <v>4.8842102289199829E-2</v>
      </c>
      <c r="CR3" s="23">
        <v>4.9500271677970893E-2</v>
      </c>
      <c r="CS3" s="23">
        <v>4.7897454351186752E-2</v>
      </c>
      <c r="CT3" s="23">
        <v>2.8369873762130741E-2</v>
      </c>
      <c r="CU3" s="23">
        <v>4.4375255703926093E-2</v>
      </c>
      <c r="CV3" s="23">
        <v>5.0530951470136642E-2</v>
      </c>
      <c r="CW3" s="23">
        <v>4.3176311999559402E-2</v>
      </c>
      <c r="CX3" s="23">
        <v>5.2143923938274377E-2</v>
      </c>
      <c r="CY3" s="23">
        <v>5.0900701433420181E-2</v>
      </c>
      <c r="CZ3" s="23">
        <v>4.2558174580335617E-2</v>
      </c>
      <c r="DA3" s="23">
        <v>4.4029783457517617E-2</v>
      </c>
      <c r="DB3" s="23">
        <v>-4.3919529765844352E-2</v>
      </c>
      <c r="DC3" s="23">
        <v>5.1982991397380829E-2</v>
      </c>
      <c r="DD3" s="23">
        <v>-8.4397029131650925E-3</v>
      </c>
      <c r="DE3" s="23">
        <v>5.2998926490545273E-2</v>
      </c>
      <c r="DF3" s="23">
        <v>4.4837679713964462E-2</v>
      </c>
      <c r="DG3" s="23">
        <v>4.3406125158071518E-2</v>
      </c>
      <c r="DH3" s="23">
        <v>4.7541145235300057E-2</v>
      </c>
      <c r="DI3" s="23">
        <v>4.8345033079385757E-2</v>
      </c>
      <c r="DJ3" s="23">
        <v>5.2155863493680947E-2</v>
      </c>
      <c r="DK3" s="23">
        <v>8.9188195765018463E-2</v>
      </c>
      <c r="DL3" s="23">
        <v>-2.6696257293224331E-2</v>
      </c>
      <c r="DM3" s="23">
        <v>4.845760390162468E-2</v>
      </c>
      <c r="DN3" s="23">
        <v>4.64659184217453E-2</v>
      </c>
      <c r="DO3" s="23">
        <v>-2.9918596148490909E-2</v>
      </c>
      <c r="DP3" s="23">
        <v>4.7435946762561798E-2</v>
      </c>
      <c r="DQ3" s="23">
        <v>3.8500402122735977E-2</v>
      </c>
      <c r="DR3" s="23">
        <v>4.9186587333679199E-2</v>
      </c>
      <c r="DS3" s="23">
        <v>4.7889348119497299E-2</v>
      </c>
      <c r="DT3" s="23">
        <v>3.1652722507715232E-2</v>
      </c>
      <c r="DU3" s="23">
        <v>6.1842098832130432E-2</v>
      </c>
      <c r="DV3" s="23">
        <v>4.6563606709241867E-2</v>
      </c>
      <c r="DW3" s="23">
        <v>3.2814890146255493E-2</v>
      </c>
      <c r="DX3" s="23">
        <v>4.826011136174202E-2</v>
      </c>
      <c r="DY3" s="23">
        <v>-5.6952420622110367E-2</v>
      </c>
      <c r="DZ3" s="23">
        <v>3.3931814134120941E-2</v>
      </c>
      <c r="EA3" s="23">
        <v>4.8233494162559509E-2</v>
      </c>
      <c r="EB3" s="23">
        <v>9.788920171558857E-3</v>
      </c>
      <c r="EC3" s="23">
        <v>3.6156386137008667E-2</v>
      </c>
      <c r="ED3" s="23">
        <v>4.0190532803535461E-2</v>
      </c>
      <c r="EE3" s="24">
        <v>4.7531653195619583E-2</v>
      </c>
      <c r="EF3" s="23">
        <v>5.0330590456724167E-2</v>
      </c>
    </row>
    <row r="4" spans="1:138" ht="16">
      <c r="A4" s="4"/>
      <c r="B4" s="6" t="s">
        <v>137</v>
      </c>
      <c r="C4" s="23">
        <v>1.097527518868446E-2</v>
      </c>
      <c r="D4" s="23">
        <v>-4.8196077346801758E-2</v>
      </c>
      <c r="E4" s="23">
        <v>8.2988262176513672E-2</v>
      </c>
      <c r="F4" s="23">
        <v>3.8252770900726318E-2</v>
      </c>
      <c r="G4" s="23">
        <v>5.0002194941043847E-2</v>
      </c>
      <c r="H4" s="23">
        <v>1.3410039246082309E-2</v>
      </c>
      <c r="I4" s="23">
        <v>-2.6064049452543259E-2</v>
      </c>
      <c r="J4" s="23">
        <v>-3.02179642021656E-2</v>
      </c>
      <c r="K4" s="23">
        <v>-3.3898375928401947E-2</v>
      </c>
      <c r="L4" s="23">
        <v>-3.984282910823822E-2</v>
      </c>
      <c r="M4" s="23">
        <v>-4.3122667819261551E-2</v>
      </c>
      <c r="N4" s="23">
        <v>4.2018979787826538E-2</v>
      </c>
      <c r="O4" s="23">
        <v>-3.4795396029949188E-2</v>
      </c>
      <c r="P4" s="23">
        <v>-4.6467673033475883E-2</v>
      </c>
      <c r="Q4" s="23">
        <v>-6.1648782342672348E-2</v>
      </c>
      <c r="R4" s="23">
        <v>-3.4485667943954468E-2</v>
      </c>
      <c r="S4" s="23">
        <v>-2.5171820074319839E-2</v>
      </c>
      <c r="T4" s="23">
        <v>-3.7345178425312042E-2</v>
      </c>
      <c r="U4" s="23">
        <v>8.309655636548996E-2</v>
      </c>
      <c r="V4" s="23">
        <v>8.9860610663890839E-2</v>
      </c>
      <c r="W4" s="23">
        <v>-2.792869508266449E-2</v>
      </c>
      <c r="X4" s="23">
        <v>8.2243978977203369E-2</v>
      </c>
      <c r="Y4" s="23">
        <v>-7.1789160370826721E-2</v>
      </c>
      <c r="Z4" s="23">
        <v>-3.0311709269881248E-2</v>
      </c>
      <c r="AA4" s="23">
        <v>3.6390047520399087E-2</v>
      </c>
      <c r="AB4" s="23">
        <v>3.8148783147335052E-2</v>
      </c>
      <c r="AC4" s="23">
        <v>-2.473837323486805E-2</v>
      </c>
      <c r="AD4" s="23">
        <v>-9.8738029599189758E-2</v>
      </c>
      <c r="AE4" s="23">
        <v>-4.4849235564470291E-2</v>
      </c>
      <c r="AF4" s="23">
        <v>-4.4075444340705872E-2</v>
      </c>
      <c r="AG4" s="23">
        <v>-2.9871419072151181E-2</v>
      </c>
      <c r="AH4" s="23">
        <v>1.6651395708322528E-2</v>
      </c>
      <c r="AI4" s="23">
        <v>2.7999542653560638E-2</v>
      </c>
      <c r="AJ4" s="23">
        <v>-1.5782922506332401E-2</v>
      </c>
      <c r="AK4" s="23">
        <v>-9.3165159225463867E-2</v>
      </c>
      <c r="AL4" s="23">
        <v>5.6960459798574448E-2</v>
      </c>
      <c r="AM4" s="23">
        <v>-2.980230376124382E-2</v>
      </c>
      <c r="AN4" s="23">
        <v>-3.7541721016168587E-2</v>
      </c>
      <c r="AO4" s="23">
        <v>1.405663043260574E-2</v>
      </c>
      <c r="AP4" s="23">
        <v>2.8084170073270801E-2</v>
      </c>
      <c r="AQ4" s="23">
        <v>-2.095661498606205E-2</v>
      </c>
      <c r="AR4" s="23">
        <v>-3.324919193983078E-2</v>
      </c>
      <c r="AS4" s="23">
        <v>2.9234178364276889E-2</v>
      </c>
      <c r="AT4" s="23">
        <v>-3.8568161427974701E-2</v>
      </c>
      <c r="AU4" s="23">
        <v>-3.052850067615509E-2</v>
      </c>
      <c r="AV4" s="23">
        <v>-3.2747495919466019E-2</v>
      </c>
      <c r="AW4" s="23">
        <v>4.592633992433548E-2</v>
      </c>
      <c r="AX4" s="23">
        <v>-3.4888666123151779E-2</v>
      </c>
      <c r="AY4" s="23">
        <v>-3.4154564142227173E-2</v>
      </c>
      <c r="AZ4" s="23">
        <v>2.5950407609343529E-2</v>
      </c>
      <c r="BA4" s="23">
        <v>-3.119267150759697E-2</v>
      </c>
      <c r="BB4" s="23">
        <v>-8.7475843727588654E-2</v>
      </c>
      <c r="BC4" s="23">
        <v>3.5330057144165039E-2</v>
      </c>
      <c r="BD4" s="23">
        <v>-3.112911619246006E-2</v>
      </c>
      <c r="BE4" s="23">
        <v>-5.4915815591812127E-2</v>
      </c>
      <c r="BF4" s="23">
        <v>-3.1478296965360641E-2</v>
      </c>
      <c r="BG4" s="23">
        <v>-4.006657749414444E-2</v>
      </c>
      <c r="BH4" s="23">
        <v>3.062369488179684E-2</v>
      </c>
      <c r="BI4" s="23">
        <v>-3.1123528257012371E-2</v>
      </c>
      <c r="BJ4" s="23">
        <v>-3.0040133744478229E-2</v>
      </c>
      <c r="BK4" s="23">
        <v>-4.1486956179141998E-2</v>
      </c>
      <c r="BL4" s="23">
        <v>3.9935577660799033E-2</v>
      </c>
      <c r="BM4" s="23">
        <v>1.8027245998382568E-2</v>
      </c>
      <c r="BN4" s="23">
        <v>-0.1043956056237221</v>
      </c>
      <c r="BO4" s="23">
        <v>6.9876932539045811E-3</v>
      </c>
      <c r="BP4" s="23">
        <v>4.6952194534242153E-3</v>
      </c>
      <c r="BQ4" s="23">
        <v>1.519524399191141E-2</v>
      </c>
      <c r="BR4" s="23">
        <v>-7.3001924902200699E-3</v>
      </c>
      <c r="BS4" s="23">
        <v>-4.3473392724990838E-2</v>
      </c>
      <c r="BT4" s="23">
        <v>4.9916800111532211E-2</v>
      </c>
      <c r="BU4" s="23">
        <v>3.4368544816970832E-2</v>
      </c>
      <c r="BV4" s="23">
        <v>-4.2206816375255578E-2</v>
      </c>
      <c r="BW4" s="23">
        <v>4.0576938539743423E-2</v>
      </c>
      <c r="BX4" s="23">
        <v>0.11351513117551799</v>
      </c>
      <c r="BY4" s="23">
        <v>-6.0964066535234451E-2</v>
      </c>
      <c r="BZ4" s="23">
        <v>7.4336347170174122E-3</v>
      </c>
      <c r="CA4" s="23">
        <v>-3.4166339784860611E-2</v>
      </c>
      <c r="CB4" s="23">
        <v>-4.2827509343624108E-2</v>
      </c>
      <c r="CC4" s="23">
        <v>-4.052165150642395E-2</v>
      </c>
      <c r="CD4" s="23">
        <v>-2.6725079864263531E-2</v>
      </c>
      <c r="CE4" s="23">
        <v>-4.8888608813285828E-2</v>
      </c>
      <c r="CF4" s="23">
        <v>4.5108072459697723E-2</v>
      </c>
      <c r="CG4" s="23">
        <v>3.2500136643648148E-2</v>
      </c>
      <c r="CH4" s="23">
        <v>3.3603519201278693E-2</v>
      </c>
      <c r="CI4" s="23">
        <v>-5.9029228985309601E-2</v>
      </c>
      <c r="CJ4" s="23">
        <v>-3.3231545239686973E-2</v>
      </c>
      <c r="CK4" s="23">
        <v>3.3614955842494958E-2</v>
      </c>
      <c r="CL4" s="23">
        <v>-8.7717965245246887E-2</v>
      </c>
      <c r="CM4" s="23">
        <v>-7.8791035339236259E-3</v>
      </c>
      <c r="CN4" s="23">
        <v>-3.1603436917066567E-2</v>
      </c>
      <c r="CO4" s="23">
        <v>-2.4560306221246719E-2</v>
      </c>
      <c r="CP4" s="23">
        <v>-2.426661737263203E-2</v>
      </c>
      <c r="CQ4" s="23">
        <v>9.8067363724112511E-3</v>
      </c>
      <c r="CR4" s="23">
        <v>7.6525658369064331E-2</v>
      </c>
      <c r="CS4" s="23">
        <v>2.158103883266449E-2</v>
      </c>
      <c r="CT4" s="23">
        <v>2.1532453596591949E-2</v>
      </c>
      <c r="CU4" s="23">
        <v>3.4501176327466958E-2</v>
      </c>
      <c r="CV4" s="23">
        <v>-6.2654152512550354E-2</v>
      </c>
      <c r="CW4" s="23">
        <v>-4.558606818318367E-2</v>
      </c>
      <c r="CX4" s="23">
        <v>-6.5642617642879486E-2</v>
      </c>
      <c r="CY4" s="23">
        <v>6.3649572432041168E-2</v>
      </c>
      <c r="CZ4" s="23">
        <v>-7.8583814203739166E-2</v>
      </c>
      <c r="DA4" s="23">
        <v>-2.812452428042889E-2</v>
      </c>
      <c r="DB4" s="23">
        <v>-5.8803975582122803E-2</v>
      </c>
      <c r="DC4" s="23">
        <v>-3.1962350010871887E-2</v>
      </c>
      <c r="DD4" s="23">
        <v>-3.8284681737422943E-2</v>
      </c>
      <c r="DE4" s="23">
        <v>4.8030544072389603E-2</v>
      </c>
      <c r="DF4" s="23">
        <v>-2.9363507404923439E-2</v>
      </c>
      <c r="DG4" s="23">
        <v>6.0822788625955582E-2</v>
      </c>
      <c r="DH4" s="23">
        <v>-2.8199369087815281E-2</v>
      </c>
      <c r="DI4" s="23">
        <v>-2.9792105779051781E-2</v>
      </c>
      <c r="DJ4" s="23">
        <v>-3.0000817030668259E-2</v>
      </c>
      <c r="DK4" s="23">
        <v>1.032026950269938E-2</v>
      </c>
      <c r="DL4" s="23">
        <v>-4.2281743139028549E-2</v>
      </c>
      <c r="DM4" s="23">
        <v>-4.8086602240800858E-2</v>
      </c>
      <c r="DN4" s="23">
        <v>-1.942399330437183E-2</v>
      </c>
      <c r="DO4" s="23">
        <v>-4.04704250395298E-2</v>
      </c>
      <c r="DP4" s="23">
        <v>-3.4404326230287552E-2</v>
      </c>
      <c r="DQ4" s="23">
        <v>-2.7822112664580349E-2</v>
      </c>
      <c r="DR4" s="23">
        <v>-2.84544937312603E-2</v>
      </c>
      <c r="DS4" s="23">
        <v>-6.9464683532714844E-2</v>
      </c>
      <c r="DT4" s="23">
        <v>-2.8235232457518581E-2</v>
      </c>
      <c r="DU4" s="23">
        <v>5.3089391440153122E-2</v>
      </c>
      <c r="DV4" s="23">
        <v>-2.7063906192779541E-2</v>
      </c>
      <c r="DW4" s="23">
        <v>-2.4401027709245678E-2</v>
      </c>
      <c r="DX4" s="23">
        <v>2.726493868976831E-3</v>
      </c>
      <c r="DY4" s="23">
        <v>4.3977614492177963E-2</v>
      </c>
      <c r="DZ4" s="23">
        <v>-2.4560714140534401E-2</v>
      </c>
      <c r="EA4" s="23">
        <v>-4.7766271978616708E-2</v>
      </c>
      <c r="EB4" s="23">
        <v>-4.1742835193872452E-2</v>
      </c>
      <c r="EC4" s="23">
        <v>-2.8310522437095639E-2</v>
      </c>
      <c r="ED4" s="23">
        <v>-2.4022841826081279E-2</v>
      </c>
      <c r="EE4" s="23">
        <v>0.11009947955608369</v>
      </c>
      <c r="EF4" s="23">
        <v>-2.9047638177871701E-2</v>
      </c>
    </row>
    <row r="5" spans="1:138" ht="16">
      <c r="A5" s="4"/>
      <c r="B5" s="22" t="s">
        <v>138</v>
      </c>
      <c r="C5" s="23">
        <v>-2.4425527080893521E-3</v>
      </c>
      <c r="D5" s="23">
        <v>-2.162628248333931E-2</v>
      </c>
      <c r="E5" s="23">
        <v>-5.3863544017076492E-3</v>
      </c>
      <c r="F5" s="23">
        <v>-5.3014284931123257E-3</v>
      </c>
      <c r="G5" s="23">
        <v>3.1814873218536377E-2</v>
      </c>
      <c r="H5" s="23">
        <v>5.7366847991943359E-2</v>
      </c>
      <c r="I5" s="23">
        <v>-6.6244855523109436E-2</v>
      </c>
      <c r="J5" s="23">
        <v>3.624555841088295E-2</v>
      </c>
      <c r="K5" s="23">
        <v>-7.1708038449287406E-3</v>
      </c>
      <c r="L5" s="23">
        <v>-7.9015763476490974E-3</v>
      </c>
      <c r="M5" s="23">
        <v>7.1032247506082058E-3</v>
      </c>
      <c r="N5" s="23">
        <v>-3.7834208458662033E-2</v>
      </c>
      <c r="O5" s="23">
        <v>2.087398245930672E-2</v>
      </c>
      <c r="P5" s="23">
        <v>1.444438705220819E-3</v>
      </c>
      <c r="Q5" s="23">
        <v>3.0378168448805809E-3</v>
      </c>
      <c r="R5" s="23">
        <v>-4.4238022528588772E-3</v>
      </c>
      <c r="S5" s="23">
        <v>3.937915712594986E-2</v>
      </c>
      <c r="T5" s="23">
        <v>8.250849787145853E-4</v>
      </c>
      <c r="U5" s="23">
        <v>3.7100087851285928E-2</v>
      </c>
      <c r="V5" s="23">
        <v>1.865322515368462E-2</v>
      </c>
      <c r="W5" s="23">
        <v>-6.4136604778468609E-3</v>
      </c>
      <c r="X5" s="23">
        <v>-3.691675141453743E-3</v>
      </c>
      <c r="Y5" s="23">
        <v>-3.8559310138225562E-2</v>
      </c>
      <c r="Z5" s="23">
        <v>-8.7653528898954391E-3</v>
      </c>
      <c r="AA5" s="23">
        <v>-1.000822801142931E-2</v>
      </c>
      <c r="AB5" s="23">
        <v>-8.1863868981599808E-3</v>
      </c>
      <c r="AC5" s="23">
        <v>-4.3017767369747162E-2</v>
      </c>
      <c r="AD5" s="23">
        <v>-1.1843433603644369E-2</v>
      </c>
      <c r="AE5" s="23">
        <v>-3.2743070274591453E-2</v>
      </c>
      <c r="AF5" s="23">
        <v>-1.433323509991169E-2</v>
      </c>
      <c r="AG5" s="23">
        <v>-6.071711890399456E-3</v>
      </c>
      <c r="AH5" s="23">
        <v>7.1172383613884449E-3</v>
      </c>
      <c r="AI5" s="23">
        <v>-3.749270923435688E-3</v>
      </c>
      <c r="AJ5" s="23">
        <v>-3.687632037326694E-3</v>
      </c>
      <c r="AK5" s="23">
        <v>-5.2553778514266014E-3</v>
      </c>
      <c r="AL5" s="23">
        <v>-5.0698723644018173E-3</v>
      </c>
      <c r="AM5" s="23">
        <v>-6.5165474079549313E-3</v>
      </c>
      <c r="AN5" s="23">
        <v>-3.1071184203028679E-3</v>
      </c>
      <c r="AO5" s="23">
        <v>1.016197819262743E-2</v>
      </c>
      <c r="AP5" s="23">
        <v>-5.1280106417834759E-3</v>
      </c>
      <c r="AQ5" s="23">
        <v>-1.493195351213217E-2</v>
      </c>
      <c r="AR5" s="23">
        <v>-4.0432393550872803E-2</v>
      </c>
      <c r="AS5" s="23">
        <v>4.4245671480894089E-2</v>
      </c>
      <c r="AT5" s="23">
        <v>-1.627960242331028E-2</v>
      </c>
      <c r="AU5" s="23">
        <v>-1.177760493010283E-2</v>
      </c>
      <c r="AV5" s="23">
        <v>3.3210780471563339E-2</v>
      </c>
      <c r="AW5" s="23">
        <v>-1.15481223911047E-2</v>
      </c>
      <c r="AX5" s="23">
        <v>1.135891675949097E-2</v>
      </c>
      <c r="AY5" s="23">
        <v>-1.387173542752862E-3</v>
      </c>
      <c r="AZ5" s="23">
        <v>2.6015019044280049E-2</v>
      </c>
      <c r="BA5" s="23">
        <v>-2.783761010505259E-4</v>
      </c>
      <c r="BB5" s="23">
        <v>-7.3484578169882298E-3</v>
      </c>
      <c r="BC5" s="23">
        <v>2.1762042306363578E-3</v>
      </c>
      <c r="BD5" s="23">
        <v>-1.547292340546846E-2</v>
      </c>
      <c r="BE5" s="23">
        <v>-6.5566743724048138E-3</v>
      </c>
      <c r="BF5" s="23">
        <v>1.8655456369742751E-4</v>
      </c>
      <c r="BG5" s="23">
        <v>0.1231109201908112</v>
      </c>
      <c r="BH5" s="23">
        <v>1.567914895713329E-2</v>
      </c>
      <c r="BI5" s="23">
        <v>-4.0477633476257317E-2</v>
      </c>
      <c r="BJ5" s="23">
        <v>-2.2815016563981769E-4</v>
      </c>
      <c r="BK5" s="23">
        <v>-7.1884272620081902E-3</v>
      </c>
      <c r="BL5" s="23">
        <v>-1.8430699128657579E-3</v>
      </c>
      <c r="BM5" s="23">
        <v>-3.9120744913816452E-3</v>
      </c>
      <c r="BN5" s="23">
        <v>-3.5538640804588789E-4</v>
      </c>
      <c r="BO5" s="23">
        <v>-3.8149822503328319E-3</v>
      </c>
      <c r="BP5" s="23">
        <v>3.1992118805646903E-2</v>
      </c>
      <c r="BQ5" s="23">
        <v>8.8122236775234342E-4</v>
      </c>
      <c r="BR5" s="23">
        <v>8.2531711086630821E-4</v>
      </c>
      <c r="BS5" s="23">
        <v>1.15978941321373E-2</v>
      </c>
      <c r="BT5" s="23">
        <v>-1.8043554155156019E-4</v>
      </c>
      <c r="BU5" s="23">
        <v>-3.6622094921767712E-3</v>
      </c>
      <c r="BV5" s="23">
        <v>-1.5918856952339411E-3</v>
      </c>
      <c r="BW5" s="23">
        <v>1.1063155718147749E-2</v>
      </c>
      <c r="BX5" s="23">
        <v>-2.2377460263669491E-3</v>
      </c>
      <c r="BY5" s="23">
        <v>-2.6888400316238399E-3</v>
      </c>
      <c r="BZ5" s="23">
        <v>1.959662884473801E-2</v>
      </c>
      <c r="CA5" s="23">
        <v>-1.708961836993694E-2</v>
      </c>
      <c r="CB5" s="23">
        <v>-1.78644172847271E-2</v>
      </c>
      <c r="CC5" s="23">
        <v>-6.2383759766817093E-2</v>
      </c>
      <c r="CD5" s="23">
        <v>-6.3154017552733421E-3</v>
      </c>
      <c r="CE5" s="23">
        <v>4.7826808877289304E-3</v>
      </c>
      <c r="CF5" s="23">
        <v>-4.4821593910455704E-3</v>
      </c>
      <c r="CG5" s="23">
        <v>1.214408688247204E-2</v>
      </c>
      <c r="CH5" s="23">
        <v>5.5632010102272027E-2</v>
      </c>
      <c r="CI5" s="23">
        <v>-6.089337170124054E-3</v>
      </c>
      <c r="CJ5" s="23">
        <v>4.1742203757166862E-3</v>
      </c>
      <c r="CK5" s="23">
        <v>-5.3255923092365258E-2</v>
      </c>
      <c r="CL5" s="23">
        <v>-3.5227751359343529E-3</v>
      </c>
      <c r="CM5" s="23">
        <v>-1.0564735159277919E-2</v>
      </c>
      <c r="CN5" s="23">
        <v>-1.4071955811232331E-3</v>
      </c>
      <c r="CO5" s="23">
        <v>2.154150977730751E-3</v>
      </c>
      <c r="CP5" s="23">
        <v>-4.1955962777137763E-2</v>
      </c>
      <c r="CQ5" s="23">
        <v>-4.3455613777041444E-3</v>
      </c>
      <c r="CR5" s="23">
        <v>5.5619608610868454E-4</v>
      </c>
      <c r="CS5" s="23">
        <v>-4.6609323471784592E-3</v>
      </c>
      <c r="CT5" s="23">
        <v>-5.460372194647789E-4</v>
      </c>
      <c r="CU5" s="23">
        <v>2.285588905215263E-2</v>
      </c>
      <c r="CV5" s="23">
        <v>1.362518593668938E-2</v>
      </c>
      <c r="CW5" s="23">
        <v>-3.469586838036776E-3</v>
      </c>
      <c r="CX5" s="23">
        <v>-1.9505729433149099E-3</v>
      </c>
      <c r="CY5" s="23">
        <v>-2.4859204422682519E-3</v>
      </c>
      <c r="CZ5" s="23">
        <v>-1.0054910089820619E-3</v>
      </c>
      <c r="DA5" s="23">
        <v>1.2646311894059179E-2</v>
      </c>
      <c r="DB5" s="23">
        <v>-3.145966213196516E-3</v>
      </c>
      <c r="DC5" s="23">
        <v>-3.897595452144742E-3</v>
      </c>
      <c r="DD5" s="23">
        <v>-4.6709622256457814E-3</v>
      </c>
      <c r="DE5" s="23">
        <v>2.2379271686077121E-2</v>
      </c>
      <c r="DF5" s="23">
        <v>-2.2962655872106549E-2</v>
      </c>
      <c r="DG5" s="23">
        <v>-5.475522018969059E-3</v>
      </c>
      <c r="DH5" s="23">
        <v>-4.3155676685273647E-3</v>
      </c>
      <c r="DI5" s="23">
        <v>-1.630075462162495E-2</v>
      </c>
      <c r="DJ5" s="23">
        <v>6.7051458172500134E-3</v>
      </c>
      <c r="DK5" s="23">
        <v>-8.2752257585525513E-3</v>
      </c>
      <c r="DL5" s="23">
        <v>3.0191972851753231E-2</v>
      </c>
      <c r="DM5" s="23">
        <v>-5.071351770311594E-4</v>
      </c>
      <c r="DN5" s="23">
        <v>-3.951698075979948E-3</v>
      </c>
      <c r="DO5" s="23">
        <v>2.990380628034472E-3</v>
      </c>
      <c r="DP5" s="23">
        <v>-6.3493386842310429E-3</v>
      </c>
      <c r="DQ5" s="23">
        <v>-4.0843049064278603E-3</v>
      </c>
      <c r="DR5" s="23">
        <v>-2.2978853434324261E-2</v>
      </c>
      <c r="DS5" s="23">
        <v>1.368343830108643E-3</v>
      </c>
      <c r="DT5" s="23">
        <v>-3.4443521872162819E-4</v>
      </c>
      <c r="DU5" s="23">
        <v>-6.7529221996665001E-3</v>
      </c>
      <c r="DV5" s="23">
        <v>-1.2841427698731421E-2</v>
      </c>
      <c r="DW5" s="23">
        <v>-8.8949445635080338E-3</v>
      </c>
      <c r="DX5" s="23">
        <v>-6.7950468510389328E-3</v>
      </c>
      <c r="DY5" s="23">
        <v>-2.9764331411570311E-3</v>
      </c>
      <c r="DZ5" s="23">
        <v>-2.276478568091989E-3</v>
      </c>
      <c r="EA5" s="23">
        <v>-3.2696472480893139E-3</v>
      </c>
      <c r="EB5" s="23">
        <v>-5.5572022683918476E-3</v>
      </c>
      <c r="EC5" s="23">
        <v>-4.4316230341792107E-3</v>
      </c>
      <c r="ED5" s="23">
        <v>-6.1979256570339203E-3</v>
      </c>
      <c r="EE5" s="23">
        <v>-6.2301061116158962E-3</v>
      </c>
      <c r="EF5" s="23">
        <v>-6.0357367619872093E-3</v>
      </c>
    </row>
    <row r="6" spans="1:138" ht="16">
      <c r="A6" s="73" t="s">
        <v>139</v>
      </c>
      <c r="B6" s="74"/>
      <c r="C6" s="25" cm="1">
        <f t="array" ref="C6">MATCH(MAX(ABS(C3:C5)), ABS(C3:C5), 0)</f>
        <v>1</v>
      </c>
      <c r="D6" s="25" cm="1">
        <f t="array" ref="D6">MATCH(MAX(ABS(D3:D5)), ABS(D3:D5), 0)</f>
        <v>1</v>
      </c>
      <c r="E6" s="25" cm="1">
        <f t="array" ref="E6">MATCH(MAX(ABS(E3:E5)), ABS(E3:E5), 0)</f>
        <v>2</v>
      </c>
      <c r="F6" s="25" cm="1">
        <f t="array" ref="F6">MATCH(MAX(ABS(F3:F5)), ABS(F3:F5), 0)</f>
        <v>1</v>
      </c>
      <c r="G6" s="25" cm="1">
        <f t="array" ref="G6">MATCH(MAX(ABS(G3:G5)), ABS(G3:G5), 0)</f>
        <v>1</v>
      </c>
      <c r="H6" s="25" cm="1">
        <f t="array" ref="H6">MATCH(MAX(ABS(H3:H5)), ABS(H3:H5), 0)</f>
        <v>3</v>
      </c>
      <c r="I6" s="25" cm="1">
        <f t="array" ref="I6">MATCH(MAX(ABS(I3:I5)), ABS(I3:I5), 0)</f>
        <v>1</v>
      </c>
      <c r="J6" s="25" cm="1">
        <f t="array" ref="J6">MATCH(MAX(ABS(J3:J5)), ABS(J3:J5), 0)</f>
        <v>1</v>
      </c>
      <c r="K6" s="25" cm="1">
        <f t="array" ref="K6">MATCH(MAX(ABS(K3:K5)), ABS(K3:K5), 0)</f>
        <v>2</v>
      </c>
      <c r="L6" s="25" cm="1">
        <f t="array" ref="L6">MATCH(MAX(ABS(L3:L5)), ABS(L3:L5), 0)</f>
        <v>1</v>
      </c>
      <c r="M6" s="25" cm="1">
        <f t="array" ref="M6">MATCH(MAX(ABS(M3:M5)), ABS(M3:M5), 0)</f>
        <v>1</v>
      </c>
      <c r="N6" s="25" cm="1">
        <f t="array" ref="N6">MATCH(MAX(ABS(N3:N5)), ABS(N3:N5), 0)</f>
        <v>1</v>
      </c>
      <c r="O6" s="25" cm="1">
        <f t="array" ref="O6">MATCH(MAX(ABS(O3:O5)), ABS(O3:O5), 0)</f>
        <v>1</v>
      </c>
      <c r="P6" s="25" cm="1">
        <f t="array" ref="P6">MATCH(MAX(ABS(P3:P5)), ABS(P3:P5), 0)</f>
        <v>2</v>
      </c>
      <c r="Q6" s="25" cm="1">
        <f t="array" ref="Q6">MATCH(MAX(ABS(Q3:Q5)), ABS(Q3:Q5), 0)</f>
        <v>2</v>
      </c>
      <c r="R6" s="25" cm="1">
        <f t="array" ref="R6">MATCH(MAX(ABS(R3:R5)), ABS(R3:R5), 0)</f>
        <v>1</v>
      </c>
      <c r="S6" s="25" cm="1">
        <f t="array" ref="S6">MATCH(MAX(ABS(S3:S5)), ABS(S3:S5), 0)</f>
        <v>3</v>
      </c>
      <c r="T6" s="25" cm="1">
        <f t="array" ref="T6">MATCH(MAX(ABS(T3:T5)), ABS(T3:T5), 0)</f>
        <v>1</v>
      </c>
      <c r="U6" s="25" cm="1">
        <f t="array" ref="U6">MATCH(MAX(ABS(U3:U5)), ABS(U3:U5), 0)</f>
        <v>2</v>
      </c>
      <c r="V6" s="25" cm="1">
        <f t="array" ref="V6">MATCH(MAX(ABS(V3:V5)), ABS(V3:V5), 0)</f>
        <v>2</v>
      </c>
      <c r="W6" s="25" cm="1">
        <f t="array" ref="W6">MATCH(MAX(ABS(W3:W5)), ABS(W3:W5), 0)</f>
        <v>1</v>
      </c>
      <c r="X6" s="25" cm="1">
        <f t="array" ref="X6">MATCH(MAX(ABS(X3:X5)), ABS(X3:X5), 0)</f>
        <v>2</v>
      </c>
      <c r="Y6" s="25" cm="1">
        <f t="array" ref="Y6">MATCH(MAX(ABS(Y3:Y5)), ABS(Y3:Y5), 0)</f>
        <v>2</v>
      </c>
      <c r="Z6" s="25" cm="1">
        <f t="array" ref="Z6">MATCH(MAX(ABS(Z3:Z5)), ABS(Z3:Z5), 0)</f>
        <v>2</v>
      </c>
      <c r="AA6" s="25" cm="1">
        <f t="array" ref="AA6">MATCH(MAX(ABS(AA3:AA5)), ABS(AA3:AA5), 0)</f>
        <v>1</v>
      </c>
      <c r="AB6" s="25" cm="1">
        <f t="array" ref="AB6">MATCH(MAX(ABS(AB3:AB5)), ABS(AB3:AB5), 0)</f>
        <v>1</v>
      </c>
      <c r="AC6" s="25" cm="1">
        <f t="array" ref="AC6">MATCH(MAX(ABS(AC3:AC5)), ABS(AC3:AC5), 0)</f>
        <v>1</v>
      </c>
      <c r="AD6" s="25" cm="1">
        <f t="array" ref="AD6">MATCH(MAX(ABS(AD3:AD5)), ABS(AD3:AD5), 0)</f>
        <v>2</v>
      </c>
      <c r="AE6" s="25" cm="1">
        <f t="array" ref="AE6">MATCH(MAX(ABS(AE3:AE5)), ABS(AE3:AE5), 0)</f>
        <v>1</v>
      </c>
      <c r="AF6" s="25" cm="1">
        <f t="array" ref="AF6">MATCH(MAX(ABS(AF3:AF5)), ABS(AF3:AF5), 0)</f>
        <v>2</v>
      </c>
      <c r="AG6" s="25" cm="1">
        <f t="array" ref="AG6">MATCH(MAX(ABS(AG3:AG5)), ABS(AG3:AG5), 0)</f>
        <v>1</v>
      </c>
      <c r="AH6" s="25" cm="1">
        <f t="array" ref="AH6">MATCH(MAX(ABS(AH3:AH5)), ABS(AH3:AH5), 0)</f>
        <v>1</v>
      </c>
      <c r="AI6" s="25" cm="1">
        <f t="array" ref="AI6">MATCH(MAX(ABS(AI3:AI5)), ABS(AI3:AI5), 0)</f>
        <v>1</v>
      </c>
      <c r="AJ6" s="25" cm="1">
        <f t="array" ref="AJ6">MATCH(MAX(ABS(AJ3:AJ5)), ABS(AJ3:AJ5), 0)</f>
        <v>1</v>
      </c>
      <c r="AK6" s="25" cm="1">
        <f t="array" ref="AK6">MATCH(MAX(ABS(AK3:AK5)), ABS(AK3:AK5), 0)</f>
        <v>2</v>
      </c>
      <c r="AL6" s="25" cm="1">
        <f t="array" ref="AL6">MATCH(MAX(ABS(AL3:AL5)), ABS(AL3:AL5), 0)</f>
        <v>2</v>
      </c>
      <c r="AM6" s="25" cm="1">
        <f t="array" ref="AM6">MATCH(MAX(ABS(AM3:AM5)), ABS(AM3:AM5), 0)</f>
        <v>1</v>
      </c>
      <c r="AN6" s="25" cm="1">
        <f t="array" ref="AN6">MATCH(MAX(ABS(AN3:AN5)), ABS(AN3:AN5), 0)</f>
        <v>1</v>
      </c>
      <c r="AO6" s="25" cm="1">
        <f t="array" ref="AO6">MATCH(MAX(ABS(AO3:AO5)), ABS(AO3:AO5), 0)</f>
        <v>1</v>
      </c>
      <c r="AP6" s="25" cm="1">
        <f t="array" ref="AP6">MATCH(MAX(ABS(AP3:AP5)), ABS(AP3:AP5), 0)</f>
        <v>1</v>
      </c>
      <c r="AQ6" s="25" cm="1">
        <f t="array" ref="AQ6">MATCH(MAX(ABS(AQ3:AQ5)), ABS(AQ3:AQ5), 0)</f>
        <v>1</v>
      </c>
      <c r="AR6" s="25" cm="1">
        <f t="array" ref="AR6">MATCH(MAX(ABS(AR3:AR5)), ABS(AR3:AR5), 0)</f>
        <v>1</v>
      </c>
      <c r="AS6" s="25" cm="1">
        <f t="array" ref="AS6">MATCH(MAX(ABS(AS3:AS5)), ABS(AS3:AS5), 0)</f>
        <v>1</v>
      </c>
      <c r="AT6" s="25" cm="1">
        <f t="array" ref="AT6">MATCH(MAX(ABS(AT3:AT5)), ABS(AT3:AT5), 0)</f>
        <v>1</v>
      </c>
      <c r="AU6" s="25" cm="1">
        <f t="array" ref="AU6">MATCH(MAX(ABS(AU3:AU5)), ABS(AU3:AU5), 0)</f>
        <v>1</v>
      </c>
      <c r="AV6" s="25" cm="1">
        <f t="array" ref="AV6">MATCH(MAX(ABS(AV3:AV5)), ABS(AV3:AV5), 0)</f>
        <v>1</v>
      </c>
      <c r="AW6" s="25" cm="1">
        <f t="array" ref="AW6">MATCH(MAX(ABS(AW3:AW5)), ABS(AW3:AW5), 0)</f>
        <v>1</v>
      </c>
      <c r="AX6" s="25" cm="1">
        <f t="array" ref="AX6">MATCH(MAX(ABS(AX3:AX5)), ABS(AX3:AX5), 0)</f>
        <v>1</v>
      </c>
      <c r="AY6" s="25" cm="1">
        <f t="array" ref="AY6">MATCH(MAX(ABS(AY3:AY5)), ABS(AY3:AY5), 0)</f>
        <v>1</v>
      </c>
      <c r="AZ6" s="25" cm="1">
        <f t="array" ref="AZ6">MATCH(MAX(ABS(AZ3:AZ5)), ABS(AZ3:AZ5), 0)</f>
        <v>1</v>
      </c>
      <c r="BA6" s="25" cm="1">
        <f t="array" ref="BA6">MATCH(MAX(ABS(BA3:BA5)), ABS(BA3:BA5), 0)</f>
        <v>1</v>
      </c>
      <c r="BB6" s="25" cm="1">
        <f t="array" ref="BB6">MATCH(MAX(ABS(BB3:BB5)), ABS(BB3:BB5), 0)</f>
        <v>2</v>
      </c>
      <c r="BC6" s="25" cm="1">
        <f t="array" ref="BC6">MATCH(MAX(ABS(BC3:BC5)), ABS(BC3:BC5), 0)</f>
        <v>1</v>
      </c>
      <c r="BD6" s="25" cm="1">
        <f t="array" ref="BD6">MATCH(MAX(ABS(BD3:BD5)), ABS(BD3:BD5), 0)</f>
        <v>1</v>
      </c>
      <c r="BE6" s="25" cm="1">
        <f t="array" ref="BE6">MATCH(MAX(ABS(BE3:BE5)), ABS(BE3:BE5), 0)</f>
        <v>2</v>
      </c>
      <c r="BF6" s="25" cm="1">
        <f t="array" ref="BF6">MATCH(MAX(ABS(BF3:BF5)), ABS(BF3:BF5), 0)</f>
        <v>1</v>
      </c>
      <c r="BG6" s="25" cm="1">
        <f t="array" ref="BG6">MATCH(MAX(ABS(BG3:BG5)), ABS(BG3:BG5), 0)</f>
        <v>3</v>
      </c>
      <c r="BH6" s="25" cm="1">
        <f t="array" ref="BH6">MATCH(MAX(ABS(BH3:BH5)), ABS(BH3:BH5), 0)</f>
        <v>1</v>
      </c>
      <c r="BI6" s="25" cm="1">
        <f t="array" ref="BI6">MATCH(MAX(ABS(BI3:BI5)), ABS(BI3:BI5), 0)</f>
        <v>1</v>
      </c>
      <c r="BJ6" s="25" cm="1">
        <f t="array" ref="BJ6">MATCH(MAX(ABS(BJ3:BJ5)), ABS(BJ3:BJ5), 0)</f>
        <v>1</v>
      </c>
      <c r="BK6" s="25" cm="1">
        <f t="array" ref="BK6">MATCH(MAX(ABS(BK3:BK5)), ABS(BK3:BK5), 0)</f>
        <v>1</v>
      </c>
      <c r="BL6" s="25" cm="1">
        <f t="array" ref="BL6">MATCH(MAX(ABS(BL3:BL5)), ABS(BL3:BL5), 0)</f>
        <v>1</v>
      </c>
      <c r="BM6" s="25" cm="1">
        <f t="array" ref="BM6">MATCH(MAX(ABS(BM3:BM5)), ABS(BM3:BM5), 0)</f>
        <v>1</v>
      </c>
      <c r="BN6" s="25" cm="1">
        <f t="array" ref="BN6">MATCH(MAX(ABS(BN3:BN5)), ABS(BN3:BN5), 0)</f>
        <v>2</v>
      </c>
      <c r="BO6" s="25" cm="1">
        <f t="array" ref="BO6">MATCH(MAX(ABS(BO3:BO5)), ABS(BO3:BO5), 0)</f>
        <v>1</v>
      </c>
      <c r="BP6" s="25" cm="1">
        <f t="array" ref="BP6">MATCH(MAX(ABS(BP3:BP5)), ABS(BP3:BP5), 0)</f>
        <v>1</v>
      </c>
      <c r="BQ6" s="25" cm="1">
        <f t="array" ref="BQ6">MATCH(MAX(ABS(BQ3:BQ5)), ABS(BQ3:BQ5), 0)</f>
        <v>1</v>
      </c>
      <c r="BR6" s="25" cm="1">
        <f t="array" ref="BR6">MATCH(MAX(ABS(BR3:BR5)), ABS(BR3:BR5), 0)</f>
        <v>1</v>
      </c>
      <c r="BS6" s="25" cm="1">
        <f t="array" ref="BS6">MATCH(MAX(ABS(BS3:BS5)), ABS(BS3:BS5), 0)</f>
        <v>1</v>
      </c>
      <c r="BT6" s="25" cm="1">
        <f t="array" ref="BT6">MATCH(MAX(ABS(BT3:BT5)), ABS(BT3:BT5), 0)</f>
        <v>2</v>
      </c>
      <c r="BU6" s="25" cm="1">
        <f t="array" ref="BU6">MATCH(MAX(ABS(BU3:BU5)), ABS(BU3:BU5), 0)</f>
        <v>1</v>
      </c>
      <c r="BV6" s="25" cm="1">
        <f t="array" ref="BV6">MATCH(MAX(ABS(BV3:BV5)), ABS(BV3:BV5), 0)</f>
        <v>1</v>
      </c>
      <c r="BW6" s="25" cm="1">
        <f t="array" ref="BW6">MATCH(MAX(ABS(BW3:BW5)), ABS(BW3:BW5), 0)</f>
        <v>2</v>
      </c>
      <c r="BX6" s="25" cm="1">
        <f t="array" ref="BX6">MATCH(MAX(ABS(BX3:BX5)), ABS(BX3:BX5), 0)</f>
        <v>2</v>
      </c>
      <c r="BY6" s="25" cm="1">
        <f t="array" ref="BY6">MATCH(MAX(ABS(BY3:BY5)), ABS(BY3:BY5), 0)</f>
        <v>2</v>
      </c>
      <c r="BZ6" s="25" cm="1">
        <f t="array" ref="BZ6">MATCH(MAX(ABS(BZ3:BZ5)), ABS(BZ3:BZ5), 0)</f>
        <v>1</v>
      </c>
      <c r="CA6" s="25" cm="1">
        <f t="array" ref="CA6">MATCH(MAX(ABS(CA3:CA5)), ABS(CA3:CA5), 0)</f>
        <v>1</v>
      </c>
      <c r="CB6" s="25" cm="1">
        <f t="array" ref="CB6">MATCH(MAX(ABS(CB3:CB5)), ABS(CB3:CB5), 0)</f>
        <v>1</v>
      </c>
      <c r="CC6" s="25" cm="1">
        <f t="array" ref="CC6">MATCH(MAX(ABS(CC3:CC5)), ABS(CC3:CC5), 0)</f>
        <v>3</v>
      </c>
      <c r="CD6" s="25" cm="1">
        <f t="array" ref="CD6">MATCH(MAX(ABS(CD3:CD5)), ABS(CD3:CD5), 0)</f>
        <v>1</v>
      </c>
      <c r="CE6" s="25" cm="1">
        <f t="array" ref="CE6">MATCH(MAX(ABS(CE3:CE5)), ABS(CE3:CE5), 0)</f>
        <v>2</v>
      </c>
      <c r="CF6" s="25" cm="1">
        <f t="array" ref="CF6">MATCH(MAX(ABS(CF3:CF5)), ABS(CF3:CF5), 0)</f>
        <v>2</v>
      </c>
      <c r="CG6" s="25" cm="1">
        <f t="array" ref="CG6">MATCH(MAX(ABS(CG3:CG5)), ABS(CG3:CG5), 0)</f>
        <v>1</v>
      </c>
      <c r="CH6" s="25" cm="1">
        <f t="array" ref="CH6">MATCH(MAX(ABS(CH3:CH5)), ABS(CH3:CH5), 0)</f>
        <v>3</v>
      </c>
      <c r="CI6" s="25" cm="1">
        <f t="array" ref="CI6">MATCH(MAX(ABS(CI3:CI5)), ABS(CI3:CI5), 0)</f>
        <v>2</v>
      </c>
      <c r="CJ6" s="25" cm="1">
        <f t="array" ref="CJ6">MATCH(MAX(ABS(CJ3:CJ5)), ABS(CJ3:CJ5), 0)</f>
        <v>1</v>
      </c>
      <c r="CK6" s="25" cm="1">
        <f t="array" ref="CK6">MATCH(MAX(ABS(CK3:CK5)), ABS(CK3:CK5), 0)</f>
        <v>1</v>
      </c>
      <c r="CL6" s="25" cm="1">
        <f t="array" ref="CL6">MATCH(MAX(ABS(CL3:CL5)), ABS(CL3:CL5), 0)</f>
        <v>2</v>
      </c>
      <c r="CM6" s="25" cm="1">
        <f t="array" ref="CM6">MATCH(MAX(ABS(CM3:CM5)), ABS(CM3:CM5), 0)</f>
        <v>1</v>
      </c>
      <c r="CN6" s="25" cm="1">
        <f t="array" ref="CN6">MATCH(MAX(ABS(CN3:CN5)), ABS(CN3:CN5), 0)</f>
        <v>1</v>
      </c>
      <c r="CO6" s="25" cm="1">
        <f t="array" ref="CO6">MATCH(MAX(ABS(CO3:CO5)), ABS(CO3:CO5), 0)</f>
        <v>1</v>
      </c>
      <c r="CP6" s="25" cm="1">
        <f t="array" ref="CP6">MATCH(MAX(ABS(CP3:CP5)), ABS(CP3:CP5), 0)</f>
        <v>3</v>
      </c>
      <c r="CQ6" s="25" cm="1">
        <f t="array" ref="CQ6">MATCH(MAX(ABS(CQ3:CQ5)), ABS(CQ3:CQ5), 0)</f>
        <v>1</v>
      </c>
      <c r="CR6" s="25" cm="1">
        <f t="array" ref="CR6">MATCH(MAX(ABS(CR3:CR5)), ABS(CR3:CR5), 0)</f>
        <v>2</v>
      </c>
      <c r="CS6" s="25" cm="1">
        <f t="array" ref="CS6">MATCH(MAX(ABS(CS3:CS5)), ABS(CS3:CS5), 0)</f>
        <v>1</v>
      </c>
      <c r="CT6" s="25" cm="1">
        <f t="array" ref="CT6">MATCH(MAX(ABS(CT3:CT5)), ABS(CT3:CT5), 0)</f>
        <v>1</v>
      </c>
      <c r="CU6" s="25" cm="1">
        <f t="array" ref="CU6">MATCH(MAX(ABS(CU3:CU5)), ABS(CU3:CU5), 0)</f>
        <v>1</v>
      </c>
      <c r="CV6" s="25" cm="1">
        <f t="array" ref="CV6">MATCH(MAX(ABS(CV3:CV5)), ABS(CV3:CV5), 0)</f>
        <v>2</v>
      </c>
      <c r="CW6" s="25" cm="1">
        <f t="array" ref="CW6">MATCH(MAX(ABS(CW3:CW5)), ABS(CW3:CW5), 0)</f>
        <v>2</v>
      </c>
      <c r="CX6" s="25" cm="1">
        <f t="array" ref="CX6">MATCH(MAX(ABS(CX3:CX5)), ABS(CX3:CX5), 0)</f>
        <v>2</v>
      </c>
      <c r="CY6" s="25" cm="1">
        <f t="array" ref="CY6">MATCH(MAX(ABS(CY3:CY5)), ABS(CY3:CY5), 0)</f>
        <v>2</v>
      </c>
      <c r="CZ6" s="25" cm="1">
        <f t="array" ref="CZ6">MATCH(MAX(ABS(CZ3:CZ5)), ABS(CZ3:CZ5), 0)</f>
        <v>2</v>
      </c>
      <c r="DA6" s="25" cm="1">
        <f t="array" ref="DA6">MATCH(MAX(ABS(DA3:DA5)), ABS(DA3:DA5), 0)</f>
        <v>1</v>
      </c>
      <c r="DB6" s="25" cm="1">
        <f t="array" ref="DB6">MATCH(MAX(ABS(DB3:DB5)), ABS(DB3:DB5), 0)</f>
        <v>2</v>
      </c>
      <c r="DC6" s="25" cm="1">
        <f t="array" ref="DC6">MATCH(MAX(ABS(DC3:DC5)), ABS(DC3:DC5), 0)</f>
        <v>1</v>
      </c>
      <c r="DD6" s="25" cm="1">
        <f t="array" ref="DD6">MATCH(MAX(ABS(DD3:DD5)), ABS(DD3:DD5), 0)</f>
        <v>2</v>
      </c>
      <c r="DE6" s="25" cm="1">
        <f t="array" ref="DE6">MATCH(MAX(ABS(DE3:DE5)), ABS(DE3:DE5), 0)</f>
        <v>1</v>
      </c>
      <c r="DF6" s="25" cm="1">
        <f t="array" ref="DF6">MATCH(MAX(ABS(DF3:DF5)), ABS(DF3:DF5), 0)</f>
        <v>1</v>
      </c>
      <c r="DG6" s="25" cm="1">
        <f t="array" ref="DG6">MATCH(MAX(ABS(DG3:DG5)), ABS(DG3:DG5), 0)</f>
        <v>2</v>
      </c>
      <c r="DH6" s="25" cm="1">
        <f t="array" ref="DH6">MATCH(MAX(ABS(DH3:DH5)), ABS(DH3:DH5), 0)</f>
        <v>1</v>
      </c>
      <c r="DI6" s="25" cm="1">
        <f t="array" ref="DI6">MATCH(MAX(ABS(DI3:DI5)), ABS(DI3:DI5), 0)</f>
        <v>1</v>
      </c>
      <c r="DJ6" s="25" cm="1">
        <f t="array" ref="DJ6">MATCH(MAX(ABS(DJ3:DJ5)), ABS(DJ3:DJ5), 0)</f>
        <v>1</v>
      </c>
      <c r="DK6" s="25" cm="1">
        <f t="array" ref="DK6">MATCH(MAX(ABS(DK3:DK5)), ABS(DK3:DK5), 0)</f>
        <v>1</v>
      </c>
      <c r="DL6" s="25" cm="1">
        <f t="array" ref="DL6">MATCH(MAX(ABS(DL3:DL5)), ABS(DL3:DL5), 0)</f>
        <v>2</v>
      </c>
      <c r="DM6" s="25" cm="1">
        <f t="array" ref="DM6">MATCH(MAX(ABS(DM3:DM5)), ABS(DM3:DM5), 0)</f>
        <v>1</v>
      </c>
      <c r="DN6" s="25" cm="1">
        <f t="array" ref="DN6">MATCH(MAX(ABS(DN3:DN5)), ABS(DN3:DN5), 0)</f>
        <v>1</v>
      </c>
      <c r="DO6" s="25" cm="1">
        <f t="array" ref="DO6">MATCH(MAX(ABS(DO3:DO5)), ABS(DO3:DO5), 0)</f>
        <v>2</v>
      </c>
      <c r="DP6" s="25" cm="1">
        <f t="array" ref="DP6">MATCH(MAX(ABS(DP3:DP5)), ABS(DP3:DP5), 0)</f>
        <v>1</v>
      </c>
      <c r="DQ6" s="25" cm="1">
        <f t="array" ref="DQ6">MATCH(MAX(ABS(DQ3:DQ5)), ABS(DQ3:DQ5), 0)</f>
        <v>1</v>
      </c>
      <c r="DR6" s="25" cm="1">
        <f t="array" ref="DR6">MATCH(MAX(ABS(DR3:DR5)), ABS(DR3:DR5), 0)</f>
        <v>1</v>
      </c>
      <c r="DS6" s="25" cm="1">
        <f t="array" ref="DS6">MATCH(MAX(ABS(DS3:DS5)), ABS(DS3:DS5), 0)</f>
        <v>2</v>
      </c>
      <c r="DT6" s="25" cm="1">
        <f t="array" ref="DT6">MATCH(MAX(ABS(DT3:DT5)), ABS(DT3:DT5), 0)</f>
        <v>1</v>
      </c>
      <c r="DU6" s="25" cm="1">
        <f t="array" ref="DU6">MATCH(MAX(ABS(DU3:DU5)), ABS(DU3:DU5), 0)</f>
        <v>1</v>
      </c>
      <c r="DV6" s="25" cm="1">
        <f t="array" ref="DV6">MATCH(MAX(ABS(DV3:DV5)), ABS(DV3:DV5), 0)</f>
        <v>1</v>
      </c>
      <c r="DW6" s="25" cm="1">
        <f t="array" ref="DW6">MATCH(MAX(ABS(DW3:DW5)), ABS(DW3:DW5), 0)</f>
        <v>1</v>
      </c>
      <c r="DX6" s="25" cm="1">
        <f t="array" ref="DX6">MATCH(MAX(ABS(DX3:DX5)), ABS(DX3:DX5), 0)</f>
        <v>1</v>
      </c>
      <c r="DY6" s="25" cm="1">
        <f t="array" ref="DY6">MATCH(MAX(ABS(DY3:DY5)), ABS(DY3:DY5), 0)</f>
        <v>1</v>
      </c>
      <c r="DZ6" s="25" cm="1">
        <f t="array" ref="DZ6">MATCH(MAX(ABS(DZ3:DZ5)), ABS(DZ3:DZ5), 0)</f>
        <v>1</v>
      </c>
      <c r="EA6" s="25" cm="1">
        <f t="array" ref="EA6">MATCH(MAX(ABS(EA3:EA5)), ABS(EA3:EA5), 0)</f>
        <v>1</v>
      </c>
      <c r="EB6" s="25" cm="1">
        <f t="array" ref="EB6">MATCH(MAX(ABS(EB3:EB5)), ABS(EB3:EB5), 0)</f>
        <v>2</v>
      </c>
      <c r="EC6" s="25" cm="1">
        <f t="array" ref="EC6">MATCH(MAX(ABS(EC3:EC5)), ABS(EC3:EC5), 0)</f>
        <v>1</v>
      </c>
      <c r="ED6" s="25" cm="1">
        <f t="array" ref="ED6">MATCH(MAX(ABS(ED3:ED5)), ABS(ED3:ED5), 0)</f>
        <v>1</v>
      </c>
      <c r="EE6" s="25" cm="1">
        <f t="array" ref="EE6">MATCH(MAX(ABS(EE3:EE5)), ABS(EE3:EE5), 0)</f>
        <v>2</v>
      </c>
      <c r="EF6" s="25" cm="1">
        <f t="array" ref="EF6">MATCH(MAX(ABS(EF3:EF5)), ABS(EF3:EF5), 0)</f>
        <v>1</v>
      </c>
    </row>
    <row r="7" spans="1:138" ht="16">
      <c r="A7" s="4"/>
      <c r="B7" s="20"/>
      <c r="C7" s="25" t="str">
        <f>IF(C6=1,"bm",IF(C6=2,"size",IF(C6=3,"mom")))</f>
        <v>bm</v>
      </c>
      <c r="D7" s="25" t="str">
        <f t="shared" ref="D7:BO7" si="0">IF(D6=1,"bm",IF(D6=2,"size",IF(D6=3,"mom")))</f>
        <v>bm</v>
      </c>
      <c r="E7" s="25" t="str">
        <f t="shared" si="0"/>
        <v>size</v>
      </c>
      <c r="F7" s="25" t="str">
        <f t="shared" si="0"/>
        <v>bm</v>
      </c>
      <c r="G7" s="25" t="str">
        <f t="shared" si="0"/>
        <v>bm</v>
      </c>
      <c r="H7" s="25" t="str">
        <f t="shared" si="0"/>
        <v>mom</v>
      </c>
      <c r="I7" s="25" t="str">
        <f t="shared" si="0"/>
        <v>bm</v>
      </c>
      <c r="J7" s="25" t="str">
        <f t="shared" si="0"/>
        <v>bm</v>
      </c>
      <c r="K7" s="25" t="str">
        <f t="shared" si="0"/>
        <v>size</v>
      </c>
      <c r="L7" s="25" t="str">
        <f t="shared" si="0"/>
        <v>bm</v>
      </c>
      <c r="M7" s="25" t="str">
        <f t="shared" si="0"/>
        <v>bm</v>
      </c>
      <c r="N7" s="25" t="str">
        <f t="shared" si="0"/>
        <v>bm</v>
      </c>
      <c r="O7" s="25" t="str">
        <f t="shared" si="0"/>
        <v>bm</v>
      </c>
      <c r="P7" s="25" t="str">
        <f t="shared" si="0"/>
        <v>size</v>
      </c>
      <c r="Q7" s="25" t="str">
        <f t="shared" si="0"/>
        <v>size</v>
      </c>
      <c r="R7" s="25" t="str">
        <f t="shared" si="0"/>
        <v>bm</v>
      </c>
      <c r="S7" s="25" t="str">
        <f t="shared" si="0"/>
        <v>mom</v>
      </c>
      <c r="T7" s="25" t="str">
        <f t="shared" si="0"/>
        <v>bm</v>
      </c>
      <c r="U7" s="25" t="str">
        <f t="shared" si="0"/>
        <v>size</v>
      </c>
      <c r="V7" s="25" t="str">
        <f t="shared" si="0"/>
        <v>size</v>
      </c>
      <c r="W7" s="25" t="str">
        <f t="shared" si="0"/>
        <v>bm</v>
      </c>
      <c r="X7" s="25" t="str">
        <f t="shared" si="0"/>
        <v>size</v>
      </c>
      <c r="Y7" s="25" t="str">
        <f t="shared" si="0"/>
        <v>size</v>
      </c>
      <c r="Z7" s="25" t="str">
        <f t="shared" si="0"/>
        <v>size</v>
      </c>
      <c r="AA7" s="25" t="str">
        <f t="shared" si="0"/>
        <v>bm</v>
      </c>
      <c r="AB7" s="25" t="str">
        <f t="shared" si="0"/>
        <v>bm</v>
      </c>
      <c r="AC7" s="25" t="str">
        <f t="shared" si="0"/>
        <v>bm</v>
      </c>
      <c r="AD7" s="25" t="str">
        <f t="shared" si="0"/>
        <v>size</v>
      </c>
      <c r="AE7" s="25" t="str">
        <f t="shared" si="0"/>
        <v>bm</v>
      </c>
      <c r="AF7" s="25" t="str">
        <f t="shared" si="0"/>
        <v>size</v>
      </c>
      <c r="AG7" s="25" t="str">
        <f t="shared" si="0"/>
        <v>bm</v>
      </c>
      <c r="AH7" s="25" t="str">
        <f t="shared" si="0"/>
        <v>bm</v>
      </c>
      <c r="AI7" s="25" t="str">
        <f t="shared" si="0"/>
        <v>bm</v>
      </c>
      <c r="AJ7" s="25" t="str">
        <f t="shared" si="0"/>
        <v>bm</v>
      </c>
      <c r="AK7" s="25" t="str">
        <f t="shared" si="0"/>
        <v>size</v>
      </c>
      <c r="AL7" s="25" t="str">
        <f t="shared" si="0"/>
        <v>size</v>
      </c>
      <c r="AM7" s="25" t="str">
        <f t="shared" si="0"/>
        <v>bm</v>
      </c>
      <c r="AN7" s="25" t="str">
        <f t="shared" si="0"/>
        <v>bm</v>
      </c>
      <c r="AO7" s="25" t="str">
        <f t="shared" si="0"/>
        <v>bm</v>
      </c>
      <c r="AP7" s="25" t="str">
        <f t="shared" si="0"/>
        <v>bm</v>
      </c>
      <c r="AQ7" s="25" t="str">
        <f t="shared" si="0"/>
        <v>bm</v>
      </c>
      <c r="AR7" s="25" t="str">
        <f t="shared" si="0"/>
        <v>bm</v>
      </c>
      <c r="AS7" s="25" t="str">
        <f t="shared" si="0"/>
        <v>bm</v>
      </c>
      <c r="AT7" s="25" t="str">
        <f t="shared" si="0"/>
        <v>bm</v>
      </c>
      <c r="AU7" s="25" t="str">
        <f t="shared" si="0"/>
        <v>bm</v>
      </c>
      <c r="AV7" s="25" t="str">
        <f t="shared" si="0"/>
        <v>bm</v>
      </c>
      <c r="AW7" s="25" t="str">
        <f t="shared" si="0"/>
        <v>bm</v>
      </c>
      <c r="AX7" s="25" t="str">
        <f t="shared" si="0"/>
        <v>bm</v>
      </c>
      <c r="AY7" s="25" t="str">
        <f t="shared" si="0"/>
        <v>bm</v>
      </c>
      <c r="AZ7" s="25" t="str">
        <f t="shared" si="0"/>
        <v>bm</v>
      </c>
      <c r="BA7" s="25" t="str">
        <f t="shared" si="0"/>
        <v>bm</v>
      </c>
      <c r="BB7" s="25" t="str">
        <f t="shared" si="0"/>
        <v>size</v>
      </c>
      <c r="BC7" s="25" t="str">
        <f t="shared" si="0"/>
        <v>bm</v>
      </c>
      <c r="BD7" s="25" t="str">
        <f t="shared" si="0"/>
        <v>bm</v>
      </c>
      <c r="BE7" s="25" t="str">
        <f t="shared" si="0"/>
        <v>size</v>
      </c>
      <c r="BF7" s="25" t="str">
        <f t="shared" si="0"/>
        <v>bm</v>
      </c>
      <c r="BG7" s="25" t="str">
        <f t="shared" si="0"/>
        <v>mom</v>
      </c>
      <c r="BH7" s="25" t="str">
        <f t="shared" si="0"/>
        <v>bm</v>
      </c>
      <c r="BI7" s="25" t="str">
        <f t="shared" si="0"/>
        <v>bm</v>
      </c>
      <c r="BJ7" s="25" t="str">
        <f t="shared" si="0"/>
        <v>bm</v>
      </c>
      <c r="BK7" s="25" t="str">
        <f t="shared" si="0"/>
        <v>bm</v>
      </c>
      <c r="BL7" s="25" t="str">
        <f t="shared" si="0"/>
        <v>bm</v>
      </c>
      <c r="BM7" s="25" t="str">
        <f t="shared" si="0"/>
        <v>bm</v>
      </c>
      <c r="BN7" s="25" t="str">
        <f t="shared" si="0"/>
        <v>size</v>
      </c>
      <c r="BO7" s="25" t="str">
        <f t="shared" si="0"/>
        <v>bm</v>
      </c>
      <c r="BP7" s="25" t="str">
        <f t="shared" ref="BP7:EA7" si="1">IF(BP6=1,"bm",IF(BP6=2,"size",IF(BP6=3,"mom")))</f>
        <v>bm</v>
      </c>
      <c r="BQ7" s="25" t="str">
        <f t="shared" si="1"/>
        <v>bm</v>
      </c>
      <c r="BR7" s="25" t="str">
        <f t="shared" si="1"/>
        <v>bm</v>
      </c>
      <c r="BS7" s="25" t="str">
        <f t="shared" si="1"/>
        <v>bm</v>
      </c>
      <c r="BT7" s="25" t="str">
        <f t="shared" si="1"/>
        <v>size</v>
      </c>
      <c r="BU7" s="25" t="str">
        <f t="shared" si="1"/>
        <v>bm</v>
      </c>
      <c r="BV7" s="25" t="str">
        <f t="shared" si="1"/>
        <v>bm</v>
      </c>
      <c r="BW7" s="25" t="str">
        <f t="shared" si="1"/>
        <v>size</v>
      </c>
      <c r="BX7" s="25" t="str">
        <f t="shared" si="1"/>
        <v>size</v>
      </c>
      <c r="BY7" s="25" t="str">
        <f t="shared" si="1"/>
        <v>size</v>
      </c>
      <c r="BZ7" s="25" t="str">
        <f t="shared" si="1"/>
        <v>bm</v>
      </c>
      <c r="CA7" s="25" t="str">
        <f t="shared" si="1"/>
        <v>bm</v>
      </c>
      <c r="CB7" s="25" t="str">
        <f t="shared" si="1"/>
        <v>bm</v>
      </c>
      <c r="CC7" s="25" t="str">
        <f t="shared" si="1"/>
        <v>mom</v>
      </c>
      <c r="CD7" s="25" t="str">
        <f t="shared" si="1"/>
        <v>bm</v>
      </c>
      <c r="CE7" s="25" t="str">
        <f t="shared" si="1"/>
        <v>size</v>
      </c>
      <c r="CF7" s="25" t="str">
        <f t="shared" si="1"/>
        <v>size</v>
      </c>
      <c r="CG7" s="25" t="str">
        <f t="shared" si="1"/>
        <v>bm</v>
      </c>
      <c r="CH7" s="25" t="str">
        <f t="shared" si="1"/>
        <v>mom</v>
      </c>
      <c r="CI7" s="25" t="str">
        <f t="shared" si="1"/>
        <v>size</v>
      </c>
      <c r="CJ7" s="25" t="str">
        <f t="shared" si="1"/>
        <v>bm</v>
      </c>
      <c r="CK7" s="25" t="str">
        <f t="shared" si="1"/>
        <v>bm</v>
      </c>
      <c r="CL7" s="25" t="str">
        <f t="shared" si="1"/>
        <v>size</v>
      </c>
      <c r="CM7" s="25" t="str">
        <f t="shared" si="1"/>
        <v>bm</v>
      </c>
      <c r="CN7" s="25" t="str">
        <f t="shared" si="1"/>
        <v>bm</v>
      </c>
      <c r="CO7" s="25" t="str">
        <f t="shared" si="1"/>
        <v>bm</v>
      </c>
      <c r="CP7" s="25" t="str">
        <f t="shared" si="1"/>
        <v>mom</v>
      </c>
      <c r="CQ7" s="25" t="str">
        <f t="shared" si="1"/>
        <v>bm</v>
      </c>
      <c r="CR7" s="25" t="str">
        <f t="shared" si="1"/>
        <v>size</v>
      </c>
      <c r="CS7" s="25" t="str">
        <f t="shared" si="1"/>
        <v>bm</v>
      </c>
      <c r="CT7" s="25" t="str">
        <f t="shared" si="1"/>
        <v>bm</v>
      </c>
      <c r="CU7" s="25" t="str">
        <f t="shared" si="1"/>
        <v>bm</v>
      </c>
      <c r="CV7" s="25" t="str">
        <f t="shared" si="1"/>
        <v>size</v>
      </c>
      <c r="CW7" s="25" t="str">
        <f t="shared" si="1"/>
        <v>size</v>
      </c>
      <c r="CX7" s="25" t="str">
        <f t="shared" si="1"/>
        <v>size</v>
      </c>
      <c r="CY7" s="25" t="str">
        <f t="shared" si="1"/>
        <v>size</v>
      </c>
      <c r="CZ7" s="25" t="str">
        <f t="shared" si="1"/>
        <v>size</v>
      </c>
      <c r="DA7" s="25" t="str">
        <f t="shared" si="1"/>
        <v>bm</v>
      </c>
      <c r="DB7" s="25" t="str">
        <f t="shared" si="1"/>
        <v>size</v>
      </c>
      <c r="DC7" s="25" t="str">
        <f t="shared" si="1"/>
        <v>bm</v>
      </c>
      <c r="DD7" s="25" t="str">
        <f t="shared" si="1"/>
        <v>size</v>
      </c>
      <c r="DE7" s="25" t="str">
        <f t="shared" si="1"/>
        <v>bm</v>
      </c>
      <c r="DF7" s="25" t="str">
        <f t="shared" si="1"/>
        <v>bm</v>
      </c>
      <c r="DG7" s="25" t="str">
        <f t="shared" si="1"/>
        <v>size</v>
      </c>
      <c r="DH7" s="25" t="str">
        <f t="shared" si="1"/>
        <v>bm</v>
      </c>
      <c r="DI7" s="25" t="str">
        <f t="shared" si="1"/>
        <v>bm</v>
      </c>
      <c r="DJ7" s="25" t="str">
        <f t="shared" si="1"/>
        <v>bm</v>
      </c>
      <c r="DK7" s="25" t="str">
        <f t="shared" si="1"/>
        <v>bm</v>
      </c>
      <c r="DL7" s="25" t="str">
        <f t="shared" si="1"/>
        <v>size</v>
      </c>
      <c r="DM7" s="25" t="str">
        <f t="shared" si="1"/>
        <v>bm</v>
      </c>
      <c r="DN7" s="25" t="str">
        <f t="shared" si="1"/>
        <v>bm</v>
      </c>
      <c r="DO7" s="25" t="str">
        <f t="shared" si="1"/>
        <v>size</v>
      </c>
      <c r="DP7" s="25" t="str">
        <f t="shared" si="1"/>
        <v>bm</v>
      </c>
      <c r="DQ7" s="25" t="str">
        <f t="shared" si="1"/>
        <v>bm</v>
      </c>
      <c r="DR7" s="25" t="str">
        <f t="shared" si="1"/>
        <v>bm</v>
      </c>
      <c r="DS7" s="25" t="str">
        <f t="shared" si="1"/>
        <v>size</v>
      </c>
      <c r="DT7" s="25" t="str">
        <f t="shared" si="1"/>
        <v>bm</v>
      </c>
      <c r="DU7" s="25" t="str">
        <f t="shared" si="1"/>
        <v>bm</v>
      </c>
      <c r="DV7" s="25" t="str">
        <f t="shared" si="1"/>
        <v>bm</v>
      </c>
      <c r="DW7" s="25" t="str">
        <f t="shared" si="1"/>
        <v>bm</v>
      </c>
      <c r="DX7" s="25" t="str">
        <f t="shared" si="1"/>
        <v>bm</v>
      </c>
      <c r="DY7" s="25" t="str">
        <f t="shared" si="1"/>
        <v>bm</v>
      </c>
      <c r="DZ7" s="25" t="str">
        <f t="shared" si="1"/>
        <v>bm</v>
      </c>
      <c r="EA7" s="25" t="str">
        <f t="shared" si="1"/>
        <v>bm</v>
      </c>
      <c r="EB7" s="25" t="str">
        <f t="shared" ref="EB7:EF7" si="2">IF(EB6=1,"bm",IF(EB6=2,"size",IF(EB6=3,"mom")))</f>
        <v>size</v>
      </c>
      <c r="EC7" s="25" t="str">
        <f t="shared" si="2"/>
        <v>bm</v>
      </c>
      <c r="ED7" s="25" t="str">
        <f t="shared" si="2"/>
        <v>bm</v>
      </c>
      <c r="EE7" s="25" t="str">
        <f t="shared" si="2"/>
        <v>size</v>
      </c>
      <c r="EF7" s="25" t="str">
        <f t="shared" si="2"/>
        <v>bm</v>
      </c>
    </row>
    <row r="8" spans="1:138" ht="16">
      <c r="A8" s="4"/>
      <c r="B8" s="21"/>
      <c r="C8" s="25">
        <f>IF(C6=1,C3,IF(C6=2,C4,IF(C6=3,C5)))</f>
        <v>7.3912657797336578E-2</v>
      </c>
      <c r="D8" s="25">
        <f t="shared" ref="D8:BO8" si="3">IF(D6=1,D3,IF(D6=2,D4,IF(D6=3,D5)))</f>
        <v>7.563493400812149E-2</v>
      </c>
      <c r="E8" s="25">
        <f t="shared" si="3"/>
        <v>8.2988262176513672E-2</v>
      </c>
      <c r="F8" s="25">
        <f t="shared" si="3"/>
        <v>6.1629988253116608E-2</v>
      </c>
      <c r="G8" s="25">
        <f t="shared" si="3"/>
        <v>5.0796419382095337E-2</v>
      </c>
      <c r="H8" s="25">
        <f t="shared" si="3"/>
        <v>5.7366847991943359E-2</v>
      </c>
      <c r="I8" s="25">
        <f t="shared" si="3"/>
        <v>9.0367138385772705E-2</v>
      </c>
      <c r="J8" s="25">
        <f t="shared" si="3"/>
        <v>6.5266318619251251E-2</v>
      </c>
      <c r="K8" s="25">
        <f t="shared" si="3"/>
        <v>-3.3898375928401947E-2</v>
      </c>
      <c r="L8" s="25">
        <f t="shared" si="3"/>
        <v>7.7547639608383179E-2</v>
      </c>
      <c r="M8" s="25">
        <f t="shared" si="3"/>
        <v>6.4441181719303131E-2</v>
      </c>
      <c r="N8" s="25">
        <f t="shared" si="3"/>
        <v>4.6512190252542503E-2</v>
      </c>
      <c r="O8" s="25">
        <f t="shared" si="3"/>
        <v>6.7610271275043488E-2</v>
      </c>
      <c r="P8" s="25">
        <f t="shared" si="3"/>
        <v>-4.6467673033475883E-2</v>
      </c>
      <c r="Q8" s="25">
        <f t="shared" si="3"/>
        <v>-6.1648782342672348E-2</v>
      </c>
      <c r="R8" s="25">
        <f t="shared" si="3"/>
        <v>5.7588163763284683E-2</v>
      </c>
      <c r="S8" s="25">
        <f t="shared" si="3"/>
        <v>3.937915712594986E-2</v>
      </c>
      <c r="T8" s="25">
        <f t="shared" si="3"/>
        <v>5.8177851140499108E-2</v>
      </c>
      <c r="U8" s="25">
        <f t="shared" si="3"/>
        <v>8.309655636548996E-2</v>
      </c>
      <c r="V8" s="25">
        <f t="shared" si="3"/>
        <v>8.9860610663890839E-2</v>
      </c>
      <c r="W8" s="25">
        <f t="shared" si="3"/>
        <v>5.813661590218544E-2</v>
      </c>
      <c r="X8" s="25">
        <f t="shared" si="3"/>
        <v>8.2243978977203369E-2</v>
      </c>
      <c r="Y8" s="25">
        <f t="shared" si="3"/>
        <v>-7.1789160370826721E-2</v>
      </c>
      <c r="Z8" s="25">
        <f t="shared" si="3"/>
        <v>-3.0311709269881248E-2</v>
      </c>
      <c r="AA8" s="25">
        <f t="shared" si="3"/>
        <v>6.6306374967098236E-2</v>
      </c>
      <c r="AB8" s="25">
        <f t="shared" si="3"/>
        <v>5.8820508420467377E-2</v>
      </c>
      <c r="AC8" s="25">
        <f t="shared" si="3"/>
        <v>5.7617776095867157E-2</v>
      </c>
      <c r="AD8" s="25">
        <f t="shared" si="3"/>
        <v>-9.8738029599189758E-2</v>
      </c>
      <c r="AE8" s="25">
        <f t="shared" si="3"/>
        <v>7.8433975577354431E-2</v>
      </c>
      <c r="AF8" s="25">
        <f t="shared" si="3"/>
        <v>-4.4075444340705872E-2</v>
      </c>
      <c r="AG8" s="25">
        <f t="shared" si="3"/>
        <v>5.5671926587820053E-2</v>
      </c>
      <c r="AH8" s="25">
        <f t="shared" si="3"/>
        <v>1.690743304789066E-2</v>
      </c>
      <c r="AI8" s="25">
        <f t="shared" si="3"/>
        <v>3.7138056010007858E-2</v>
      </c>
      <c r="AJ8" s="25">
        <f t="shared" si="3"/>
        <v>3.9113327860832207E-2</v>
      </c>
      <c r="AK8" s="25">
        <f t="shared" si="3"/>
        <v>-9.3165159225463867E-2</v>
      </c>
      <c r="AL8" s="25">
        <f t="shared" si="3"/>
        <v>5.6960459798574448E-2</v>
      </c>
      <c r="AM8" s="25">
        <f t="shared" si="3"/>
        <v>5.331827700138092E-2</v>
      </c>
      <c r="AN8" s="25">
        <f t="shared" si="3"/>
        <v>0.1098324954509735</v>
      </c>
      <c r="AO8" s="25">
        <f t="shared" si="3"/>
        <v>1.9733672961592671E-2</v>
      </c>
      <c r="AP8" s="25">
        <f t="shared" si="3"/>
        <v>3.6758668720722198E-2</v>
      </c>
      <c r="AQ8" s="25">
        <f t="shared" si="3"/>
        <v>5.1327180117368698E-2</v>
      </c>
      <c r="AR8" s="25">
        <f t="shared" si="3"/>
        <v>5.3256317973136902E-2</v>
      </c>
      <c r="AS8" s="25">
        <f t="shared" si="3"/>
        <v>5.4331317543983459E-2</v>
      </c>
      <c r="AT8" s="25">
        <f t="shared" si="3"/>
        <v>4.3143793940544128E-2</v>
      </c>
      <c r="AU8" s="25">
        <f t="shared" si="3"/>
        <v>3.8841631263494492E-2</v>
      </c>
      <c r="AV8" s="25">
        <f t="shared" si="3"/>
        <v>5.5265516042709351E-2</v>
      </c>
      <c r="AW8" s="25">
        <f t="shared" si="3"/>
        <v>5.0267204642295837E-2</v>
      </c>
      <c r="AX8" s="25">
        <f t="shared" si="3"/>
        <v>-6.0497067868709557E-2</v>
      </c>
      <c r="AY8" s="25">
        <f t="shared" si="3"/>
        <v>5.6344892829656601E-2</v>
      </c>
      <c r="AZ8" s="25">
        <f t="shared" si="3"/>
        <v>4.4756263494491577E-2</v>
      </c>
      <c r="BA8" s="25">
        <f t="shared" si="3"/>
        <v>4.9546454101800919E-2</v>
      </c>
      <c r="BB8" s="25">
        <f t="shared" si="3"/>
        <v>-8.7475843727588654E-2</v>
      </c>
      <c r="BC8" s="25">
        <f t="shared" si="3"/>
        <v>5.2208933979272842E-2</v>
      </c>
      <c r="BD8" s="25">
        <f t="shared" si="3"/>
        <v>5.0287269055843353E-2</v>
      </c>
      <c r="BE8" s="25">
        <f t="shared" si="3"/>
        <v>-5.4915815591812127E-2</v>
      </c>
      <c r="BF8" s="25">
        <f t="shared" si="3"/>
        <v>5.2831601351499557E-2</v>
      </c>
      <c r="BG8" s="25">
        <f t="shared" si="3"/>
        <v>0.1231109201908112</v>
      </c>
      <c r="BH8" s="25">
        <f t="shared" si="3"/>
        <v>5.3355973213911063E-2</v>
      </c>
      <c r="BI8" s="25">
        <f t="shared" si="3"/>
        <v>-4.2333740741014481E-2</v>
      </c>
      <c r="BJ8" s="25">
        <f t="shared" si="3"/>
        <v>-4.1621774435043328E-2</v>
      </c>
      <c r="BK8" s="25">
        <f t="shared" si="3"/>
        <v>5.2732300013303757E-2</v>
      </c>
      <c r="BL8" s="25">
        <f t="shared" si="3"/>
        <v>5.2711453288793557E-2</v>
      </c>
      <c r="BM8" s="25">
        <f t="shared" si="3"/>
        <v>5.2789580076932907E-2</v>
      </c>
      <c r="BN8" s="25">
        <f t="shared" si="3"/>
        <v>-0.1043956056237221</v>
      </c>
      <c r="BO8" s="25">
        <f t="shared" si="3"/>
        <v>-4.2583651840686798E-2</v>
      </c>
      <c r="BP8" s="25">
        <f t="shared" ref="BP8:EA8" si="4">IF(BP6=1,BP3,IF(BP6=2,BP4,IF(BP6=3,BP5)))</f>
        <v>3.996393084526062E-2</v>
      </c>
      <c r="BQ8" s="25">
        <f t="shared" si="4"/>
        <v>5.2070382982492447E-2</v>
      </c>
      <c r="BR8" s="25">
        <f t="shared" si="4"/>
        <v>5.0181154161691673E-2</v>
      </c>
      <c r="BS8" s="25">
        <f t="shared" si="4"/>
        <v>5.4154157638549798E-2</v>
      </c>
      <c r="BT8" s="25">
        <f t="shared" si="4"/>
        <v>4.9916800111532211E-2</v>
      </c>
      <c r="BU8" s="25">
        <f t="shared" si="4"/>
        <v>5.5349864065647132E-2</v>
      </c>
      <c r="BV8" s="25">
        <f t="shared" si="4"/>
        <v>5.2839476615190513E-2</v>
      </c>
      <c r="BW8" s="25">
        <f t="shared" si="4"/>
        <v>4.0576938539743423E-2</v>
      </c>
      <c r="BX8" s="25">
        <f t="shared" si="4"/>
        <v>0.11351513117551799</v>
      </c>
      <c r="BY8" s="25">
        <f t="shared" si="4"/>
        <v>-6.0964066535234451E-2</v>
      </c>
      <c r="BZ8" s="25">
        <f t="shared" si="4"/>
        <v>5.3063441067934043E-2</v>
      </c>
      <c r="CA8" s="25">
        <f t="shared" si="4"/>
        <v>3.9631478488445282E-2</v>
      </c>
      <c r="CB8" s="25">
        <f t="shared" si="4"/>
        <v>4.600171372294426E-2</v>
      </c>
      <c r="CC8" s="25">
        <f t="shared" si="4"/>
        <v>-6.2383759766817093E-2</v>
      </c>
      <c r="CD8" s="25">
        <f t="shared" si="4"/>
        <v>5.2426740527153022E-2</v>
      </c>
      <c r="CE8" s="25">
        <f t="shared" si="4"/>
        <v>-4.8888608813285828E-2</v>
      </c>
      <c r="CF8" s="25">
        <f t="shared" si="4"/>
        <v>4.5108072459697723E-2</v>
      </c>
      <c r="CG8" s="25">
        <f t="shared" si="4"/>
        <v>4.5137140899896622E-2</v>
      </c>
      <c r="CH8" s="25">
        <f t="shared" si="4"/>
        <v>5.5632010102272027E-2</v>
      </c>
      <c r="CI8" s="25">
        <f t="shared" si="4"/>
        <v>-5.9029228985309601E-2</v>
      </c>
      <c r="CJ8" s="25">
        <f t="shared" si="4"/>
        <v>5.7584956288337708E-2</v>
      </c>
      <c r="CK8" s="25">
        <f t="shared" si="4"/>
        <v>6.9196119904518127E-2</v>
      </c>
      <c r="CL8" s="25">
        <f t="shared" si="4"/>
        <v>-8.7717965245246887E-2</v>
      </c>
      <c r="CM8" s="25">
        <f t="shared" si="4"/>
        <v>4.9845971167087548E-2</v>
      </c>
      <c r="CN8" s="25">
        <f t="shared" si="4"/>
        <v>-4.840879887342453E-2</v>
      </c>
      <c r="CO8" s="25">
        <f t="shared" si="4"/>
        <v>4.8292059451341629E-2</v>
      </c>
      <c r="CP8" s="25">
        <f t="shared" si="4"/>
        <v>-4.1955962777137763E-2</v>
      </c>
      <c r="CQ8" s="25">
        <f t="shared" si="4"/>
        <v>4.8842102289199829E-2</v>
      </c>
      <c r="CR8" s="25">
        <f t="shared" si="4"/>
        <v>7.6525658369064331E-2</v>
      </c>
      <c r="CS8" s="25">
        <f t="shared" si="4"/>
        <v>4.7897454351186752E-2</v>
      </c>
      <c r="CT8" s="25">
        <f t="shared" si="4"/>
        <v>2.8369873762130741E-2</v>
      </c>
      <c r="CU8" s="25">
        <f t="shared" si="4"/>
        <v>4.4375255703926093E-2</v>
      </c>
      <c r="CV8" s="25">
        <f t="shared" si="4"/>
        <v>-6.2654152512550354E-2</v>
      </c>
      <c r="CW8" s="25">
        <f t="shared" si="4"/>
        <v>-4.558606818318367E-2</v>
      </c>
      <c r="CX8" s="25">
        <f t="shared" si="4"/>
        <v>-6.5642617642879486E-2</v>
      </c>
      <c r="CY8" s="25">
        <f t="shared" si="4"/>
        <v>6.3649572432041168E-2</v>
      </c>
      <c r="CZ8" s="25">
        <f t="shared" si="4"/>
        <v>-7.8583814203739166E-2</v>
      </c>
      <c r="DA8" s="25">
        <f t="shared" si="4"/>
        <v>4.4029783457517617E-2</v>
      </c>
      <c r="DB8" s="25">
        <f t="shared" si="4"/>
        <v>-5.8803975582122803E-2</v>
      </c>
      <c r="DC8" s="25">
        <f t="shared" si="4"/>
        <v>5.1982991397380829E-2</v>
      </c>
      <c r="DD8" s="25">
        <f t="shared" si="4"/>
        <v>-3.8284681737422943E-2</v>
      </c>
      <c r="DE8" s="25">
        <f t="shared" si="4"/>
        <v>5.2998926490545273E-2</v>
      </c>
      <c r="DF8" s="25">
        <f t="shared" si="4"/>
        <v>4.4837679713964462E-2</v>
      </c>
      <c r="DG8" s="25">
        <f t="shared" si="4"/>
        <v>6.0822788625955582E-2</v>
      </c>
      <c r="DH8" s="25">
        <f t="shared" si="4"/>
        <v>4.7541145235300057E-2</v>
      </c>
      <c r="DI8" s="25">
        <f t="shared" si="4"/>
        <v>4.8345033079385757E-2</v>
      </c>
      <c r="DJ8" s="25">
        <f t="shared" si="4"/>
        <v>5.2155863493680947E-2</v>
      </c>
      <c r="DK8" s="25">
        <f t="shared" si="4"/>
        <v>8.9188195765018463E-2</v>
      </c>
      <c r="DL8" s="25">
        <f t="shared" si="4"/>
        <v>-4.2281743139028549E-2</v>
      </c>
      <c r="DM8" s="25">
        <f t="shared" si="4"/>
        <v>4.845760390162468E-2</v>
      </c>
      <c r="DN8" s="25">
        <f t="shared" si="4"/>
        <v>4.64659184217453E-2</v>
      </c>
      <c r="DO8" s="25">
        <f t="shared" si="4"/>
        <v>-4.04704250395298E-2</v>
      </c>
      <c r="DP8" s="25">
        <f t="shared" si="4"/>
        <v>4.7435946762561798E-2</v>
      </c>
      <c r="DQ8" s="25">
        <f t="shared" si="4"/>
        <v>3.8500402122735977E-2</v>
      </c>
      <c r="DR8" s="25">
        <f t="shared" si="4"/>
        <v>4.9186587333679199E-2</v>
      </c>
      <c r="DS8" s="25">
        <f t="shared" si="4"/>
        <v>-6.9464683532714844E-2</v>
      </c>
      <c r="DT8" s="25">
        <f t="shared" si="4"/>
        <v>3.1652722507715232E-2</v>
      </c>
      <c r="DU8" s="25">
        <f t="shared" si="4"/>
        <v>6.1842098832130432E-2</v>
      </c>
      <c r="DV8" s="25">
        <f t="shared" si="4"/>
        <v>4.6563606709241867E-2</v>
      </c>
      <c r="DW8" s="25">
        <f t="shared" si="4"/>
        <v>3.2814890146255493E-2</v>
      </c>
      <c r="DX8" s="25">
        <f t="shared" si="4"/>
        <v>4.826011136174202E-2</v>
      </c>
      <c r="DY8" s="25">
        <f t="shared" si="4"/>
        <v>-5.6952420622110367E-2</v>
      </c>
      <c r="DZ8" s="25">
        <f t="shared" si="4"/>
        <v>3.3931814134120941E-2</v>
      </c>
      <c r="EA8" s="25">
        <f t="shared" si="4"/>
        <v>4.8233494162559509E-2</v>
      </c>
      <c r="EB8" s="25">
        <f t="shared" ref="EB8:EF8" si="5">IF(EB6=1,EB3,IF(EB6=2,EB4,IF(EB6=3,EB5)))</f>
        <v>-4.1742835193872452E-2</v>
      </c>
      <c r="EC8" s="25">
        <f t="shared" si="5"/>
        <v>3.6156386137008667E-2</v>
      </c>
      <c r="ED8" s="25">
        <f t="shared" si="5"/>
        <v>4.0190532803535461E-2</v>
      </c>
      <c r="EE8" s="25">
        <f t="shared" si="5"/>
        <v>0.11009947955608369</v>
      </c>
      <c r="EF8" s="25">
        <f t="shared" si="5"/>
        <v>5.0330590456724167E-2</v>
      </c>
    </row>
    <row r="9" spans="1:138" ht="16">
      <c r="A9" s="28"/>
      <c r="B9" s="28"/>
      <c r="C9" s="28"/>
      <c r="D9" s="4"/>
      <c r="E9" s="4"/>
      <c r="F9" s="4"/>
      <c r="G9" s="4"/>
      <c r="H9" s="4"/>
      <c r="I9" s="4"/>
      <c r="J9" s="4"/>
      <c r="K9" s="2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</row>
    <row r="10" spans="1:138" ht="16">
      <c r="A10" s="73" t="s">
        <v>140</v>
      </c>
      <c r="B10" s="74"/>
      <c r="C10" s="10" t="s">
        <v>141</v>
      </c>
      <c r="D10" s="10">
        <v>964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</row>
    <row r="11" spans="1:138" ht="16">
      <c r="A11" s="6" t="s">
        <v>142</v>
      </c>
      <c r="B11" s="6" t="s">
        <v>143</v>
      </c>
      <c r="C11" s="13" t="s">
        <v>3</v>
      </c>
      <c r="D11" s="13" t="s">
        <v>4</v>
      </c>
      <c r="E11" s="13" t="s">
        <v>5</v>
      </c>
      <c r="F11" s="13" t="s">
        <v>6</v>
      </c>
      <c r="G11" s="13" t="s">
        <v>7</v>
      </c>
      <c r="H11" s="13" t="s">
        <v>8</v>
      </c>
      <c r="I11" s="13" t="s">
        <v>9</v>
      </c>
      <c r="J11" s="13" t="s">
        <v>10</v>
      </c>
      <c r="K11" s="13" t="s">
        <v>11</v>
      </c>
      <c r="L11" s="13" t="s">
        <v>12</v>
      </c>
      <c r="M11" s="13" t="s">
        <v>13</v>
      </c>
      <c r="N11" s="13" t="s">
        <v>14</v>
      </c>
      <c r="O11" s="13" t="s">
        <v>15</v>
      </c>
      <c r="P11" s="13" t="s">
        <v>16</v>
      </c>
      <c r="Q11" s="13" t="s">
        <v>17</v>
      </c>
      <c r="R11" s="13" t="s">
        <v>18</v>
      </c>
      <c r="S11" s="13" t="s">
        <v>19</v>
      </c>
      <c r="T11" s="13" t="s">
        <v>20</v>
      </c>
      <c r="U11" s="13" t="s">
        <v>21</v>
      </c>
      <c r="V11" s="13" t="s">
        <v>22</v>
      </c>
      <c r="W11" s="13" t="s">
        <v>23</v>
      </c>
      <c r="X11" s="13" t="s">
        <v>24</v>
      </c>
      <c r="Y11" s="13" t="s">
        <v>25</v>
      </c>
      <c r="Z11" s="13" t="s">
        <v>26</v>
      </c>
      <c r="AA11" s="13" t="s">
        <v>27</v>
      </c>
      <c r="AB11" s="13" t="s">
        <v>28</v>
      </c>
      <c r="AC11" s="13" t="s">
        <v>29</v>
      </c>
      <c r="AD11" s="13" t="s">
        <v>30</v>
      </c>
      <c r="AE11" s="13" t="s">
        <v>31</v>
      </c>
      <c r="AF11" s="13" t="s">
        <v>32</v>
      </c>
      <c r="AG11" s="13" t="s">
        <v>33</v>
      </c>
      <c r="AH11" s="13" t="s">
        <v>34</v>
      </c>
      <c r="AI11" s="13" t="s">
        <v>35</v>
      </c>
      <c r="AJ11" s="13" t="s">
        <v>36</v>
      </c>
      <c r="AK11" s="13" t="s">
        <v>37</v>
      </c>
      <c r="AL11" s="13" t="s">
        <v>38</v>
      </c>
      <c r="AM11" s="13" t="s">
        <v>39</v>
      </c>
      <c r="AN11" s="13" t="s">
        <v>40</v>
      </c>
      <c r="AO11" s="13" t="s">
        <v>41</v>
      </c>
      <c r="AP11" s="13" t="s">
        <v>42</v>
      </c>
      <c r="AQ11" s="13" t="s">
        <v>43</v>
      </c>
      <c r="AR11" s="13" t="s">
        <v>44</v>
      </c>
      <c r="AS11" s="13" t="s">
        <v>45</v>
      </c>
      <c r="AT11" s="13" t="s">
        <v>46</v>
      </c>
      <c r="AU11" s="13" t="s">
        <v>47</v>
      </c>
      <c r="AV11" s="13" t="s">
        <v>48</v>
      </c>
      <c r="AW11" s="13" t="s">
        <v>49</v>
      </c>
      <c r="AX11" s="13" t="s">
        <v>50</v>
      </c>
      <c r="AY11" s="13" t="s">
        <v>51</v>
      </c>
      <c r="AZ11" s="13" t="s">
        <v>52</v>
      </c>
      <c r="BA11" s="13" t="s">
        <v>53</v>
      </c>
      <c r="BB11" s="13" t="s">
        <v>54</v>
      </c>
      <c r="BC11" s="13" t="s">
        <v>55</v>
      </c>
      <c r="BD11" s="13" t="s">
        <v>56</v>
      </c>
      <c r="BE11" s="13" t="s">
        <v>57</v>
      </c>
      <c r="BF11" s="13" t="s">
        <v>58</v>
      </c>
      <c r="BG11" s="13" t="s">
        <v>59</v>
      </c>
      <c r="BH11" s="13" t="s">
        <v>60</v>
      </c>
      <c r="BI11" s="13" t="s">
        <v>61</v>
      </c>
      <c r="BJ11" s="13" t="s">
        <v>62</v>
      </c>
      <c r="BK11" s="13" t="s">
        <v>63</v>
      </c>
      <c r="BL11" s="13" t="s">
        <v>64</v>
      </c>
      <c r="BM11" s="13" t="s">
        <v>65</v>
      </c>
      <c r="BN11" s="13" t="s">
        <v>66</v>
      </c>
      <c r="BO11" s="13" t="s">
        <v>67</v>
      </c>
      <c r="BP11" s="13" t="s">
        <v>68</v>
      </c>
      <c r="BQ11" s="13" t="s">
        <v>69</v>
      </c>
      <c r="BR11" s="13" t="s">
        <v>70</v>
      </c>
      <c r="BS11" s="13" t="s">
        <v>71</v>
      </c>
      <c r="BT11" s="13" t="s">
        <v>72</v>
      </c>
      <c r="BU11" s="13" t="s">
        <v>73</v>
      </c>
      <c r="BV11" s="13" t="s">
        <v>74</v>
      </c>
      <c r="BW11" s="13" t="s">
        <v>75</v>
      </c>
      <c r="BX11" s="13" t="s">
        <v>76</v>
      </c>
      <c r="BY11" s="13" t="s">
        <v>77</v>
      </c>
      <c r="BZ11" s="13" t="s">
        <v>78</v>
      </c>
      <c r="CA11" s="13" t="s">
        <v>79</v>
      </c>
      <c r="CB11" s="13" t="s">
        <v>80</v>
      </c>
      <c r="CC11" s="13" t="s">
        <v>81</v>
      </c>
      <c r="CD11" s="13" t="s">
        <v>82</v>
      </c>
      <c r="CE11" s="13" t="s">
        <v>83</v>
      </c>
      <c r="CF11" s="13" t="s">
        <v>84</v>
      </c>
      <c r="CG11" s="13" t="s">
        <v>85</v>
      </c>
      <c r="CH11" s="13" t="s">
        <v>86</v>
      </c>
      <c r="CI11" s="13" t="s">
        <v>87</v>
      </c>
      <c r="CJ11" s="13" t="s">
        <v>88</v>
      </c>
      <c r="CK11" s="13" t="s">
        <v>89</v>
      </c>
      <c r="CL11" s="13" t="s">
        <v>90</v>
      </c>
      <c r="CM11" s="13" t="s">
        <v>91</v>
      </c>
      <c r="CN11" s="13" t="s">
        <v>92</v>
      </c>
      <c r="CO11" s="13" t="s">
        <v>93</v>
      </c>
      <c r="CP11" s="13" t="s">
        <v>94</v>
      </c>
      <c r="CQ11" s="13" t="s">
        <v>95</v>
      </c>
      <c r="CR11" s="13" t="s">
        <v>96</v>
      </c>
      <c r="CS11" s="13" t="s">
        <v>97</v>
      </c>
      <c r="CT11" s="13" t="s">
        <v>98</v>
      </c>
      <c r="CU11" s="13" t="s">
        <v>99</v>
      </c>
      <c r="CV11" s="13" t="s">
        <v>100</v>
      </c>
      <c r="CW11" s="13" t="s">
        <v>101</v>
      </c>
      <c r="CX11" s="13" t="s">
        <v>102</v>
      </c>
      <c r="CY11" s="13" t="s">
        <v>103</v>
      </c>
      <c r="CZ11" s="13" t="s">
        <v>104</v>
      </c>
      <c r="DA11" s="13" t="s">
        <v>105</v>
      </c>
      <c r="DB11" s="13" t="s">
        <v>106</v>
      </c>
      <c r="DC11" s="13" t="s">
        <v>107</v>
      </c>
      <c r="DD11" s="13" t="s">
        <v>108</v>
      </c>
      <c r="DE11" s="13" t="s">
        <v>109</v>
      </c>
      <c r="DF11" s="13" t="s">
        <v>110</v>
      </c>
      <c r="DG11" s="13" t="s">
        <v>111</v>
      </c>
      <c r="DH11" s="13" t="s">
        <v>112</v>
      </c>
      <c r="DI11" s="13" t="s">
        <v>113</v>
      </c>
      <c r="DJ11" s="13" t="s">
        <v>114</v>
      </c>
      <c r="DK11" s="13" t="s">
        <v>115</v>
      </c>
      <c r="DL11" s="13" t="s">
        <v>116</v>
      </c>
      <c r="DM11" s="13" t="s">
        <v>117</v>
      </c>
      <c r="DN11" s="13" t="s">
        <v>118</v>
      </c>
      <c r="DO11" s="13" t="s">
        <v>119</v>
      </c>
      <c r="DP11" s="13" t="s">
        <v>120</v>
      </c>
      <c r="DQ11" s="13" t="s">
        <v>121</v>
      </c>
      <c r="DR11" s="13" t="s">
        <v>122</v>
      </c>
      <c r="DS11" s="13" t="s">
        <v>123</v>
      </c>
      <c r="DT11" s="13" t="s">
        <v>124</v>
      </c>
      <c r="DU11" s="13" t="s">
        <v>125</v>
      </c>
      <c r="DV11" s="13" t="s">
        <v>126</v>
      </c>
      <c r="DW11" s="13" t="s">
        <v>127</v>
      </c>
      <c r="DX11" s="13" t="s">
        <v>128</v>
      </c>
      <c r="DY11" s="13" t="s">
        <v>129</v>
      </c>
      <c r="DZ11" s="13" t="s">
        <v>130</v>
      </c>
      <c r="EA11" s="13" t="s">
        <v>131</v>
      </c>
      <c r="EB11" s="13" t="s">
        <v>132</v>
      </c>
      <c r="EC11" s="13" t="s">
        <v>133</v>
      </c>
      <c r="ED11" s="13" t="s">
        <v>134</v>
      </c>
      <c r="EE11" s="13" t="s">
        <v>135</v>
      </c>
      <c r="EF11" s="13" t="s">
        <v>144</v>
      </c>
      <c r="EG11" s="13" t="s">
        <v>148</v>
      </c>
      <c r="EH11" s="13" t="s">
        <v>149</v>
      </c>
    </row>
    <row r="12" spans="1:138" ht="16">
      <c r="A12" s="6">
        <v>10</v>
      </c>
      <c r="B12" s="6">
        <v>96</v>
      </c>
      <c r="C12" s="11">
        <f>IF(預測IC!C12&gt;預測IC!C$25,1,0)</f>
        <v>1</v>
      </c>
      <c r="D12" s="11">
        <f>IF(預測IC!D12&gt;預測IC!D$25,1,0)</f>
        <v>0</v>
      </c>
      <c r="E12" s="11">
        <f>IF(預測IC!E12&gt;預測IC!E$25,1,0)</f>
        <v>0</v>
      </c>
      <c r="F12" s="11">
        <f>IF(預測IC!F12&gt;預測IC!F$25,1,0)</f>
        <v>0</v>
      </c>
      <c r="G12" s="11">
        <f>IF(預測IC!G12&gt;預測IC!G$25,1,0)</f>
        <v>0</v>
      </c>
      <c r="H12" s="11">
        <f>IF(預測IC!H12&gt;預測IC!H$25,1,0)</f>
        <v>0</v>
      </c>
      <c r="I12" s="11">
        <f>IF(預測IC!I12&gt;預測IC!I$25,1,0)</f>
        <v>1</v>
      </c>
      <c r="J12" s="11">
        <f>IF(預測IC!J12&gt;預測IC!J$25,1,0)</f>
        <v>1</v>
      </c>
      <c r="K12" s="11">
        <f>IF(預測IC!K12&gt;預測IC!K$25,1,0)</f>
        <v>1</v>
      </c>
      <c r="L12" s="11">
        <f>IF(預測IC!L12&gt;預測IC!L$25,1,0)</f>
        <v>0</v>
      </c>
      <c r="M12" s="11">
        <f>IF(預測IC!M12&gt;預測IC!M$25,1,0)</f>
        <v>0</v>
      </c>
      <c r="N12" s="11">
        <f>IF(預測IC!N12&gt;預測IC!N$25,1,0)</f>
        <v>1</v>
      </c>
      <c r="O12" s="11">
        <f>IF(預測IC!O12&gt;預測IC!O$25,1,0)</f>
        <v>1</v>
      </c>
      <c r="P12" s="11">
        <f>IF(預測IC!P12&gt;預測IC!P$25,1,0)</f>
        <v>0</v>
      </c>
      <c r="Q12" s="11">
        <f>IF(預測IC!Q12&gt;預測IC!Q$25,1,0)</f>
        <v>1</v>
      </c>
      <c r="R12" s="11">
        <f>IF(預測IC!R12&gt;預測IC!R$25,1,0)</f>
        <v>0</v>
      </c>
      <c r="S12" s="11">
        <f>IF(預測IC!S12&gt;預測IC!S$25,1,0)</f>
        <v>1</v>
      </c>
      <c r="T12" s="11">
        <f>IF(預測IC!T12&gt;預測IC!T$25,1,0)</f>
        <v>0</v>
      </c>
      <c r="U12" s="11">
        <f>IF(預測IC!U12&gt;預測IC!U$25,1,0)</f>
        <v>1</v>
      </c>
      <c r="V12" s="11">
        <f>IF(預測IC!V12&gt;預測IC!V$25,1,0)</f>
        <v>1</v>
      </c>
      <c r="W12" s="11">
        <f>IF(預測IC!W12&gt;預測IC!W$25,1,0)</f>
        <v>1</v>
      </c>
      <c r="X12" s="11">
        <f>IF(預測IC!X12&gt;預測IC!X$25,1,0)</f>
        <v>0</v>
      </c>
      <c r="Y12" s="11">
        <f>IF(預測IC!Y12&gt;預測IC!Y$25,1,0)</f>
        <v>1</v>
      </c>
      <c r="Z12" s="11">
        <f>IF(預測IC!Z12&gt;預測IC!Z$25,1,0)</f>
        <v>1</v>
      </c>
      <c r="AA12" s="11">
        <f>IF(預測IC!AA12&gt;預測IC!AA$25,1,0)</f>
        <v>0</v>
      </c>
      <c r="AB12" s="11">
        <f>IF(預測IC!AB12&gt;預測IC!AB$25,1,0)</f>
        <v>1</v>
      </c>
      <c r="AC12" s="11">
        <f>IF(預測IC!AC12&gt;預測IC!AC$25,1,0)</f>
        <v>0</v>
      </c>
      <c r="AD12" s="11">
        <f>IF(預測IC!AD12&gt;預測IC!AD$25,1,0)</f>
        <v>1</v>
      </c>
      <c r="AE12" s="11">
        <f>IF(預測IC!AE12&gt;預測IC!AE$25,1,0)</f>
        <v>0</v>
      </c>
      <c r="AF12" s="11">
        <f>IF(預測IC!AF12&gt;預測IC!AF$25,1,0)</f>
        <v>1</v>
      </c>
      <c r="AG12" s="11">
        <f>IF(預測IC!AG12&gt;預測IC!AG$25,1,0)</f>
        <v>0</v>
      </c>
      <c r="AH12" s="11">
        <f>IF(預測IC!AH12&gt;預測IC!AH$25,1,0)</f>
        <v>1</v>
      </c>
      <c r="AI12" s="11">
        <f>IF(預測IC!AI12&gt;預測IC!AI$25,1,0)</f>
        <v>1</v>
      </c>
      <c r="AJ12" s="11">
        <f>IF(預測IC!AJ12&gt;預測IC!AJ$25,1,0)</f>
        <v>0</v>
      </c>
      <c r="AK12" s="11">
        <f>IF(預測IC!AK12&gt;預測IC!AK$25,1,0)</f>
        <v>1</v>
      </c>
      <c r="AL12" s="11">
        <f>IF(預測IC!AL12&gt;預測IC!AL$25,1,0)</f>
        <v>0</v>
      </c>
      <c r="AM12" s="11">
        <f>IF(預測IC!AM12&gt;預測IC!AM$25,1,0)</f>
        <v>1</v>
      </c>
      <c r="AN12" s="11">
        <f>IF(預測IC!AN12&gt;預測IC!AN$25,1,0)</f>
        <v>1</v>
      </c>
      <c r="AO12" s="11">
        <f>IF(預測IC!AO12&gt;預測IC!AO$25,1,0)</f>
        <v>0</v>
      </c>
      <c r="AP12" s="11">
        <f>IF(預測IC!AP12&gt;預測IC!AP$25,1,0)</f>
        <v>0</v>
      </c>
      <c r="AQ12" s="11">
        <f>IF(預測IC!AQ12&gt;預測IC!AQ$25,1,0)</f>
        <v>0</v>
      </c>
      <c r="AR12" s="11">
        <f>IF(預測IC!AR12&gt;預測IC!AR$25,1,0)</f>
        <v>0</v>
      </c>
      <c r="AS12" s="11">
        <f>IF(預測IC!AS12&gt;預測IC!AS$25,1,0)</f>
        <v>1</v>
      </c>
      <c r="AT12" s="11">
        <f>IF(預測IC!AT12&gt;預測IC!AT$25,1,0)</f>
        <v>0</v>
      </c>
      <c r="AU12" s="11">
        <f>IF(預測IC!AU12&gt;預測IC!AU$25,1,0)</f>
        <v>1</v>
      </c>
      <c r="AV12" s="11">
        <f>IF(預測IC!AV12&gt;預測IC!AV$25,1,0)</f>
        <v>0</v>
      </c>
      <c r="AW12" s="11">
        <f>IF(預測IC!AW12&gt;預測IC!AW$25,1,0)</f>
        <v>1</v>
      </c>
      <c r="AX12" s="11">
        <f>IF(預測IC!AX12&gt;預測IC!AX$25,1,0)</f>
        <v>0</v>
      </c>
      <c r="AY12" s="11">
        <f>IF(預測IC!AY12&gt;預測IC!AY$25,1,0)</f>
        <v>0</v>
      </c>
      <c r="AZ12" s="11">
        <f>IF(預測IC!AZ12&gt;預測IC!AZ$25,1,0)</f>
        <v>1</v>
      </c>
      <c r="BA12" s="11">
        <f>IF(預測IC!BA12&gt;預測IC!BA$25,1,0)</f>
        <v>0</v>
      </c>
      <c r="BB12" s="11">
        <f>IF(預測IC!BB12&gt;預測IC!BB$25,1,0)</f>
        <v>1</v>
      </c>
      <c r="BC12" s="11">
        <f>IF(預測IC!BC12&gt;預測IC!BC$25,1,0)</f>
        <v>0</v>
      </c>
      <c r="BD12" s="11">
        <f>IF(預測IC!BD12&gt;預測IC!BD$25,1,0)</f>
        <v>1</v>
      </c>
      <c r="BE12" s="11">
        <f>IF(預測IC!BE12&gt;預測IC!BE$25,1,0)</f>
        <v>0</v>
      </c>
      <c r="BF12" s="11">
        <f>IF(預測IC!BF12&gt;預測IC!BF$25,1,0)</f>
        <v>1</v>
      </c>
      <c r="BG12" s="11">
        <f>IF(預測IC!BG12&gt;預測IC!BG$25,1,0)</f>
        <v>0</v>
      </c>
      <c r="BH12" s="11">
        <f>IF(預測IC!BH12&gt;預測IC!BH$25,1,0)</f>
        <v>1</v>
      </c>
      <c r="BI12" s="11">
        <f>IF(預測IC!BI12&gt;預測IC!BI$25,1,0)</f>
        <v>0</v>
      </c>
      <c r="BJ12" s="11">
        <f>IF(預測IC!BJ12&gt;預測IC!BJ$25,1,0)</f>
        <v>1</v>
      </c>
      <c r="BK12" s="11">
        <f>IF(預測IC!BK12&gt;預測IC!BK$25,1,0)</f>
        <v>0</v>
      </c>
      <c r="BL12" s="11">
        <f>IF(預測IC!BL12&gt;預測IC!BL$25,1,0)</f>
        <v>0</v>
      </c>
      <c r="BM12" s="11">
        <f>IF(預測IC!BM12&gt;預測IC!BM$25,1,0)</f>
        <v>0</v>
      </c>
      <c r="BN12" s="11">
        <f>IF(預測IC!BN12&gt;預測IC!BN$25,1,0)</f>
        <v>0</v>
      </c>
      <c r="BO12" s="11">
        <f>IF(預測IC!BO12&gt;預測IC!BO$25,1,0)</f>
        <v>1</v>
      </c>
      <c r="BP12" s="11">
        <f>IF(預測IC!BP12&gt;預測IC!BP$25,1,0)</f>
        <v>0</v>
      </c>
      <c r="BQ12" s="11">
        <f>IF(預測IC!BQ12&gt;預測IC!BQ$25,1,0)</f>
        <v>1</v>
      </c>
      <c r="BR12" s="11">
        <f>IF(預測IC!BR12&gt;預測IC!BR$25,1,0)</f>
        <v>1</v>
      </c>
      <c r="BS12" s="11">
        <f>IF(預測IC!BS12&gt;預測IC!BS$25,1,0)</f>
        <v>0</v>
      </c>
      <c r="BT12" s="11">
        <f>IF(預測IC!BT12&gt;預測IC!BT$25,1,0)</f>
        <v>0</v>
      </c>
      <c r="BU12" s="11">
        <f>IF(預測IC!BU12&gt;預測IC!BU$25,1,0)</f>
        <v>0</v>
      </c>
      <c r="BV12" s="11">
        <f>IF(預測IC!BV12&gt;預測IC!BV$25,1,0)</f>
        <v>0</v>
      </c>
      <c r="BW12" s="11">
        <f>IF(預測IC!BW12&gt;預測IC!BW$25,1,0)</f>
        <v>0</v>
      </c>
      <c r="BX12" s="11">
        <f>IF(預測IC!BX12&gt;預測IC!BX$25,1,0)</f>
        <v>1</v>
      </c>
      <c r="BY12" s="11">
        <f>IF(預測IC!BY12&gt;預測IC!BY$25,1,0)</f>
        <v>1</v>
      </c>
      <c r="BZ12" s="11">
        <f>IF(預測IC!BZ12&gt;預測IC!BZ$25,1,0)</f>
        <v>0</v>
      </c>
      <c r="CA12" s="11">
        <f>IF(預測IC!CA12&gt;預測IC!CA$25,1,0)</f>
        <v>0</v>
      </c>
      <c r="CB12" s="11">
        <f>IF(預測IC!CB12&gt;預測IC!CB$25,1,0)</f>
        <v>0</v>
      </c>
      <c r="CC12" s="11">
        <f>IF(預測IC!CC12&gt;預測IC!CC$25,1,0)</f>
        <v>0</v>
      </c>
      <c r="CD12" s="11">
        <f>IF(預測IC!CD12&gt;預測IC!CD$25,1,0)</f>
        <v>1</v>
      </c>
      <c r="CE12" s="11">
        <f>IF(預測IC!CE12&gt;預測IC!CE$25,1,0)</f>
        <v>1</v>
      </c>
      <c r="CF12" s="11">
        <f>IF(預測IC!CF12&gt;預測IC!CF$25,1,0)</f>
        <v>0</v>
      </c>
      <c r="CG12" s="11">
        <f>IF(預測IC!CG12&gt;預測IC!CG$25,1,0)</f>
        <v>0</v>
      </c>
      <c r="CH12" s="11">
        <f>IF(預測IC!CH12&gt;預測IC!CH$25,1,0)</f>
        <v>0</v>
      </c>
      <c r="CI12" s="11">
        <f>IF(預測IC!CI12&gt;預測IC!CI$25,1,0)</f>
        <v>0</v>
      </c>
      <c r="CJ12" s="11">
        <f>IF(預測IC!CJ12&gt;預測IC!CJ$25,1,0)</f>
        <v>0</v>
      </c>
      <c r="CK12" s="11">
        <f>IF(預測IC!CK12&gt;預測IC!CK$25,1,0)</f>
        <v>0</v>
      </c>
      <c r="CL12" s="11">
        <f>IF(預測IC!CL12&gt;預測IC!CL$25,1,0)</f>
        <v>0</v>
      </c>
      <c r="CM12" s="11">
        <f>IF(預測IC!CM12&gt;預測IC!CM$25,1,0)</f>
        <v>1</v>
      </c>
      <c r="CN12" s="11">
        <f>IF(預測IC!CN12&gt;預測IC!CN$25,1,0)</f>
        <v>0</v>
      </c>
      <c r="CO12" s="11">
        <f>IF(預測IC!CO12&gt;預測IC!CO$25,1,0)</f>
        <v>1</v>
      </c>
      <c r="CP12" s="11">
        <f>IF(預測IC!CP12&gt;預測IC!CP$25,1,0)</f>
        <v>0</v>
      </c>
      <c r="CQ12" s="11">
        <f>IF(預測IC!CQ12&gt;預測IC!CQ$25,1,0)</f>
        <v>1</v>
      </c>
      <c r="CR12" s="11">
        <f>IF(預測IC!CR12&gt;預測IC!CR$25,1,0)</f>
        <v>0</v>
      </c>
      <c r="CS12" s="11">
        <f>IF(預測IC!CS12&gt;預測IC!CS$25,1,0)</f>
        <v>0</v>
      </c>
      <c r="CT12" s="11">
        <f>IF(預測IC!CT12&gt;預測IC!CT$25,1,0)</f>
        <v>0</v>
      </c>
      <c r="CU12" s="11">
        <f>IF(預測IC!CU12&gt;預測IC!CU$25,1,0)</f>
        <v>1</v>
      </c>
      <c r="CV12" s="11">
        <f>IF(預測IC!CV12&gt;預測IC!CV$25,1,0)</f>
        <v>1</v>
      </c>
      <c r="CW12" s="11">
        <f>IF(預測IC!CW12&gt;預測IC!CW$25,1,0)</f>
        <v>1</v>
      </c>
      <c r="CX12" s="11">
        <f>IF(預測IC!CX12&gt;預測IC!CX$25,1,0)</f>
        <v>1</v>
      </c>
      <c r="CY12" s="11">
        <f>IF(預測IC!CY12&gt;預測IC!CY$25,1,0)</f>
        <v>0</v>
      </c>
      <c r="CZ12" s="11">
        <f>IF(預測IC!CZ12&gt;預測IC!CZ$25,1,0)</f>
        <v>1</v>
      </c>
      <c r="DA12" s="11">
        <f>IF(預測IC!DA12&gt;預測IC!DA$25,1,0)</f>
        <v>0</v>
      </c>
      <c r="DB12" s="11">
        <f>IF(預測IC!DB12&gt;預測IC!DB$25,1,0)</f>
        <v>1</v>
      </c>
      <c r="DC12" s="11">
        <f>IF(預測IC!DC12&gt;預測IC!DC$25,1,0)</f>
        <v>1</v>
      </c>
      <c r="DD12" s="11">
        <f>IF(預測IC!DD12&gt;預測IC!DD$25,1,0)</f>
        <v>0</v>
      </c>
      <c r="DE12" s="11">
        <f>IF(預測IC!DE12&gt;預測IC!DE$25,1,0)</f>
        <v>0</v>
      </c>
      <c r="DF12" s="11">
        <f>IF(預測IC!DF12&gt;預測IC!DF$25,1,0)</f>
        <v>1</v>
      </c>
      <c r="DG12" s="11">
        <f>IF(預測IC!DG12&gt;預測IC!DG$25,1,0)</f>
        <v>0</v>
      </c>
      <c r="DH12" s="11">
        <f>IF(預測IC!DH12&gt;預測IC!DH$25,1,0)</f>
        <v>0</v>
      </c>
      <c r="DI12" s="11">
        <f>IF(預測IC!DI12&gt;預測IC!DI$25,1,0)</f>
        <v>0</v>
      </c>
      <c r="DJ12" s="11">
        <f>IF(預測IC!DJ12&gt;預測IC!DJ$25,1,0)</f>
        <v>1</v>
      </c>
      <c r="DK12" s="11">
        <f>IF(預測IC!DK12&gt;預測IC!DK$25,1,0)</f>
        <v>0</v>
      </c>
      <c r="DL12" s="11">
        <f>IF(預測IC!DL12&gt;預測IC!DL$25,1,0)</f>
        <v>0</v>
      </c>
      <c r="DM12" s="11">
        <f>IF(預測IC!DM12&gt;預測IC!DM$25,1,0)</f>
        <v>0</v>
      </c>
      <c r="DN12" s="11">
        <f>IF(預測IC!DN12&gt;預測IC!DN$25,1,0)</f>
        <v>1</v>
      </c>
      <c r="DO12" s="11">
        <f>IF(預測IC!DO12&gt;預測IC!DO$25,1,0)</f>
        <v>1</v>
      </c>
      <c r="DP12" s="11">
        <f>IF(預測IC!DP12&gt;預測IC!DP$25,1,0)</f>
        <v>1</v>
      </c>
      <c r="DQ12" s="11">
        <f>IF(預測IC!DQ12&gt;預測IC!DQ$25,1,0)</f>
        <v>0</v>
      </c>
      <c r="DR12" s="11">
        <f>IF(預測IC!DR12&gt;預測IC!DR$25,1,0)</f>
        <v>0</v>
      </c>
      <c r="DS12" s="11">
        <f>IF(預測IC!DS12&gt;預測IC!DS$25,1,0)</f>
        <v>1</v>
      </c>
      <c r="DT12" s="11">
        <f>IF(預測IC!DT12&gt;預測IC!DT$25,1,0)</f>
        <v>0</v>
      </c>
      <c r="DU12" s="11">
        <f>IF(預測IC!DU12&gt;預測IC!DU$25,1,0)</f>
        <v>0</v>
      </c>
      <c r="DV12" s="11">
        <f>IF(預測IC!DV12&gt;預測IC!DV$25,1,0)</f>
        <v>1</v>
      </c>
      <c r="DW12" s="11">
        <f>IF(預測IC!DW12&gt;預測IC!DW$25,1,0)</f>
        <v>1</v>
      </c>
      <c r="DX12" s="11">
        <f>IF(預測IC!DX12&gt;預測IC!DX$25,1,0)</f>
        <v>0</v>
      </c>
      <c r="DY12" s="11">
        <f>IF(預測IC!DY12&gt;預測IC!DY$25,1,0)</f>
        <v>1</v>
      </c>
      <c r="DZ12" s="11">
        <f>IF(預測IC!DZ12&gt;預測IC!DZ$25,1,0)</f>
        <v>0</v>
      </c>
      <c r="EA12" s="11">
        <f>IF(預測IC!EA12&gt;預測IC!EA$25,1,0)</f>
        <v>1</v>
      </c>
      <c r="EB12" s="11">
        <f>IF(預測IC!EB12&gt;預測IC!EB$25,1,0)</f>
        <v>0</v>
      </c>
      <c r="EC12" s="11">
        <f>IF(預測IC!EC12&gt;預測IC!EC$25,1,0)</f>
        <v>1</v>
      </c>
      <c r="ED12" s="11">
        <f>IF(預測IC!ED12&gt;預測IC!ED$25,1,0)</f>
        <v>0</v>
      </c>
      <c r="EE12" s="11">
        <f>IF(預測IC!EE12&gt;預測IC!EE$25,1,0)</f>
        <v>1</v>
      </c>
      <c r="EF12" s="11">
        <f>IF(預測IC!EF12&gt;預測IC!EF$25,1,0)</f>
        <v>1</v>
      </c>
      <c r="EG12" s="1">
        <f t="shared" ref="EG12:EG24" si="6">SUM(C12:EF12)</f>
        <v>60</v>
      </c>
      <c r="EH12" s="2">
        <f t="shared" ref="EH12:EH24" si="7">SUM(C12:EF12)/134</f>
        <v>0.44776119402985076</v>
      </c>
    </row>
    <row r="13" spans="1:138" ht="16">
      <c r="A13" s="6">
        <v>20</v>
      </c>
      <c r="B13" s="6">
        <v>48</v>
      </c>
      <c r="C13" s="11">
        <f>IF(預測IC!C13&gt;預測IC!C$25,1,0)</f>
        <v>1</v>
      </c>
      <c r="D13" s="11">
        <f>IF(預測IC!D13&gt;預測IC!D$25,1,0)</f>
        <v>1</v>
      </c>
      <c r="E13" s="11">
        <f>IF(預測IC!E13&gt;預測IC!E$25,1,0)</f>
        <v>0</v>
      </c>
      <c r="F13" s="11">
        <f>IF(預測IC!F13&gt;預測IC!F$25,1,0)</f>
        <v>0</v>
      </c>
      <c r="G13" s="11">
        <f>IF(預測IC!G13&gt;預測IC!G$25,1,0)</f>
        <v>0</v>
      </c>
      <c r="H13" s="11">
        <f>IF(預測IC!H13&gt;預測IC!H$25,1,0)</f>
        <v>0</v>
      </c>
      <c r="I13" s="11">
        <f>IF(預測IC!I13&gt;預測IC!I$25,1,0)</f>
        <v>1</v>
      </c>
      <c r="J13" s="11">
        <f>IF(預測IC!J13&gt;預測IC!J$25,1,0)</f>
        <v>1</v>
      </c>
      <c r="K13" s="11">
        <f>IF(預測IC!K13&gt;預測IC!K$25,1,0)</f>
        <v>1</v>
      </c>
      <c r="L13" s="11">
        <f>IF(預測IC!L13&gt;預測IC!L$25,1,0)</f>
        <v>0</v>
      </c>
      <c r="M13" s="11">
        <f>IF(預測IC!M13&gt;預測IC!M$25,1,0)</f>
        <v>0</v>
      </c>
      <c r="N13" s="11">
        <f>IF(預測IC!N13&gt;預測IC!N$25,1,0)</f>
        <v>1</v>
      </c>
      <c r="O13" s="11">
        <f>IF(預測IC!O13&gt;預測IC!O$25,1,0)</f>
        <v>1</v>
      </c>
      <c r="P13" s="11">
        <f>IF(預測IC!P13&gt;預測IC!P$25,1,0)</f>
        <v>0</v>
      </c>
      <c r="Q13" s="11">
        <f>IF(預測IC!Q13&gt;預測IC!Q$25,1,0)</f>
        <v>1</v>
      </c>
      <c r="R13" s="11">
        <f>IF(預測IC!R13&gt;預測IC!R$25,1,0)</f>
        <v>0</v>
      </c>
      <c r="S13" s="11">
        <f>IF(預測IC!S13&gt;預測IC!S$25,1,0)</f>
        <v>1</v>
      </c>
      <c r="T13" s="11">
        <f>IF(預測IC!T13&gt;預測IC!T$25,1,0)</f>
        <v>0</v>
      </c>
      <c r="U13" s="11">
        <f>IF(預測IC!U13&gt;預測IC!U$25,1,0)</f>
        <v>1</v>
      </c>
      <c r="V13" s="11">
        <f>IF(預測IC!V13&gt;預測IC!V$25,1,0)</f>
        <v>1</v>
      </c>
      <c r="W13" s="11">
        <f>IF(預測IC!W13&gt;預測IC!W$25,1,0)</f>
        <v>1</v>
      </c>
      <c r="X13" s="11">
        <f>IF(預測IC!X13&gt;預測IC!X$25,1,0)</f>
        <v>0</v>
      </c>
      <c r="Y13" s="11">
        <f>IF(預測IC!Y13&gt;預測IC!Y$25,1,0)</f>
        <v>1</v>
      </c>
      <c r="Z13" s="11">
        <f>IF(預測IC!Z13&gt;預測IC!Z$25,1,0)</f>
        <v>1</v>
      </c>
      <c r="AA13" s="11">
        <f>IF(預測IC!AA13&gt;預測IC!AA$25,1,0)</f>
        <v>0</v>
      </c>
      <c r="AB13" s="11">
        <f>IF(預測IC!AB13&gt;預測IC!AB$25,1,0)</f>
        <v>1</v>
      </c>
      <c r="AC13" s="11">
        <f>IF(預測IC!AC13&gt;預測IC!AC$25,1,0)</f>
        <v>0</v>
      </c>
      <c r="AD13" s="11">
        <f>IF(預測IC!AD13&gt;預測IC!AD$25,1,0)</f>
        <v>1</v>
      </c>
      <c r="AE13" s="11">
        <f>IF(預測IC!AE13&gt;預測IC!AE$25,1,0)</f>
        <v>0</v>
      </c>
      <c r="AF13" s="11">
        <f>IF(預測IC!AF13&gt;預測IC!AF$25,1,0)</f>
        <v>1</v>
      </c>
      <c r="AG13" s="11">
        <f>IF(預測IC!AG13&gt;預測IC!AG$25,1,0)</f>
        <v>0</v>
      </c>
      <c r="AH13" s="11">
        <f>IF(預測IC!AH13&gt;預測IC!AH$25,1,0)</f>
        <v>1</v>
      </c>
      <c r="AI13" s="11">
        <f>IF(預測IC!AI13&gt;預測IC!AI$25,1,0)</f>
        <v>1</v>
      </c>
      <c r="AJ13" s="11">
        <f>IF(預測IC!AJ13&gt;預測IC!AJ$25,1,0)</f>
        <v>0</v>
      </c>
      <c r="AK13" s="11">
        <f>IF(預測IC!AK13&gt;預測IC!AK$25,1,0)</f>
        <v>1</v>
      </c>
      <c r="AL13" s="11">
        <f>IF(預測IC!AL13&gt;預測IC!AL$25,1,0)</f>
        <v>0</v>
      </c>
      <c r="AM13" s="11">
        <f>IF(預測IC!AM13&gt;預測IC!AM$25,1,0)</f>
        <v>1</v>
      </c>
      <c r="AN13" s="11">
        <f>IF(預測IC!AN13&gt;預測IC!AN$25,1,0)</f>
        <v>1</v>
      </c>
      <c r="AO13" s="11">
        <f>IF(預測IC!AO13&gt;預測IC!AO$25,1,0)</f>
        <v>1</v>
      </c>
      <c r="AP13" s="11">
        <f>IF(預測IC!AP13&gt;預測IC!AP$25,1,0)</f>
        <v>0</v>
      </c>
      <c r="AQ13" s="11">
        <f>IF(預測IC!AQ13&gt;預測IC!AQ$25,1,0)</f>
        <v>0</v>
      </c>
      <c r="AR13" s="11">
        <f>IF(預測IC!AR13&gt;預測IC!AR$25,1,0)</f>
        <v>0</v>
      </c>
      <c r="AS13" s="11">
        <f>IF(預測IC!AS13&gt;預測IC!AS$25,1,0)</f>
        <v>1</v>
      </c>
      <c r="AT13" s="11">
        <f>IF(預測IC!AT13&gt;預測IC!AT$25,1,0)</f>
        <v>1</v>
      </c>
      <c r="AU13" s="11">
        <f>IF(預測IC!AU13&gt;預測IC!AU$25,1,0)</f>
        <v>1</v>
      </c>
      <c r="AV13" s="11">
        <f>IF(預測IC!AV13&gt;預測IC!AV$25,1,0)</f>
        <v>0</v>
      </c>
      <c r="AW13" s="11">
        <f>IF(預測IC!AW13&gt;預測IC!AW$25,1,0)</f>
        <v>1</v>
      </c>
      <c r="AX13" s="11">
        <f>IF(預測IC!AX13&gt;預測IC!AX$25,1,0)</f>
        <v>0</v>
      </c>
      <c r="AY13" s="11">
        <f>IF(預測IC!AY13&gt;預測IC!AY$25,1,0)</f>
        <v>0</v>
      </c>
      <c r="AZ13" s="11">
        <f>IF(預測IC!AZ13&gt;預測IC!AZ$25,1,0)</f>
        <v>1</v>
      </c>
      <c r="BA13" s="11">
        <f>IF(預測IC!BA13&gt;預測IC!BA$25,1,0)</f>
        <v>0</v>
      </c>
      <c r="BB13" s="11">
        <f>IF(預測IC!BB13&gt;預測IC!BB$25,1,0)</f>
        <v>1</v>
      </c>
      <c r="BC13" s="11">
        <f>IF(預測IC!BC13&gt;預測IC!BC$25,1,0)</f>
        <v>0</v>
      </c>
      <c r="BD13" s="11">
        <f>IF(預測IC!BD13&gt;預測IC!BD$25,1,0)</f>
        <v>1</v>
      </c>
      <c r="BE13" s="11">
        <f>IF(預測IC!BE13&gt;預測IC!BE$25,1,0)</f>
        <v>0</v>
      </c>
      <c r="BF13" s="11">
        <f>IF(預測IC!BF13&gt;預測IC!BF$25,1,0)</f>
        <v>1</v>
      </c>
      <c r="BG13" s="11">
        <f>IF(預測IC!BG13&gt;預測IC!BG$25,1,0)</f>
        <v>0</v>
      </c>
      <c r="BH13" s="11">
        <f>IF(預測IC!BH13&gt;預測IC!BH$25,1,0)</f>
        <v>1</v>
      </c>
      <c r="BI13" s="11">
        <f>IF(預測IC!BI13&gt;預測IC!BI$25,1,0)</f>
        <v>0</v>
      </c>
      <c r="BJ13" s="11">
        <f>IF(預測IC!BJ13&gt;預測IC!BJ$25,1,0)</f>
        <v>1</v>
      </c>
      <c r="BK13" s="11">
        <f>IF(預測IC!BK13&gt;預測IC!BK$25,1,0)</f>
        <v>0</v>
      </c>
      <c r="BL13" s="11">
        <f>IF(預測IC!BL13&gt;預測IC!BL$25,1,0)</f>
        <v>0</v>
      </c>
      <c r="BM13" s="11">
        <f>IF(預測IC!BM13&gt;預測IC!BM$25,1,0)</f>
        <v>0</v>
      </c>
      <c r="BN13" s="11">
        <f>IF(預測IC!BN13&gt;預測IC!BN$25,1,0)</f>
        <v>0</v>
      </c>
      <c r="BO13" s="11">
        <f>IF(預測IC!BO13&gt;預測IC!BO$25,1,0)</f>
        <v>1</v>
      </c>
      <c r="BP13" s="11">
        <f>IF(預測IC!BP13&gt;預測IC!BP$25,1,0)</f>
        <v>0</v>
      </c>
      <c r="BQ13" s="11">
        <f>IF(預測IC!BQ13&gt;預測IC!BQ$25,1,0)</f>
        <v>1</v>
      </c>
      <c r="BR13" s="11">
        <f>IF(預測IC!BR13&gt;預測IC!BR$25,1,0)</f>
        <v>1</v>
      </c>
      <c r="BS13" s="11">
        <f>IF(預測IC!BS13&gt;預測IC!BS$25,1,0)</f>
        <v>0</v>
      </c>
      <c r="BT13" s="11">
        <f>IF(預測IC!BT13&gt;預測IC!BT$25,1,0)</f>
        <v>0</v>
      </c>
      <c r="BU13" s="11">
        <f>IF(預測IC!BU13&gt;預測IC!BU$25,1,0)</f>
        <v>1</v>
      </c>
      <c r="BV13" s="11">
        <f>IF(預測IC!BV13&gt;預測IC!BV$25,1,0)</f>
        <v>0</v>
      </c>
      <c r="BW13" s="11">
        <f>IF(預測IC!BW13&gt;預測IC!BW$25,1,0)</f>
        <v>0</v>
      </c>
      <c r="BX13" s="11">
        <f>IF(預測IC!BX13&gt;預測IC!BX$25,1,0)</f>
        <v>1</v>
      </c>
      <c r="BY13" s="11">
        <f>IF(預測IC!BY13&gt;預測IC!BY$25,1,0)</f>
        <v>1</v>
      </c>
      <c r="BZ13" s="11">
        <f>IF(預測IC!BZ13&gt;預測IC!BZ$25,1,0)</f>
        <v>0</v>
      </c>
      <c r="CA13" s="11">
        <f>IF(預測IC!CA13&gt;預測IC!CA$25,1,0)</f>
        <v>0</v>
      </c>
      <c r="CB13" s="11">
        <f>IF(預測IC!CB13&gt;預測IC!CB$25,1,0)</f>
        <v>0</v>
      </c>
      <c r="CC13" s="11">
        <f>IF(預測IC!CC13&gt;預測IC!CC$25,1,0)</f>
        <v>0</v>
      </c>
      <c r="CD13" s="11">
        <f>IF(預測IC!CD13&gt;預測IC!CD$25,1,0)</f>
        <v>1</v>
      </c>
      <c r="CE13" s="11">
        <f>IF(預測IC!CE13&gt;預測IC!CE$25,1,0)</f>
        <v>1</v>
      </c>
      <c r="CF13" s="11">
        <f>IF(預測IC!CF13&gt;預測IC!CF$25,1,0)</f>
        <v>0</v>
      </c>
      <c r="CG13" s="11">
        <f>IF(預測IC!CG13&gt;預測IC!CG$25,1,0)</f>
        <v>0</v>
      </c>
      <c r="CH13" s="11">
        <f>IF(預測IC!CH13&gt;預測IC!CH$25,1,0)</f>
        <v>0</v>
      </c>
      <c r="CI13" s="11">
        <f>IF(預測IC!CI13&gt;預測IC!CI$25,1,0)</f>
        <v>0</v>
      </c>
      <c r="CJ13" s="11">
        <f>IF(預測IC!CJ13&gt;預測IC!CJ$25,1,0)</f>
        <v>0</v>
      </c>
      <c r="CK13" s="11">
        <f>IF(預測IC!CK13&gt;預測IC!CK$25,1,0)</f>
        <v>1</v>
      </c>
      <c r="CL13" s="11">
        <f>IF(預測IC!CL13&gt;預測IC!CL$25,1,0)</f>
        <v>0</v>
      </c>
      <c r="CM13" s="11">
        <f>IF(預測IC!CM13&gt;預測IC!CM$25,1,0)</f>
        <v>1</v>
      </c>
      <c r="CN13" s="11">
        <f>IF(預測IC!CN13&gt;預測IC!CN$25,1,0)</f>
        <v>0</v>
      </c>
      <c r="CO13" s="11">
        <f>IF(預測IC!CO13&gt;預測IC!CO$25,1,0)</f>
        <v>1</v>
      </c>
      <c r="CP13" s="11">
        <f>IF(預測IC!CP13&gt;預測IC!CP$25,1,0)</f>
        <v>0</v>
      </c>
      <c r="CQ13" s="11">
        <f>IF(預測IC!CQ13&gt;預測IC!CQ$25,1,0)</f>
        <v>1</v>
      </c>
      <c r="CR13" s="11">
        <f>IF(預測IC!CR13&gt;預測IC!CR$25,1,0)</f>
        <v>0</v>
      </c>
      <c r="CS13" s="11">
        <f>IF(預測IC!CS13&gt;預測IC!CS$25,1,0)</f>
        <v>0</v>
      </c>
      <c r="CT13" s="11">
        <f>IF(預測IC!CT13&gt;預測IC!CT$25,1,0)</f>
        <v>0</v>
      </c>
      <c r="CU13" s="11">
        <f>IF(預測IC!CU13&gt;預測IC!CU$25,1,0)</f>
        <v>1</v>
      </c>
      <c r="CV13" s="11">
        <f>IF(預測IC!CV13&gt;預測IC!CV$25,1,0)</f>
        <v>1</v>
      </c>
      <c r="CW13" s="11">
        <f>IF(預測IC!CW13&gt;預測IC!CW$25,1,0)</f>
        <v>1</v>
      </c>
      <c r="CX13" s="11">
        <f>IF(預測IC!CX13&gt;預測IC!CX$25,1,0)</f>
        <v>1</v>
      </c>
      <c r="CY13" s="11">
        <f>IF(預測IC!CY13&gt;預測IC!CY$25,1,0)</f>
        <v>0</v>
      </c>
      <c r="CZ13" s="11">
        <f>IF(預測IC!CZ13&gt;預測IC!CZ$25,1,0)</f>
        <v>1</v>
      </c>
      <c r="DA13" s="11">
        <f>IF(預測IC!DA13&gt;預測IC!DA$25,1,0)</f>
        <v>0</v>
      </c>
      <c r="DB13" s="11">
        <f>IF(預測IC!DB13&gt;預測IC!DB$25,1,0)</f>
        <v>1</v>
      </c>
      <c r="DC13" s="11">
        <f>IF(預測IC!DC13&gt;預測IC!DC$25,1,0)</f>
        <v>1</v>
      </c>
      <c r="DD13" s="11">
        <f>IF(預測IC!DD13&gt;預測IC!DD$25,1,0)</f>
        <v>0</v>
      </c>
      <c r="DE13" s="11">
        <f>IF(預測IC!DE13&gt;預測IC!DE$25,1,0)</f>
        <v>0</v>
      </c>
      <c r="DF13" s="11">
        <f>IF(預測IC!DF13&gt;預測IC!DF$25,1,0)</f>
        <v>1</v>
      </c>
      <c r="DG13" s="11">
        <f>IF(預測IC!DG13&gt;預測IC!DG$25,1,0)</f>
        <v>0</v>
      </c>
      <c r="DH13" s="11">
        <f>IF(預測IC!DH13&gt;預測IC!DH$25,1,0)</f>
        <v>0</v>
      </c>
      <c r="DI13" s="11">
        <f>IF(預測IC!DI13&gt;預測IC!DI$25,1,0)</f>
        <v>0</v>
      </c>
      <c r="DJ13" s="11">
        <f>IF(預測IC!DJ13&gt;預測IC!DJ$25,1,0)</f>
        <v>1</v>
      </c>
      <c r="DK13" s="11">
        <f>IF(預測IC!DK13&gt;預測IC!DK$25,1,0)</f>
        <v>0</v>
      </c>
      <c r="DL13" s="11">
        <f>IF(預測IC!DL13&gt;預測IC!DL$25,1,0)</f>
        <v>1</v>
      </c>
      <c r="DM13" s="11">
        <f>IF(預測IC!DM13&gt;預測IC!DM$25,1,0)</f>
        <v>0</v>
      </c>
      <c r="DN13" s="11">
        <f>IF(預測IC!DN13&gt;預測IC!DN$25,1,0)</f>
        <v>1</v>
      </c>
      <c r="DO13" s="11">
        <f>IF(預測IC!DO13&gt;預測IC!DO$25,1,0)</f>
        <v>1</v>
      </c>
      <c r="DP13" s="11">
        <f>IF(預測IC!DP13&gt;預測IC!DP$25,1,0)</f>
        <v>1</v>
      </c>
      <c r="DQ13" s="11">
        <f>IF(預測IC!DQ13&gt;預測IC!DQ$25,1,0)</f>
        <v>0</v>
      </c>
      <c r="DR13" s="11">
        <f>IF(預測IC!DR13&gt;預測IC!DR$25,1,0)</f>
        <v>0</v>
      </c>
      <c r="DS13" s="11">
        <f>IF(預測IC!DS13&gt;預測IC!DS$25,1,0)</f>
        <v>1</v>
      </c>
      <c r="DT13" s="11">
        <f>IF(預測IC!DT13&gt;預測IC!DT$25,1,0)</f>
        <v>0</v>
      </c>
      <c r="DU13" s="11">
        <f>IF(預測IC!DU13&gt;預測IC!DU$25,1,0)</f>
        <v>0</v>
      </c>
      <c r="DV13" s="11">
        <f>IF(預測IC!DV13&gt;預測IC!DV$25,1,0)</f>
        <v>1</v>
      </c>
      <c r="DW13" s="11">
        <f>IF(預測IC!DW13&gt;預測IC!DW$25,1,0)</f>
        <v>1</v>
      </c>
      <c r="DX13" s="11">
        <f>IF(預測IC!DX13&gt;預測IC!DX$25,1,0)</f>
        <v>0</v>
      </c>
      <c r="DY13" s="11">
        <f>IF(預測IC!DY13&gt;預測IC!DY$25,1,0)</f>
        <v>1</v>
      </c>
      <c r="DZ13" s="11">
        <f>IF(預測IC!DZ13&gt;預測IC!DZ$25,1,0)</f>
        <v>0</v>
      </c>
      <c r="EA13" s="11">
        <f>IF(預測IC!EA13&gt;預測IC!EA$25,1,0)</f>
        <v>1</v>
      </c>
      <c r="EB13" s="11">
        <f>IF(預測IC!EB13&gt;預測IC!EB$25,1,0)</f>
        <v>0</v>
      </c>
      <c r="EC13" s="11">
        <f>IF(預測IC!EC13&gt;預測IC!EC$25,1,0)</f>
        <v>1</v>
      </c>
      <c r="ED13" s="11">
        <f>IF(預測IC!ED13&gt;預測IC!ED$25,1,0)</f>
        <v>0</v>
      </c>
      <c r="EE13" s="11">
        <f>IF(預測IC!EE13&gt;預測IC!EE$25,1,0)</f>
        <v>1</v>
      </c>
      <c r="EF13" s="11">
        <f>IF(預測IC!EF13&gt;預測IC!EF$25,1,0)</f>
        <v>1</v>
      </c>
      <c r="EG13" s="1">
        <f t="shared" si="6"/>
        <v>66</v>
      </c>
      <c r="EH13" s="2">
        <f t="shared" si="7"/>
        <v>0.4925373134328358</v>
      </c>
    </row>
    <row r="14" spans="1:138" ht="16">
      <c r="A14" s="6">
        <v>50</v>
      </c>
      <c r="B14" s="6">
        <v>19</v>
      </c>
      <c r="C14" s="11">
        <f>IF(預測IC!C14&gt;預測IC!C$25,1,0)</f>
        <v>0</v>
      </c>
      <c r="D14" s="11">
        <f>IF(預測IC!D14&gt;預測IC!D$25,1,0)</f>
        <v>1</v>
      </c>
      <c r="E14" s="11">
        <f>IF(預測IC!E14&gt;預測IC!E$25,1,0)</f>
        <v>0</v>
      </c>
      <c r="F14" s="11">
        <f>IF(預測IC!F14&gt;預測IC!F$25,1,0)</f>
        <v>0</v>
      </c>
      <c r="G14" s="11">
        <f>IF(預測IC!G14&gt;預測IC!G$25,1,0)</f>
        <v>0</v>
      </c>
      <c r="H14" s="11">
        <f>IF(預測IC!H14&gt;預測IC!H$25,1,0)</f>
        <v>0</v>
      </c>
      <c r="I14" s="11">
        <f>IF(預測IC!I14&gt;預測IC!I$25,1,0)</f>
        <v>1</v>
      </c>
      <c r="J14" s="11">
        <f>IF(預測IC!J14&gt;預測IC!J$25,1,0)</f>
        <v>1</v>
      </c>
      <c r="K14" s="11">
        <f>IF(預測IC!K14&gt;預測IC!K$25,1,0)</f>
        <v>1</v>
      </c>
      <c r="L14" s="11">
        <f>IF(預測IC!L14&gt;預測IC!L$25,1,0)</f>
        <v>1</v>
      </c>
      <c r="M14" s="11">
        <f>IF(預測IC!M14&gt;預測IC!M$25,1,0)</f>
        <v>0</v>
      </c>
      <c r="N14" s="11">
        <f>IF(預測IC!N14&gt;預測IC!N$25,1,0)</f>
        <v>1</v>
      </c>
      <c r="O14" s="11">
        <f>IF(預測IC!O14&gt;預測IC!O$25,1,0)</f>
        <v>1</v>
      </c>
      <c r="P14" s="11">
        <f>IF(預測IC!P14&gt;預測IC!P$25,1,0)</f>
        <v>1</v>
      </c>
      <c r="Q14" s="11">
        <f>IF(預測IC!Q14&gt;預測IC!Q$25,1,0)</f>
        <v>1</v>
      </c>
      <c r="R14" s="11">
        <f>IF(預測IC!R14&gt;預測IC!R$25,1,0)</f>
        <v>0</v>
      </c>
      <c r="S14" s="11">
        <f>IF(預測IC!S14&gt;預測IC!S$25,1,0)</f>
        <v>0</v>
      </c>
      <c r="T14" s="11">
        <f>IF(預測IC!T14&gt;預測IC!T$25,1,0)</f>
        <v>0</v>
      </c>
      <c r="U14" s="11">
        <f>IF(預測IC!U14&gt;預測IC!U$25,1,0)</f>
        <v>1</v>
      </c>
      <c r="V14" s="11">
        <f>IF(預測IC!V14&gt;預測IC!V$25,1,0)</f>
        <v>1</v>
      </c>
      <c r="W14" s="11">
        <f>IF(預測IC!W14&gt;預測IC!W$25,1,0)</f>
        <v>1</v>
      </c>
      <c r="X14" s="11">
        <f>IF(預測IC!X14&gt;預測IC!X$25,1,0)</f>
        <v>0</v>
      </c>
      <c r="Y14" s="11">
        <f>IF(預測IC!Y14&gt;預測IC!Y$25,1,0)</f>
        <v>1</v>
      </c>
      <c r="Z14" s="11">
        <f>IF(預測IC!Z14&gt;預測IC!Z$25,1,0)</f>
        <v>1</v>
      </c>
      <c r="AA14" s="11">
        <f>IF(預測IC!AA14&gt;預測IC!AA$25,1,0)</f>
        <v>0</v>
      </c>
      <c r="AB14" s="11">
        <f>IF(預測IC!AB14&gt;預測IC!AB$25,1,0)</f>
        <v>1</v>
      </c>
      <c r="AC14" s="11">
        <f>IF(預測IC!AC14&gt;預測IC!AC$25,1,0)</f>
        <v>0</v>
      </c>
      <c r="AD14" s="11">
        <f>IF(預測IC!AD14&gt;預測IC!AD$25,1,0)</f>
        <v>1</v>
      </c>
      <c r="AE14" s="11">
        <f>IF(預測IC!AE14&gt;預測IC!AE$25,1,0)</f>
        <v>0</v>
      </c>
      <c r="AF14" s="11">
        <f>IF(預測IC!AF14&gt;預測IC!AF$25,1,0)</f>
        <v>1</v>
      </c>
      <c r="AG14" s="11">
        <f>IF(預測IC!AG14&gt;預測IC!AG$25,1,0)</f>
        <v>0</v>
      </c>
      <c r="AH14" s="11">
        <f>IF(預測IC!AH14&gt;預測IC!AH$25,1,0)</f>
        <v>0</v>
      </c>
      <c r="AI14" s="11">
        <f>IF(預測IC!AI14&gt;預測IC!AI$25,1,0)</f>
        <v>1</v>
      </c>
      <c r="AJ14" s="11">
        <f>IF(預測IC!AJ14&gt;預測IC!AJ$25,1,0)</f>
        <v>1</v>
      </c>
      <c r="AK14" s="11">
        <f>IF(預測IC!AK14&gt;預測IC!AK$25,1,0)</f>
        <v>0</v>
      </c>
      <c r="AL14" s="11">
        <f>IF(預測IC!AL14&gt;預測IC!AL$25,1,0)</f>
        <v>0</v>
      </c>
      <c r="AM14" s="11">
        <f>IF(預測IC!AM14&gt;預測IC!AM$25,1,0)</f>
        <v>1</v>
      </c>
      <c r="AN14" s="11">
        <f>IF(預測IC!AN14&gt;預測IC!AN$25,1,0)</f>
        <v>1</v>
      </c>
      <c r="AO14" s="11">
        <f>IF(預測IC!AO14&gt;預測IC!AO$25,1,0)</f>
        <v>1</v>
      </c>
      <c r="AP14" s="11">
        <f>IF(預測IC!AP14&gt;預測IC!AP$25,1,0)</f>
        <v>0</v>
      </c>
      <c r="AQ14" s="11">
        <f>IF(預測IC!AQ14&gt;預測IC!AQ$25,1,0)</f>
        <v>0</v>
      </c>
      <c r="AR14" s="11">
        <f>IF(預測IC!AR14&gt;預測IC!AR$25,1,0)</f>
        <v>1</v>
      </c>
      <c r="AS14" s="11">
        <f>IF(預測IC!AS14&gt;預測IC!AS$25,1,0)</f>
        <v>1</v>
      </c>
      <c r="AT14" s="11">
        <f>IF(預測IC!AT14&gt;預測IC!AT$25,1,0)</f>
        <v>1</v>
      </c>
      <c r="AU14" s="11">
        <f>IF(預測IC!AU14&gt;預測IC!AU$25,1,0)</f>
        <v>1</v>
      </c>
      <c r="AV14" s="11">
        <f>IF(預測IC!AV14&gt;預測IC!AV$25,1,0)</f>
        <v>0</v>
      </c>
      <c r="AW14" s="11">
        <f>IF(預測IC!AW14&gt;預測IC!AW$25,1,0)</f>
        <v>1</v>
      </c>
      <c r="AX14" s="11">
        <f>IF(預測IC!AX14&gt;預測IC!AX$25,1,0)</f>
        <v>0</v>
      </c>
      <c r="AY14" s="11">
        <f>IF(預測IC!AY14&gt;預測IC!AY$25,1,0)</f>
        <v>0</v>
      </c>
      <c r="AZ14" s="11">
        <f>IF(預測IC!AZ14&gt;預測IC!AZ$25,1,0)</f>
        <v>0</v>
      </c>
      <c r="BA14" s="11">
        <f>IF(預測IC!BA14&gt;預測IC!BA$25,1,0)</f>
        <v>1</v>
      </c>
      <c r="BB14" s="11">
        <f>IF(預測IC!BB14&gt;預測IC!BB$25,1,0)</f>
        <v>1</v>
      </c>
      <c r="BC14" s="11">
        <f>IF(預測IC!BC14&gt;預測IC!BC$25,1,0)</f>
        <v>0</v>
      </c>
      <c r="BD14" s="11">
        <f>IF(預測IC!BD14&gt;預測IC!BD$25,1,0)</f>
        <v>1</v>
      </c>
      <c r="BE14" s="11">
        <f>IF(預測IC!BE14&gt;預測IC!BE$25,1,0)</f>
        <v>0</v>
      </c>
      <c r="BF14" s="11">
        <f>IF(預測IC!BF14&gt;預測IC!BF$25,1,0)</f>
        <v>1</v>
      </c>
      <c r="BG14" s="11">
        <f>IF(預測IC!BG14&gt;預測IC!BG$25,1,0)</f>
        <v>0</v>
      </c>
      <c r="BH14" s="11">
        <f>IF(預測IC!BH14&gt;預測IC!BH$25,1,0)</f>
        <v>1</v>
      </c>
      <c r="BI14" s="11">
        <f>IF(預測IC!BI14&gt;預測IC!BI$25,1,0)</f>
        <v>0</v>
      </c>
      <c r="BJ14" s="11">
        <f>IF(預測IC!BJ14&gt;預測IC!BJ$25,1,0)</f>
        <v>1</v>
      </c>
      <c r="BK14" s="11">
        <f>IF(預測IC!BK14&gt;預測IC!BK$25,1,0)</f>
        <v>0</v>
      </c>
      <c r="BL14" s="11">
        <f>IF(預測IC!BL14&gt;預測IC!BL$25,1,0)</f>
        <v>1</v>
      </c>
      <c r="BM14" s="11">
        <f>IF(預測IC!BM14&gt;預測IC!BM$25,1,0)</f>
        <v>1</v>
      </c>
      <c r="BN14" s="11">
        <f>IF(預測IC!BN14&gt;預測IC!BN$25,1,0)</f>
        <v>1</v>
      </c>
      <c r="BO14" s="11">
        <f>IF(預測IC!BO14&gt;預測IC!BO$25,1,0)</f>
        <v>1</v>
      </c>
      <c r="BP14" s="11">
        <f>IF(預測IC!BP14&gt;預測IC!BP$25,1,0)</f>
        <v>0</v>
      </c>
      <c r="BQ14" s="11">
        <f>IF(預測IC!BQ14&gt;預測IC!BQ$25,1,0)</f>
        <v>1</v>
      </c>
      <c r="BR14" s="11">
        <f>IF(預測IC!BR14&gt;預測IC!BR$25,1,0)</f>
        <v>0</v>
      </c>
      <c r="BS14" s="11">
        <f>IF(預測IC!BS14&gt;預測IC!BS$25,1,0)</f>
        <v>0</v>
      </c>
      <c r="BT14" s="11">
        <f>IF(預測IC!BT14&gt;預測IC!BT$25,1,0)</f>
        <v>0</v>
      </c>
      <c r="BU14" s="11">
        <f>IF(預測IC!BU14&gt;預測IC!BU$25,1,0)</f>
        <v>0</v>
      </c>
      <c r="BV14" s="11">
        <f>IF(預測IC!BV14&gt;預測IC!BV$25,1,0)</f>
        <v>0</v>
      </c>
      <c r="BW14" s="11">
        <f>IF(預測IC!BW14&gt;預測IC!BW$25,1,0)</f>
        <v>0</v>
      </c>
      <c r="BX14" s="11">
        <f>IF(預測IC!BX14&gt;預測IC!BX$25,1,0)</f>
        <v>1</v>
      </c>
      <c r="BY14" s="11">
        <f>IF(預測IC!BY14&gt;預測IC!BY$25,1,0)</f>
        <v>1</v>
      </c>
      <c r="BZ14" s="11">
        <f>IF(預測IC!BZ14&gt;預測IC!BZ$25,1,0)</f>
        <v>0</v>
      </c>
      <c r="CA14" s="11">
        <f>IF(預測IC!CA14&gt;預測IC!CA$25,1,0)</f>
        <v>0</v>
      </c>
      <c r="CB14" s="11">
        <f>IF(預測IC!CB14&gt;預測IC!CB$25,1,0)</f>
        <v>0</v>
      </c>
      <c r="CC14" s="11">
        <f>IF(預測IC!CC14&gt;預測IC!CC$25,1,0)</f>
        <v>0</v>
      </c>
      <c r="CD14" s="11">
        <f>IF(預測IC!CD14&gt;預測IC!CD$25,1,0)</f>
        <v>1</v>
      </c>
      <c r="CE14" s="11">
        <f>IF(預測IC!CE14&gt;預測IC!CE$25,1,0)</f>
        <v>1</v>
      </c>
      <c r="CF14" s="11">
        <f>IF(預測IC!CF14&gt;預測IC!CF$25,1,0)</f>
        <v>1</v>
      </c>
      <c r="CG14" s="11">
        <f>IF(預測IC!CG14&gt;預測IC!CG$25,1,0)</f>
        <v>0</v>
      </c>
      <c r="CH14" s="11">
        <f>IF(預測IC!CH14&gt;預測IC!CH$25,1,0)</f>
        <v>0</v>
      </c>
      <c r="CI14" s="11">
        <f>IF(預測IC!CI14&gt;預測IC!CI$25,1,0)</f>
        <v>0</v>
      </c>
      <c r="CJ14" s="11">
        <f>IF(預測IC!CJ14&gt;預測IC!CJ$25,1,0)</f>
        <v>0</v>
      </c>
      <c r="CK14" s="11">
        <f>IF(預測IC!CK14&gt;預測IC!CK$25,1,0)</f>
        <v>0</v>
      </c>
      <c r="CL14" s="11">
        <f>IF(預測IC!CL14&gt;預測IC!CL$25,1,0)</f>
        <v>1</v>
      </c>
      <c r="CM14" s="11">
        <f>IF(預測IC!CM14&gt;預測IC!CM$25,1,0)</f>
        <v>1</v>
      </c>
      <c r="CN14" s="11">
        <f>IF(預測IC!CN14&gt;預測IC!CN$25,1,0)</f>
        <v>0</v>
      </c>
      <c r="CO14" s="11">
        <f>IF(預測IC!CO14&gt;預測IC!CO$25,1,0)</f>
        <v>0</v>
      </c>
      <c r="CP14" s="11">
        <f>IF(預測IC!CP14&gt;預測IC!CP$25,1,0)</f>
        <v>0</v>
      </c>
      <c r="CQ14" s="11">
        <f>IF(預測IC!CQ14&gt;預測IC!CQ$25,1,0)</f>
        <v>1</v>
      </c>
      <c r="CR14" s="11">
        <f>IF(預測IC!CR14&gt;預測IC!CR$25,1,0)</f>
        <v>0</v>
      </c>
      <c r="CS14" s="11">
        <f>IF(預測IC!CS14&gt;預測IC!CS$25,1,0)</f>
        <v>1</v>
      </c>
      <c r="CT14" s="11">
        <f>IF(預測IC!CT14&gt;預測IC!CT$25,1,0)</f>
        <v>0</v>
      </c>
      <c r="CU14" s="11">
        <f>IF(預測IC!CU14&gt;預測IC!CU$25,1,0)</f>
        <v>0</v>
      </c>
      <c r="CV14" s="11">
        <f>IF(預測IC!CV14&gt;預測IC!CV$25,1,0)</f>
        <v>1</v>
      </c>
      <c r="CW14" s="11">
        <f>IF(預測IC!CW14&gt;預測IC!CW$25,1,0)</f>
        <v>1</v>
      </c>
      <c r="CX14" s="11">
        <f>IF(預測IC!CX14&gt;預測IC!CX$25,1,0)</f>
        <v>1</v>
      </c>
      <c r="CY14" s="11">
        <f>IF(預測IC!CY14&gt;預測IC!CY$25,1,0)</f>
        <v>0</v>
      </c>
      <c r="CZ14" s="11">
        <f>IF(預測IC!CZ14&gt;預測IC!CZ$25,1,0)</f>
        <v>1</v>
      </c>
      <c r="DA14" s="11">
        <f>IF(預測IC!DA14&gt;預測IC!DA$25,1,0)</f>
        <v>0</v>
      </c>
      <c r="DB14" s="11">
        <f>IF(預測IC!DB14&gt;預測IC!DB$25,1,0)</f>
        <v>1</v>
      </c>
      <c r="DC14" s="11">
        <f>IF(預測IC!DC14&gt;預測IC!DC$25,1,0)</f>
        <v>1</v>
      </c>
      <c r="DD14" s="11">
        <f>IF(預測IC!DD14&gt;預測IC!DD$25,1,0)</f>
        <v>0</v>
      </c>
      <c r="DE14" s="11">
        <f>IF(預測IC!DE14&gt;預測IC!DE$25,1,0)</f>
        <v>0</v>
      </c>
      <c r="DF14" s="11">
        <f>IF(預測IC!DF14&gt;預測IC!DF$25,1,0)</f>
        <v>1</v>
      </c>
      <c r="DG14" s="11">
        <f>IF(預測IC!DG14&gt;預測IC!DG$25,1,0)</f>
        <v>0</v>
      </c>
      <c r="DH14" s="11">
        <f>IF(預測IC!DH14&gt;預測IC!DH$25,1,0)</f>
        <v>0</v>
      </c>
      <c r="DI14" s="11">
        <f>IF(預測IC!DI14&gt;預測IC!DI$25,1,0)</f>
        <v>0</v>
      </c>
      <c r="DJ14" s="11">
        <f>IF(預測IC!DJ14&gt;預測IC!DJ$25,1,0)</f>
        <v>1</v>
      </c>
      <c r="DK14" s="11">
        <f>IF(預測IC!DK14&gt;預測IC!DK$25,1,0)</f>
        <v>0</v>
      </c>
      <c r="DL14" s="11">
        <f>IF(預測IC!DL14&gt;預測IC!DL$25,1,0)</f>
        <v>0</v>
      </c>
      <c r="DM14" s="11">
        <f>IF(預測IC!DM14&gt;預測IC!DM$25,1,0)</f>
        <v>0</v>
      </c>
      <c r="DN14" s="11">
        <f>IF(預測IC!DN14&gt;預測IC!DN$25,1,0)</f>
        <v>1</v>
      </c>
      <c r="DO14" s="11">
        <f>IF(預測IC!DO14&gt;預測IC!DO$25,1,0)</f>
        <v>1</v>
      </c>
      <c r="DP14" s="11">
        <f>IF(預測IC!DP14&gt;預測IC!DP$25,1,0)</f>
        <v>1</v>
      </c>
      <c r="DQ14" s="11">
        <f>IF(預測IC!DQ14&gt;預測IC!DQ$25,1,0)</f>
        <v>0</v>
      </c>
      <c r="DR14" s="11">
        <f>IF(預測IC!DR14&gt;預測IC!DR$25,1,0)</f>
        <v>1</v>
      </c>
      <c r="DS14" s="11">
        <f>IF(預測IC!DS14&gt;預測IC!DS$25,1,0)</f>
        <v>1</v>
      </c>
      <c r="DT14" s="11">
        <f>IF(預測IC!DT14&gt;預測IC!DT$25,1,0)</f>
        <v>0</v>
      </c>
      <c r="DU14" s="11">
        <f>IF(預測IC!DU14&gt;預測IC!DU$25,1,0)</f>
        <v>0</v>
      </c>
      <c r="DV14" s="11">
        <f>IF(預測IC!DV14&gt;預測IC!DV$25,1,0)</f>
        <v>1</v>
      </c>
      <c r="DW14" s="11">
        <f>IF(預測IC!DW14&gt;預測IC!DW$25,1,0)</f>
        <v>1</v>
      </c>
      <c r="DX14" s="11">
        <f>IF(預測IC!DX14&gt;預測IC!DX$25,1,0)</f>
        <v>0</v>
      </c>
      <c r="DY14" s="11">
        <f>IF(預測IC!DY14&gt;預測IC!DY$25,1,0)</f>
        <v>0</v>
      </c>
      <c r="DZ14" s="11">
        <f>IF(預測IC!DZ14&gt;預測IC!DZ$25,1,0)</f>
        <v>0</v>
      </c>
      <c r="EA14" s="11">
        <f>IF(預測IC!EA14&gt;預測IC!EA$25,1,0)</f>
        <v>1</v>
      </c>
      <c r="EB14" s="11">
        <f>IF(預測IC!EB14&gt;預測IC!EB$25,1,0)</f>
        <v>0</v>
      </c>
      <c r="EC14" s="11">
        <f>IF(預測IC!EC14&gt;預測IC!EC$25,1,0)</f>
        <v>1</v>
      </c>
      <c r="ED14" s="11">
        <f>IF(預測IC!ED14&gt;預測IC!ED$25,1,0)</f>
        <v>0</v>
      </c>
      <c r="EE14" s="11">
        <f>IF(預測IC!EE14&gt;預測IC!EE$25,1,0)</f>
        <v>0</v>
      </c>
      <c r="EF14" s="11">
        <f>IF(預測IC!EF14&gt;預測IC!EF$25,1,0)</f>
        <v>1</v>
      </c>
      <c r="EG14" s="1">
        <f t="shared" si="6"/>
        <v>65</v>
      </c>
      <c r="EH14" s="2">
        <f t="shared" si="7"/>
        <v>0.48507462686567165</v>
      </c>
    </row>
    <row r="15" spans="1:138" ht="16">
      <c r="A15" s="6">
        <v>100</v>
      </c>
      <c r="B15" s="6">
        <v>10</v>
      </c>
      <c r="C15" s="11">
        <f>IF(預測IC!C15&gt;預測IC!C$25,1,0)</f>
        <v>0</v>
      </c>
      <c r="D15" s="11">
        <f>IF(預測IC!D15&gt;預測IC!D$25,1,0)</f>
        <v>0</v>
      </c>
      <c r="E15" s="11">
        <f>IF(預測IC!E15&gt;預測IC!E$25,1,0)</f>
        <v>0</v>
      </c>
      <c r="F15" s="11">
        <f>IF(預測IC!F15&gt;預測IC!F$25,1,0)</f>
        <v>0</v>
      </c>
      <c r="G15" s="11">
        <f>IF(預測IC!G15&gt;預測IC!G$25,1,0)</f>
        <v>0</v>
      </c>
      <c r="H15" s="11">
        <f>IF(預測IC!H15&gt;預測IC!H$25,1,0)</f>
        <v>0</v>
      </c>
      <c r="I15" s="11">
        <f>IF(預測IC!I15&gt;預測IC!I$25,1,0)</f>
        <v>1</v>
      </c>
      <c r="J15" s="11">
        <f>IF(預測IC!J15&gt;預測IC!J$25,1,0)</f>
        <v>1</v>
      </c>
      <c r="K15" s="11">
        <f>IF(預測IC!K15&gt;預測IC!K$25,1,0)</f>
        <v>1</v>
      </c>
      <c r="L15" s="11">
        <f>IF(預測IC!L15&gt;預測IC!L$25,1,0)</f>
        <v>1</v>
      </c>
      <c r="M15" s="11">
        <f>IF(預測IC!M15&gt;預測IC!M$25,1,0)</f>
        <v>1</v>
      </c>
      <c r="N15" s="11">
        <f>IF(預測IC!N15&gt;預測IC!N$25,1,0)</f>
        <v>1</v>
      </c>
      <c r="O15" s="11">
        <f>IF(預測IC!O15&gt;預測IC!O$25,1,0)</f>
        <v>1</v>
      </c>
      <c r="P15" s="11">
        <f>IF(預測IC!P15&gt;預測IC!P$25,1,0)</f>
        <v>1</v>
      </c>
      <c r="Q15" s="11">
        <f>IF(預測IC!Q15&gt;預測IC!Q$25,1,0)</f>
        <v>1</v>
      </c>
      <c r="R15" s="11">
        <f>IF(預測IC!R15&gt;預測IC!R$25,1,0)</f>
        <v>0</v>
      </c>
      <c r="S15" s="11">
        <f>IF(預測IC!S15&gt;預測IC!S$25,1,0)</f>
        <v>1</v>
      </c>
      <c r="T15" s="11">
        <f>IF(預測IC!T15&gt;預測IC!T$25,1,0)</f>
        <v>0</v>
      </c>
      <c r="U15" s="11">
        <f>IF(預測IC!U15&gt;預測IC!U$25,1,0)</f>
        <v>1</v>
      </c>
      <c r="V15" s="11">
        <f>IF(預測IC!V15&gt;預測IC!V$25,1,0)</f>
        <v>1</v>
      </c>
      <c r="W15" s="11">
        <f>IF(預測IC!W15&gt;預測IC!W$25,1,0)</f>
        <v>1</v>
      </c>
      <c r="X15" s="11">
        <f>IF(預測IC!X15&gt;預測IC!X$25,1,0)</f>
        <v>0</v>
      </c>
      <c r="Y15" s="11">
        <f>IF(預測IC!Y15&gt;預測IC!Y$25,1,0)</f>
        <v>1</v>
      </c>
      <c r="Z15" s="11">
        <f>IF(預測IC!Z15&gt;預測IC!Z$25,1,0)</f>
        <v>0</v>
      </c>
      <c r="AA15" s="11">
        <f>IF(預測IC!AA15&gt;預測IC!AA$25,1,0)</f>
        <v>0</v>
      </c>
      <c r="AB15" s="11">
        <f>IF(預測IC!AB15&gt;預測IC!AB$25,1,0)</f>
        <v>1</v>
      </c>
      <c r="AC15" s="11">
        <f>IF(預測IC!AC15&gt;預測IC!AC$25,1,0)</f>
        <v>0</v>
      </c>
      <c r="AD15" s="11">
        <f>IF(預測IC!AD15&gt;預測IC!AD$25,1,0)</f>
        <v>1</v>
      </c>
      <c r="AE15" s="11">
        <f>IF(預測IC!AE15&gt;預測IC!AE$25,1,0)</f>
        <v>0</v>
      </c>
      <c r="AF15" s="11">
        <f>IF(預測IC!AF15&gt;預測IC!AF$25,1,0)</f>
        <v>1</v>
      </c>
      <c r="AG15" s="11">
        <f>IF(預測IC!AG15&gt;預測IC!AG$25,1,0)</f>
        <v>0</v>
      </c>
      <c r="AH15" s="11">
        <f>IF(預測IC!AH15&gt;預測IC!AH$25,1,0)</f>
        <v>0</v>
      </c>
      <c r="AI15" s="11">
        <f>IF(預測IC!AI15&gt;預測IC!AI$25,1,0)</f>
        <v>1</v>
      </c>
      <c r="AJ15" s="11">
        <f>IF(預測IC!AJ15&gt;預測IC!AJ$25,1,0)</f>
        <v>0</v>
      </c>
      <c r="AK15" s="11">
        <f>IF(預測IC!AK15&gt;預測IC!AK$25,1,0)</f>
        <v>0</v>
      </c>
      <c r="AL15" s="11">
        <f>IF(預測IC!AL15&gt;預測IC!AL$25,1,0)</f>
        <v>1</v>
      </c>
      <c r="AM15" s="11">
        <f>IF(預測IC!AM15&gt;預測IC!AM$25,1,0)</f>
        <v>1</v>
      </c>
      <c r="AN15" s="11">
        <f>IF(預測IC!AN15&gt;預測IC!AN$25,1,0)</f>
        <v>1</v>
      </c>
      <c r="AO15" s="11">
        <f>IF(預測IC!AO15&gt;預測IC!AO$25,1,0)</f>
        <v>1</v>
      </c>
      <c r="AP15" s="11">
        <f>IF(預測IC!AP15&gt;預測IC!AP$25,1,0)</f>
        <v>0</v>
      </c>
      <c r="AQ15" s="11">
        <f>IF(預測IC!AQ15&gt;預測IC!AQ$25,1,0)</f>
        <v>0</v>
      </c>
      <c r="AR15" s="11">
        <f>IF(預測IC!AR15&gt;預測IC!AR$25,1,0)</f>
        <v>1</v>
      </c>
      <c r="AS15" s="11">
        <f>IF(預測IC!AS15&gt;預測IC!AS$25,1,0)</f>
        <v>1</v>
      </c>
      <c r="AT15" s="11">
        <f>IF(預測IC!AT15&gt;預測IC!AT$25,1,0)</f>
        <v>1</v>
      </c>
      <c r="AU15" s="11">
        <f>IF(預測IC!AU15&gt;預測IC!AU$25,1,0)</f>
        <v>1</v>
      </c>
      <c r="AV15" s="11">
        <f>IF(預測IC!AV15&gt;預測IC!AV$25,1,0)</f>
        <v>0</v>
      </c>
      <c r="AW15" s="11">
        <f>IF(預測IC!AW15&gt;預測IC!AW$25,1,0)</f>
        <v>1</v>
      </c>
      <c r="AX15" s="11">
        <f>IF(預測IC!AX15&gt;預測IC!AX$25,1,0)</f>
        <v>0</v>
      </c>
      <c r="AY15" s="11">
        <f>IF(預測IC!AY15&gt;預測IC!AY$25,1,0)</f>
        <v>0</v>
      </c>
      <c r="AZ15" s="11">
        <f>IF(預測IC!AZ15&gt;預測IC!AZ$25,1,0)</f>
        <v>0</v>
      </c>
      <c r="BA15" s="11">
        <f>IF(預測IC!BA15&gt;預測IC!BA$25,1,0)</f>
        <v>1</v>
      </c>
      <c r="BB15" s="11">
        <f>IF(預測IC!BB15&gt;預測IC!BB$25,1,0)</f>
        <v>1</v>
      </c>
      <c r="BC15" s="11">
        <f>IF(預測IC!BC15&gt;預測IC!BC$25,1,0)</f>
        <v>1</v>
      </c>
      <c r="BD15" s="11">
        <f>IF(預測IC!BD15&gt;預測IC!BD$25,1,0)</f>
        <v>1</v>
      </c>
      <c r="BE15" s="11">
        <f>IF(預測IC!BE15&gt;預測IC!BE$25,1,0)</f>
        <v>0</v>
      </c>
      <c r="BF15" s="11">
        <f>IF(預測IC!BF15&gt;預測IC!BF$25,1,0)</f>
        <v>1</v>
      </c>
      <c r="BG15" s="11">
        <f>IF(預測IC!BG15&gt;預測IC!BG$25,1,0)</f>
        <v>0</v>
      </c>
      <c r="BH15" s="11">
        <f>IF(預測IC!BH15&gt;預測IC!BH$25,1,0)</f>
        <v>1</v>
      </c>
      <c r="BI15" s="11">
        <f>IF(預測IC!BI15&gt;預測IC!BI$25,1,0)</f>
        <v>0</v>
      </c>
      <c r="BJ15" s="11">
        <f>IF(預測IC!BJ15&gt;預測IC!BJ$25,1,0)</f>
        <v>1</v>
      </c>
      <c r="BK15" s="11">
        <f>IF(預測IC!BK15&gt;預測IC!BK$25,1,0)</f>
        <v>0</v>
      </c>
      <c r="BL15" s="11">
        <f>IF(預測IC!BL15&gt;預測IC!BL$25,1,0)</f>
        <v>1</v>
      </c>
      <c r="BM15" s="11">
        <f>IF(預測IC!BM15&gt;預測IC!BM$25,1,0)</f>
        <v>1</v>
      </c>
      <c r="BN15" s="11">
        <f>IF(預測IC!BN15&gt;預測IC!BN$25,1,0)</f>
        <v>1</v>
      </c>
      <c r="BO15" s="11">
        <f>IF(預測IC!BO15&gt;預測IC!BO$25,1,0)</f>
        <v>1</v>
      </c>
      <c r="BP15" s="11">
        <f>IF(預測IC!BP15&gt;預測IC!BP$25,1,0)</f>
        <v>0</v>
      </c>
      <c r="BQ15" s="11">
        <f>IF(預測IC!BQ15&gt;預測IC!BQ$25,1,0)</f>
        <v>1</v>
      </c>
      <c r="BR15" s="11">
        <f>IF(預測IC!BR15&gt;預測IC!BR$25,1,0)</f>
        <v>0</v>
      </c>
      <c r="BS15" s="11">
        <f>IF(預測IC!BS15&gt;預測IC!BS$25,1,0)</f>
        <v>0</v>
      </c>
      <c r="BT15" s="11">
        <f>IF(預測IC!BT15&gt;預測IC!BT$25,1,0)</f>
        <v>0</v>
      </c>
      <c r="BU15" s="11">
        <f>IF(預測IC!BU15&gt;預測IC!BU$25,1,0)</f>
        <v>1</v>
      </c>
      <c r="BV15" s="11">
        <f>IF(預測IC!BV15&gt;預測IC!BV$25,1,0)</f>
        <v>1</v>
      </c>
      <c r="BW15" s="11">
        <f>IF(預測IC!BW15&gt;預測IC!BW$25,1,0)</f>
        <v>0</v>
      </c>
      <c r="BX15" s="11">
        <f>IF(預測IC!BX15&gt;預測IC!BX$25,1,0)</f>
        <v>0</v>
      </c>
      <c r="BY15" s="11">
        <f>IF(預測IC!BY15&gt;預測IC!BY$25,1,0)</f>
        <v>1</v>
      </c>
      <c r="BZ15" s="11">
        <f>IF(預測IC!BZ15&gt;預測IC!BZ$25,1,0)</f>
        <v>0</v>
      </c>
      <c r="CA15" s="11">
        <f>IF(預測IC!CA15&gt;預測IC!CA$25,1,0)</f>
        <v>0</v>
      </c>
      <c r="CB15" s="11">
        <f>IF(預測IC!CB15&gt;預測IC!CB$25,1,0)</f>
        <v>0</v>
      </c>
      <c r="CC15" s="11">
        <f>IF(預測IC!CC15&gt;預測IC!CC$25,1,0)</f>
        <v>0</v>
      </c>
      <c r="CD15" s="11">
        <f>IF(預測IC!CD15&gt;預測IC!CD$25,1,0)</f>
        <v>1</v>
      </c>
      <c r="CE15" s="11">
        <f>IF(預測IC!CE15&gt;預測IC!CE$25,1,0)</f>
        <v>1</v>
      </c>
      <c r="CF15" s="11">
        <f>IF(預測IC!CF15&gt;預測IC!CF$25,1,0)</f>
        <v>1</v>
      </c>
      <c r="CG15" s="11">
        <f>IF(預測IC!CG15&gt;預測IC!CG$25,1,0)</f>
        <v>0</v>
      </c>
      <c r="CH15" s="11">
        <f>IF(預測IC!CH15&gt;預測IC!CH$25,1,0)</f>
        <v>0</v>
      </c>
      <c r="CI15" s="11">
        <f>IF(預測IC!CI15&gt;預測IC!CI$25,1,0)</f>
        <v>0</v>
      </c>
      <c r="CJ15" s="11">
        <f>IF(預測IC!CJ15&gt;預測IC!CJ$25,1,0)</f>
        <v>0</v>
      </c>
      <c r="CK15" s="11">
        <f>IF(預測IC!CK15&gt;預測IC!CK$25,1,0)</f>
        <v>1</v>
      </c>
      <c r="CL15" s="11">
        <f>IF(預測IC!CL15&gt;預測IC!CL$25,1,0)</f>
        <v>1</v>
      </c>
      <c r="CM15" s="11">
        <f>IF(預測IC!CM15&gt;預測IC!CM$25,1,0)</f>
        <v>1</v>
      </c>
      <c r="CN15" s="11">
        <f>IF(預測IC!CN15&gt;預測IC!CN$25,1,0)</f>
        <v>1</v>
      </c>
      <c r="CO15" s="11">
        <f>IF(預測IC!CO15&gt;預測IC!CO$25,1,0)</f>
        <v>0</v>
      </c>
      <c r="CP15" s="11">
        <f>IF(預測IC!CP15&gt;預測IC!CP$25,1,0)</f>
        <v>0</v>
      </c>
      <c r="CQ15" s="11">
        <f>IF(預測IC!CQ15&gt;預測IC!CQ$25,1,0)</f>
        <v>1</v>
      </c>
      <c r="CR15" s="11">
        <f>IF(預測IC!CR15&gt;預測IC!CR$25,1,0)</f>
        <v>0</v>
      </c>
      <c r="CS15" s="11">
        <f>IF(預測IC!CS15&gt;預測IC!CS$25,1,0)</f>
        <v>1</v>
      </c>
      <c r="CT15" s="11">
        <f>IF(預測IC!CT15&gt;預測IC!CT$25,1,0)</f>
        <v>0</v>
      </c>
      <c r="CU15" s="11">
        <f>IF(預測IC!CU15&gt;預測IC!CU$25,1,0)</f>
        <v>0</v>
      </c>
      <c r="CV15" s="11">
        <f>IF(預測IC!CV15&gt;預測IC!CV$25,1,0)</f>
        <v>1</v>
      </c>
      <c r="CW15" s="11">
        <f>IF(預測IC!CW15&gt;預測IC!CW$25,1,0)</f>
        <v>0</v>
      </c>
      <c r="CX15" s="11">
        <f>IF(預測IC!CX15&gt;預測IC!CX$25,1,0)</f>
        <v>1</v>
      </c>
      <c r="CY15" s="11">
        <f>IF(預測IC!CY15&gt;預測IC!CY$25,1,0)</f>
        <v>0</v>
      </c>
      <c r="CZ15" s="11">
        <f>IF(預測IC!CZ15&gt;預測IC!CZ$25,1,0)</f>
        <v>1</v>
      </c>
      <c r="DA15" s="11">
        <f>IF(預測IC!DA15&gt;預測IC!DA$25,1,0)</f>
        <v>0</v>
      </c>
      <c r="DB15" s="11">
        <f>IF(預測IC!DB15&gt;預測IC!DB$25,1,0)</f>
        <v>1</v>
      </c>
      <c r="DC15" s="11">
        <f>IF(預測IC!DC15&gt;預測IC!DC$25,1,0)</f>
        <v>1</v>
      </c>
      <c r="DD15" s="11">
        <f>IF(預測IC!DD15&gt;預測IC!DD$25,1,0)</f>
        <v>0</v>
      </c>
      <c r="DE15" s="11">
        <f>IF(預測IC!DE15&gt;預測IC!DE$25,1,0)</f>
        <v>0</v>
      </c>
      <c r="DF15" s="11">
        <f>IF(預測IC!DF15&gt;預測IC!DF$25,1,0)</f>
        <v>1</v>
      </c>
      <c r="DG15" s="11">
        <f>IF(預測IC!DG15&gt;預測IC!DG$25,1,0)</f>
        <v>0</v>
      </c>
      <c r="DH15" s="11">
        <f>IF(預測IC!DH15&gt;預測IC!DH$25,1,0)</f>
        <v>0</v>
      </c>
      <c r="DI15" s="11">
        <f>IF(預測IC!DI15&gt;預測IC!DI$25,1,0)</f>
        <v>0</v>
      </c>
      <c r="DJ15" s="11">
        <f>IF(預測IC!DJ15&gt;預測IC!DJ$25,1,0)</f>
        <v>0</v>
      </c>
      <c r="DK15" s="11">
        <f>IF(預測IC!DK15&gt;預測IC!DK$25,1,0)</f>
        <v>1</v>
      </c>
      <c r="DL15" s="11">
        <f>IF(預測IC!DL15&gt;預測IC!DL$25,1,0)</f>
        <v>0</v>
      </c>
      <c r="DM15" s="11">
        <f>IF(預測IC!DM15&gt;預測IC!DM$25,1,0)</f>
        <v>0</v>
      </c>
      <c r="DN15" s="11">
        <f>IF(預測IC!DN15&gt;預測IC!DN$25,1,0)</f>
        <v>1</v>
      </c>
      <c r="DO15" s="11">
        <f>IF(預測IC!DO15&gt;預測IC!DO$25,1,0)</f>
        <v>1</v>
      </c>
      <c r="DP15" s="11">
        <f>IF(預測IC!DP15&gt;預測IC!DP$25,1,0)</f>
        <v>1</v>
      </c>
      <c r="DQ15" s="11">
        <f>IF(預測IC!DQ15&gt;預測IC!DQ$25,1,0)</f>
        <v>0</v>
      </c>
      <c r="DR15" s="11">
        <f>IF(預測IC!DR15&gt;預測IC!DR$25,1,0)</f>
        <v>1</v>
      </c>
      <c r="DS15" s="11">
        <f>IF(預測IC!DS15&gt;預測IC!DS$25,1,0)</f>
        <v>1</v>
      </c>
      <c r="DT15" s="11">
        <f>IF(預測IC!DT15&gt;預測IC!DT$25,1,0)</f>
        <v>0</v>
      </c>
      <c r="DU15" s="11">
        <f>IF(預測IC!DU15&gt;預測IC!DU$25,1,0)</f>
        <v>0</v>
      </c>
      <c r="DV15" s="11">
        <f>IF(預測IC!DV15&gt;預測IC!DV$25,1,0)</f>
        <v>1</v>
      </c>
      <c r="DW15" s="11">
        <f>IF(預測IC!DW15&gt;預測IC!DW$25,1,0)</f>
        <v>0</v>
      </c>
      <c r="DX15" s="11">
        <f>IF(預測IC!DX15&gt;預測IC!DX$25,1,0)</f>
        <v>0</v>
      </c>
      <c r="DY15" s="11">
        <f>IF(預測IC!DY15&gt;預測IC!DY$25,1,0)</f>
        <v>0</v>
      </c>
      <c r="DZ15" s="11">
        <f>IF(預測IC!DZ15&gt;預測IC!DZ$25,1,0)</f>
        <v>0</v>
      </c>
      <c r="EA15" s="11">
        <f>IF(預測IC!EA15&gt;預測IC!EA$25,1,0)</f>
        <v>1</v>
      </c>
      <c r="EB15" s="11">
        <f>IF(預測IC!EB15&gt;預測IC!EB$25,1,0)</f>
        <v>0</v>
      </c>
      <c r="EC15" s="11">
        <f>IF(預測IC!EC15&gt;預測IC!EC$25,1,0)</f>
        <v>1</v>
      </c>
      <c r="ED15" s="11">
        <f>IF(預測IC!ED15&gt;預測IC!ED$25,1,0)</f>
        <v>0</v>
      </c>
      <c r="EE15" s="11">
        <f>IF(預測IC!EE15&gt;預測IC!EE$25,1,0)</f>
        <v>0</v>
      </c>
      <c r="EF15" s="11">
        <f>IF(預測IC!EF15&gt;預測IC!EF$25,1,0)</f>
        <v>1</v>
      </c>
      <c r="EG15" s="1">
        <f t="shared" si="6"/>
        <v>67</v>
      </c>
      <c r="EH15" s="58">
        <f t="shared" si="7"/>
        <v>0.5</v>
      </c>
    </row>
    <row r="16" spans="1:138" ht="16">
      <c r="A16" s="6">
        <v>107</v>
      </c>
      <c r="B16" s="6">
        <v>9</v>
      </c>
      <c r="C16" s="11">
        <f>IF(預測IC!C16&gt;預測IC!C$25,1,0)</f>
        <v>0</v>
      </c>
      <c r="D16" s="11">
        <f>IF(預測IC!D16&gt;預測IC!D$25,1,0)</f>
        <v>0</v>
      </c>
      <c r="E16" s="11">
        <f>IF(預測IC!E16&gt;預測IC!E$25,1,0)</f>
        <v>0</v>
      </c>
      <c r="F16" s="11">
        <f>IF(預測IC!F16&gt;預測IC!F$25,1,0)</f>
        <v>0</v>
      </c>
      <c r="G16" s="11">
        <f>IF(預測IC!G16&gt;預測IC!G$25,1,0)</f>
        <v>0</v>
      </c>
      <c r="H16" s="11">
        <f>IF(預測IC!H16&gt;預測IC!H$25,1,0)</f>
        <v>0</v>
      </c>
      <c r="I16" s="11">
        <f>IF(預測IC!I16&gt;預測IC!I$25,1,0)</f>
        <v>1</v>
      </c>
      <c r="J16" s="11">
        <f>IF(預測IC!J16&gt;預測IC!J$25,1,0)</f>
        <v>1</v>
      </c>
      <c r="K16" s="11">
        <f>IF(預測IC!K16&gt;預測IC!K$25,1,0)</f>
        <v>1</v>
      </c>
      <c r="L16" s="11">
        <f>IF(預測IC!L16&gt;預測IC!L$25,1,0)</f>
        <v>1</v>
      </c>
      <c r="M16" s="11">
        <f>IF(預測IC!M16&gt;預測IC!M$25,1,0)</f>
        <v>1</v>
      </c>
      <c r="N16" s="11">
        <f>IF(預測IC!N16&gt;預測IC!N$25,1,0)</f>
        <v>1</v>
      </c>
      <c r="O16" s="11">
        <f>IF(預測IC!O16&gt;預測IC!O$25,1,0)</f>
        <v>1</v>
      </c>
      <c r="P16" s="11">
        <f>IF(預測IC!P16&gt;預測IC!P$25,1,0)</f>
        <v>1</v>
      </c>
      <c r="Q16" s="11">
        <f>IF(預測IC!Q16&gt;預測IC!Q$25,1,0)</f>
        <v>1</v>
      </c>
      <c r="R16" s="11">
        <f>IF(預測IC!R16&gt;預測IC!R$25,1,0)</f>
        <v>0</v>
      </c>
      <c r="S16" s="11">
        <f>IF(預測IC!S16&gt;預測IC!S$25,1,0)</f>
        <v>1</v>
      </c>
      <c r="T16" s="11">
        <f>IF(預測IC!T16&gt;預測IC!T$25,1,0)</f>
        <v>0</v>
      </c>
      <c r="U16" s="11">
        <f>IF(預測IC!U16&gt;預測IC!U$25,1,0)</f>
        <v>1</v>
      </c>
      <c r="V16" s="11">
        <f>IF(預測IC!V16&gt;預測IC!V$25,1,0)</f>
        <v>1</v>
      </c>
      <c r="W16" s="11">
        <f>IF(預測IC!W16&gt;預測IC!W$25,1,0)</f>
        <v>1</v>
      </c>
      <c r="X16" s="11">
        <f>IF(預測IC!X16&gt;預測IC!X$25,1,0)</f>
        <v>0</v>
      </c>
      <c r="Y16" s="11">
        <f>IF(預測IC!Y16&gt;預測IC!Y$25,1,0)</f>
        <v>1</v>
      </c>
      <c r="Z16" s="11">
        <f>IF(預測IC!Z16&gt;預測IC!Z$25,1,0)</f>
        <v>0</v>
      </c>
      <c r="AA16" s="11">
        <f>IF(預測IC!AA16&gt;預測IC!AA$25,1,0)</f>
        <v>0</v>
      </c>
      <c r="AB16" s="11">
        <f>IF(預測IC!AB16&gt;預測IC!AB$25,1,0)</f>
        <v>1</v>
      </c>
      <c r="AC16" s="11">
        <f>IF(預測IC!AC16&gt;預測IC!AC$25,1,0)</f>
        <v>1</v>
      </c>
      <c r="AD16" s="11">
        <f>IF(預測IC!AD16&gt;預測IC!AD$25,1,0)</f>
        <v>1</v>
      </c>
      <c r="AE16" s="11">
        <f>IF(預測IC!AE16&gt;預測IC!AE$25,1,0)</f>
        <v>0</v>
      </c>
      <c r="AF16" s="11">
        <f>IF(預測IC!AF16&gt;預測IC!AF$25,1,0)</f>
        <v>0</v>
      </c>
      <c r="AG16" s="11">
        <f>IF(預測IC!AG16&gt;預測IC!AG$25,1,0)</f>
        <v>0</v>
      </c>
      <c r="AH16" s="11">
        <f>IF(預測IC!AH16&gt;預測IC!AH$25,1,0)</f>
        <v>0</v>
      </c>
      <c r="AI16" s="11">
        <f>IF(預測IC!AI16&gt;預測IC!AI$25,1,0)</f>
        <v>1</v>
      </c>
      <c r="AJ16" s="11">
        <f>IF(預測IC!AJ16&gt;預測IC!AJ$25,1,0)</f>
        <v>0</v>
      </c>
      <c r="AK16" s="11">
        <f>IF(預測IC!AK16&gt;預測IC!AK$25,1,0)</f>
        <v>0</v>
      </c>
      <c r="AL16" s="11">
        <f>IF(預測IC!AL16&gt;預測IC!AL$25,1,0)</f>
        <v>1</v>
      </c>
      <c r="AM16" s="11">
        <f>IF(預測IC!AM16&gt;預測IC!AM$25,1,0)</f>
        <v>1</v>
      </c>
      <c r="AN16" s="11">
        <f>IF(預測IC!AN16&gt;預測IC!AN$25,1,0)</f>
        <v>1</v>
      </c>
      <c r="AO16" s="11">
        <f>IF(預測IC!AO16&gt;預測IC!AO$25,1,0)</f>
        <v>1</v>
      </c>
      <c r="AP16" s="11">
        <f>IF(預測IC!AP16&gt;預測IC!AP$25,1,0)</f>
        <v>0</v>
      </c>
      <c r="AQ16" s="11">
        <f>IF(預測IC!AQ16&gt;預測IC!AQ$25,1,0)</f>
        <v>0</v>
      </c>
      <c r="AR16" s="11">
        <f>IF(預測IC!AR16&gt;預測IC!AR$25,1,0)</f>
        <v>1</v>
      </c>
      <c r="AS16" s="11">
        <f>IF(預測IC!AS16&gt;預測IC!AS$25,1,0)</f>
        <v>1</v>
      </c>
      <c r="AT16" s="11">
        <f>IF(預測IC!AT16&gt;預測IC!AT$25,1,0)</f>
        <v>1</v>
      </c>
      <c r="AU16" s="11">
        <f>IF(預測IC!AU16&gt;預測IC!AU$25,1,0)</f>
        <v>1</v>
      </c>
      <c r="AV16" s="11">
        <f>IF(預測IC!AV16&gt;預測IC!AV$25,1,0)</f>
        <v>0</v>
      </c>
      <c r="AW16" s="11">
        <f>IF(預測IC!AW16&gt;預測IC!AW$25,1,0)</f>
        <v>1</v>
      </c>
      <c r="AX16" s="11">
        <f>IF(預測IC!AX16&gt;預測IC!AX$25,1,0)</f>
        <v>0</v>
      </c>
      <c r="AY16" s="11">
        <f>IF(預測IC!AY16&gt;預測IC!AY$25,1,0)</f>
        <v>0</v>
      </c>
      <c r="AZ16" s="11">
        <f>IF(預測IC!AZ16&gt;預測IC!AZ$25,1,0)</f>
        <v>0</v>
      </c>
      <c r="BA16" s="11">
        <f>IF(預測IC!BA16&gt;預測IC!BA$25,1,0)</f>
        <v>1</v>
      </c>
      <c r="BB16" s="11">
        <f>IF(預測IC!BB16&gt;預測IC!BB$25,1,0)</f>
        <v>1</v>
      </c>
      <c r="BC16" s="11">
        <f>IF(預測IC!BC16&gt;預測IC!BC$25,1,0)</f>
        <v>1</v>
      </c>
      <c r="BD16" s="11">
        <f>IF(預測IC!BD16&gt;預測IC!BD$25,1,0)</f>
        <v>1</v>
      </c>
      <c r="BE16" s="11">
        <f>IF(預測IC!BE16&gt;預測IC!BE$25,1,0)</f>
        <v>0</v>
      </c>
      <c r="BF16" s="11">
        <f>IF(預測IC!BF16&gt;預測IC!BF$25,1,0)</f>
        <v>1</v>
      </c>
      <c r="BG16" s="11">
        <f>IF(預測IC!BG16&gt;預測IC!BG$25,1,0)</f>
        <v>0</v>
      </c>
      <c r="BH16" s="11">
        <f>IF(預測IC!BH16&gt;預測IC!BH$25,1,0)</f>
        <v>1</v>
      </c>
      <c r="BI16" s="11">
        <f>IF(預測IC!BI16&gt;預測IC!BI$25,1,0)</f>
        <v>0</v>
      </c>
      <c r="BJ16" s="11">
        <f>IF(預測IC!BJ16&gt;預測IC!BJ$25,1,0)</f>
        <v>1</v>
      </c>
      <c r="BK16" s="11">
        <f>IF(預測IC!BK16&gt;預測IC!BK$25,1,0)</f>
        <v>0</v>
      </c>
      <c r="BL16" s="11">
        <f>IF(預測IC!BL16&gt;預測IC!BL$25,1,0)</f>
        <v>1</v>
      </c>
      <c r="BM16" s="11">
        <f>IF(預測IC!BM16&gt;預測IC!BM$25,1,0)</f>
        <v>1</v>
      </c>
      <c r="BN16" s="11">
        <f>IF(預測IC!BN16&gt;預測IC!BN$25,1,0)</f>
        <v>1</v>
      </c>
      <c r="BO16" s="11">
        <f>IF(預測IC!BO16&gt;預測IC!BO$25,1,0)</f>
        <v>1</v>
      </c>
      <c r="BP16" s="11">
        <f>IF(預測IC!BP16&gt;預測IC!BP$25,1,0)</f>
        <v>0</v>
      </c>
      <c r="BQ16" s="11">
        <f>IF(預測IC!BQ16&gt;預測IC!BQ$25,1,0)</f>
        <v>1</v>
      </c>
      <c r="BR16" s="11">
        <f>IF(預測IC!BR16&gt;預測IC!BR$25,1,0)</f>
        <v>0</v>
      </c>
      <c r="BS16" s="11">
        <f>IF(預測IC!BS16&gt;預測IC!BS$25,1,0)</f>
        <v>0</v>
      </c>
      <c r="BT16" s="11">
        <f>IF(預測IC!BT16&gt;預測IC!BT$25,1,0)</f>
        <v>0</v>
      </c>
      <c r="BU16" s="11">
        <f>IF(預測IC!BU16&gt;預測IC!BU$25,1,0)</f>
        <v>1</v>
      </c>
      <c r="BV16" s="11">
        <f>IF(預測IC!BV16&gt;預測IC!BV$25,1,0)</f>
        <v>1</v>
      </c>
      <c r="BW16" s="11">
        <f>IF(預測IC!BW16&gt;預測IC!BW$25,1,0)</f>
        <v>0</v>
      </c>
      <c r="BX16" s="11">
        <f>IF(預測IC!BX16&gt;預測IC!BX$25,1,0)</f>
        <v>0</v>
      </c>
      <c r="BY16" s="11">
        <f>IF(預測IC!BY16&gt;預測IC!BY$25,1,0)</f>
        <v>1</v>
      </c>
      <c r="BZ16" s="11">
        <f>IF(預測IC!BZ16&gt;預測IC!BZ$25,1,0)</f>
        <v>0</v>
      </c>
      <c r="CA16" s="11">
        <f>IF(預測IC!CA16&gt;預測IC!CA$25,1,0)</f>
        <v>0</v>
      </c>
      <c r="CB16" s="11">
        <f>IF(預測IC!CB16&gt;預測IC!CB$25,1,0)</f>
        <v>0</v>
      </c>
      <c r="CC16" s="11">
        <f>IF(預測IC!CC16&gt;預測IC!CC$25,1,0)</f>
        <v>0</v>
      </c>
      <c r="CD16" s="11">
        <f>IF(預測IC!CD16&gt;預測IC!CD$25,1,0)</f>
        <v>1</v>
      </c>
      <c r="CE16" s="11">
        <f>IF(預測IC!CE16&gt;預測IC!CE$25,1,0)</f>
        <v>1</v>
      </c>
      <c r="CF16" s="11">
        <f>IF(預測IC!CF16&gt;預測IC!CF$25,1,0)</f>
        <v>1</v>
      </c>
      <c r="CG16" s="11">
        <f>IF(預測IC!CG16&gt;預測IC!CG$25,1,0)</f>
        <v>0</v>
      </c>
      <c r="CH16" s="11">
        <f>IF(預測IC!CH16&gt;預測IC!CH$25,1,0)</f>
        <v>0</v>
      </c>
      <c r="CI16" s="11">
        <f>IF(預測IC!CI16&gt;預測IC!CI$25,1,0)</f>
        <v>0</v>
      </c>
      <c r="CJ16" s="11">
        <f>IF(預測IC!CJ16&gt;預測IC!CJ$25,1,0)</f>
        <v>0</v>
      </c>
      <c r="CK16" s="11">
        <f>IF(預測IC!CK16&gt;預測IC!CK$25,1,0)</f>
        <v>1</v>
      </c>
      <c r="CL16" s="11">
        <f>IF(預測IC!CL16&gt;預測IC!CL$25,1,0)</f>
        <v>1</v>
      </c>
      <c r="CM16" s="11">
        <f>IF(預測IC!CM16&gt;預測IC!CM$25,1,0)</f>
        <v>1</v>
      </c>
      <c r="CN16" s="11">
        <f>IF(預測IC!CN16&gt;預測IC!CN$25,1,0)</f>
        <v>0</v>
      </c>
      <c r="CO16" s="11">
        <f>IF(預測IC!CO16&gt;預測IC!CO$25,1,0)</f>
        <v>0</v>
      </c>
      <c r="CP16" s="11">
        <f>IF(預測IC!CP16&gt;預測IC!CP$25,1,0)</f>
        <v>0</v>
      </c>
      <c r="CQ16" s="11">
        <f>IF(預測IC!CQ16&gt;預測IC!CQ$25,1,0)</f>
        <v>1</v>
      </c>
      <c r="CR16" s="11">
        <f>IF(預測IC!CR16&gt;預測IC!CR$25,1,0)</f>
        <v>0</v>
      </c>
      <c r="CS16" s="11">
        <f>IF(預測IC!CS16&gt;預測IC!CS$25,1,0)</f>
        <v>1</v>
      </c>
      <c r="CT16" s="11">
        <f>IF(預測IC!CT16&gt;預測IC!CT$25,1,0)</f>
        <v>0</v>
      </c>
      <c r="CU16" s="11">
        <f>IF(預測IC!CU16&gt;預測IC!CU$25,1,0)</f>
        <v>0</v>
      </c>
      <c r="CV16" s="11">
        <f>IF(預測IC!CV16&gt;預測IC!CV$25,1,0)</f>
        <v>1</v>
      </c>
      <c r="CW16" s="11">
        <f>IF(預測IC!CW16&gt;預測IC!CW$25,1,0)</f>
        <v>0</v>
      </c>
      <c r="CX16" s="11">
        <f>IF(預測IC!CX16&gt;預測IC!CX$25,1,0)</f>
        <v>1</v>
      </c>
      <c r="CY16" s="11">
        <f>IF(預測IC!CY16&gt;預測IC!CY$25,1,0)</f>
        <v>0</v>
      </c>
      <c r="CZ16" s="11">
        <f>IF(預測IC!CZ16&gt;預測IC!CZ$25,1,0)</f>
        <v>1</v>
      </c>
      <c r="DA16" s="11">
        <f>IF(預測IC!DA16&gt;預測IC!DA$25,1,0)</f>
        <v>0</v>
      </c>
      <c r="DB16" s="11">
        <f>IF(預測IC!DB16&gt;預測IC!DB$25,1,0)</f>
        <v>1</v>
      </c>
      <c r="DC16" s="11">
        <f>IF(預測IC!DC16&gt;預測IC!DC$25,1,0)</f>
        <v>1</v>
      </c>
      <c r="DD16" s="11">
        <f>IF(預測IC!DD16&gt;預測IC!DD$25,1,0)</f>
        <v>0</v>
      </c>
      <c r="DE16" s="11">
        <f>IF(預測IC!DE16&gt;預測IC!DE$25,1,0)</f>
        <v>0</v>
      </c>
      <c r="DF16" s="11">
        <f>IF(預測IC!DF16&gt;預測IC!DF$25,1,0)</f>
        <v>1</v>
      </c>
      <c r="DG16" s="11">
        <f>IF(預測IC!DG16&gt;預測IC!DG$25,1,0)</f>
        <v>0</v>
      </c>
      <c r="DH16" s="11">
        <f>IF(預測IC!DH16&gt;預測IC!DH$25,1,0)</f>
        <v>0</v>
      </c>
      <c r="DI16" s="11">
        <f>IF(預測IC!DI16&gt;預測IC!DI$25,1,0)</f>
        <v>0</v>
      </c>
      <c r="DJ16" s="11">
        <f>IF(預測IC!DJ16&gt;預測IC!DJ$25,1,0)</f>
        <v>0</v>
      </c>
      <c r="DK16" s="11">
        <f>IF(預測IC!DK16&gt;預測IC!DK$25,1,0)</f>
        <v>1</v>
      </c>
      <c r="DL16" s="11">
        <f>IF(預測IC!DL16&gt;預測IC!DL$25,1,0)</f>
        <v>0</v>
      </c>
      <c r="DM16" s="11">
        <f>IF(預測IC!DM16&gt;預測IC!DM$25,1,0)</f>
        <v>0</v>
      </c>
      <c r="DN16" s="11">
        <f>IF(預測IC!DN16&gt;預測IC!DN$25,1,0)</f>
        <v>1</v>
      </c>
      <c r="DO16" s="11">
        <f>IF(預測IC!DO16&gt;預測IC!DO$25,1,0)</f>
        <v>1</v>
      </c>
      <c r="DP16" s="11">
        <f>IF(預測IC!DP16&gt;預測IC!DP$25,1,0)</f>
        <v>1</v>
      </c>
      <c r="DQ16" s="11">
        <f>IF(預測IC!DQ16&gt;預測IC!DQ$25,1,0)</f>
        <v>0</v>
      </c>
      <c r="DR16" s="11">
        <f>IF(預測IC!DR16&gt;預測IC!DR$25,1,0)</f>
        <v>1</v>
      </c>
      <c r="DS16" s="11">
        <f>IF(預測IC!DS16&gt;預測IC!DS$25,1,0)</f>
        <v>1</v>
      </c>
      <c r="DT16" s="11">
        <f>IF(預測IC!DT16&gt;預測IC!DT$25,1,0)</f>
        <v>0</v>
      </c>
      <c r="DU16" s="11">
        <f>IF(預測IC!DU16&gt;預測IC!DU$25,1,0)</f>
        <v>0</v>
      </c>
      <c r="DV16" s="11">
        <f>IF(預測IC!DV16&gt;預測IC!DV$25,1,0)</f>
        <v>1</v>
      </c>
      <c r="DW16" s="11">
        <f>IF(預測IC!DW16&gt;預測IC!DW$25,1,0)</f>
        <v>1</v>
      </c>
      <c r="DX16" s="11">
        <f>IF(預測IC!DX16&gt;預測IC!DX$25,1,0)</f>
        <v>0</v>
      </c>
      <c r="DY16" s="11">
        <f>IF(預測IC!DY16&gt;預測IC!DY$25,1,0)</f>
        <v>0</v>
      </c>
      <c r="DZ16" s="11">
        <f>IF(預測IC!DZ16&gt;預測IC!DZ$25,1,0)</f>
        <v>0</v>
      </c>
      <c r="EA16" s="11">
        <f>IF(預測IC!EA16&gt;預測IC!EA$25,1,0)</f>
        <v>1</v>
      </c>
      <c r="EB16" s="11">
        <f>IF(預測IC!EB16&gt;預測IC!EB$25,1,0)</f>
        <v>0</v>
      </c>
      <c r="EC16" s="11">
        <f>IF(預測IC!EC16&gt;預測IC!EC$25,1,0)</f>
        <v>1</v>
      </c>
      <c r="ED16" s="11">
        <f>IF(預測IC!ED16&gt;預測IC!ED$25,1,0)</f>
        <v>0</v>
      </c>
      <c r="EE16" s="11">
        <f>IF(預測IC!EE16&gt;預測IC!EE$25,1,0)</f>
        <v>0</v>
      </c>
      <c r="EF16" s="11">
        <f>IF(預測IC!EF16&gt;預測IC!EF$25,1,0)</f>
        <v>1</v>
      </c>
      <c r="EG16" s="1">
        <f t="shared" si="6"/>
        <v>67</v>
      </c>
      <c r="EH16" s="58">
        <f t="shared" si="7"/>
        <v>0.5</v>
      </c>
    </row>
    <row r="17" spans="1:138" ht="16">
      <c r="A17" s="6">
        <v>120</v>
      </c>
      <c r="B17" s="6">
        <v>8</v>
      </c>
      <c r="C17" s="11">
        <f>IF(預測IC!C17&gt;預測IC!C$25,1,0)</f>
        <v>0</v>
      </c>
      <c r="D17" s="11">
        <f>IF(預測IC!D17&gt;預測IC!D$25,1,0)</f>
        <v>0</v>
      </c>
      <c r="E17" s="11">
        <f>IF(預測IC!E17&gt;預測IC!E$25,1,0)</f>
        <v>0</v>
      </c>
      <c r="F17" s="11">
        <f>IF(預測IC!F17&gt;預測IC!F$25,1,0)</f>
        <v>0</v>
      </c>
      <c r="G17" s="11">
        <f>IF(預測IC!G17&gt;預測IC!G$25,1,0)</f>
        <v>0</v>
      </c>
      <c r="H17" s="11">
        <f>IF(預測IC!H17&gt;預測IC!H$25,1,0)</f>
        <v>0</v>
      </c>
      <c r="I17" s="11">
        <f>IF(預測IC!I17&gt;預測IC!I$25,1,0)</f>
        <v>1</v>
      </c>
      <c r="J17" s="11">
        <f>IF(預測IC!J17&gt;預測IC!J$25,1,0)</f>
        <v>1</v>
      </c>
      <c r="K17" s="11">
        <f>IF(預測IC!K17&gt;預測IC!K$25,1,0)</f>
        <v>1</v>
      </c>
      <c r="L17" s="11">
        <f>IF(預測IC!L17&gt;預測IC!L$25,1,0)</f>
        <v>1</v>
      </c>
      <c r="M17" s="11">
        <f>IF(預測IC!M17&gt;預測IC!M$25,1,0)</f>
        <v>1</v>
      </c>
      <c r="N17" s="11">
        <f>IF(預測IC!N17&gt;預測IC!N$25,1,0)</f>
        <v>1</v>
      </c>
      <c r="O17" s="11">
        <f>IF(預測IC!O17&gt;預測IC!O$25,1,0)</f>
        <v>1</v>
      </c>
      <c r="P17" s="11">
        <f>IF(預測IC!P17&gt;預測IC!P$25,1,0)</f>
        <v>1</v>
      </c>
      <c r="Q17" s="11">
        <f>IF(預測IC!Q17&gt;預測IC!Q$25,1,0)</f>
        <v>1</v>
      </c>
      <c r="R17" s="11">
        <f>IF(預測IC!R17&gt;預測IC!R$25,1,0)</f>
        <v>0</v>
      </c>
      <c r="S17" s="11">
        <f>IF(預測IC!S17&gt;預測IC!S$25,1,0)</f>
        <v>1</v>
      </c>
      <c r="T17" s="11">
        <f>IF(預測IC!T17&gt;預測IC!T$25,1,0)</f>
        <v>0</v>
      </c>
      <c r="U17" s="11">
        <f>IF(預測IC!U17&gt;預測IC!U$25,1,0)</f>
        <v>1</v>
      </c>
      <c r="V17" s="11">
        <f>IF(預測IC!V17&gt;預測IC!V$25,1,0)</f>
        <v>1</v>
      </c>
      <c r="W17" s="11">
        <f>IF(預測IC!W17&gt;預測IC!W$25,1,0)</f>
        <v>1</v>
      </c>
      <c r="X17" s="11">
        <f>IF(預測IC!X17&gt;預測IC!X$25,1,0)</f>
        <v>0</v>
      </c>
      <c r="Y17" s="11">
        <f>IF(預測IC!Y17&gt;預測IC!Y$25,1,0)</f>
        <v>1</v>
      </c>
      <c r="Z17" s="11">
        <f>IF(預測IC!Z17&gt;預測IC!Z$25,1,0)</f>
        <v>0</v>
      </c>
      <c r="AA17" s="11">
        <f>IF(預測IC!AA17&gt;預測IC!AA$25,1,0)</f>
        <v>0</v>
      </c>
      <c r="AB17" s="11">
        <f>IF(預測IC!AB17&gt;預測IC!AB$25,1,0)</f>
        <v>1</v>
      </c>
      <c r="AC17" s="11">
        <f>IF(預測IC!AC17&gt;預測IC!AC$25,1,0)</f>
        <v>1</v>
      </c>
      <c r="AD17" s="11">
        <f>IF(預測IC!AD17&gt;預測IC!AD$25,1,0)</f>
        <v>1</v>
      </c>
      <c r="AE17" s="11">
        <f>IF(預測IC!AE17&gt;預測IC!AE$25,1,0)</f>
        <v>0</v>
      </c>
      <c r="AF17" s="11">
        <f>IF(預測IC!AF17&gt;預測IC!AF$25,1,0)</f>
        <v>0</v>
      </c>
      <c r="AG17" s="11">
        <f>IF(預測IC!AG17&gt;預測IC!AG$25,1,0)</f>
        <v>0</v>
      </c>
      <c r="AH17" s="11">
        <f>IF(預測IC!AH17&gt;預測IC!AH$25,1,0)</f>
        <v>0</v>
      </c>
      <c r="AI17" s="11">
        <f>IF(預測IC!AI17&gt;預測IC!AI$25,1,0)</f>
        <v>1</v>
      </c>
      <c r="AJ17" s="11">
        <f>IF(預測IC!AJ17&gt;預測IC!AJ$25,1,0)</f>
        <v>0</v>
      </c>
      <c r="AK17" s="11">
        <f>IF(預測IC!AK17&gt;預測IC!AK$25,1,0)</f>
        <v>0</v>
      </c>
      <c r="AL17" s="11">
        <f>IF(預測IC!AL17&gt;預測IC!AL$25,1,0)</f>
        <v>1</v>
      </c>
      <c r="AM17" s="11">
        <f>IF(預測IC!AM17&gt;預測IC!AM$25,1,0)</f>
        <v>1</v>
      </c>
      <c r="AN17" s="11">
        <f>IF(預測IC!AN17&gt;預測IC!AN$25,1,0)</f>
        <v>1</v>
      </c>
      <c r="AO17" s="11">
        <f>IF(預測IC!AO17&gt;預測IC!AO$25,1,0)</f>
        <v>1</v>
      </c>
      <c r="AP17" s="11">
        <f>IF(預測IC!AP17&gt;預測IC!AP$25,1,0)</f>
        <v>0</v>
      </c>
      <c r="AQ17" s="11">
        <f>IF(預測IC!AQ17&gt;預測IC!AQ$25,1,0)</f>
        <v>0</v>
      </c>
      <c r="AR17" s="11">
        <f>IF(預測IC!AR17&gt;預測IC!AR$25,1,0)</f>
        <v>1</v>
      </c>
      <c r="AS17" s="11">
        <f>IF(預測IC!AS17&gt;預測IC!AS$25,1,0)</f>
        <v>1</v>
      </c>
      <c r="AT17" s="11">
        <f>IF(預測IC!AT17&gt;預測IC!AT$25,1,0)</f>
        <v>1</v>
      </c>
      <c r="AU17" s="11">
        <f>IF(預測IC!AU17&gt;預測IC!AU$25,1,0)</f>
        <v>1</v>
      </c>
      <c r="AV17" s="11">
        <f>IF(預測IC!AV17&gt;預測IC!AV$25,1,0)</f>
        <v>0</v>
      </c>
      <c r="AW17" s="11">
        <f>IF(預測IC!AW17&gt;預測IC!AW$25,1,0)</f>
        <v>1</v>
      </c>
      <c r="AX17" s="11">
        <f>IF(預測IC!AX17&gt;預測IC!AX$25,1,0)</f>
        <v>0</v>
      </c>
      <c r="AY17" s="11">
        <f>IF(預測IC!AY17&gt;預測IC!AY$25,1,0)</f>
        <v>0</v>
      </c>
      <c r="AZ17" s="11">
        <f>IF(預測IC!AZ17&gt;預測IC!AZ$25,1,0)</f>
        <v>0</v>
      </c>
      <c r="BA17" s="11">
        <f>IF(預測IC!BA17&gt;預測IC!BA$25,1,0)</f>
        <v>1</v>
      </c>
      <c r="BB17" s="11">
        <f>IF(預測IC!BB17&gt;預測IC!BB$25,1,0)</f>
        <v>1</v>
      </c>
      <c r="BC17" s="11">
        <f>IF(預測IC!BC17&gt;預測IC!BC$25,1,0)</f>
        <v>1</v>
      </c>
      <c r="BD17" s="11">
        <f>IF(預測IC!BD17&gt;預測IC!BD$25,1,0)</f>
        <v>1</v>
      </c>
      <c r="BE17" s="11">
        <f>IF(預測IC!BE17&gt;預測IC!BE$25,1,0)</f>
        <v>0</v>
      </c>
      <c r="BF17" s="11">
        <f>IF(預測IC!BF17&gt;預測IC!BF$25,1,0)</f>
        <v>1</v>
      </c>
      <c r="BG17" s="11">
        <f>IF(預測IC!BG17&gt;預測IC!BG$25,1,0)</f>
        <v>0</v>
      </c>
      <c r="BH17" s="11">
        <f>IF(預測IC!BH17&gt;預測IC!BH$25,1,0)</f>
        <v>1</v>
      </c>
      <c r="BI17" s="11">
        <f>IF(預測IC!BI17&gt;預測IC!BI$25,1,0)</f>
        <v>0</v>
      </c>
      <c r="BJ17" s="11">
        <f>IF(預測IC!BJ17&gt;預測IC!BJ$25,1,0)</f>
        <v>1</v>
      </c>
      <c r="BK17" s="11">
        <f>IF(預測IC!BK17&gt;預測IC!BK$25,1,0)</f>
        <v>0</v>
      </c>
      <c r="BL17" s="11">
        <f>IF(預測IC!BL17&gt;預測IC!BL$25,1,0)</f>
        <v>1</v>
      </c>
      <c r="BM17" s="11">
        <f>IF(預測IC!BM17&gt;預測IC!BM$25,1,0)</f>
        <v>1</v>
      </c>
      <c r="BN17" s="11">
        <f>IF(預測IC!BN17&gt;預測IC!BN$25,1,0)</f>
        <v>1</v>
      </c>
      <c r="BO17" s="11">
        <f>IF(預測IC!BO17&gt;預測IC!BO$25,1,0)</f>
        <v>1</v>
      </c>
      <c r="BP17" s="11">
        <f>IF(預測IC!BP17&gt;預測IC!BP$25,1,0)</f>
        <v>1</v>
      </c>
      <c r="BQ17" s="11">
        <f>IF(預測IC!BQ17&gt;預測IC!BQ$25,1,0)</f>
        <v>1</v>
      </c>
      <c r="BR17" s="11">
        <f>IF(預測IC!BR17&gt;預測IC!BR$25,1,0)</f>
        <v>1</v>
      </c>
      <c r="BS17" s="11">
        <f>IF(預測IC!BS17&gt;預測IC!BS$25,1,0)</f>
        <v>0</v>
      </c>
      <c r="BT17" s="11">
        <f>IF(預測IC!BT17&gt;預測IC!BT$25,1,0)</f>
        <v>0</v>
      </c>
      <c r="BU17" s="11">
        <f>IF(預測IC!BU17&gt;預測IC!BU$25,1,0)</f>
        <v>1</v>
      </c>
      <c r="BV17" s="11">
        <f>IF(預測IC!BV17&gt;預測IC!BV$25,1,0)</f>
        <v>1</v>
      </c>
      <c r="BW17" s="11">
        <f>IF(預測IC!BW17&gt;預測IC!BW$25,1,0)</f>
        <v>0</v>
      </c>
      <c r="BX17" s="11">
        <f>IF(預測IC!BX17&gt;預測IC!BX$25,1,0)</f>
        <v>1</v>
      </c>
      <c r="BY17" s="11">
        <f>IF(預測IC!BY17&gt;預測IC!BY$25,1,0)</f>
        <v>1</v>
      </c>
      <c r="BZ17" s="11">
        <f>IF(預測IC!BZ17&gt;預測IC!BZ$25,1,0)</f>
        <v>0</v>
      </c>
      <c r="CA17" s="11">
        <f>IF(預測IC!CA17&gt;預測IC!CA$25,1,0)</f>
        <v>0</v>
      </c>
      <c r="CB17" s="11">
        <f>IF(預測IC!CB17&gt;預測IC!CB$25,1,0)</f>
        <v>0</v>
      </c>
      <c r="CC17" s="11">
        <f>IF(預測IC!CC17&gt;預測IC!CC$25,1,0)</f>
        <v>0</v>
      </c>
      <c r="CD17" s="11">
        <f>IF(預測IC!CD17&gt;預測IC!CD$25,1,0)</f>
        <v>1</v>
      </c>
      <c r="CE17" s="11">
        <f>IF(預測IC!CE17&gt;預測IC!CE$25,1,0)</f>
        <v>1</v>
      </c>
      <c r="CF17" s="11">
        <f>IF(預測IC!CF17&gt;預測IC!CF$25,1,0)</f>
        <v>1</v>
      </c>
      <c r="CG17" s="11">
        <f>IF(預測IC!CG17&gt;預測IC!CG$25,1,0)</f>
        <v>0</v>
      </c>
      <c r="CH17" s="11">
        <f>IF(預測IC!CH17&gt;預測IC!CH$25,1,0)</f>
        <v>0</v>
      </c>
      <c r="CI17" s="11">
        <f>IF(預測IC!CI17&gt;預測IC!CI$25,1,0)</f>
        <v>0</v>
      </c>
      <c r="CJ17" s="11">
        <f>IF(預測IC!CJ17&gt;預測IC!CJ$25,1,0)</f>
        <v>0</v>
      </c>
      <c r="CK17" s="11">
        <f>IF(預測IC!CK17&gt;預測IC!CK$25,1,0)</f>
        <v>1</v>
      </c>
      <c r="CL17" s="11">
        <f>IF(預測IC!CL17&gt;預測IC!CL$25,1,0)</f>
        <v>1</v>
      </c>
      <c r="CM17" s="11">
        <f>IF(預測IC!CM17&gt;預測IC!CM$25,1,0)</f>
        <v>1</v>
      </c>
      <c r="CN17" s="11">
        <f>IF(預測IC!CN17&gt;預測IC!CN$25,1,0)</f>
        <v>0</v>
      </c>
      <c r="CO17" s="11">
        <f>IF(預測IC!CO17&gt;預測IC!CO$25,1,0)</f>
        <v>0</v>
      </c>
      <c r="CP17" s="11">
        <f>IF(預測IC!CP17&gt;預測IC!CP$25,1,0)</f>
        <v>0</v>
      </c>
      <c r="CQ17" s="11">
        <f>IF(預測IC!CQ17&gt;預測IC!CQ$25,1,0)</f>
        <v>1</v>
      </c>
      <c r="CR17" s="11">
        <f>IF(預測IC!CR17&gt;預測IC!CR$25,1,0)</f>
        <v>0</v>
      </c>
      <c r="CS17" s="11">
        <f>IF(預測IC!CS17&gt;預測IC!CS$25,1,0)</f>
        <v>1</v>
      </c>
      <c r="CT17" s="11">
        <f>IF(預測IC!CT17&gt;預測IC!CT$25,1,0)</f>
        <v>1</v>
      </c>
      <c r="CU17" s="11">
        <f>IF(預測IC!CU17&gt;預測IC!CU$25,1,0)</f>
        <v>0</v>
      </c>
      <c r="CV17" s="11">
        <f>IF(預測IC!CV17&gt;預測IC!CV$25,1,0)</f>
        <v>1</v>
      </c>
      <c r="CW17" s="11">
        <f>IF(預測IC!CW17&gt;預測IC!CW$25,1,0)</f>
        <v>0</v>
      </c>
      <c r="CX17" s="11">
        <f>IF(預測IC!CX17&gt;預測IC!CX$25,1,0)</f>
        <v>1</v>
      </c>
      <c r="CY17" s="11">
        <f>IF(預測IC!CY17&gt;預測IC!CY$25,1,0)</f>
        <v>0</v>
      </c>
      <c r="CZ17" s="11">
        <f>IF(預測IC!CZ17&gt;預測IC!CZ$25,1,0)</f>
        <v>1</v>
      </c>
      <c r="DA17" s="11">
        <f>IF(預測IC!DA17&gt;預測IC!DA$25,1,0)</f>
        <v>0</v>
      </c>
      <c r="DB17" s="11">
        <f>IF(預測IC!DB17&gt;預測IC!DB$25,1,0)</f>
        <v>1</v>
      </c>
      <c r="DC17" s="11">
        <f>IF(預測IC!DC17&gt;預測IC!DC$25,1,0)</f>
        <v>1</v>
      </c>
      <c r="DD17" s="11">
        <f>IF(預測IC!DD17&gt;預測IC!DD$25,1,0)</f>
        <v>0</v>
      </c>
      <c r="DE17" s="11">
        <f>IF(預測IC!DE17&gt;預測IC!DE$25,1,0)</f>
        <v>0</v>
      </c>
      <c r="DF17" s="11">
        <f>IF(預測IC!DF17&gt;預測IC!DF$25,1,0)</f>
        <v>1</v>
      </c>
      <c r="DG17" s="11">
        <f>IF(預測IC!DG17&gt;預測IC!DG$25,1,0)</f>
        <v>0</v>
      </c>
      <c r="DH17" s="11">
        <f>IF(預測IC!DH17&gt;預測IC!DH$25,1,0)</f>
        <v>0</v>
      </c>
      <c r="DI17" s="11">
        <f>IF(預測IC!DI17&gt;預測IC!DI$25,1,0)</f>
        <v>0</v>
      </c>
      <c r="DJ17" s="11">
        <f>IF(預測IC!DJ17&gt;預測IC!DJ$25,1,0)</f>
        <v>0</v>
      </c>
      <c r="DK17" s="11">
        <f>IF(預測IC!DK17&gt;預測IC!DK$25,1,0)</f>
        <v>1</v>
      </c>
      <c r="DL17" s="11">
        <f>IF(預測IC!DL17&gt;預測IC!DL$25,1,0)</f>
        <v>0</v>
      </c>
      <c r="DM17" s="11">
        <f>IF(預測IC!DM17&gt;預測IC!DM$25,1,0)</f>
        <v>0</v>
      </c>
      <c r="DN17" s="11">
        <f>IF(預測IC!DN17&gt;預測IC!DN$25,1,0)</f>
        <v>1</v>
      </c>
      <c r="DO17" s="11">
        <f>IF(預測IC!DO17&gt;預測IC!DO$25,1,0)</f>
        <v>1</v>
      </c>
      <c r="DP17" s="11">
        <f>IF(預測IC!DP17&gt;預測IC!DP$25,1,0)</f>
        <v>1</v>
      </c>
      <c r="DQ17" s="11">
        <f>IF(預測IC!DQ17&gt;預測IC!DQ$25,1,0)</f>
        <v>0</v>
      </c>
      <c r="DR17" s="11">
        <f>IF(預測IC!DR17&gt;預測IC!DR$25,1,0)</f>
        <v>1</v>
      </c>
      <c r="DS17" s="11">
        <f>IF(預測IC!DS17&gt;預測IC!DS$25,1,0)</f>
        <v>1</v>
      </c>
      <c r="DT17" s="11">
        <f>IF(預測IC!DT17&gt;預測IC!DT$25,1,0)</f>
        <v>0</v>
      </c>
      <c r="DU17" s="11">
        <f>IF(預測IC!DU17&gt;預測IC!DU$25,1,0)</f>
        <v>0</v>
      </c>
      <c r="DV17" s="11">
        <f>IF(預測IC!DV17&gt;預測IC!DV$25,1,0)</f>
        <v>1</v>
      </c>
      <c r="DW17" s="11">
        <f>IF(預測IC!DW17&gt;預測IC!DW$25,1,0)</f>
        <v>1</v>
      </c>
      <c r="DX17" s="11">
        <f>IF(預測IC!DX17&gt;預測IC!DX$25,1,0)</f>
        <v>0</v>
      </c>
      <c r="DY17" s="11">
        <f>IF(預測IC!DY17&gt;預測IC!DY$25,1,0)</f>
        <v>0</v>
      </c>
      <c r="DZ17" s="11">
        <f>IF(預測IC!DZ17&gt;預測IC!DZ$25,1,0)</f>
        <v>0</v>
      </c>
      <c r="EA17" s="11">
        <f>IF(預測IC!EA17&gt;預測IC!EA$25,1,0)</f>
        <v>1</v>
      </c>
      <c r="EB17" s="11">
        <f>IF(預測IC!EB17&gt;預測IC!EB$25,1,0)</f>
        <v>0</v>
      </c>
      <c r="EC17" s="11">
        <f>IF(預測IC!EC17&gt;預測IC!EC$25,1,0)</f>
        <v>1</v>
      </c>
      <c r="ED17" s="11">
        <f>IF(預測IC!ED17&gt;預測IC!ED$25,1,0)</f>
        <v>0</v>
      </c>
      <c r="EE17" s="11">
        <f>IF(預測IC!EE17&gt;預測IC!EE$25,1,0)</f>
        <v>0</v>
      </c>
      <c r="EF17" s="11">
        <f>IF(預測IC!EF17&gt;預測IC!EF$25,1,0)</f>
        <v>1</v>
      </c>
      <c r="EG17" s="1">
        <f t="shared" si="6"/>
        <v>71</v>
      </c>
      <c r="EH17" s="58">
        <f t="shared" si="7"/>
        <v>0.52985074626865669</v>
      </c>
    </row>
    <row r="18" spans="1:138" ht="16">
      <c r="A18" s="6">
        <v>137</v>
      </c>
      <c r="B18" s="6">
        <v>7</v>
      </c>
      <c r="C18" s="11">
        <f>IF(預測IC!C18&gt;預測IC!C$25,1,0)</f>
        <v>0</v>
      </c>
      <c r="D18" s="11">
        <f>IF(預測IC!D18&gt;預測IC!D$25,1,0)</f>
        <v>0</v>
      </c>
      <c r="E18" s="11">
        <f>IF(預測IC!E18&gt;預測IC!E$25,1,0)</f>
        <v>0</v>
      </c>
      <c r="F18" s="11">
        <f>IF(預測IC!F18&gt;預測IC!F$25,1,0)</f>
        <v>0</v>
      </c>
      <c r="G18" s="11">
        <f>IF(預測IC!G18&gt;預測IC!G$25,1,0)</f>
        <v>0</v>
      </c>
      <c r="H18" s="11">
        <f>IF(預測IC!H18&gt;預測IC!H$25,1,0)</f>
        <v>0</v>
      </c>
      <c r="I18" s="11">
        <f>IF(預測IC!I18&gt;預測IC!I$25,1,0)</f>
        <v>1</v>
      </c>
      <c r="J18" s="11">
        <f>IF(預測IC!J18&gt;預測IC!J$25,1,0)</f>
        <v>1</v>
      </c>
      <c r="K18" s="11">
        <f>IF(預測IC!K18&gt;預測IC!K$25,1,0)</f>
        <v>1</v>
      </c>
      <c r="L18" s="11">
        <f>IF(預測IC!L18&gt;預測IC!L$25,1,0)</f>
        <v>1</v>
      </c>
      <c r="M18" s="11">
        <f>IF(預測IC!M18&gt;預測IC!M$25,1,0)</f>
        <v>1</v>
      </c>
      <c r="N18" s="11">
        <f>IF(預測IC!N18&gt;預測IC!N$25,1,0)</f>
        <v>1</v>
      </c>
      <c r="O18" s="11">
        <f>IF(預測IC!O18&gt;預測IC!O$25,1,0)</f>
        <v>1</v>
      </c>
      <c r="P18" s="11">
        <f>IF(預測IC!P18&gt;預測IC!P$25,1,0)</f>
        <v>1</v>
      </c>
      <c r="Q18" s="11">
        <f>IF(預測IC!Q18&gt;預測IC!Q$25,1,0)</f>
        <v>1</v>
      </c>
      <c r="R18" s="11">
        <f>IF(預測IC!R18&gt;預測IC!R$25,1,0)</f>
        <v>0</v>
      </c>
      <c r="S18" s="11">
        <f>IF(預測IC!S18&gt;預測IC!S$25,1,0)</f>
        <v>1</v>
      </c>
      <c r="T18" s="11">
        <f>IF(預測IC!T18&gt;預測IC!T$25,1,0)</f>
        <v>0</v>
      </c>
      <c r="U18" s="11">
        <f>IF(預測IC!U18&gt;預測IC!U$25,1,0)</f>
        <v>1</v>
      </c>
      <c r="V18" s="11">
        <f>IF(預測IC!V18&gt;預測IC!V$25,1,0)</f>
        <v>1</v>
      </c>
      <c r="W18" s="11">
        <f>IF(預測IC!W18&gt;預測IC!W$25,1,0)</f>
        <v>1</v>
      </c>
      <c r="X18" s="11">
        <f>IF(預測IC!X18&gt;預測IC!X$25,1,0)</f>
        <v>0</v>
      </c>
      <c r="Y18" s="11">
        <f>IF(預測IC!Y18&gt;預測IC!Y$25,1,0)</f>
        <v>1</v>
      </c>
      <c r="Z18" s="11">
        <f>IF(預測IC!Z18&gt;預測IC!Z$25,1,0)</f>
        <v>0</v>
      </c>
      <c r="AA18" s="11">
        <f>IF(預測IC!AA18&gt;預測IC!AA$25,1,0)</f>
        <v>0</v>
      </c>
      <c r="AB18" s="11">
        <f>IF(預測IC!AB18&gt;預測IC!AB$25,1,0)</f>
        <v>1</v>
      </c>
      <c r="AC18" s="11">
        <f>IF(預測IC!AC18&gt;預測IC!AC$25,1,0)</f>
        <v>0</v>
      </c>
      <c r="AD18" s="11">
        <f>IF(預測IC!AD18&gt;預測IC!AD$25,1,0)</f>
        <v>1</v>
      </c>
      <c r="AE18" s="11">
        <f>IF(預測IC!AE18&gt;預測IC!AE$25,1,0)</f>
        <v>0</v>
      </c>
      <c r="AF18" s="11">
        <f>IF(預測IC!AF18&gt;預測IC!AF$25,1,0)</f>
        <v>0</v>
      </c>
      <c r="AG18" s="11">
        <f>IF(預測IC!AG18&gt;預測IC!AG$25,1,0)</f>
        <v>0</v>
      </c>
      <c r="AH18" s="11">
        <f>IF(預測IC!AH18&gt;預測IC!AH$25,1,0)</f>
        <v>0</v>
      </c>
      <c r="AI18" s="11">
        <f>IF(預測IC!AI18&gt;預測IC!AI$25,1,0)</f>
        <v>1</v>
      </c>
      <c r="AJ18" s="11">
        <f>IF(預測IC!AJ18&gt;預測IC!AJ$25,1,0)</f>
        <v>0</v>
      </c>
      <c r="AK18" s="11">
        <f>IF(預測IC!AK18&gt;預測IC!AK$25,1,0)</f>
        <v>1</v>
      </c>
      <c r="AL18" s="11">
        <f>IF(預測IC!AL18&gt;預測IC!AL$25,1,0)</f>
        <v>0</v>
      </c>
      <c r="AM18" s="11">
        <f>IF(預測IC!AM18&gt;預測IC!AM$25,1,0)</f>
        <v>1</v>
      </c>
      <c r="AN18" s="11">
        <f>IF(預測IC!AN18&gt;預測IC!AN$25,1,0)</f>
        <v>1</v>
      </c>
      <c r="AO18" s="11">
        <f>IF(預測IC!AO18&gt;預測IC!AO$25,1,0)</f>
        <v>0</v>
      </c>
      <c r="AP18" s="11">
        <f>IF(預測IC!AP18&gt;預測IC!AP$25,1,0)</f>
        <v>0</v>
      </c>
      <c r="AQ18" s="11">
        <f>IF(預測IC!AQ18&gt;預測IC!AQ$25,1,0)</f>
        <v>0</v>
      </c>
      <c r="AR18" s="11">
        <f>IF(預測IC!AR18&gt;預測IC!AR$25,1,0)</f>
        <v>1</v>
      </c>
      <c r="AS18" s="11">
        <f>IF(預測IC!AS18&gt;預測IC!AS$25,1,0)</f>
        <v>1</v>
      </c>
      <c r="AT18" s="11">
        <f>IF(預測IC!AT18&gt;預測IC!AT$25,1,0)</f>
        <v>1</v>
      </c>
      <c r="AU18" s="11">
        <f>IF(預測IC!AU18&gt;預測IC!AU$25,1,0)</f>
        <v>1</v>
      </c>
      <c r="AV18" s="11">
        <f>IF(預測IC!AV18&gt;預測IC!AV$25,1,0)</f>
        <v>0</v>
      </c>
      <c r="AW18" s="11">
        <f>IF(預測IC!AW18&gt;預測IC!AW$25,1,0)</f>
        <v>1</v>
      </c>
      <c r="AX18" s="11">
        <f>IF(預測IC!AX18&gt;預測IC!AX$25,1,0)</f>
        <v>0</v>
      </c>
      <c r="AY18" s="11">
        <f>IF(預測IC!AY18&gt;預測IC!AY$25,1,0)</f>
        <v>0</v>
      </c>
      <c r="AZ18" s="11">
        <f>IF(預測IC!AZ18&gt;預測IC!AZ$25,1,0)</f>
        <v>0</v>
      </c>
      <c r="BA18" s="11">
        <f>IF(預測IC!BA18&gt;預測IC!BA$25,1,0)</f>
        <v>0</v>
      </c>
      <c r="BB18" s="11">
        <f>IF(預測IC!BB18&gt;預測IC!BB$25,1,0)</f>
        <v>1</v>
      </c>
      <c r="BC18" s="11">
        <f>IF(預測IC!BC18&gt;預測IC!BC$25,1,0)</f>
        <v>1</v>
      </c>
      <c r="BD18" s="11">
        <f>IF(預測IC!BD18&gt;預測IC!BD$25,1,0)</f>
        <v>0</v>
      </c>
      <c r="BE18" s="11">
        <f>IF(預測IC!BE18&gt;預測IC!BE$25,1,0)</f>
        <v>0</v>
      </c>
      <c r="BF18" s="11">
        <f>IF(預測IC!BF18&gt;預測IC!BF$25,1,0)</f>
        <v>1</v>
      </c>
      <c r="BG18" s="11">
        <f>IF(預測IC!BG18&gt;預測IC!BG$25,1,0)</f>
        <v>0</v>
      </c>
      <c r="BH18" s="11">
        <f>IF(預測IC!BH18&gt;預測IC!BH$25,1,0)</f>
        <v>1</v>
      </c>
      <c r="BI18" s="11">
        <f>IF(預測IC!BI18&gt;預測IC!BI$25,1,0)</f>
        <v>0</v>
      </c>
      <c r="BJ18" s="11">
        <f>IF(預測IC!BJ18&gt;預測IC!BJ$25,1,0)</f>
        <v>1</v>
      </c>
      <c r="BK18" s="11">
        <f>IF(預測IC!BK18&gt;預測IC!BK$25,1,0)</f>
        <v>0</v>
      </c>
      <c r="BL18" s="11">
        <f>IF(預測IC!BL18&gt;預測IC!BL$25,1,0)</f>
        <v>1</v>
      </c>
      <c r="BM18" s="11">
        <f>IF(預測IC!BM18&gt;預測IC!BM$25,1,0)</f>
        <v>1</v>
      </c>
      <c r="BN18" s="11">
        <f>IF(預測IC!BN18&gt;預測IC!BN$25,1,0)</f>
        <v>1</v>
      </c>
      <c r="BO18" s="11">
        <f>IF(預測IC!BO18&gt;預測IC!BO$25,1,0)</f>
        <v>1</v>
      </c>
      <c r="BP18" s="11">
        <f>IF(預測IC!BP18&gt;預測IC!BP$25,1,0)</f>
        <v>1</v>
      </c>
      <c r="BQ18" s="11">
        <f>IF(預測IC!BQ18&gt;預測IC!BQ$25,1,0)</f>
        <v>0</v>
      </c>
      <c r="BR18" s="11">
        <f>IF(預測IC!BR18&gt;預測IC!BR$25,1,0)</f>
        <v>1</v>
      </c>
      <c r="BS18" s="11">
        <f>IF(預測IC!BS18&gt;預測IC!BS$25,1,0)</f>
        <v>0</v>
      </c>
      <c r="BT18" s="11">
        <f>IF(預測IC!BT18&gt;預測IC!BT$25,1,0)</f>
        <v>0</v>
      </c>
      <c r="BU18" s="11">
        <f>IF(預測IC!BU18&gt;預測IC!BU$25,1,0)</f>
        <v>1</v>
      </c>
      <c r="BV18" s="11">
        <f>IF(預測IC!BV18&gt;預測IC!BV$25,1,0)</f>
        <v>1</v>
      </c>
      <c r="BW18" s="11">
        <f>IF(預測IC!BW18&gt;預測IC!BW$25,1,0)</f>
        <v>0</v>
      </c>
      <c r="BX18" s="11">
        <f>IF(預測IC!BX18&gt;預測IC!BX$25,1,0)</f>
        <v>1</v>
      </c>
      <c r="BY18" s="11">
        <f>IF(預測IC!BY18&gt;預測IC!BY$25,1,0)</f>
        <v>1</v>
      </c>
      <c r="BZ18" s="11">
        <f>IF(預測IC!BZ18&gt;預測IC!BZ$25,1,0)</f>
        <v>1</v>
      </c>
      <c r="CA18" s="11">
        <f>IF(預測IC!CA18&gt;預測IC!CA$25,1,0)</f>
        <v>0</v>
      </c>
      <c r="CB18" s="11">
        <f>IF(預測IC!CB18&gt;預測IC!CB$25,1,0)</f>
        <v>0</v>
      </c>
      <c r="CC18" s="11">
        <f>IF(預測IC!CC18&gt;預測IC!CC$25,1,0)</f>
        <v>0</v>
      </c>
      <c r="CD18" s="11">
        <f>IF(預測IC!CD18&gt;預測IC!CD$25,1,0)</f>
        <v>1</v>
      </c>
      <c r="CE18" s="11">
        <f>IF(預測IC!CE18&gt;預測IC!CE$25,1,0)</f>
        <v>1</v>
      </c>
      <c r="CF18" s="11">
        <f>IF(預測IC!CF18&gt;預測IC!CF$25,1,0)</f>
        <v>1</v>
      </c>
      <c r="CG18" s="11">
        <f>IF(預測IC!CG18&gt;預測IC!CG$25,1,0)</f>
        <v>0</v>
      </c>
      <c r="CH18" s="11">
        <f>IF(預測IC!CH18&gt;預測IC!CH$25,1,0)</f>
        <v>0</v>
      </c>
      <c r="CI18" s="11">
        <f>IF(預測IC!CI18&gt;預測IC!CI$25,1,0)</f>
        <v>0</v>
      </c>
      <c r="CJ18" s="11">
        <f>IF(預測IC!CJ18&gt;預測IC!CJ$25,1,0)</f>
        <v>0</v>
      </c>
      <c r="CK18" s="11">
        <f>IF(預測IC!CK18&gt;預測IC!CK$25,1,0)</f>
        <v>1</v>
      </c>
      <c r="CL18" s="11">
        <f>IF(預測IC!CL18&gt;預測IC!CL$25,1,0)</f>
        <v>1</v>
      </c>
      <c r="CM18" s="11">
        <f>IF(預測IC!CM18&gt;預測IC!CM$25,1,0)</f>
        <v>1</v>
      </c>
      <c r="CN18" s="11">
        <f>IF(預測IC!CN18&gt;預測IC!CN$25,1,0)</f>
        <v>0</v>
      </c>
      <c r="CO18" s="11">
        <f>IF(預測IC!CO18&gt;預測IC!CO$25,1,0)</f>
        <v>0</v>
      </c>
      <c r="CP18" s="11">
        <f>IF(預測IC!CP18&gt;預測IC!CP$25,1,0)</f>
        <v>0</v>
      </c>
      <c r="CQ18" s="11">
        <f>IF(預測IC!CQ18&gt;預測IC!CQ$25,1,0)</f>
        <v>1</v>
      </c>
      <c r="CR18" s="11">
        <f>IF(預測IC!CR18&gt;預測IC!CR$25,1,0)</f>
        <v>0</v>
      </c>
      <c r="CS18" s="11">
        <f>IF(預測IC!CS18&gt;預測IC!CS$25,1,0)</f>
        <v>1</v>
      </c>
      <c r="CT18" s="11">
        <f>IF(預測IC!CT18&gt;預測IC!CT$25,1,0)</f>
        <v>1</v>
      </c>
      <c r="CU18" s="11">
        <f>IF(預測IC!CU18&gt;預測IC!CU$25,1,0)</f>
        <v>0</v>
      </c>
      <c r="CV18" s="11">
        <f>IF(預測IC!CV18&gt;預測IC!CV$25,1,0)</f>
        <v>1</v>
      </c>
      <c r="CW18" s="11">
        <f>IF(預測IC!CW18&gt;預測IC!CW$25,1,0)</f>
        <v>0</v>
      </c>
      <c r="CX18" s="11">
        <f>IF(預測IC!CX18&gt;預測IC!CX$25,1,0)</f>
        <v>1</v>
      </c>
      <c r="CY18" s="11">
        <f>IF(預測IC!CY18&gt;預測IC!CY$25,1,0)</f>
        <v>0</v>
      </c>
      <c r="CZ18" s="11">
        <f>IF(預測IC!CZ18&gt;預測IC!CZ$25,1,0)</f>
        <v>1</v>
      </c>
      <c r="DA18" s="11">
        <f>IF(預測IC!DA18&gt;預測IC!DA$25,1,0)</f>
        <v>0</v>
      </c>
      <c r="DB18" s="11">
        <f>IF(預測IC!DB18&gt;預測IC!DB$25,1,0)</f>
        <v>1</v>
      </c>
      <c r="DC18" s="11">
        <f>IF(預測IC!DC18&gt;預測IC!DC$25,1,0)</f>
        <v>1</v>
      </c>
      <c r="DD18" s="11">
        <f>IF(預測IC!DD18&gt;預測IC!DD$25,1,0)</f>
        <v>0</v>
      </c>
      <c r="DE18" s="11">
        <f>IF(預測IC!DE18&gt;預測IC!DE$25,1,0)</f>
        <v>0</v>
      </c>
      <c r="DF18" s="11">
        <f>IF(預測IC!DF18&gt;預測IC!DF$25,1,0)</f>
        <v>1</v>
      </c>
      <c r="DG18" s="11">
        <f>IF(預測IC!DG18&gt;預測IC!DG$25,1,0)</f>
        <v>0</v>
      </c>
      <c r="DH18" s="11">
        <f>IF(預測IC!DH18&gt;預測IC!DH$25,1,0)</f>
        <v>0</v>
      </c>
      <c r="DI18" s="11">
        <f>IF(預測IC!DI18&gt;預測IC!DI$25,1,0)</f>
        <v>0</v>
      </c>
      <c r="DJ18" s="11">
        <f>IF(預測IC!DJ18&gt;預測IC!DJ$25,1,0)</f>
        <v>0</v>
      </c>
      <c r="DK18" s="11">
        <f>IF(預測IC!DK18&gt;預測IC!DK$25,1,0)</f>
        <v>1</v>
      </c>
      <c r="DL18" s="11">
        <f>IF(預測IC!DL18&gt;預測IC!DL$25,1,0)</f>
        <v>0</v>
      </c>
      <c r="DM18" s="11">
        <f>IF(預測IC!DM18&gt;預測IC!DM$25,1,0)</f>
        <v>0</v>
      </c>
      <c r="DN18" s="11">
        <f>IF(預測IC!DN18&gt;預測IC!DN$25,1,0)</f>
        <v>1</v>
      </c>
      <c r="DO18" s="11">
        <f>IF(預測IC!DO18&gt;預測IC!DO$25,1,0)</f>
        <v>1</v>
      </c>
      <c r="DP18" s="11">
        <f>IF(預測IC!DP18&gt;預測IC!DP$25,1,0)</f>
        <v>1</v>
      </c>
      <c r="DQ18" s="11">
        <f>IF(預測IC!DQ18&gt;預測IC!DQ$25,1,0)</f>
        <v>0</v>
      </c>
      <c r="DR18" s="11">
        <f>IF(預測IC!DR18&gt;預測IC!DR$25,1,0)</f>
        <v>1</v>
      </c>
      <c r="DS18" s="11">
        <f>IF(預測IC!DS18&gt;預測IC!DS$25,1,0)</f>
        <v>1</v>
      </c>
      <c r="DT18" s="11">
        <f>IF(預測IC!DT18&gt;預測IC!DT$25,1,0)</f>
        <v>0</v>
      </c>
      <c r="DU18" s="11">
        <f>IF(預測IC!DU18&gt;預測IC!DU$25,1,0)</f>
        <v>0</v>
      </c>
      <c r="DV18" s="11">
        <f>IF(預測IC!DV18&gt;預測IC!DV$25,1,0)</f>
        <v>1</v>
      </c>
      <c r="DW18" s="11">
        <f>IF(預測IC!DW18&gt;預測IC!DW$25,1,0)</f>
        <v>1</v>
      </c>
      <c r="DX18" s="11">
        <f>IF(預測IC!DX18&gt;預測IC!DX$25,1,0)</f>
        <v>0</v>
      </c>
      <c r="DY18" s="11">
        <f>IF(預測IC!DY18&gt;預測IC!DY$25,1,0)</f>
        <v>0</v>
      </c>
      <c r="DZ18" s="11">
        <f>IF(預測IC!DZ18&gt;預測IC!DZ$25,1,0)</f>
        <v>0</v>
      </c>
      <c r="EA18" s="11">
        <f>IF(預測IC!EA18&gt;預測IC!EA$25,1,0)</f>
        <v>0</v>
      </c>
      <c r="EB18" s="11">
        <f>IF(預測IC!EB18&gt;預測IC!EB$25,1,0)</f>
        <v>0</v>
      </c>
      <c r="EC18" s="11">
        <f>IF(預測IC!EC18&gt;預測IC!EC$25,1,0)</f>
        <v>1</v>
      </c>
      <c r="ED18" s="11">
        <f>IF(預測IC!ED18&gt;預測IC!ED$25,1,0)</f>
        <v>0</v>
      </c>
      <c r="EE18" s="11">
        <f>IF(預測IC!EE18&gt;預測IC!EE$25,1,0)</f>
        <v>0</v>
      </c>
      <c r="EF18" s="11">
        <f>IF(預測IC!EF18&gt;預測IC!EF$25,1,0)</f>
        <v>1</v>
      </c>
      <c r="EG18" s="1">
        <f t="shared" si="6"/>
        <v>66</v>
      </c>
      <c r="EH18" s="58">
        <f t="shared" si="7"/>
        <v>0.4925373134328358</v>
      </c>
    </row>
    <row r="19" spans="1:138" ht="16">
      <c r="A19" s="6">
        <v>160</v>
      </c>
      <c r="B19" s="6">
        <v>6</v>
      </c>
      <c r="C19" s="11">
        <f>IF(預測IC!C19&gt;預測IC!C$25,1,0)</f>
        <v>0</v>
      </c>
      <c r="D19" s="11">
        <f>IF(預測IC!D19&gt;預測IC!D$25,1,0)</f>
        <v>0</v>
      </c>
      <c r="E19" s="11">
        <f>IF(預測IC!E19&gt;預測IC!E$25,1,0)</f>
        <v>0</v>
      </c>
      <c r="F19" s="11">
        <f>IF(預測IC!F19&gt;預測IC!F$25,1,0)</f>
        <v>0</v>
      </c>
      <c r="G19" s="11">
        <f>IF(預測IC!G19&gt;預測IC!G$25,1,0)</f>
        <v>0</v>
      </c>
      <c r="H19" s="11">
        <f>IF(預測IC!H19&gt;預測IC!H$25,1,0)</f>
        <v>0</v>
      </c>
      <c r="I19" s="11">
        <f>IF(預測IC!I19&gt;預測IC!I$25,1,0)</f>
        <v>1</v>
      </c>
      <c r="J19" s="11">
        <f>IF(預測IC!J19&gt;預測IC!J$25,1,0)</f>
        <v>1</v>
      </c>
      <c r="K19" s="11">
        <f>IF(預測IC!K19&gt;預測IC!K$25,1,0)</f>
        <v>1</v>
      </c>
      <c r="L19" s="11">
        <f>IF(預測IC!L19&gt;預測IC!L$25,1,0)</f>
        <v>1</v>
      </c>
      <c r="M19" s="11">
        <f>IF(預測IC!M19&gt;預測IC!M$25,1,0)</f>
        <v>1</v>
      </c>
      <c r="N19" s="11">
        <f>IF(預測IC!N19&gt;預測IC!N$25,1,0)</f>
        <v>1</v>
      </c>
      <c r="O19" s="11">
        <f>IF(預測IC!O19&gt;預測IC!O$25,1,0)</f>
        <v>1</v>
      </c>
      <c r="P19" s="11">
        <f>IF(預測IC!P19&gt;預測IC!P$25,1,0)</f>
        <v>0</v>
      </c>
      <c r="Q19" s="11">
        <f>IF(預測IC!Q19&gt;預測IC!Q$25,1,0)</f>
        <v>1</v>
      </c>
      <c r="R19" s="11">
        <f>IF(預測IC!R19&gt;預測IC!R$25,1,0)</f>
        <v>0</v>
      </c>
      <c r="S19" s="11">
        <f>IF(預測IC!S19&gt;預測IC!S$25,1,0)</f>
        <v>1</v>
      </c>
      <c r="T19" s="11">
        <f>IF(預測IC!T19&gt;預測IC!T$25,1,0)</f>
        <v>1</v>
      </c>
      <c r="U19" s="11">
        <f>IF(預測IC!U19&gt;預測IC!U$25,1,0)</f>
        <v>1</v>
      </c>
      <c r="V19" s="11">
        <f>IF(預測IC!V19&gt;預測IC!V$25,1,0)</f>
        <v>1</v>
      </c>
      <c r="W19" s="11">
        <f>IF(預測IC!W19&gt;預測IC!W$25,1,0)</f>
        <v>1</v>
      </c>
      <c r="X19" s="11">
        <f>IF(預測IC!X19&gt;預測IC!X$25,1,0)</f>
        <v>0</v>
      </c>
      <c r="Y19" s="11">
        <f>IF(預測IC!Y19&gt;預測IC!Y$25,1,0)</f>
        <v>1</v>
      </c>
      <c r="Z19" s="11">
        <f>IF(預測IC!Z19&gt;預測IC!Z$25,1,0)</f>
        <v>0</v>
      </c>
      <c r="AA19" s="11">
        <f>IF(預測IC!AA19&gt;預測IC!AA$25,1,0)</f>
        <v>0</v>
      </c>
      <c r="AB19" s="11">
        <f>IF(預測IC!AB19&gt;預測IC!AB$25,1,0)</f>
        <v>1</v>
      </c>
      <c r="AC19" s="11">
        <f>IF(預測IC!AC19&gt;預測IC!AC$25,1,0)</f>
        <v>0</v>
      </c>
      <c r="AD19" s="11">
        <f>IF(預測IC!AD19&gt;預測IC!AD$25,1,0)</f>
        <v>1</v>
      </c>
      <c r="AE19" s="11">
        <f>IF(預測IC!AE19&gt;預測IC!AE$25,1,0)</f>
        <v>0</v>
      </c>
      <c r="AF19" s="11">
        <f>IF(預測IC!AF19&gt;預測IC!AF$25,1,0)</f>
        <v>0</v>
      </c>
      <c r="AG19" s="11">
        <f>IF(預測IC!AG19&gt;預測IC!AG$25,1,0)</f>
        <v>0</v>
      </c>
      <c r="AH19" s="11">
        <f>IF(預測IC!AH19&gt;預測IC!AH$25,1,0)</f>
        <v>0</v>
      </c>
      <c r="AI19" s="11">
        <f>IF(預測IC!AI19&gt;預測IC!AI$25,1,0)</f>
        <v>1</v>
      </c>
      <c r="AJ19" s="11">
        <f>IF(預測IC!AJ19&gt;預測IC!AJ$25,1,0)</f>
        <v>0</v>
      </c>
      <c r="AK19" s="11">
        <f>IF(預測IC!AK19&gt;預測IC!AK$25,1,0)</f>
        <v>1</v>
      </c>
      <c r="AL19" s="11">
        <f>IF(預測IC!AL19&gt;預測IC!AL$25,1,0)</f>
        <v>0</v>
      </c>
      <c r="AM19" s="11">
        <f>IF(預測IC!AM19&gt;預測IC!AM$25,1,0)</f>
        <v>1</v>
      </c>
      <c r="AN19" s="11">
        <f>IF(預測IC!AN19&gt;預測IC!AN$25,1,0)</f>
        <v>1</v>
      </c>
      <c r="AO19" s="11">
        <f>IF(預測IC!AO19&gt;預測IC!AO$25,1,0)</f>
        <v>1</v>
      </c>
      <c r="AP19" s="11">
        <f>IF(預測IC!AP19&gt;預測IC!AP$25,1,0)</f>
        <v>0</v>
      </c>
      <c r="AQ19" s="11">
        <f>IF(預測IC!AQ19&gt;預測IC!AQ$25,1,0)</f>
        <v>0</v>
      </c>
      <c r="AR19" s="11">
        <f>IF(預測IC!AR19&gt;預測IC!AR$25,1,0)</f>
        <v>1</v>
      </c>
      <c r="AS19" s="11">
        <f>IF(預測IC!AS19&gt;預測IC!AS$25,1,0)</f>
        <v>1</v>
      </c>
      <c r="AT19" s="11">
        <f>IF(預測IC!AT19&gt;預測IC!AT$25,1,0)</f>
        <v>1</v>
      </c>
      <c r="AU19" s="11">
        <f>IF(預測IC!AU19&gt;預測IC!AU$25,1,0)</f>
        <v>1</v>
      </c>
      <c r="AV19" s="11">
        <f>IF(預測IC!AV19&gt;預測IC!AV$25,1,0)</f>
        <v>0</v>
      </c>
      <c r="AW19" s="11">
        <f>IF(預測IC!AW19&gt;預測IC!AW$25,1,0)</f>
        <v>1</v>
      </c>
      <c r="AX19" s="11">
        <f>IF(預測IC!AX19&gt;預測IC!AX$25,1,0)</f>
        <v>0</v>
      </c>
      <c r="AY19" s="11">
        <f>IF(預測IC!AY19&gt;預測IC!AY$25,1,0)</f>
        <v>0</v>
      </c>
      <c r="AZ19" s="11">
        <f>IF(預測IC!AZ19&gt;預測IC!AZ$25,1,0)</f>
        <v>0</v>
      </c>
      <c r="BA19" s="11">
        <f>IF(預測IC!BA19&gt;預測IC!BA$25,1,0)</f>
        <v>0</v>
      </c>
      <c r="BB19" s="11">
        <f>IF(預測IC!BB19&gt;預測IC!BB$25,1,0)</f>
        <v>1</v>
      </c>
      <c r="BC19" s="11">
        <f>IF(預測IC!BC19&gt;預測IC!BC$25,1,0)</f>
        <v>1</v>
      </c>
      <c r="BD19" s="11">
        <f>IF(預測IC!BD19&gt;預測IC!BD$25,1,0)</f>
        <v>1</v>
      </c>
      <c r="BE19" s="11">
        <f>IF(預測IC!BE19&gt;預測IC!BE$25,1,0)</f>
        <v>0</v>
      </c>
      <c r="BF19" s="11">
        <f>IF(預測IC!BF19&gt;預測IC!BF$25,1,0)</f>
        <v>1</v>
      </c>
      <c r="BG19" s="11">
        <f>IF(預測IC!BG19&gt;預測IC!BG$25,1,0)</f>
        <v>0</v>
      </c>
      <c r="BH19" s="11">
        <f>IF(預測IC!BH19&gt;預測IC!BH$25,1,0)</f>
        <v>1</v>
      </c>
      <c r="BI19" s="11">
        <f>IF(預測IC!BI19&gt;預測IC!BI$25,1,0)</f>
        <v>0</v>
      </c>
      <c r="BJ19" s="11">
        <f>IF(預測IC!BJ19&gt;預測IC!BJ$25,1,0)</f>
        <v>0</v>
      </c>
      <c r="BK19" s="11">
        <f>IF(預測IC!BK19&gt;預測IC!BK$25,1,0)</f>
        <v>0</v>
      </c>
      <c r="BL19" s="11">
        <f>IF(預測IC!BL19&gt;預測IC!BL$25,1,0)</f>
        <v>1</v>
      </c>
      <c r="BM19" s="11">
        <f>IF(預測IC!BM19&gt;預測IC!BM$25,1,0)</f>
        <v>1</v>
      </c>
      <c r="BN19" s="11">
        <f>IF(預測IC!BN19&gt;預測IC!BN$25,1,0)</f>
        <v>1</v>
      </c>
      <c r="BO19" s="11">
        <f>IF(預測IC!BO19&gt;預測IC!BO$25,1,0)</f>
        <v>1</v>
      </c>
      <c r="BP19" s="11">
        <f>IF(預測IC!BP19&gt;預測IC!BP$25,1,0)</f>
        <v>1</v>
      </c>
      <c r="BQ19" s="11">
        <f>IF(預測IC!BQ19&gt;預測IC!BQ$25,1,0)</f>
        <v>1</v>
      </c>
      <c r="BR19" s="11">
        <f>IF(預測IC!BR19&gt;預測IC!BR$25,1,0)</f>
        <v>1</v>
      </c>
      <c r="BS19" s="11">
        <f>IF(預測IC!BS19&gt;預測IC!BS$25,1,0)</f>
        <v>0</v>
      </c>
      <c r="BT19" s="11">
        <f>IF(預測IC!BT19&gt;預測IC!BT$25,1,0)</f>
        <v>0</v>
      </c>
      <c r="BU19" s="11">
        <f>IF(預測IC!BU19&gt;預測IC!BU$25,1,0)</f>
        <v>1</v>
      </c>
      <c r="BV19" s="11">
        <f>IF(預測IC!BV19&gt;預測IC!BV$25,1,0)</f>
        <v>1</v>
      </c>
      <c r="BW19" s="11">
        <f>IF(預測IC!BW19&gt;預測IC!BW$25,1,0)</f>
        <v>0</v>
      </c>
      <c r="BX19" s="11">
        <f>IF(預測IC!BX19&gt;預測IC!BX$25,1,0)</f>
        <v>1</v>
      </c>
      <c r="BY19" s="11">
        <f>IF(預測IC!BY19&gt;預測IC!BY$25,1,0)</f>
        <v>1</v>
      </c>
      <c r="BZ19" s="11">
        <f>IF(預測IC!BZ19&gt;預測IC!BZ$25,1,0)</f>
        <v>0</v>
      </c>
      <c r="CA19" s="11">
        <f>IF(預測IC!CA19&gt;預測IC!CA$25,1,0)</f>
        <v>0</v>
      </c>
      <c r="CB19" s="11">
        <f>IF(預測IC!CB19&gt;預測IC!CB$25,1,0)</f>
        <v>0</v>
      </c>
      <c r="CC19" s="11">
        <f>IF(預測IC!CC19&gt;預測IC!CC$25,1,0)</f>
        <v>0</v>
      </c>
      <c r="CD19" s="11">
        <f>IF(預測IC!CD19&gt;預測IC!CD$25,1,0)</f>
        <v>1</v>
      </c>
      <c r="CE19" s="11">
        <f>IF(預測IC!CE19&gt;預測IC!CE$25,1,0)</f>
        <v>1</v>
      </c>
      <c r="CF19" s="11">
        <f>IF(預測IC!CF19&gt;預測IC!CF$25,1,0)</f>
        <v>1</v>
      </c>
      <c r="CG19" s="11">
        <f>IF(預測IC!CG19&gt;預測IC!CG$25,1,0)</f>
        <v>0</v>
      </c>
      <c r="CH19" s="11">
        <f>IF(預測IC!CH19&gt;預測IC!CH$25,1,0)</f>
        <v>0</v>
      </c>
      <c r="CI19" s="11">
        <f>IF(預測IC!CI19&gt;預測IC!CI$25,1,0)</f>
        <v>0</v>
      </c>
      <c r="CJ19" s="11">
        <f>IF(預測IC!CJ19&gt;預測IC!CJ$25,1,0)</f>
        <v>0</v>
      </c>
      <c r="CK19" s="11">
        <f>IF(預測IC!CK19&gt;預測IC!CK$25,1,0)</f>
        <v>1</v>
      </c>
      <c r="CL19" s="11">
        <f>IF(預測IC!CL19&gt;預測IC!CL$25,1,0)</f>
        <v>1</v>
      </c>
      <c r="CM19" s="11">
        <f>IF(預測IC!CM19&gt;預測IC!CM$25,1,0)</f>
        <v>1</v>
      </c>
      <c r="CN19" s="11">
        <f>IF(預測IC!CN19&gt;預測IC!CN$25,1,0)</f>
        <v>1</v>
      </c>
      <c r="CO19" s="11">
        <f>IF(預測IC!CO19&gt;預測IC!CO$25,1,0)</f>
        <v>0</v>
      </c>
      <c r="CP19" s="11">
        <f>IF(預測IC!CP19&gt;預測IC!CP$25,1,0)</f>
        <v>0</v>
      </c>
      <c r="CQ19" s="11">
        <f>IF(預測IC!CQ19&gt;預測IC!CQ$25,1,0)</f>
        <v>1</v>
      </c>
      <c r="CR19" s="11">
        <f>IF(預測IC!CR19&gt;預測IC!CR$25,1,0)</f>
        <v>0</v>
      </c>
      <c r="CS19" s="11">
        <f>IF(預測IC!CS19&gt;預測IC!CS$25,1,0)</f>
        <v>1</v>
      </c>
      <c r="CT19" s="11">
        <f>IF(預測IC!CT19&gt;預測IC!CT$25,1,0)</f>
        <v>1</v>
      </c>
      <c r="CU19" s="11">
        <f>IF(預測IC!CU19&gt;預測IC!CU$25,1,0)</f>
        <v>0</v>
      </c>
      <c r="CV19" s="11">
        <f>IF(預測IC!CV19&gt;預測IC!CV$25,1,0)</f>
        <v>1</v>
      </c>
      <c r="CW19" s="11">
        <f>IF(預測IC!CW19&gt;預測IC!CW$25,1,0)</f>
        <v>0</v>
      </c>
      <c r="CX19" s="11">
        <f>IF(預測IC!CX19&gt;預測IC!CX$25,1,0)</f>
        <v>1</v>
      </c>
      <c r="CY19" s="11">
        <f>IF(預測IC!CY19&gt;預測IC!CY$25,1,0)</f>
        <v>0</v>
      </c>
      <c r="CZ19" s="11">
        <f>IF(預測IC!CZ19&gt;預測IC!CZ$25,1,0)</f>
        <v>1</v>
      </c>
      <c r="DA19" s="11">
        <f>IF(預測IC!DA19&gt;預測IC!DA$25,1,0)</f>
        <v>0</v>
      </c>
      <c r="DB19" s="11">
        <f>IF(預測IC!DB19&gt;預測IC!DB$25,1,0)</f>
        <v>1</v>
      </c>
      <c r="DC19" s="11">
        <f>IF(預測IC!DC19&gt;預測IC!DC$25,1,0)</f>
        <v>1</v>
      </c>
      <c r="DD19" s="11">
        <f>IF(預測IC!DD19&gt;預測IC!DD$25,1,0)</f>
        <v>0</v>
      </c>
      <c r="DE19" s="11">
        <f>IF(預測IC!DE19&gt;預測IC!DE$25,1,0)</f>
        <v>0</v>
      </c>
      <c r="DF19" s="11">
        <f>IF(預測IC!DF19&gt;預測IC!DF$25,1,0)</f>
        <v>0</v>
      </c>
      <c r="DG19" s="11">
        <f>IF(預測IC!DG19&gt;預測IC!DG$25,1,0)</f>
        <v>0</v>
      </c>
      <c r="DH19" s="11">
        <f>IF(預測IC!DH19&gt;預測IC!DH$25,1,0)</f>
        <v>0</v>
      </c>
      <c r="DI19" s="11">
        <f>IF(預測IC!DI19&gt;預測IC!DI$25,1,0)</f>
        <v>0</v>
      </c>
      <c r="DJ19" s="11">
        <f>IF(預測IC!DJ19&gt;預測IC!DJ$25,1,0)</f>
        <v>0</v>
      </c>
      <c r="DK19" s="11">
        <f>IF(預測IC!DK19&gt;預測IC!DK$25,1,0)</f>
        <v>1</v>
      </c>
      <c r="DL19" s="11">
        <f>IF(預測IC!DL19&gt;預測IC!DL$25,1,0)</f>
        <v>0</v>
      </c>
      <c r="DM19" s="11">
        <f>IF(預測IC!DM19&gt;預測IC!DM$25,1,0)</f>
        <v>0</v>
      </c>
      <c r="DN19" s="11">
        <f>IF(預測IC!DN19&gt;預測IC!DN$25,1,0)</f>
        <v>1</v>
      </c>
      <c r="DO19" s="11">
        <f>IF(預測IC!DO19&gt;預測IC!DO$25,1,0)</f>
        <v>1</v>
      </c>
      <c r="DP19" s="11">
        <f>IF(預測IC!DP19&gt;預測IC!DP$25,1,0)</f>
        <v>1</v>
      </c>
      <c r="DQ19" s="11">
        <f>IF(預測IC!DQ19&gt;預測IC!DQ$25,1,0)</f>
        <v>0</v>
      </c>
      <c r="DR19" s="11">
        <f>IF(預測IC!DR19&gt;預測IC!DR$25,1,0)</f>
        <v>1</v>
      </c>
      <c r="DS19" s="11">
        <f>IF(預測IC!DS19&gt;預測IC!DS$25,1,0)</f>
        <v>0</v>
      </c>
      <c r="DT19" s="11">
        <f>IF(預測IC!DT19&gt;預測IC!DT$25,1,0)</f>
        <v>0</v>
      </c>
      <c r="DU19" s="11">
        <f>IF(預測IC!DU19&gt;預測IC!DU$25,1,0)</f>
        <v>0</v>
      </c>
      <c r="DV19" s="11">
        <f>IF(預測IC!DV19&gt;預測IC!DV$25,1,0)</f>
        <v>1</v>
      </c>
      <c r="DW19" s="11">
        <f>IF(預測IC!DW19&gt;預測IC!DW$25,1,0)</f>
        <v>1</v>
      </c>
      <c r="DX19" s="11">
        <f>IF(預測IC!DX19&gt;預測IC!DX$25,1,0)</f>
        <v>0</v>
      </c>
      <c r="DY19" s="11">
        <f>IF(預測IC!DY19&gt;預測IC!DY$25,1,0)</f>
        <v>0</v>
      </c>
      <c r="DZ19" s="11">
        <f>IF(預測IC!DZ19&gt;預測IC!DZ$25,1,0)</f>
        <v>0</v>
      </c>
      <c r="EA19" s="11">
        <f>IF(預測IC!EA19&gt;預測IC!EA$25,1,0)</f>
        <v>0</v>
      </c>
      <c r="EB19" s="11">
        <f>IF(預測IC!EB19&gt;預測IC!EB$25,1,0)</f>
        <v>0</v>
      </c>
      <c r="EC19" s="11">
        <f>IF(預測IC!EC19&gt;預測IC!EC$25,1,0)</f>
        <v>1</v>
      </c>
      <c r="ED19" s="11">
        <f>IF(預測IC!ED19&gt;預測IC!ED$25,1,0)</f>
        <v>0</v>
      </c>
      <c r="EE19" s="11">
        <f>IF(預測IC!EE19&gt;預測IC!EE$25,1,0)</f>
        <v>0</v>
      </c>
      <c r="EF19" s="11">
        <f>IF(預測IC!EF19&gt;預測IC!EF$25,1,0)</f>
        <v>1</v>
      </c>
      <c r="EG19" s="1">
        <f t="shared" si="6"/>
        <v>66</v>
      </c>
      <c r="EH19" s="58">
        <f t="shared" si="7"/>
        <v>0.4925373134328358</v>
      </c>
    </row>
    <row r="20" spans="1:138" ht="16">
      <c r="A20" s="6">
        <v>192</v>
      </c>
      <c r="B20" s="6">
        <v>5</v>
      </c>
      <c r="C20" s="11">
        <f>IF(預測IC!C20&gt;預測IC!C$25,1,0)</f>
        <v>0</v>
      </c>
      <c r="D20" s="11">
        <f>IF(預測IC!D20&gt;預測IC!D$25,1,0)</f>
        <v>0</v>
      </c>
      <c r="E20" s="11">
        <f>IF(預測IC!E20&gt;預測IC!E$25,1,0)</f>
        <v>0</v>
      </c>
      <c r="F20" s="11">
        <f>IF(預測IC!F20&gt;預測IC!F$25,1,0)</f>
        <v>0</v>
      </c>
      <c r="G20" s="11">
        <f>IF(預測IC!G20&gt;預測IC!G$25,1,0)</f>
        <v>0</v>
      </c>
      <c r="H20" s="11">
        <f>IF(預測IC!H20&gt;預測IC!H$25,1,0)</f>
        <v>0</v>
      </c>
      <c r="I20" s="11">
        <f>IF(預測IC!I20&gt;預測IC!I$25,1,0)</f>
        <v>1</v>
      </c>
      <c r="J20" s="11">
        <f>IF(預測IC!J20&gt;預測IC!J$25,1,0)</f>
        <v>1</v>
      </c>
      <c r="K20" s="11">
        <f>IF(預測IC!K20&gt;預測IC!K$25,1,0)</f>
        <v>1</v>
      </c>
      <c r="L20" s="11">
        <f>IF(預測IC!L20&gt;預測IC!L$25,1,0)</f>
        <v>1</v>
      </c>
      <c r="M20" s="11">
        <f>IF(預測IC!M20&gt;預測IC!M$25,1,0)</f>
        <v>1</v>
      </c>
      <c r="N20" s="11">
        <f>IF(預測IC!N20&gt;預測IC!N$25,1,0)</f>
        <v>1</v>
      </c>
      <c r="O20" s="11">
        <f>IF(預測IC!O20&gt;預測IC!O$25,1,0)</f>
        <v>1</v>
      </c>
      <c r="P20" s="11">
        <f>IF(預測IC!P20&gt;預測IC!P$25,1,0)</f>
        <v>1</v>
      </c>
      <c r="Q20" s="11">
        <f>IF(預測IC!Q20&gt;預測IC!Q$25,1,0)</f>
        <v>1</v>
      </c>
      <c r="R20" s="11">
        <f>IF(預測IC!R20&gt;預測IC!R$25,1,0)</f>
        <v>0</v>
      </c>
      <c r="S20" s="11">
        <f>IF(預測IC!S20&gt;預測IC!S$25,1,0)</f>
        <v>1</v>
      </c>
      <c r="T20" s="11">
        <f>IF(預測IC!T20&gt;預測IC!T$25,1,0)</f>
        <v>1</v>
      </c>
      <c r="U20" s="11">
        <f>IF(預測IC!U20&gt;預測IC!U$25,1,0)</f>
        <v>1</v>
      </c>
      <c r="V20" s="11">
        <f>IF(預測IC!V20&gt;預測IC!V$25,1,0)</f>
        <v>1</v>
      </c>
      <c r="W20" s="11">
        <f>IF(預測IC!W20&gt;預測IC!W$25,1,0)</f>
        <v>1</v>
      </c>
      <c r="X20" s="11">
        <f>IF(預測IC!X20&gt;預測IC!X$25,1,0)</f>
        <v>0</v>
      </c>
      <c r="Y20" s="11">
        <f>IF(預測IC!Y20&gt;預測IC!Y$25,1,0)</f>
        <v>1</v>
      </c>
      <c r="Z20" s="11">
        <f>IF(預測IC!Z20&gt;預測IC!Z$25,1,0)</f>
        <v>1</v>
      </c>
      <c r="AA20" s="11">
        <f>IF(預測IC!AA20&gt;預測IC!AA$25,1,0)</f>
        <v>1</v>
      </c>
      <c r="AB20" s="11">
        <f>IF(預測IC!AB20&gt;預測IC!AB$25,1,0)</f>
        <v>1</v>
      </c>
      <c r="AC20" s="11">
        <f>IF(預測IC!AC20&gt;預測IC!AC$25,1,0)</f>
        <v>1</v>
      </c>
      <c r="AD20" s="11">
        <f>IF(預測IC!AD20&gt;預測IC!AD$25,1,0)</f>
        <v>1</v>
      </c>
      <c r="AE20" s="11">
        <f>IF(預測IC!AE20&gt;預測IC!AE$25,1,0)</f>
        <v>0</v>
      </c>
      <c r="AF20" s="11">
        <f>IF(預測IC!AF20&gt;預測IC!AF$25,1,0)</f>
        <v>0</v>
      </c>
      <c r="AG20" s="11">
        <f>IF(預測IC!AG20&gt;預測IC!AG$25,1,0)</f>
        <v>0</v>
      </c>
      <c r="AH20" s="11">
        <f>IF(預測IC!AH20&gt;預測IC!AH$25,1,0)</f>
        <v>0</v>
      </c>
      <c r="AI20" s="11">
        <f>IF(預測IC!AI20&gt;預測IC!AI$25,1,0)</f>
        <v>1</v>
      </c>
      <c r="AJ20" s="11">
        <f>IF(預測IC!AJ20&gt;預測IC!AJ$25,1,0)</f>
        <v>0</v>
      </c>
      <c r="AK20" s="11">
        <f>IF(預測IC!AK20&gt;預測IC!AK$25,1,0)</f>
        <v>1</v>
      </c>
      <c r="AL20" s="11">
        <f>IF(預測IC!AL20&gt;預測IC!AL$25,1,0)</f>
        <v>1</v>
      </c>
      <c r="AM20" s="11">
        <f>IF(預測IC!AM20&gt;預測IC!AM$25,1,0)</f>
        <v>1</v>
      </c>
      <c r="AN20" s="11">
        <f>IF(預測IC!AN20&gt;預測IC!AN$25,1,0)</f>
        <v>1</v>
      </c>
      <c r="AO20" s="11">
        <f>IF(預測IC!AO20&gt;預測IC!AO$25,1,0)</f>
        <v>1</v>
      </c>
      <c r="AP20" s="11">
        <f>IF(預測IC!AP20&gt;預測IC!AP$25,1,0)</f>
        <v>0</v>
      </c>
      <c r="AQ20" s="11">
        <f>IF(預測IC!AQ20&gt;預測IC!AQ$25,1,0)</f>
        <v>1</v>
      </c>
      <c r="AR20" s="11">
        <f>IF(預測IC!AR20&gt;預測IC!AR$25,1,0)</f>
        <v>1</v>
      </c>
      <c r="AS20" s="11">
        <f>IF(預測IC!AS20&gt;預測IC!AS$25,1,0)</f>
        <v>1</v>
      </c>
      <c r="AT20" s="11">
        <f>IF(預測IC!AT20&gt;預測IC!AT$25,1,0)</f>
        <v>0</v>
      </c>
      <c r="AU20" s="11">
        <f>IF(預測IC!AU20&gt;預測IC!AU$25,1,0)</f>
        <v>1</v>
      </c>
      <c r="AV20" s="11">
        <f>IF(預測IC!AV20&gt;預測IC!AV$25,1,0)</f>
        <v>0</v>
      </c>
      <c r="AW20" s="11">
        <f>IF(預測IC!AW20&gt;預測IC!AW$25,1,0)</f>
        <v>1</v>
      </c>
      <c r="AX20" s="11">
        <f>IF(預測IC!AX20&gt;預測IC!AX$25,1,0)</f>
        <v>0</v>
      </c>
      <c r="AY20" s="11">
        <f>IF(預測IC!AY20&gt;預測IC!AY$25,1,0)</f>
        <v>0</v>
      </c>
      <c r="AZ20" s="11">
        <f>IF(預測IC!AZ20&gt;預測IC!AZ$25,1,0)</f>
        <v>0</v>
      </c>
      <c r="BA20" s="11">
        <f>IF(預測IC!BA20&gt;預測IC!BA$25,1,0)</f>
        <v>0</v>
      </c>
      <c r="BB20" s="11">
        <f>IF(預測IC!BB20&gt;預測IC!BB$25,1,0)</f>
        <v>1</v>
      </c>
      <c r="BC20" s="11">
        <f>IF(預測IC!BC20&gt;預測IC!BC$25,1,0)</f>
        <v>1</v>
      </c>
      <c r="BD20" s="11">
        <f>IF(預測IC!BD20&gt;預測IC!BD$25,1,0)</f>
        <v>0</v>
      </c>
      <c r="BE20" s="11">
        <f>IF(預測IC!BE20&gt;預測IC!BE$25,1,0)</f>
        <v>0</v>
      </c>
      <c r="BF20" s="11">
        <f>IF(預測IC!BF20&gt;預測IC!BF$25,1,0)</f>
        <v>1</v>
      </c>
      <c r="BG20" s="11">
        <f>IF(預測IC!BG20&gt;預測IC!BG$25,1,0)</f>
        <v>0</v>
      </c>
      <c r="BH20" s="11">
        <f>IF(預測IC!BH20&gt;預測IC!BH$25,1,0)</f>
        <v>1</v>
      </c>
      <c r="BI20" s="11">
        <f>IF(預測IC!BI20&gt;預測IC!BI$25,1,0)</f>
        <v>0</v>
      </c>
      <c r="BJ20" s="11">
        <f>IF(預測IC!BJ20&gt;預測IC!BJ$25,1,0)</f>
        <v>0</v>
      </c>
      <c r="BK20" s="11">
        <f>IF(預測IC!BK20&gt;預測IC!BK$25,1,0)</f>
        <v>0</v>
      </c>
      <c r="BL20" s="11">
        <f>IF(預測IC!BL20&gt;預測IC!BL$25,1,0)</f>
        <v>1</v>
      </c>
      <c r="BM20" s="11">
        <f>IF(預測IC!BM20&gt;預測IC!BM$25,1,0)</f>
        <v>1</v>
      </c>
      <c r="BN20" s="11">
        <f>IF(預測IC!BN20&gt;預測IC!BN$25,1,0)</f>
        <v>0</v>
      </c>
      <c r="BO20" s="11">
        <f>IF(預測IC!BO20&gt;預測IC!BO$25,1,0)</f>
        <v>1</v>
      </c>
      <c r="BP20" s="11">
        <f>IF(預測IC!BP20&gt;預測IC!BP$25,1,0)</f>
        <v>1</v>
      </c>
      <c r="BQ20" s="11">
        <f>IF(預測IC!BQ20&gt;預測IC!BQ$25,1,0)</f>
        <v>1</v>
      </c>
      <c r="BR20" s="11">
        <f>IF(預測IC!BR20&gt;預測IC!BR$25,1,0)</f>
        <v>1</v>
      </c>
      <c r="BS20" s="11">
        <f>IF(預測IC!BS20&gt;預測IC!BS$25,1,0)</f>
        <v>0</v>
      </c>
      <c r="BT20" s="11">
        <f>IF(預測IC!BT20&gt;預測IC!BT$25,1,0)</f>
        <v>0</v>
      </c>
      <c r="BU20" s="11">
        <f>IF(預測IC!BU20&gt;預測IC!BU$25,1,0)</f>
        <v>1</v>
      </c>
      <c r="BV20" s="11">
        <f>IF(預測IC!BV20&gt;預測IC!BV$25,1,0)</f>
        <v>1</v>
      </c>
      <c r="BW20" s="11">
        <f>IF(預測IC!BW20&gt;預測IC!BW$25,1,0)</f>
        <v>0</v>
      </c>
      <c r="BX20" s="11">
        <f>IF(預測IC!BX20&gt;預測IC!BX$25,1,0)</f>
        <v>1</v>
      </c>
      <c r="BY20" s="11">
        <f>IF(預測IC!BY20&gt;預測IC!BY$25,1,0)</f>
        <v>1</v>
      </c>
      <c r="BZ20" s="11">
        <f>IF(預測IC!BZ20&gt;預測IC!BZ$25,1,0)</f>
        <v>0</v>
      </c>
      <c r="CA20" s="11">
        <f>IF(預測IC!CA20&gt;預測IC!CA$25,1,0)</f>
        <v>1</v>
      </c>
      <c r="CB20" s="11">
        <f>IF(預測IC!CB20&gt;預測IC!CB$25,1,0)</f>
        <v>0</v>
      </c>
      <c r="CC20" s="11">
        <f>IF(預測IC!CC20&gt;預測IC!CC$25,1,0)</f>
        <v>0</v>
      </c>
      <c r="CD20" s="11">
        <f>IF(預測IC!CD20&gt;預測IC!CD$25,1,0)</f>
        <v>1</v>
      </c>
      <c r="CE20" s="11">
        <f>IF(預測IC!CE20&gt;預測IC!CE$25,1,0)</f>
        <v>1</v>
      </c>
      <c r="CF20" s="11">
        <f>IF(預測IC!CF20&gt;預測IC!CF$25,1,0)</f>
        <v>1</v>
      </c>
      <c r="CG20" s="11">
        <f>IF(預測IC!CG20&gt;預測IC!CG$25,1,0)</f>
        <v>0</v>
      </c>
      <c r="CH20" s="11">
        <f>IF(預測IC!CH20&gt;預測IC!CH$25,1,0)</f>
        <v>0</v>
      </c>
      <c r="CI20" s="11">
        <f>IF(預測IC!CI20&gt;預測IC!CI$25,1,0)</f>
        <v>0</v>
      </c>
      <c r="CJ20" s="11">
        <f>IF(預測IC!CJ20&gt;預測IC!CJ$25,1,0)</f>
        <v>0</v>
      </c>
      <c r="CK20" s="11">
        <f>IF(預測IC!CK20&gt;預測IC!CK$25,1,0)</f>
        <v>1</v>
      </c>
      <c r="CL20" s="11">
        <f>IF(預測IC!CL20&gt;預測IC!CL$25,1,0)</f>
        <v>1</v>
      </c>
      <c r="CM20" s="11">
        <f>IF(預測IC!CM20&gt;預測IC!CM$25,1,0)</f>
        <v>1</v>
      </c>
      <c r="CN20" s="11">
        <f>IF(預測IC!CN20&gt;預測IC!CN$25,1,0)</f>
        <v>0</v>
      </c>
      <c r="CO20" s="11">
        <f>IF(預測IC!CO20&gt;預測IC!CO$25,1,0)</f>
        <v>0</v>
      </c>
      <c r="CP20" s="11">
        <f>IF(預測IC!CP20&gt;預測IC!CP$25,1,0)</f>
        <v>0</v>
      </c>
      <c r="CQ20" s="11">
        <f>IF(預測IC!CQ20&gt;預測IC!CQ$25,1,0)</f>
        <v>1</v>
      </c>
      <c r="CR20" s="11">
        <f>IF(預測IC!CR20&gt;預測IC!CR$25,1,0)</f>
        <v>0</v>
      </c>
      <c r="CS20" s="11">
        <f>IF(預測IC!CS20&gt;預測IC!CS$25,1,0)</f>
        <v>1</v>
      </c>
      <c r="CT20" s="11">
        <f>IF(預測IC!CT20&gt;預測IC!CT$25,1,0)</f>
        <v>1</v>
      </c>
      <c r="CU20" s="11">
        <f>IF(預測IC!CU20&gt;預測IC!CU$25,1,0)</f>
        <v>0</v>
      </c>
      <c r="CV20" s="11">
        <f>IF(預測IC!CV20&gt;預測IC!CV$25,1,0)</f>
        <v>1</v>
      </c>
      <c r="CW20" s="11">
        <f>IF(預測IC!CW20&gt;預測IC!CW$25,1,0)</f>
        <v>0</v>
      </c>
      <c r="CX20" s="11">
        <f>IF(預測IC!CX20&gt;預測IC!CX$25,1,0)</f>
        <v>1</v>
      </c>
      <c r="CY20" s="11">
        <f>IF(預測IC!CY20&gt;預測IC!CY$25,1,0)</f>
        <v>0</v>
      </c>
      <c r="CZ20" s="11">
        <f>IF(預測IC!CZ20&gt;預測IC!CZ$25,1,0)</f>
        <v>1</v>
      </c>
      <c r="DA20" s="11">
        <f>IF(預測IC!DA20&gt;預測IC!DA$25,1,0)</f>
        <v>0</v>
      </c>
      <c r="DB20" s="11">
        <f>IF(預測IC!DB20&gt;預測IC!DB$25,1,0)</f>
        <v>1</v>
      </c>
      <c r="DC20" s="11">
        <f>IF(預測IC!DC20&gt;預測IC!DC$25,1,0)</f>
        <v>1</v>
      </c>
      <c r="DD20" s="11">
        <f>IF(預測IC!DD20&gt;預測IC!DD$25,1,0)</f>
        <v>0</v>
      </c>
      <c r="DE20" s="11">
        <f>IF(預測IC!DE20&gt;預測IC!DE$25,1,0)</f>
        <v>0</v>
      </c>
      <c r="DF20" s="11">
        <f>IF(預測IC!DF20&gt;預測IC!DF$25,1,0)</f>
        <v>1</v>
      </c>
      <c r="DG20" s="11">
        <f>IF(預測IC!DG20&gt;預測IC!DG$25,1,0)</f>
        <v>0</v>
      </c>
      <c r="DH20" s="11">
        <f>IF(預測IC!DH20&gt;預測IC!DH$25,1,0)</f>
        <v>0</v>
      </c>
      <c r="DI20" s="11">
        <f>IF(預測IC!DI20&gt;預測IC!DI$25,1,0)</f>
        <v>0</v>
      </c>
      <c r="DJ20" s="11">
        <f>IF(預測IC!DJ20&gt;預測IC!DJ$25,1,0)</f>
        <v>0</v>
      </c>
      <c r="DK20" s="11">
        <f>IF(預測IC!DK20&gt;預測IC!DK$25,1,0)</f>
        <v>1</v>
      </c>
      <c r="DL20" s="11">
        <f>IF(預測IC!DL20&gt;預測IC!DL$25,1,0)</f>
        <v>0</v>
      </c>
      <c r="DM20" s="11">
        <f>IF(預測IC!DM20&gt;預測IC!DM$25,1,0)</f>
        <v>0</v>
      </c>
      <c r="DN20" s="11">
        <f>IF(預測IC!DN20&gt;預測IC!DN$25,1,0)</f>
        <v>1</v>
      </c>
      <c r="DO20" s="11">
        <f>IF(預測IC!DO20&gt;預測IC!DO$25,1,0)</f>
        <v>1</v>
      </c>
      <c r="DP20" s="11">
        <f>IF(預測IC!DP20&gt;預測IC!DP$25,1,0)</f>
        <v>1</v>
      </c>
      <c r="DQ20" s="11">
        <f>IF(預測IC!DQ20&gt;預測IC!DQ$25,1,0)</f>
        <v>0</v>
      </c>
      <c r="DR20" s="11">
        <f>IF(預測IC!DR20&gt;預測IC!DR$25,1,0)</f>
        <v>1</v>
      </c>
      <c r="DS20" s="11">
        <f>IF(預測IC!DS20&gt;預測IC!DS$25,1,0)</f>
        <v>0</v>
      </c>
      <c r="DT20" s="11">
        <f>IF(預測IC!DT20&gt;預測IC!DT$25,1,0)</f>
        <v>0</v>
      </c>
      <c r="DU20" s="11">
        <f>IF(預測IC!DU20&gt;預測IC!DU$25,1,0)</f>
        <v>0</v>
      </c>
      <c r="DV20" s="11">
        <f>IF(預測IC!DV20&gt;預測IC!DV$25,1,0)</f>
        <v>1</v>
      </c>
      <c r="DW20" s="11">
        <f>IF(預測IC!DW20&gt;預測IC!DW$25,1,0)</f>
        <v>1</v>
      </c>
      <c r="DX20" s="11">
        <f>IF(預測IC!DX20&gt;預測IC!DX$25,1,0)</f>
        <v>0</v>
      </c>
      <c r="DY20" s="11">
        <f>IF(預測IC!DY20&gt;預測IC!DY$25,1,0)</f>
        <v>0</v>
      </c>
      <c r="DZ20" s="11">
        <f>IF(預測IC!DZ20&gt;預測IC!DZ$25,1,0)</f>
        <v>0</v>
      </c>
      <c r="EA20" s="11">
        <f>IF(預測IC!EA20&gt;預測IC!EA$25,1,0)</f>
        <v>1</v>
      </c>
      <c r="EB20" s="11">
        <f>IF(預測IC!EB20&gt;預測IC!EB$25,1,0)</f>
        <v>0</v>
      </c>
      <c r="EC20" s="11">
        <f>IF(預測IC!EC20&gt;預測IC!EC$25,1,0)</f>
        <v>1</v>
      </c>
      <c r="ED20" s="11">
        <f>IF(預測IC!ED20&gt;預測IC!ED$25,1,0)</f>
        <v>0</v>
      </c>
      <c r="EE20" s="11">
        <f>IF(預測IC!EE20&gt;預測IC!EE$25,1,0)</f>
        <v>0</v>
      </c>
      <c r="EF20" s="11">
        <f>IF(預測IC!EF20&gt;預測IC!EF$25,1,0)</f>
        <v>1</v>
      </c>
      <c r="EG20" s="1">
        <f t="shared" si="6"/>
        <v>71</v>
      </c>
      <c r="EH20" s="58">
        <f t="shared" si="7"/>
        <v>0.52985074626865669</v>
      </c>
    </row>
    <row r="21" spans="1:138" ht="16">
      <c r="A21" s="6">
        <v>241</v>
      </c>
      <c r="B21" s="6">
        <v>4</v>
      </c>
      <c r="C21" s="11">
        <f>IF(預測IC!C21&gt;預測IC!C$25,1,0)</f>
        <v>0</v>
      </c>
      <c r="D21" s="11">
        <f>IF(預測IC!D21&gt;預測IC!D$25,1,0)</f>
        <v>0</v>
      </c>
      <c r="E21" s="11">
        <f>IF(預測IC!E21&gt;預測IC!E$25,1,0)</f>
        <v>0</v>
      </c>
      <c r="F21" s="11">
        <f>IF(預測IC!F21&gt;預測IC!F$25,1,0)</f>
        <v>0</v>
      </c>
      <c r="G21" s="11">
        <f>IF(預測IC!G21&gt;預測IC!G$25,1,0)</f>
        <v>0</v>
      </c>
      <c r="H21" s="11">
        <f>IF(預測IC!H21&gt;預測IC!H$25,1,0)</f>
        <v>0</v>
      </c>
      <c r="I21" s="11">
        <f>IF(預測IC!I21&gt;預測IC!I$25,1,0)</f>
        <v>1</v>
      </c>
      <c r="J21" s="11">
        <f>IF(預測IC!J21&gt;預測IC!J$25,1,0)</f>
        <v>1</v>
      </c>
      <c r="K21" s="11">
        <f>IF(預測IC!K21&gt;預測IC!K$25,1,0)</f>
        <v>1</v>
      </c>
      <c r="L21" s="11">
        <f>IF(預測IC!L21&gt;預測IC!L$25,1,0)</f>
        <v>1</v>
      </c>
      <c r="M21" s="11">
        <f>IF(預測IC!M21&gt;預測IC!M$25,1,0)</f>
        <v>0</v>
      </c>
      <c r="N21" s="11">
        <f>IF(預測IC!N21&gt;預測IC!N$25,1,0)</f>
        <v>1</v>
      </c>
      <c r="O21" s="11">
        <f>IF(預測IC!O21&gt;預測IC!O$25,1,0)</f>
        <v>1</v>
      </c>
      <c r="P21" s="11">
        <f>IF(預測IC!P21&gt;預測IC!P$25,1,0)</f>
        <v>1</v>
      </c>
      <c r="Q21" s="11">
        <f>IF(預測IC!Q21&gt;預測IC!Q$25,1,0)</f>
        <v>1</v>
      </c>
      <c r="R21" s="11">
        <f>IF(預測IC!R21&gt;預測IC!R$25,1,0)</f>
        <v>0</v>
      </c>
      <c r="S21" s="11">
        <f>IF(預測IC!S21&gt;預測IC!S$25,1,0)</f>
        <v>1</v>
      </c>
      <c r="T21" s="11">
        <f>IF(預測IC!T21&gt;預測IC!T$25,1,0)</f>
        <v>1</v>
      </c>
      <c r="U21" s="11">
        <f>IF(預測IC!U21&gt;預測IC!U$25,1,0)</f>
        <v>1</v>
      </c>
      <c r="V21" s="11">
        <f>IF(預測IC!V21&gt;預測IC!V$25,1,0)</f>
        <v>1</v>
      </c>
      <c r="W21" s="11">
        <f>IF(預測IC!W21&gt;預測IC!W$25,1,0)</f>
        <v>1</v>
      </c>
      <c r="X21" s="11">
        <f>IF(預測IC!X21&gt;預測IC!X$25,1,0)</f>
        <v>0</v>
      </c>
      <c r="Y21" s="11">
        <f>IF(預測IC!Y21&gt;預測IC!Y$25,1,0)</f>
        <v>1</v>
      </c>
      <c r="Z21" s="11">
        <f>IF(預測IC!Z21&gt;預測IC!Z$25,1,0)</f>
        <v>1</v>
      </c>
      <c r="AA21" s="11">
        <f>IF(預測IC!AA21&gt;預測IC!AA$25,1,0)</f>
        <v>1</v>
      </c>
      <c r="AB21" s="11">
        <f>IF(預測IC!AB21&gt;預測IC!AB$25,1,0)</f>
        <v>1</v>
      </c>
      <c r="AC21" s="11">
        <f>IF(預測IC!AC21&gt;預測IC!AC$25,1,0)</f>
        <v>1</v>
      </c>
      <c r="AD21" s="11">
        <f>IF(預測IC!AD21&gt;預測IC!AD$25,1,0)</f>
        <v>1</v>
      </c>
      <c r="AE21" s="11">
        <f>IF(預測IC!AE21&gt;預測IC!AE$25,1,0)</f>
        <v>0</v>
      </c>
      <c r="AF21" s="11">
        <f>IF(預測IC!AF21&gt;預測IC!AF$25,1,0)</f>
        <v>0</v>
      </c>
      <c r="AG21" s="11">
        <f>IF(預測IC!AG21&gt;預測IC!AG$25,1,0)</f>
        <v>1</v>
      </c>
      <c r="AH21" s="11">
        <f>IF(預測IC!AH21&gt;預測IC!AH$25,1,0)</f>
        <v>0</v>
      </c>
      <c r="AI21" s="11">
        <f>IF(預測IC!AI21&gt;預測IC!AI$25,1,0)</f>
        <v>1</v>
      </c>
      <c r="AJ21" s="11">
        <f>IF(預測IC!AJ21&gt;預測IC!AJ$25,1,0)</f>
        <v>0</v>
      </c>
      <c r="AK21" s="11">
        <f>IF(預測IC!AK21&gt;預測IC!AK$25,1,0)</f>
        <v>1</v>
      </c>
      <c r="AL21" s="11">
        <f>IF(預測IC!AL21&gt;預測IC!AL$25,1,0)</f>
        <v>0</v>
      </c>
      <c r="AM21" s="11">
        <f>IF(預測IC!AM21&gt;預測IC!AM$25,1,0)</f>
        <v>1</v>
      </c>
      <c r="AN21" s="11">
        <f>IF(預測IC!AN21&gt;預測IC!AN$25,1,0)</f>
        <v>1</v>
      </c>
      <c r="AO21" s="11">
        <f>IF(預測IC!AO21&gt;預測IC!AO$25,1,0)</f>
        <v>1</v>
      </c>
      <c r="AP21" s="11">
        <f>IF(預測IC!AP21&gt;預測IC!AP$25,1,0)</f>
        <v>0</v>
      </c>
      <c r="AQ21" s="11">
        <f>IF(預測IC!AQ21&gt;預測IC!AQ$25,1,0)</f>
        <v>1</v>
      </c>
      <c r="AR21" s="11">
        <f>IF(預測IC!AR21&gt;預測IC!AR$25,1,0)</f>
        <v>1</v>
      </c>
      <c r="AS21" s="11">
        <f>IF(預測IC!AS21&gt;預測IC!AS$25,1,0)</f>
        <v>1</v>
      </c>
      <c r="AT21" s="11">
        <f>IF(預測IC!AT21&gt;預測IC!AT$25,1,0)</f>
        <v>0</v>
      </c>
      <c r="AU21" s="11">
        <f>IF(預測IC!AU21&gt;預測IC!AU$25,1,0)</f>
        <v>1</v>
      </c>
      <c r="AV21" s="11">
        <f>IF(預測IC!AV21&gt;預測IC!AV$25,1,0)</f>
        <v>0</v>
      </c>
      <c r="AW21" s="11">
        <f>IF(預測IC!AW21&gt;預測IC!AW$25,1,0)</f>
        <v>1</v>
      </c>
      <c r="AX21" s="11">
        <f>IF(預測IC!AX21&gt;預測IC!AX$25,1,0)</f>
        <v>0</v>
      </c>
      <c r="AY21" s="11">
        <f>IF(預測IC!AY21&gt;預測IC!AY$25,1,0)</f>
        <v>1</v>
      </c>
      <c r="AZ21" s="11">
        <f>IF(預測IC!AZ21&gt;預測IC!AZ$25,1,0)</f>
        <v>0</v>
      </c>
      <c r="BA21" s="11">
        <f>IF(預測IC!BA21&gt;預測IC!BA$25,1,0)</f>
        <v>0</v>
      </c>
      <c r="BB21" s="11">
        <f>IF(預測IC!BB21&gt;預測IC!BB$25,1,0)</f>
        <v>1</v>
      </c>
      <c r="BC21" s="11">
        <f>IF(預測IC!BC21&gt;預測IC!BC$25,1,0)</f>
        <v>1</v>
      </c>
      <c r="BD21" s="11">
        <f>IF(預測IC!BD21&gt;預測IC!BD$25,1,0)</f>
        <v>0</v>
      </c>
      <c r="BE21" s="11">
        <f>IF(預測IC!BE21&gt;預測IC!BE$25,1,0)</f>
        <v>0</v>
      </c>
      <c r="BF21" s="11">
        <f>IF(預測IC!BF21&gt;預測IC!BF$25,1,0)</f>
        <v>1</v>
      </c>
      <c r="BG21" s="11">
        <f>IF(預測IC!BG21&gt;預測IC!BG$25,1,0)</f>
        <v>0</v>
      </c>
      <c r="BH21" s="11">
        <f>IF(預測IC!BH21&gt;預測IC!BH$25,1,0)</f>
        <v>1</v>
      </c>
      <c r="BI21" s="11">
        <f>IF(預測IC!BI21&gt;預測IC!BI$25,1,0)</f>
        <v>0</v>
      </c>
      <c r="BJ21" s="11">
        <f>IF(預測IC!BJ21&gt;預測IC!BJ$25,1,0)</f>
        <v>0</v>
      </c>
      <c r="BK21" s="11">
        <f>IF(預測IC!BK21&gt;預測IC!BK$25,1,0)</f>
        <v>0</v>
      </c>
      <c r="BL21" s="11">
        <f>IF(預測IC!BL21&gt;預測IC!BL$25,1,0)</f>
        <v>1</v>
      </c>
      <c r="BM21" s="11">
        <f>IF(預測IC!BM21&gt;預測IC!BM$25,1,0)</f>
        <v>1</v>
      </c>
      <c r="BN21" s="11">
        <f>IF(預測IC!BN21&gt;預測IC!BN$25,1,0)</f>
        <v>0</v>
      </c>
      <c r="BO21" s="11">
        <f>IF(預測IC!BO21&gt;預測IC!BO$25,1,0)</f>
        <v>1</v>
      </c>
      <c r="BP21" s="11">
        <f>IF(預測IC!BP21&gt;預測IC!BP$25,1,0)</f>
        <v>1</v>
      </c>
      <c r="BQ21" s="11">
        <f>IF(預測IC!BQ21&gt;預測IC!BQ$25,1,0)</f>
        <v>1</v>
      </c>
      <c r="BR21" s="11">
        <f>IF(預測IC!BR21&gt;預測IC!BR$25,1,0)</f>
        <v>1</v>
      </c>
      <c r="BS21" s="11">
        <f>IF(預測IC!BS21&gt;預測IC!BS$25,1,0)</f>
        <v>0</v>
      </c>
      <c r="BT21" s="11">
        <f>IF(預測IC!BT21&gt;預測IC!BT$25,1,0)</f>
        <v>0</v>
      </c>
      <c r="BU21" s="11">
        <f>IF(預測IC!BU21&gt;預測IC!BU$25,1,0)</f>
        <v>1</v>
      </c>
      <c r="BV21" s="11">
        <f>IF(預測IC!BV21&gt;預測IC!BV$25,1,0)</f>
        <v>1</v>
      </c>
      <c r="BW21" s="11">
        <f>IF(預測IC!BW21&gt;預測IC!BW$25,1,0)</f>
        <v>0</v>
      </c>
      <c r="BX21" s="11">
        <f>IF(預測IC!BX21&gt;預測IC!BX$25,1,0)</f>
        <v>1</v>
      </c>
      <c r="BY21" s="11">
        <f>IF(預測IC!BY21&gt;預測IC!BY$25,1,0)</f>
        <v>1</v>
      </c>
      <c r="BZ21" s="11">
        <f>IF(預測IC!BZ21&gt;預測IC!BZ$25,1,0)</f>
        <v>0</v>
      </c>
      <c r="CA21" s="11">
        <f>IF(預測IC!CA21&gt;預測IC!CA$25,1,0)</f>
        <v>0</v>
      </c>
      <c r="CB21" s="11">
        <f>IF(預測IC!CB21&gt;預測IC!CB$25,1,0)</f>
        <v>0</v>
      </c>
      <c r="CC21" s="11">
        <f>IF(預測IC!CC21&gt;預測IC!CC$25,1,0)</f>
        <v>0</v>
      </c>
      <c r="CD21" s="11">
        <f>IF(預測IC!CD21&gt;預測IC!CD$25,1,0)</f>
        <v>1</v>
      </c>
      <c r="CE21" s="11">
        <f>IF(預測IC!CE21&gt;預測IC!CE$25,1,0)</f>
        <v>1</v>
      </c>
      <c r="CF21" s="11">
        <f>IF(預測IC!CF21&gt;預測IC!CF$25,1,0)</f>
        <v>1</v>
      </c>
      <c r="CG21" s="11">
        <f>IF(預測IC!CG21&gt;預測IC!CG$25,1,0)</f>
        <v>0</v>
      </c>
      <c r="CH21" s="11">
        <f>IF(預測IC!CH21&gt;預測IC!CH$25,1,0)</f>
        <v>0</v>
      </c>
      <c r="CI21" s="11">
        <f>IF(預測IC!CI21&gt;預測IC!CI$25,1,0)</f>
        <v>0</v>
      </c>
      <c r="CJ21" s="11">
        <f>IF(預測IC!CJ21&gt;預測IC!CJ$25,1,0)</f>
        <v>0</v>
      </c>
      <c r="CK21" s="11">
        <f>IF(預測IC!CK21&gt;預測IC!CK$25,1,0)</f>
        <v>1</v>
      </c>
      <c r="CL21" s="11">
        <f>IF(預測IC!CL21&gt;預測IC!CL$25,1,0)</f>
        <v>1</v>
      </c>
      <c r="CM21" s="11">
        <f>IF(預測IC!CM21&gt;預測IC!CM$25,1,0)</f>
        <v>1</v>
      </c>
      <c r="CN21" s="11">
        <f>IF(預測IC!CN21&gt;預測IC!CN$25,1,0)</f>
        <v>0</v>
      </c>
      <c r="CO21" s="11">
        <f>IF(預測IC!CO21&gt;預測IC!CO$25,1,0)</f>
        <v>0</v>
      </c>
      <c r="CP21" s="11">
        <f>IF(預測IC!CP21&gt;預測IC!CP$25,1,0)</f>
        <v>0</v>
      </c>
      <c r="CQ21" s="11">
        <f>IF(預測IC!CQ21&gt;預測IC!CQ$25,1,0)</f>
        <v>1</v>
      </c>
      <c r="CR21" s="11">
        <f>IF(預測IC!CR21&gt;預測IC!CR$25,1,0)</f>
        <v>0</v>
      </c>
      <c r="CS21" s="11">
        <f>IF(預測IC!CS21&gt;預測IC!CS$25,1,0)</f>
        <v>1</v>
      </c>
      <c r="CT21" s="11">
        <f>IF(預測IC!CT21&gt;預測IC!CT$25,1,0)</f>
        <v>1</v>
      </c>
      <c r="CU21" s="11">
        <f>IF(預測IC!CU21&gt;預測IC!CU$25,1,0)</f>
        <v>0</v>
      </c>
      <c r="CV21" s="11">
        <f>IF(預測IC!CV21&gt;預測IC!CV$25,1,0)</f>
        <v>1</v>
      </c>
      <c r="CW21" s="11">
        <f>IF(預測IC!CW21&gt;預測IC!CW$25,1,0)</f>
        <v>0</v>
      </c>
      <c r="CX21" s="11">
        <f>IF(預測IC!CX21&gt;預測IC!CX$25,1,0)</f>
        <v>1</v>
      </c>
      <c r="CY21" s="11">
        <f>IF(預測IC!CY21&gt;預測IC!CY$25,1,0)</f>
        <v>0</v>
      </c>
      <c r="CZ21" s="11">
        <f>IF(預測IC!CZ21&gt;預測IC!CZ$25,1,0)</f>
        <v>1</v>
      </c>
      <c r="DA21" s="11">
        <f>IF(預測IC!DA21&gt;預測IC!DA$25,1,0)</f>
        <v>0</v>
      </c>
      <c r="DB21" s="11">
        <f>IF(預測IC!DB21&gt;預測IC!DB$25,1,0)</f>
        <v>1</v>
      </c>
      <c r="DC21" s="11">
        <f>IF(預測IC!DC21&gt;預測IC!DC$25,1,0)</f>
        <v>1</v>
      </c>
      <c r="DD21" s="11">
        <f>IF(預測IC!DD21&gt;預測IC!DD$25,1,0)</f>
        <v>0</v>
      </c>
      <c r="DE21" s="11">
        <f>IF(預測IC!DE21&gt;預測IC!DE$25,1,0)</f>
        <v>0</v>
      </c>
      <c r="DF21" s="11">
        <f>IF(預測IC!DF21&gt;預測IC!DF$25,1,0)</f>
        <v>1</v>
      </c>
      <c r="DG21" s="11">
        <f>IF(預測IC!DG21&gt;預測IC!DG$25,1,0)</f>
        <v>0</v>
      </c>
      <c r="DH21" s="11">
        <f>IF(預測IC!DH21&gt;預測IC!DH$25,1,0)</f>
        <v>0</v>
      </c>
      <c r="DI21" s="11">
        <f>IF(預測IC!DI21&gt;預測IC!DI$25,1,0)</f>
        <v>1</v>
      </c>
      <c r="DJ21" s="11">
        <f>IF(預測IC!DJ21&gt;預測IC!DJ$25,1,0)</f>
        <v>0</v>
      </c>
      <c r="DK21" s="11">
        <f>IF(預測IC!DK21&gt;預測IC!DK$25,1,0)</f>
        <v>1</v>
      </c>
      <c r="DL21" s="11">
        <f>IF(預測IC!DL21&gt;預測IC!DL$25,1,0)</f>
        <v>1</v>
      </c>
      <c r="DM21" s="11">
        <f>IF(預測IC!DM21&gt;預測IC!DM$25,1,0)</f>
        <v>0</v>
      </c>
      <c r="DN21" s="11">
        <f>IF(預測IC!DN21&gt;預測IC!DN$25,1,0)</f>
        <v>1</v>
      </c>
      <c r="DO21" s="11">
        <f>IF(預測IC!DO21&gt;預測IC!DO$25,1,0)</f>
        <v>1</v>
      </c>
      <c r="DP21" s="11">
        <f>IF(預測IC!DP21&gt;預測IC!DP$25,1,0)</f>
        <v>1</v>
      </c>
      <c r="DQ21" s="11">
        <f>IF(預測IC!DQ21&gt;預測IC!DQ$25,1,0)</f>
        <v>0</v>
      </c>
      <c r="DR21" s="11">
        <f>IF(預測IC!DR21&gt;預測IC!DR$25,1,0)</f>
        <v>1</v>
      </c>
      <c r="DS21" s="11">
        <f>IF(預測IC!DS21&gt;預測IC!DS$25,1,0)</f>
        <v>1</v>
      </c>
      <c r="DT21" s="11">
        <f>IF(預測IC!DT21&gt;預測IC!DT$25,1,0)</f>
        <v>0</v>
      </c>
      <c r="DU21" s="11">
        <f>IF(預測IC!DU21&gt;預測IC!DU$25,1,0)</f>
        <v>0</v>
      </c>
      <c r="DV21" s="11">
        <f>IF(預測IC!DV21&gt;預測IC!DV$25,1,0)</f>
        <v>1</v>
      </c>
      <c r="DW21" s="11">
        <f>IF(預測IC!DW21&gt;預測IC!DW$25,1,0)</f>
        <v>1</v>
      </c>
      <c r="DX21" s="11">
        <f>IF(預測IC!DX21&gt;預測IC!DX$25,1,0)</f>
        <v>0</v>
      </c>
      <c r="DY21" s="11">
        <f>IF(預測IC!DY21&gt;預測IC!DY$25,1,0)</f>
        <v>1</v>
      </c>
      <c r="DZ21" s="11">
        <f>IF(預測IC!DZ21&gt;預測IC!DZ$25,1,0)</f>
        <v>0</v>
      </c>
      <c r="EA21" s="11">
        <f>IF(預測IC!EA21&gt;預測IC!EA$25,1,0)</f>
        <v>0</v>
      </c>
      <c r="EB21" s="11">
        <f>IF(預測IC!EB21&gt;預測IC!EB$25,1,0)</f>
        <v>0</v>
      </c>
      <c r="EC21" s="11">
        <f>IF(預測IC!EC21&gt;預測IC!EC$25,1,0)</f>
        <v>1</v>
      </c>
      <c r="ED21" s="11">
        <f>IF(預測IC!ED21&gt;預測IC!ED$25,1,0)</f>
        <v>0</v>
      </c>
      <c r="EE21" s="11">
        <f>IF(預測IC!EE21&gt;預測IC!EE$25,1,0)</f>
        <v>1</v>
      </c>
      <c r="EF21" s="11">
        <f>IF(預測IC!EF21&gt;預測IC!EF$25,1,0)</f>
        <v>1</v>
      </c>
      <c r="EG21" s="1">
        <f t="shared" si="6"/>
        <v>74</v>
      </c>
      <c r="EH21" s="58">
        <f t="shared" si="7"/>
        <v>0.55223880597014929</v>
      </c>
    </row>
    <row r="22" spans="1:138" ht="16">
      <c r="A22" s="6">
        <v>321</v>
      </c>
      <c r="B22" s="6">
        <v>3</v>
      </c>
      <c r="C22" s="11">
        <f>IF(預測IC!C22&gt;預測IC!C$25,1,0)</f>
        <v>1</v>
      </c>
      <c r="D22" s="11">
        <f>IF(預測IC!D22&gt;預測IC!D$25,1,0)</f>
        <v>0</v>
      </c>
      <c r="E22" s="11">
        <f>IF(預測IC!E22&gt;預測IC!E$25,1,0)</f>
        <v>0</v>
      </c>
      <c r="F22" s="11">
        <f>IF(預測IC!F22&gt;預測IC!F$25,1,0)</f>
        <v>0</v>
      </c>
      <c r="G22" s="11">
        <f>IF(預測IC!G22&gt;預測IC!G$25,1,0)</f>
        <v>0</v>
      </c>
      <c r="H22" s="11">
        <f>IF(預測IC!H22&gt;預測IC!H$25,1,0)</f>
        <v>0</v>
      </c>
      <c r="I22" s="11">
        <f>IF(預測IC!I22&gt;預測IC!I$25,1,0)</f>
        <v>1</v>
      </c>
      <c r="J22" s="11">
        <f>IF(預測IC!J22&gt;預測IC!J$25,1,0)</f>
        <v>1</v>
      </c>
      <c r="K22" s="11">
        <f>IF(預測IC!K22&gt;預測IC!K$25,1,0)</f>
        <v>1</v>
      </c>
      <c r="L22" s="11">
        <f>IF(預測IC!L22&gt;預測IC!L$25,1,0)</f>
        <v>1</v>
      </c>
      <c r="M22" s="11">
        <f>IF(預測IC!M22&gt;預測IC!M$25,1,0)</f>
        <v>0</v>
      </c>
      <c r="N22" s="11">
        <f>IF(預測IC!N22&gt;預測IC!N$25,1,0)</f>
        <v>1</v>
      </c>
      <c r="O22" s="11">
        <f>IF(預測IC!O22&gt;預測IC!O$25,1,0)</f>
        <v>1</v>
      </c>
      <c r="P22" s="11">
        <f>IF(預測IC!P22&gt;預測IC!P$25,1,0)</f>
        <v>1</v>
      </c>
      <c r="Q22" s="11">
        <f>IF(預測IC!Q22&gt;預測IC!Q$25,1,0)</f>
        <v>1</v>
      </c>
      <c r="R22" s="11">
        <f>IF(預測IC!R22&gt;預測IC!R$25,1,0)</f>
        <v>0</v>
      </c>
      <c r="S22" s="11">
        <f>IF(預測IC!S22&gt;預測IC!S$25,1,0)</f>
        <v>1</v>
      </c>
      <c r="T22" s="11">
        <f>IF(預測IC!T22&gt;預測IC!T$25,1,0)</f>
        <v>0</v>
      </c>
      <c r="U22" s="11">
        <f>IF(預測IC!U22&gt;預測IC!U$25,1,0)</f>
        <v>1</v>
      </c>
      <c r="V22" s="11">
        <f>IF(預測IC!V22&gt;預測IC!V$25,1,0)</f>
        <v>1</v>
      </c>
      <c r="W22" s="11">
        <f>IF(預測IC!W22&gt;預測IC!W$25,1,0)</f>
        <v>1</v>
      </c>
      <c r="X22" s="11">
        <f>IF(預測IC!X22&gt;預測IC!X$25,1,0)</f>
        <v>0</v>
      </c>
      <c r="Y22" s="11">
        <f>IF(預測IC!Y22&gt;預測IC!Y$25,1,0)</f>
        <v>0</v>
      </c>
      <c r="Z22" s="11">
        <f>IF(預測IC!Z22&gt;預測IC!Z$25,1,0)</f>
        <v>1</v>
      </c>
      <c r="AA22" s="11">
        <f>IF(預測IC!AA22&gt;預測IC!AA$25,1,0)</f>
        <v>1</v>
      </c>
      <c r="AB22" s="11">
        <f>IF(預測IC!AB22&gt;預測IC!AB$25,1,0)</f>
        <v>1</v>
      </c>
      <c r="AC22" s="11">
        <f>IF(預測IC!AC22&gt;預測IC!AC$25,1,0)</f>
        <v>1</v>
      </c>
      <c r="AD22" s="11">
        <f>IF(預測IC!AD22&gt;預測IC!AD$25,1,0)</f>
        <v>1</v>
      </c>
      <c r="AE22" s="11">
        <f>IF(預測IC!AE22&gt;預測IC!AE$25,1,0)</f>
        <v>0</v>
      </c>
      <c r="AF22" s="11">
        <f>IF(預測IC!AF22&gt;預測IC!AF$25,1,0)</f>
        <v>0</v>
      </c>
      <c r="AG22" s="11">
        <f>IF(預測IC!AG22&gt;預測IC!AG$25,1,0)</f>
        <v>1</v>
      </c>
      <c r="AH22" s="11">
        <f>IF(預測IC!AH22&gt;預測IC!AH$25,1,0)</f>
        <v>0</v>
      </c>
      <c r="AI22" s="11">
        <f>IF(預測IC!AI22&gt;預測IC!AI$25,1,0)</f>
        <v>1</v>
      </c>
      <c r="AJ22" s="11">
        <f>IF(預測IC!AJ22&gt;預測IC!AJ$25,1,0)</f>
        <v>0</v>
      </c>
      <c r="AK22" s="11">
        <f>IF(預測IC!AK22&gt;預測IC!AK$25,1,0)</f>
        <v>0</v>
      </c>
      <c r="AL22" s="11">
        <f>IF(預測IC!AL22&gt;預測IC!AL$25,1,0)</f>
        <v>1</v>
      </c>
      <c r="AM22" s="11">
        <f>IF(預測IC!AM22&gt;預測IC!AM$25,1,0)</f>
        <v>1</v>
      </c>
      <c r="AN22" s="11">
        <f>IF(預測IC!AN22&gt;預測IC!AN$25,1,0)</f>
        <v>1</v>
      </c>
      <c r="AO22" s="11">
        <f>IF(預測IC!AO22&gt;預測IC!AO$25,1,0)</f>
        <v>1</v>
      </c>
      <c r="AP22" s="11">
        <f>IF(預測IC!AP22&gt;預測IC!AP$25,1,0)</f>
        <v>0</v>
      </c>
      <c r="AQ22" s="11">
        <f>IF(預測IC!AQ22&gt;預測IC!AQ$25,1,0)</f>
        <v>0</v>
      </c>
      <c r="AR22" s="11">
        <f>IF(預測IC!AR22&gt;預測IC!AR$25,1,0)</f>
        <v>1</v>
      </c>
      <c r="AS22" s="11">
        <f>IF(預測IC!AS22&gt;預測IC!AS$25,1,0)</f>
        <v>1</v>
      </c>
      <c r="AT22" s="11">
        <f>IF(預測IC!AT22&gt;預測IC!AT$25,1,0)</f>
        <v>0</v>
      </c>
      <c r="AU22" s="11">
        <f>IF(預測IC!AU22&gt;預測IC!AU$25,1,0)</f>
        <v>1</v>
      </c>
      <c r="AV22" s="11">
        <f>IF(預測IC!AV22&gt;預測IC!AV$25,1,0)</f>
        <v>0</v>
      </c>
      <c r="AW22" s="11">
        <f>IF(預測IC!AW22&gt;預測IC!AW$25,1,0)</f>
        <v>0</v>
      </c>
      <c r="AX22" s="11">
        <f>IF(預測IC!AX22&gt;預測IC!AX$25,1,0)</f>
        <v>0</v>
      </c>
      <c r="AY22" s="11">
        <f>IF(預測IC!AY22&gt;預測IC!AY$25,1,0)</f>
        <v>1</v>
      </c>
      <c r="AZ22" s="11">
        <f>IF(預測IC!AZ22&gt;預測IC!AZ$25,1,0)</f>
        <v>0</v>
      </c>
      <c r="BA22" s="11">
        <f>IF(預測IC!BA22&gt;預測IC!BA$25,1,0)</f>
        <v>0</v>
      </c>
      <c r="BB22" s="11">
        <f>IF(預測IC!BB22&gt;預測IC!BB$25,1,0)</f>
        <v>1</v>
      </c>
      <c r="BC22" s="11">
        <f>IF(預測IC!BC22&gt;預測IC!BC$25,1,0)</f>
        <v>0</v>
      </c>
      <c r="BD22" s="11">
        <f>IF(預測IC!BD22&gt;預測IC!BD$25,1,0)</f>
        <v>1</v>
      </c>
      <c r="BE22" s="11">
        <f>IF(預測IC!BE22&gt;預測IC!BE$25,1,0)</f>
        <v>0</v>
      </c>
      <c r="BF22" s="11">
        <f>IF(預測IC!BF22&gt;預測IC!BF$25,1,0)</f>
        <v>1</v>
      </c>
      <c r="BG22" s="11">
        <f>IF(預測IC!BG22&gt;預測IC!BG$25,1,0)</f>
        <v>1</v>
      </c>
      <c r="BH22" s="11">
        <f>IF(預測IC!BH22&gt;預測IC!BH$25,1,0)</f>
        <v>0</v>
      </c>
      <c r="BI22" s="11">
        <f>IF(預測IC!BI22&gt;預測IC!BI$25,1,0)</f>
        <v>0</v>
      </c>
      <c r="BJ22" s="11">
        <f>IF(預測IC!BJ22&gt;預測IC!BJ$25,1,0)</f>
        <v>0</v>
      </c>
      <c r="BK22" s="11">
        <f>IF(預測IC!BK22&gt;預測IC!BK$25,1,0)</f>
        <v>0</v>
      </c>
      <c r="BL22" s="11">
        <f>IF(預測IC!BL22&gt;預測IC!BL$25,1,0)</f>
        <v>1</v>
      </c>
      <c r="BM22" s="11">
        <f>IF(預測IC!BM22&gt;預測IC!BM$25,1,0)</f>
        <v>1</v>
      </c>
      <c r="BN22" s="11">
        <f>IF(預測IC!BN22&gt;預測IC!BN$25,1,0)</f>
        <v>0</v>
      </c>
      <c r="BO22" s="11">
        <f>IF(預測IC!BO22&gt;預測IC!BO$25,1,0)</f>
        <v>1</v>
      </c>
      <c r="BP22" s="11">
        <f>IF(預測IC!BP22&gt;預測IC!BP$25,1,0)</f>
        <v>1</v>
      </c>
      <c r="BQ22" s="11">
        <f>IF(預測IC!BQ22&gt;預測IC!BQ$25,1,0)</f>
        <v>1</v>
      </c>
      <c r="BR22" s="11">
        <f>IF(預測IC!BR22&gt;預測IC!BR$25,1,0)</f>
        <v>1</v>
      </c>
      <c r="BS22" s="11">
        <f>IF(預測IC!BS22&gt;預測IC!BS$25,1,0)</f>
        <v>0</v>
      </c>
      <c r="BT22" s="11">
        <f>IF(預測IC!BT22&gt;預測IC!BT$25,1,0)</f>
        <v>1</v>
      </c>
      <c r="BU22" s="11">
        <f>IF(預測IC!BU22&gt;預測IC!BU$25,1,0)</f>
        <v>1</v>
      </c>
      <c r="BV22" s="11">
        <f>IF(預測IC!BV22&gt;預測IC!BV$25,1,0)</f>
        <v>1</v>
      </c>
      <c r="BW22" s="11">
        <f>IF(預測IC!BW22&gt;預測IC!BW$25,1,0)</f>
        <v>0</v>
      </c>
      <c r="BX22" s="11">
        <f>IF(預測IC!BX22&gt;預測IC!BX$25,1,0)</f>
        <v>1</v>
      </c>
      <c r="BY22" s="11">
        <f>IF(預測IC!BY22&gt;預測IC!BY$25,1,0)</f>
        <v>1</v>
      </c>
      <c r="BZ22" s="11">
        <f>IF(預測IC!BZ22&gt;預測IC!BZ$25,1,0)</f>
        <v>0</v>
      </c>
      <c r="CA22" s="11">
        <f>IF(預測IC!CA22&gt;預測IC!CA$25,1,0)</f>
        <v>0</v>
      </c>
      <c r="CB22" s="11">
        <f>IF(預測IC!CB22&gt;預測IC!CB$25,1,0)</f>
        <v>0</v>
      </c>
      <c r="CC22" s="11">
        <f>IF(預測IC!CC22&gt;預測IC!CC$25,1,0)</f>
        <v>0</v>
      </c>
      <c r="CD22" s="11">
        <f>IF(預測IC!CD22&gt;預測IC!CD$25,1,0)</f>
        <v>1</v>
      </c>
      <c r="CE22" s="11">
        <f>IF(預測IC!CE22&gt;預測IC!CE$25,1,0)</f>
        <v>1</v>
      </c>
      <c r="CF22" s="11">
        <f>IF(預測IC!CF22&gt;預測IC!CF$25,1,0)</f>
        <v>1</v>
      </c>
      <c r="CG22" s="11">
        <f>IF(預測IC!CG22&gt;預測IC!CG$25,1,0)</f>
        <v>0</v>
      </c>
      <c r="CH22" s="11">
        <f>IF(預測IC!CH22&gt;預測IC!CH$25,1,0)</f>
        <v>0</v>
      </c>
      <c r="CI22" s="11">
        <f>IF(預測IC!CI22&gt;預測IC!CI$25,1,0)</f>
        <v>0</v>
      </c>
      <c r="CJ22" s="11">
        <f>IF(預測IC!CJ22&gt;預測IC!CJ$25,1,0)</f>
        <v>0</v>
      </c>
      <c r="CK22" s="11">
        <f>IF(預測IC!CK22&gt;預測IC!CK$25,1,0)</f>
        <v>1</v>
      </c>
      <c r="CL22" s="11">
        <f>IF(預測IC!CL22&gt;預測IC!CL$25,1,0)</f>
        <v>1</v>
      </c>
      <c r="CM22" s="11">
        <f>IF(預測IC!CM22&gt;預測IC!CM$25,1,0)</f>
        <v>1</v>
      </c>
      <c r="CN22" s="11">
        <f>IF(預測IC!CN22&gt;預測IC!CN$25,1,0)</f>
        <v>0</v>
      </c>
      <c r="CO22" s="11">
        <f>IF(預測IC!CO22&gt;預測IC!CO$25,1,0)</f>
        <v>0</v>
      </c>
      <c r="CP22" s="11">
        <f>IF(預測IC!CP22&gt;預測IC!CP$25,1,0)</f>
        <v>0</v>
      </c>
      <c r="CQ22" s="11">
        <f>IF(預測IC!CQ22&gt;預測IC!CQ$25,1,0)</f>
        <v>1</v>
      </c>
      <c r="CR22" s="11">
        <f>IF(預測IC!CR22&gt;預測IC!CR$25,1,0)</f>
        <v>1</v>
      </c>
      <c r="CS22" s="11">
        <f>IF(預測IC!CS22&gt;預測IC!CS$25,1,0)</f>
        <v>0</v>
      </c>
      <c r="CT22" s="11">
        <f>IF(預測IC!CT22&gt;預測IC!CT$25,1,0)</f>
        <v>1</v>
      </c>
      <c r="CU22" s="11">
        <f>IF(預測IC!CU22&gt;預測IC!CU$25,1,0)</f>
        <v>0</v>
      </c>
      <c r="CV22" s="11">
        <f>IF(預測IC!CV22&gt;預測IC!CV$25,1,0)</f>
        <v>1</v>
      </c>
      <c r="CW22" s="11">
        <f>IF(預測IC!CW22&gt;預測IC!CW$25,1,0)</f>
        <v>0</v>
      </c>
      <c r="CX22" s="11">
        <f>IF(預測IC!CX22&gt;預測IC!CX$25,1,0)</f>
        <v>1</v>
      </c>
      <c r="CY22" s="11">
        <f>IF(預測IC!CY22&gt;預測IC!CY$25,1,0)</f>
        <v>0</v>
      </c>
      <c r="CZ22" s="11">
        <f>IF(預測IC!CZ22&gt;預測IC!CZ$25,1,0)</f>
        <v>1</v>
      </c>
      <c r="DA22" s="11">
        <f>IF(預測IC!DA22&gt;預測IC!DA$25,1,0)</f>
        <v>0</v>
      </c>
      <c r="DB22" s="11">
        <f>IF(預測IC!DB22&gt;預測IC!DB$25,1,0)</f>
        <v>1</v>
      </c>
      <c r="DC22" s="11">
        <f>IF(預測IC!DC22&gt;預測IC!DC$25,1,0)</f>
        <v>1</v>
      </c>
      <c r="DD22" s="11">
        <f>IF(預測IC!DD22&gt;預測IC!DD$25,1,0)</f>
        <v>1</v>
      </c>
      <c r="DE22" s="11">
        <f>IF(預測IC!DE22&gt;預測IC!DE$25,1,0)</f>
        <v>0</v>
      </c>
      <c r="DF22" s="11">
        <f>IF(預測IC!DF22&gt;預測IC!DF$25,1,0)</f>
        <v>1</v>
      </c>
      <c r="DG22" s="11">
        <f>IF(預測IC!DG22&gt;預測IC!DG$25,1,0)</f>
        <v>0</v>
      </c>
      <c r="DH22" s="11">
        <f>IF(預測IC!DH22&gt;預測IC!DH$25,1,0)</f>
        <v>0</v>
      </c>
      <c r="DI22" s="11">
        <f>IF(預測IC!DI22&gt;預測IC!DI$25,1,0)</f>
        <v>1</v>
      </c>
      <c r="DJ22" s="11">
        <f>IF(預測IC!DJ22&gt;預測IC!DJ$25,1,0)</f>
        <v>0</v>
      </c>
      <c r="DK22" s="11">
        <f>IF(預測IC!DK22&gt;預測IC!DK$25,1,0)</f>
        <v>1</v>
      </c>
      <c r="DL22" s="11">
        <f>IF(預測IC!DL22&gt;預測IC!DL$25,1,0)</f>
        <v>1</v>
      </c>
      <c r="DM22" s="11">
        <f>IF(預測IC!DM22&gt;預測IC!DM$25,1,0)</f>
        <v>0</v>
      </c>
      <c r="DN22" s="11">
        <f>IF(預測IC!DN22&gt;預測IC!DN$25,1,0)</f>
        <v>1</v>
      </c>
      <c r="DO22" s="11">
        <f>IF(預測IC!DO22&gt;預測IC!DO$25,1,0)</f>
        <v>1</v>
      </c>
      <c r="DP22" s="11">
        <f>IF(預測IC!DP22&gt;預測IC!DP$25,1,0)</f>
        <v>1</v>
      </c>
      <c r="DQ22" s="11">
        <f>IF(預測IC!DQ22&gt;預測IC!DQ$25,1,0)</f>
        <v>0</v>
      </c>
      <c r="DR22" s="11">
        <f>IF(預測IC!DR22&gt;預測IC!DR$25,1,0)</f>
        <v>0</v>
      </c>
      <c r="DS22" s="11">
        <f>IF(預測IC!DS22&gt;預測IC!DS$25,1,0)</f>
        <v>0</v>
      </c>
      <c r="DT22" s="11">
        <f>IF(預測IC!DT22&gt;預測IC!DT$25,1,0)</f>
        <v>0</v>
      </c>
      <c r="DU22" s="11">
        <f>IF(預測IC!DU22&gt;預測IC!DU$25,1,0)</f>
        <v>0</v>
      </c>
      <c r="DV22" s="11">
        <f>IF(預測IC!DV22&gt;預測IC!DV$25,1,0)</f>
        <v>1</v>
      </c>
      <c r="DW22" s="11">
        <f>IF(預測IC!DW22&gt;預測IC!DW$25,1,0)</f>
        <v>1</v>
      </c>
      <c r="DX22" s="11">
        <f>IF(預測IC!DX22&gt;預測IC!DX$25,1,0)</f>
        <v>0</v>
      </c>
      <c r="DY22" s="11">
        <f>IF(預測IC!DY22&gt;預測IC!DY$25,1,0)</f>
        <v>1</v>
      </c>
      <c r="DZ22" s="11">
        <f>IF(預測IC!DZ22&gt;預測IC!DZ$25,1,0)</f>
        <v>0</v>
      </c>
      <c r="EA22" s="11">
        <f>IF(預測IC!EA22&gt;預測IC!EA$25,1,0)</f>
        <v>0</v>
      </c>
      <c r="EB22" s="11">
        <f>IF(預測IC!EB22&gt;預測IC!EB$25,1,0)</f>
        <v>0</v>
      </c>
      <c r="EC22" s="11">
        <f>IF(預測IC!EC22&gt;預測IC!EC$25,1,0)</f>
        <v>1</v>
      </c>
      <c r="ED22" s="11">
        <f>IF(預測IC!ED22&gt;預測IC!ED$25,1,0)</f>
        <v>0</v>
      </c>
      <c r="EE22" s="11">
        <f>IF(預測IC!EE22&gt;預測IC!EE$25,1,0)</f>
        <v>1</v>
      </c>
      <c r="EF22" s="11">
        <f>IF(預測IC!EF22&gt;預測IC!EF$25,1,0)</f>
        <v>0</v>
      </c>
      <c r="EG22" s="1">
        <f t="shared" si="6"/>
        <v>70</v>
      </c>
      <c r="EH22" s="58">
        <f t="shared" si="7"/>
        <v>0.52238805970149249</v>
      </c>
    </row>
    <row r="23" spans="1:138" ht="16">
      <c r="A23" s="6">
        <v>482</v>
      </c>
      <c r="B23" s="6">
        <v>2</v>
      </c>
      <c r="C23" s="11">
        <f>IF(預測IC!C23&gt;預測IC!C$25,1,0)</f>
        <v>0</v>
      </c>
      <c r="D23" s="11">
        <f>IF(預測IC!D23&gt;預測IC!D$25,1,0)</f>
        <v>0</v>
      </c>
      <c r="E23" s="11">
        <f>IF(預測IC!E23&gt;預測IC!E$25,1,0)</f>
        <v>0</v>
      </c>
      <c r="F23" s="11">
        <f>IF(預測IC!F23&gt;預測IC!F$25,1,0)</f>
        <v>0</v>
      </c>
      <c r="G23" s="11">
        <f>IF(預測IC!G23&gt;預測IC!G$25,1,0)</f>
        <v>0</v>
      </c>
      <c r="H23" s="11">
        <f>IF(預測IC!H23&gt;預測IC!H$25,1,0)</f>
        <v>0</v>
      </c>
      <c r="I23" s="11">
        <f>IF(預測IC!I23&gt;預測IC!I$25,1,0)</f>
        <v>1</v>
      </c>
      <c r="J23" s="11">
        <f>IF(預測IC!J23&gt;預測IC!J$25,1,0)</f>
        <v>0</v>
      </c>
      <c r="K23" s="11">
        <f>IF(預測IC!K23&gt;預測IC!K$25,1,0)</f>
        <v>0</v>
      </c>
      <c r="L23" s="11">
        <f>IF(預測IC!L23&gt;預測IC!L$25,1,0)</f>
        <v>1</v>
      </c>
      <c r="M23" s="11">
        <f>IF(預測IC!M23&gt;預測IC!M$25,1,0)</f>
        <v>0</v>
      </c>
      <c r="N23" s="11">
        <f>IF(預測IC!N23&gt;預測IC!N$25,1,0)</f>
        <v>1</v>
      </c>
      <c r="O23" s="11">
        <f>IF(預測IC!O23&gt;預測IC!O$25,1,0)</f>
        <v>1</v>
      </c>
      <c r="P23" s="11">
        <f>IF(預測IC!P23&gt;預測IC!P$25,1,0)</f>
        <v>1</v>
      </c>
      <c r="Q23" s="11">
        <f>IF(預測IC!Q23&gt;預測IC!Q$25,1,0)</f>
        <v>1</v>
      </c>
      <c r="R23" s="11">
        <f>IF(預測IC!R23&gt;預測IC!R$25,1,0)</f>
        <v>0</v>
      </c>
      <c r="S23" s="11">
        <f>IF(預測IC!S23&gt;預測IC!S$25,1,0)</f>
        <v>1</v>
      </c>
      <c r="T23" s="11">
        <f>IF(預測IC!T23&gt;預測IC!T$25,1,0)</f>
        <v>1</v>
      </c>
      <c r="U23" s="11">
        <f>IF(預測IC!U23&gt;預測IC!U$25,1,0)</f>
        <v>1</v>
      </c>
      <c r="V23" s="11">
        <f>IF(預測IC!V23&gt;預測IC!V$25,1,0)</f>
        <v>1</v>
      </c>
      <c r="W23" s="11">
        <f>IF(預測IC!W23&gt;預測IC!W$25,1,0)</f>
        <v>1</v>
      </c>
      <c r="X23" s="11">
        <f>IF(預測IC!X23&gt;預測IC!X$25,1,0)</f>
        <v>0</v>
      </c>
      <c r="Y23" s="11">
        <f>IF(預測IC!Y23&gt;預測IC!Y$25,1,0)</f>
        <v>0</v>
      </c>
      <c r="Z23" s="11">
        <f>IF(預測IC!Z23&gt;預測IC!Z$25,1,0)</f>
        <v>1</v>
      </c>
      <c r="AA23" s="11">
        <f>IF(預測IC!AA23&gt;預測IC!AA$25,1,0)</f>
        <v>1</v>
      </c>
      <c r="AB23" s="11">
        <f>IF(預測IC!AB23&gt;預測IC!AB$25,1,0)</f>
        <v>1</v>
      </c>
      <c r="AC23" s="11">
        <f>IF(預測IC!AC23&gt;預測IC!AC$25,1,0)</f>
        <v>1</v>
      </c>
      <c r="AD23" s="11">
        <f>IF(預測IC!AD23&gt;預測IC!AD$25,1,0)</f>
        <v>1</v>
      </c>
      <c r="AE23" s="11">
        <f>IF(預測IC!AE23&gt;預測IC!AE$25,1,0)</f>
        <v>0</v>
      </c>
      <c r="AF23" s="11">
        <f>IF(預測IC!AF23&gt;預測IC!AF$25,1,0)</f>
        <v>0</v>
      </c>
      <c r="AG23" s="11">
        <f>IF(預測IC!AG23&gt;預測IC!AG$25,1,0)</f>
        <v>1</v>
      </c>
      <c r="AH23" s="11">
        <f>IF(預測IC!AH23&gt;預測IC!AH$25,1,0)</f>
        <v>0</v>
      </c>
      <c r="AI23" s="11">
        <f>IF(預測IC!AI23&gt;預測IC!AI$25,1,0)</f>
        <v>1</v>
      </c>
      <c r="AJ23" s="11">
        <f>IF(預測IC!AJ23&gt;預測IC!AJ$25,1,0)</f>
        <v>1</v>
      </c>
      <c r="AK23" s="11">
        <f>IF(預測IC!AK23&gt;預測IC!AK$25,1,0)</f>
        <v>1</v>
      </c>
      <c r="AL23" s="11">
        <f>IF(預測IC!AL23&gt;預測IC!AL$25,1,0)</f>
        <v>1</v>
      </c>
      <c r="AM23" s="11">
        <f>IF(預測IC!AM23&gt;預測IC!AM$25,1,0)</f>
        <v>0</v>
      </c>
      <c r="AN23" s="11">
        <f>IF(預測IC!AN23&gt;預測IC!AN$25,1,0)</f>
        <v>1</v>
      </c>
      <c r="AO23" s="11">
        <f>IF(預測IC!AO23&gt;預測IC!AO$25,1,0)</f>
        <v>0</v>
      </c>
      <c r="AP23" s="11">
        <f>IF(預測IC!AP23&gt;預測IC!AP$25,1,0)</f>
        <v>0</v>
      </c>
      <c r="AQ23" s="11">
        <f>IF(預測IC!AQ23&gt;預測IC!AQ$25,1,0)</f>
        <v>1</v>
      </c>
      <c r="AR23" s="11">
        <f>IF(預測IC!AR23&gt;預測IC!AR$25,1,0)</f>
        <v>1</v>
      </c>
      <c r="AS23" s="11">
        <f>IF(預測IC!AS23&gt;預測IC!AS$25,1,0)</f>
        <v>0</v>
      </c>
      <c r="AT23" s="11">
        <f>IF(預測IC!AT23&gt;預測IC!AT$25,1,0)</f>
        <v>0</v>
      </c>
      <c r="AU23" s="11">
        <f>IF(預測IC!AU23&gt;預測IC!AU$25,1,0)</f>
        <v>1</v>
      </c>
      <c r="AV23" s="11">
        <f>IF(預測IC!AV23&gt;預測IC!AV$25,1,0)</f>
        <v>0</v>
      </c>
      <c r="AW23" s="11">
        <f>IF(預測IC!AW23&gt;預測IC!AW$25,1,0)</f>
        <v>0</v>
      </c>
      <c r="AX23" s="11">
        <f>IF(預測IC!AX23&gt;預測IC!AX$25,1,0)</f>
        <v>0</v>
      </c>
      <c r="AY23" s="11">
        <f>IF(預測IC!AY23&gt;預測IC!AY$25,1,0)</f>
        <v>1</v>
      </c>
      <c r="AZ23" s="11">
        <f>IF(預測IC!AZ23&gt;預測IC!AZ$25,1,0)</f>
        <v>0</v>
      </c>
      <c r="BA23" s="11">
        <f>IF(預測IC!BA23&gt;預測IC!BA$25,1,0)</f>
        <v>1</v>
      </c>
      <c r="BB23" s="11">
        <f>IF(預測IC!BB23&gt;預測IC!BB$25,1,0)</f>
        <v>1</v>
      </c>
      <c r="BC23" s="11">
        <f>IF(預測IC!BC23&gt;預測IC!BC$25,1,0)</f>
        <v>0</v>
      </c>
      <c r="BD23" s="11">
        <f>IF(預測IC!BD23&gt;預測IC!BD$25,1,0)</f>
        <v>1</v>
      </c>
      <c r="BE23" s="11">
        <f>IF(預測IC!BE23&gt;預測IC!BE$25,1,0)</f>
        <v>0</v>
      </c>
      <c r="BF23" s="11">
        <f>IF(預測IC!BF23&gt;預測IC!BF$25,1,0)</f>
        <v>0</v>
      </c>
      <c r="BG23" s="11">
        <f>IF(預測IC!BG23&gt;預測IC!BG$25,1,0)</f>
        <v>0</v>
      </c>
      <c r="BH23" s="11">
        <f>IF(預測IC!BH23&gt;預測IC!BH$25,1,0)</f>
        <v>0</v>
      </c>
      <c r="BI23" s="11">
        <f>IF(預測IC!BI23&gt;預測IC!BI$25,1,0)</f>
        <v>0</v>
      </c>
      <c r="BJ23" s="11">
        <f>IF(預測IC!BJ23&gt;預測IC!BJ$25,1,0)</f>
        <v>0</v>
      </c>
      <c r="BK23" s="11">
        <f>IF(預測IC!BK23&gt;預測IC!BK$25,1,0)</f>
        <v>0</v>
      </c>
      <c r="BL23" s="11">
        <f>IF(預測IC!BL23&gt;預測IC!BL$25,1,0)</f>
        <v>1</v>
      </c>
      <c r="BM23" s="11">
        <f>IF(預測IC!BM23&gt;預測IC!BM$25,1,0)</f>
        <v>1</v>
      </c>
      <c r="BN23" s="11">
        <f>IF(預測IC!BN23&gt;預測IC!BN$25,1,0)</f>
        <v>0</v>
      </c>
      <c r="BO23" s="11">
        <f>IF(預測IC!BO23&gt;預測IC!BO$25,1,0)</f>
        <v>1</v>
      </c>
      <c r="BP23" s="11">
        <f>IF(預測IC!BP23&gt;預測IC!BP$25,1,0)</f>
        <v>1</v>
      </c>
      <c r="BQ23" s="11">
        <f>IF(預測IC!BQ23&gt;預測IC!BQ$25,1,0)</f>
        <v>1</v>
      </c>
      <c r="BR23" s="11">
        <f>IF(預測IC!BR23&gt;預測IC!BR$25,1,0)</f>
        <v>1</v>
      </c>
      <c r="BS23" s="11">
        <f>IF(預測IC!BS23&gt;預測IC!BS$25,1,0)</f>
        <v>0</v>
      </c>
      <c r="BT23" s="11">
        <f>IF(預測IC!BT23&gt;預測IC!BT$25,1,0)</f>
        <v>1</v>
      </c>
      <c r="BU23" s="11">
        <f>IF(預測IC!BU23&gt;預測IC!BU$25,1,0)</f>
        <v>1</v>
      </c>
      <c r="BV23" s="11">
        <f>IF(預測IC!BV23&gt;預測IC!BV$25,1,0)</f>
        <v>1</v>
      </c>
      <c r="BW23" s="11">
        <f>IF(預測IC!BW23&gt;預測IC!BW$25,1,0)</f>
        <v>0</v>
      </c>
      <c r="BX23" s="11">
        <f>IF(預測IC!BX23&gt;預測IC!BX$25,1,0)</f>
        <v>1</v>
      </c>
      <c r="BY23" s="11">
        <f>IF(預測IC!BY23&gt;預測IC!BY$25,1,0)</f>
        <v>1</v>
      </c>
      <c r="BZ23" s="11">
        <f>IF(預測IC!BZ23&gt;預測IC!BZ$25,1,0)</f>
        <v>0</v>
      </c>
      <c r="CA23" s="11">
        <f>IF(預測IC!CA23&gt;預測IC!CA$25,1,0)</f>
        <v>0</v>
      </c>
      <c r="CB23" s="11">
        <f>IF(預測IC!CB23&gt;預測IC!CB$25,1,0)</f>
        <v>0</v>
      </c>
      <c r="CC23" s="11">
        <f>IF(預測IC!CC23&gt;預測IC!CC$25,1,0)</f>
        <v>0</v>
      </c>
      <c r="CD23" s="11">
        <f>IF(預測IC!CD23&gt;預測IC!CD$25,1,0)</f>
        <v>1</v>
      </c>
      <c r="CE23" s="11">
        <f>IF(預測IC!CE23&gt;預測IC!CE$25,1,0)</f>
        <v>1</v>
      </c>
      <c r="CF23" s="11">
        <f>IF(預測IC!CF23&gt;預測IC!CF$25,1,0)</f>
        <v>1</v>
      </c>
      <c r="CG23" s="11">
        <f>IF(預測IC!CG23&gt;預測IC!CG$25,1,0)</f>
        <v>0</v>
      </c>
      <c r="CH23" s="11">
        <f>IF(預測IC!CH23&gt;預測IC!CH$25,1,0)</f>
        <v>0</v>
      </c>
      <c r="CI23" s="11">
        <f>IF(預測IC!CI23&gt;預測IC!CI$25,1,0)</f>
        <v>0</v>
      </c>
      <c r="CJ23" s="11">
        <f>IF(預測IC!CJ23&gt;預測IC!CJ$25,1,0)</f>
        <v>0</v>
      </c>
      <c r="CK23" s="11">
        <f>IF(預測IC!CK23&gt;預測IC!CK$25,1,0)</f>
        <v>1</v>
      </c>
      <c r="CL23" s="11">
        <f>IF(預測IC!CL23&gt;預測IC!CL$25,1,0)</f>
        <v>1</v>
      </c>
      <c r="CM23" s="11">
        <f>IF(預測IC!CM23&gt;預測IC!CM$25,1,0)</f>
        <v>1</v>
      </c>
      <c r="CN23" s="11">
        <f>IF(預測IC!CN23&gt;預測IC!CN$25,1,0)</f>
        <v>1</v>
      </c>
      <c r="CO23" s="11">
        <f>IF(預測IC!CO23&gt;預測IC!CO$25,1,0)</f>
        <v>0</v>
      </c>
      <c r="CP23" s="11">
        <f>IF(預測IC!CP23&gt;預測IC!CP$25,1,0)</f>
        <v>0</v>
      </c>
      <c r="CQ23" s="11">
        <f>IF(預測IC!CQ23&gt;預測IC!CQ$25,1,0)</f>
        <v>1</v>
      </c>
      <c r="CR23" s="11">
        <f>IF(預測IC!CR23&gt;預測IC!CR$25,1,0)</f>
        <v>1</v>
      </c>
      <c r="CS23" s="11">
        <f>IF(預測IC!CS23&gt;預測IC!CS$25,1,0)</f>
        <v>0</v>
      </c>
      <c r="CT23" s="11">
        <f>IF(預測IC!CT23&gt;預測IC!CT$25,1,0)</f>
        <v>1</v>
      </c>
      <c r="CU23" s="11">
        <f>IF(預測IC!CU23&gt;預測IC!CU$25,1,0)</f>
        <v>1</v>
      </c>
      <c r="CV23" s="11">
        <f>IF(預測IC!CV23&gt;預測IC!CV$25,1,0)</f>
        <v>1</v>
      </c>
      <c r="CW23" s="11">
        <f>IF(預測IC!CW23&gt;預測IC!CW$25,1,0)</f>
        <v>1</v>
      </c>
      <c r="CX23" s="11">
        <f>IF(預測IC!CX23&gt;預測IC!CX$25,1,0)</f>
        <v>1</v>
      </c>
      <c r="CY23" s="11">
        <f>IF(預測IC!CY23&gt;預測IC!CY$25,1,0)</f>
        <v>0</v>
      </c>
      <c r="CZ23" s="11">
        <f>IF(預測IC!CZ23&gt;預測IC!CZ$25,1,0)</f>
        <v>1</v>
      </c>
      <c r="DA23" s="11">
        <f>IF(預測IC!DA23&gt;預測IC!DA$25,1,0)</f>
        <v>0</v>
      </c>
      <c r="DB23" s="11">
        <f>IF(預測IC!DB23&gt;預測IC!DB$25,1,0)</f>
        <v>1</v>
      </c>
      <c r="DC23" s="11">
        <f>IF(預測IC!DC23&gt;預測IC!DC$25,1,0)</f>
        <v>1</v>
      </c>
      <c r="DD23" s="11">
        <f>IF(預測IC!DD23&gt;預測IC!DD$25,1,0)</f>
        <v>1</v>
      </c>
      <c r="DE23" s="11">
        <f>IF(預測IC!DE23&gt;預測IC!DE$25,1,0)</f>
        <v>0</v>
      </c>
      <c r="DF23" s="11">
        <f>IF(預測IC!DF23&gt;預測IC!DF$25,1,0)</f>
        <v>1</v>
      </c>
      <c r="DG23" s="11">
        <f>IF(預測IC!DG23&gt;預測IC!DG$25,1,0)</f>
        <v>0</v>
      </c>
      <c r="DH23" s="11">
        <f>IF(預測IC!DH23&gt;預測IC!DH$25,1,0)</f>
        <v>1</v>
      </c>
      <c r="DI23" s="11">
        <f>IF(預測IC!DI23&gt;預測IC!DI$25,1,0)</f>
        <v>1</v>
      </c>
      <c r="DJ23" s="11">
        <f>IF(預測IC!DJ23&gt;預測IC!DJ$25,1,0)</f>
        <v>0</v>
      </c>
      <c r="DK23" s="11">
        <f>IF(預測IC!DK23&gt;預測IC!DK$25,1,0)</f>
        <v>1</v>
      </c>
      <c r="DL23" s="11">
        <f>IF(預測IC!DL23&gt;預測IC!DL$25,1,0)</f>
        <v>0</v>
      </c>
      <c r="DM23" s="11">
        <f>IF(預測IC!DM23&gt;預測IC!DM$25,1,0)</f>
        <v>0</v>
      </c>
      <c r="DN23" s="11">
        <f>IF(預測IC!DN23&gt;預測IC!DN$25,1,0)</f>
        <v>1</v>
      </c>
      <c r="DO23" s="11">
        <f>IF(預測IC!DO23&gt;預測IC!DO$25,1,0)</f>
        <v>1</v>
      </c>
      <c r="DP23" s="11">
        <f>IF(預測IC!DP23&gt;預測IC!DP$25,1,0)</f>
        <v>1</v>
      </c>
      <c r="DQ23" s="11">
        <f>IF(預測IC!DQ23&gt;預測IC!DQ$25,1,0)</f>
        <v>0</v>
      </c>
      <c r="DR23" s="11">
        <f>IF(預測IC!DR23&gt;預測IC!DR$25,1,0)</f>
        <v>0</v>
      </c>
      <c r="DS23" s="11">
        <f>IF(預測IC!DS23&gt;預測IC!DS$25,1,0)</f>
        <v>0</v>
      </c>
      <c r="DT23" s="11">
        <f>IF(預測IC!DT23&gt;預測IC!DT$25,1,0)</f>
        <v>0</v>
      </c>
      <c r="DU23" s="11">
        <f>IF(預測IC!DU23&gt;預測IC!DU$25,1,0)</f>
        <v>0</v>
      </c>
      <c r="DV23" s="11">
        <f>IF(預測IC!DV23&gt;預測IC!DV$25,1,0)</f>
        <v>1</v>
      </c>
      <c r="DW23" s="11">
        <f>IF(預測IC!DW23&gt;預測IC!DW$25,1,0)</f>
        <v>1</v>
      </c>
      <c r="DX23" s="11">
        <f>IF(預測IC!DX23&gt;預測IC!DX$25,1,0)</f>
        <v>0</v>
      </c>
      <c r="DY23" s="11">
        <f>IF(預測IC!DY23&gt;預測IC!DY$25,1,0)</f>
        <v>0</v>
      </c>
      <c r="DZ23" s="11">
        <f>IF(預測IC!DZ23&gt;預測IC!DZ$25,1,0)</f>
        <v>0</v>
      </c>
      <c r="EA23" s="11">
        <f>IF(預測IC!EA23&gt;預測IC!EA$25,1,0)</f>
        <v>0</v>
      </c>
      <c r="EB23" s="11">
        <f>IF(預測IC!EB23&gt;預測IC!EB$25,1,0)</f>
        <v>0</v>
      </c>
      <c r="EC23" s="11">
        <f>IF(預測IC!EC23&gt;預測IC!EC$25,1,0)</f>
        <v>0</v>
      </c>
      <c r="ED23" s="11">
        <f>IF(預測IC!ED23&gt;預測IC!ED$25,1,0)</f>
        <v>0</v>
      </c>
      <c r="EE23" s="11">
        <f>IF(預測IC!EE23&gt;預測IC!EE$25,1,0)</f>
        <v>1</v>
      </c>
      <c r="EF23" s="11">
        <f>IF(預測IC!EF23&gt;預測IC!EF$25,1,0)</f>
        <v>0</v>
      </c>
      <c r="EG23" s="1">
        <f t="shared" si="6"/>
        <v>68</v>
      </c>
      <c r="EH23" s="58">
        <f t="shared" si="7"/>
        <v>0.5074626865671642</v>
      </c>
    </row>
    <row r="24" spans="1:138" ht="16">
      <c r="A24" s="6">
        <v>964</v>
      </c>
      <c r="B24" s="6">
        <v>1</v>
      </c>
      <c r="C24" s="11">
        <f>IF(預測IC!C24&gt;預測IC!C$25,1,0)</f>
        <v>1</v>
      </c>
      <c r="D24" s="11">
        <f>IF(預測IC!D24&gt;預測IC!D$25,1,0)</f>
        <v>0</v>
      </c>
      <c r="E24" s="11">
        <f>IF(預測IC!E24&gt;預測IC!E$25,1,0)</f>
        <v>0</v>
      </c>
      <c r="F24" s="11">
        <f>IF(預測IC!F24&gt;預測IC!F$25,1,0)</f>
        <v>0</v>
      </c>
      <c r="G24" s="11">
        <f>IF(預測IC!G24&gt;預測IC!G$25,1,0)</f>
        <v>1</v>
      </c>
      <c r="H24" s="11">
        <f>IF(預測IC!H24&gt;預測IC!H$25,1,0)</f>
        <v>0</v>
      </c>
      <c r="I24" s="11">
        <f>IF(預測IC!I24&gt;預測IC!I$25,1,0)</f>
        <v>1</v>
      </c>
      <c r="J24" s="11">
        <f>IF(預測IC!J24&gt;預測IC!J$25,1,0)</f>
        <v>0</v>
      </c>
      <c r="K24" s="11">
        <f>IF(預測IC!K24&gt;預測IC!K$25,1,0)</f>
        <v>1</v>
      </c>
      <c r="L24" s="11">
        <f>IF(預測IC!L24&gt;預測IC!L$25,1,0)</f>
        <v>1</v>
      </c>
      <c r="M24" s="11">
        <f>IF(預測IC!M24&gt;預測IC!M$25,1,0)</f>
        <v>0</v>
      </c>
      <c r="N24" s="11">
        <f>IF(預測IC!N24&gt;預測IC!N$25,1,0)</f>
        <v>1</v>
      </c>
      <c r="O24" s="11">
        <f>IF(預測IC!O24&gt;預測IC!O$25,1,0)</f>
        <v>1</v>
      </c>
      <c r="P24" s="11">
        <f>IF(預測IC!P24&gt;預測IC!P$25,1,0)</f>
        <v>0</v>
      </c>
      <c r="Q24" s="11">
        <f>IF(預測IC!Q24&gt;預測IC!Q$25,1,0)</f>
        <v>1</v>
      </c>
      <c r="R24" s="11">
        <f>IF(預測IC!R24&gt;預測IC!R$25,1,0)</f>
        <v>0</v>
      </c>
      <c r="S24" s="11">
        <f>IF(預測IC!S24&gt;預測IC!S$25,1,0)</f>
        <v>1</v>
      </c>
      <c r="T24" s="11">
        <f>IF(預測IC!T24&gt;預測IC!T$25,1,0)</f>
        <v>1</v>
      </c>
      <c r="U24" s="11">
        <f>IF(預測IC!U24&gt;預測IC!U$25,1,0)</f>
        <v>0</v>
      </c>
      <c r="V24" s="11">
        <f>IF(預測IC!V24&gt;預測IC!V$25,1,0)</f>
        <v>1</v>
      </c>
      <c r="W24" s="11">
        <f>IF(預測IC!W24&gt;預測IC!W$25,1,0)</f>
        <v>1</v>
      </c>
      <c r="X24" s="11">
        <f>IF(預測IC!X24&gt;預測IC!X$25,1,0)</f>
        <v>0</v>
      </c>
      <c r="Y24" s="11">
        <f>IF(預測IC!Y24&gt;預測IC!Y$25,1,0)</f>
        <v>0</v>
      </c>
      <c r="Z24" s="11">
        <f>IF(預測IC!Z24&gt;預測IC!Z$25,1,0)</f>
        <v>0</v>
      </c>
      <c r="AA24" s="11">
        <f>IF(預測IC!AA24&gt;預測IC!AA$25,1,0)</f>
        <v>1</v>
      </c>
      <c r="AB24" s="11">
        <f>IF(預測IC!AB24&gt;預測IC!AB$25,1,0)</f>
        <v>1</v>
      </c>
      <c r="AC24" s="11">
        <f>IF(預測IC!AC24&gt;預測IC!AC$25,1,0)</f>
        <v>1</v>
      </c>
      <c r="AD24" s="11">
        <f>IF(預測IC!AD24&gt;預測IC!AD$25,1,0)</f>
        <v>1</v>
      </c>
      <c r="AE24" s="11">
        <f>IF(預測IC!AE24&gt;預測IC!AE$25,1,0)</f>
        <v>0</v>
      </c>
      <c r="AF24" s="11">
        <f>IF(預測IC!AF24&gt;預測IC!AF$25,1,0)</f>
        <v>0</v>
      </c>
      <c r="AG24" s="11">
        <f>IF(預測IC!AG24&gt;預測IC!AG$25,1,0)</f>
        <v>1</v>
      </c>
      <c r="AH24" s="11">
        <f>IF(預測IC!AH24&gt;預測IC!AH$25,1,0)</f>
        <v>0</v>
      </c>
      <c r="AI24" s="11">
        <f>IF(預測IC!AI24&gt;預測IC!AI$25,1,0)</f>
        <v>0</v>
      </c>
      <c r="AJ24" s="11">
        <f>IF(預測IC!AJ24&gt;預測IC!AJ$25,1,0)</f>
        <v>0</v>
      </c>
      <c r="AK24" s="11">
        <f>IF(預測IC!AK24&gt;預測IC!AK$25,1,0)</f>
        <v>1</v>
      </c>
      <c r="AL24" s="11">
        <f>IF(預測IC!AL24&gt;預測IC!AL$25,1,0)</f>
        <v>0</v>
      </c>
      <c r="AM24" s="11">
        <f>IF(預測IC!AM24&gt;預測IC!AM$25,1,0)</f>
        <v>0</v>
      </c>
      <c r="AN24" s="11">
        <f>IF(預測IC!AN24&gt;預測IC!AN$25,1,0)</f>
        <v>1</v>
      </c>
      <c r="AO24" s="11">
        <f>IF(預測IC!AO24&gt;預測IC!AO$25,1,0)</f>
        <v>1</v>
      </c>
      <c r="AP24" s="11">
        <f>IF(預測IC!AP24&gt;預測IC!AP$25,1,0)</f>
        <v>0</v>
      </c>
      <c r="AQ24" s="11">
        <f>IF(預測IC!AQ24&gt;預測IC!AQ$25,1,0)</f>
        <v>1</v>
      </c>
      <c r="AR24" s="11">
        <f>IF(預測IC!AR24&gt;預測IC!AR$25,1,0)</f>
        <v>0</v>
      </c>
      <c r="AS24" s="11">
        <f>IF(預測IC!AS24&gt;預測IC!AS$25,1,0)</f>
        <v>0</v>
      </c>
      <c r="AT24" s="11">
        <f>IF(預測IC!AT24&gt;預測IC!AT$25,1,0)</f>
        <v>1</v>
      </c>
      <c r="AU24" s="11">
        <f>IF(預測IC!AU24&gt;預測IC!AU$25,1,0)</f>
        <v>1</v>
      </c>
      <c r="AV24" s="11">
        <f>IF(預測IC!AV24&gt;預測IC!AV$25,1,0)</f>
        <v>0</v>
      </c>
      <c r="AW24" s="11">
        <f>IF(預測IC!AW24&gt;預測IC!AW$25,1,0)</f>
        <v>1</v>
      </c>
      <c r="AX24" s="11">
        <f>IF(預測IC!AX24&gt;預測IC!AX$25,1,0)</f>
        <v>0</v>
      </c>
      <c r="AY24" s="11">
        <f>IF(預測IC!AY24&gt;預測IC!AY$25,1,0)</f>
        <v>1</v>
      </c>
      <c r="AZ24" s="11">
        <f>IF(預測IC!AZ24&gt;預測IC!AZ$25,1,0)</f>
        <v>1</v>
      </c>
      <c r="BA24" s="11">
        <f>IF(預測IC!BA24&gt;預測IC!BA$25,1,0)</f>
        <v>0</v>
      </c>
      <c r="BB24" s="11">
        <f>IF(預測IC!BB24&gt;預測IC!BB$25,1,0)</f>
        <v>1</v>
      </c>
      <c r="BC24" s="11">
        <f>IF(預測IC!BC24&gt;預測IC!BC$25,1,0)</f>
        <v>0</v>
      </c>
      <c r="BD24" s="11">
        <f>IF(預測IC!BD24&gt;預測IC!BD$25,1,0)</f>
        <v>1</v>
      </c>
      <c r="BE24" s="11">
        <f>IF(預測IC!BE24&gt;預測IC!BE$25,1,0)</f>
        <v>0</v>
      </c>
      <c r="BF24" s="11">
        <f>IF(預測IC!BF24&gt;預測IC!BF$25,1,0)</f>
        <v>1</v>
      </c>
      <c r="BG24" s="11">
        <f>IF(預測IC!BG24&gt;預測IC!BG$25,1,0)</f>
        <v>1</v>
      </c>
      <c r="BH24" s="11">
        <f>IF(預測IC!BH24&gt;預測IC!BH$25,1,0)</f>
        <v>0</v>
      </c>
      <c r="BI24" s="11">
        <f>IF(預測IC!BI24&gt;預測IC!BI$25,1,0)</f>
        <v>0</v>
      </c>
      <c r="BJ24" s="11">
        <f>IF(預測IC!BJ24&gt;預測IC!BJ$25,1,0)</f>
        <v>1</v>
      </c>
      <c r="BK24" s="11">
        <f>IF(預測IC!BK24&gt;預測IC!BK$25,1,0)</f>
        <v>0</v>
      </c>
      <c r="BL24" s="11">
        <f>IF(預測IC!BL24&gt;預測IC!BL$25,1,0)</f>
        <v>1</v>
      </c>
      <c r="BM24" s="11">
        <f>IF(預測IC!BM24&gt;預測IC!BM$25,1,0)</f>
        <v>0</v>
      </c>
      <c r="BN24" s="11">
        <f>IF(預測IC!BN24&gt;預測IC!BN$25,1,0)</f>
        <v>0</v>
      </c>
      <c r="BO24" s="11">
        <f>IF(預測IC!BO24&gt;預測IC!BO$25,1,0)</f>
        <v>1</v>
      </c>
      <c r="BP24" s="11">
        <f>IF(預測IC!BP24&gt;預測IC!BP$25,1,0)</f>
        <v>1</v>
      </c>
      <c r="BQ24" s="11">
        <f>IF(預測IC!BQ24&gt;預測IC!BQ$25,1,0)</f>
        <v>0</v>
      </c>
      <c r="BR24" s="11">
        <f>IF(預測IC!BR24&gt;預測IC!BR$25,1,0)</f>
        <v>1</v>
      </c>
      <c r="BS24" s="11">
        <f>IF(預測IC!BS24&gt;預測IC!BS$25,1,0)</f>
        <v>0</v>
      </c>
      <c r="BT24" s="11">
        <f>IF(預測IC!BT24&gt;預測IC!BT$25,1,0)</f>
        <v>1</v>
      </c>
      <c r="BU24" s="11">
        <f>IF(預測IC!BU24&gt;預測IC!BU$25,1,0)</f>
        <v>1</v>
      </c>
      <c r="BV24" s="11">
        <f>IF(預測IC!BV24&gt;預測IC!BV$25,1,0)</f>
        <v>1</v>
      </c>
      <c r="BW24" s="11">
        <f>IF(預測IC!BW24&gt;預測IC!BW$25,1,0)</f>
        <v>0</v>
      </c>
      <c r="BX24" s="11">
        <f>IF(預測IC!BX24&gt;預測IC!BX$25,1,0)</f>
        <v>1</v>
      </c>
      <c r="BY24" s="11">
        <f>IF(預測IC!BY24&gt;預測IC!BY$25,1,0)</f>
        <v>0</v>
      </c>
      <c r="BZ24" s="11">
        <f>IF(預測IC!BZ24&gt;預測IC!BZ$25,1,0)</f>
        <v>1</v>
      </c>
      <c r="CA24" s="11">
        <f>IF(預測IC!CA24&gt;預測IC!CA$25,1,0)</f>
        <v>0</v>
      </c>
      <c r="CB24" s="11">
        <f>IF(預測IC!CB24&gt;預測IC!CB$25,1,0)</f>
        <v>1</v>
      </c>
      <c r="CC24" s="11">
        <f>IF(預測IC!CC24&gt;預測IC!CC$25,1,0)</f>
        <v>1</v>
      </c>
      <c r="CD24" s="11">
        <f>IF(預測IC!CD24&gt;預測IC!CD$25,1,0)</f>
        <v>1</v>
      </c>
      <c r="CE24" s="11">
        <f>IF(預測IC!CE24&gt;預測IC!CE$25,1,0)</f>
        <v>1</v>
      </c>
      <c r="CF24" s="11">
        <f>IF(預測IC!CF24&gt;預測IC!CF$25,1,0)</f>
        <v>1</v>
      </c>
      <c r="CG24" s="11">
        <f>IF(預測IC!CG24&gt;預測IC!CG$25,1,0)</f>
        <v>0</v>
      </c>
      <c r="CH24" s="11">
        <f>IF(預測IC!CH24&gt;預測IC!CH$25,1,0)</f>
        <v>0</v>
      </c>
      <c r="CI24" s="11">
        <f>IF(預測IC!CI24&gt;預測IC!CI$25,1,0)</f>
        <v>0</v>
      </c>
      <c r="CJ24" s="11">
        <f>IF(預測IC!CJ24&gt;預測IC!CJ$25,1,0)</f>
        <v>0</v>
      </c>
      <c r="CK24" s="11">
        <f>IF(預測IC!CK24&gt;預測IC!CK$25,1,0)</f>
        <v>1</v>
      </c>
      <c r="CL24" s="11">
        <f>IF(預測IC!CL24&gt;預測IC!CL$25,1,0)</f>
        <v>1</v>
      </c>
      <c r="CM24" s="11">
        <f>IF(預測IC!CM24&gt;預測IC!CM$25,1,0)</f>
        <v>1</v>
      </c>
      <c r="CN24" s="11">
        <f>IF(預測IC!CN24&gt;預測IC!CN$25,1,0)</f>
        <v>1</v>
      </c>
      <c r="CO24" s="11">
        <f>IF(預測IC!CO24&gt;預測IC!CO$25,1,0)</f>
        <v>0</v>
      </c>
      <c r="CP24" s="11">
        <f>IF(預測IC!CP24&gt;預測IC!CP$25,1,0)</f>
        <v>0</v>
      </c>
      <c r="CQ24" s="11">
        <f>IF(預測IC!CQ24&gt;預測IC!CQ$25,1,0)</f>
        <v>1</v>
      </c>
      <c r="CR24" s="11">
        <f>IF(預測IC!CR24&gt;預測IC!CR$25,1,0)</f>
        <v>1</v>
      </c>
      <c r="CS24" s="11">
        <f>IF(預測IC!CS24&gt;預測IC!CS$25,1,0)</f>
        <v>0</v>
      </c>
      <c r="CT24" s="11">
        <f>IF(預測IC!CT24&gt;預測IC!CT$25,1,0)</f>
        <v>1</v>
      </c>
      <c r="CU24" s="11">
        <f>IF(預測IC!CU24&gt;預測IC!CU$25,1,0)</f>
        <v>0</v>
      </c>
      <c r="CV24" s="11">
        <f>IF(預測IC!CV24&gt;預測IC!CV$25,1,0)</f>
        <v>1</v>
      </c>
      <c r="CW24" s="11">
        <f>IF(預測IC!CW24&gt;預測IC!CW$25,1,0)</f>
        <v>0</v>
      </c>
      <c r="CX24" s="11">
        <f>IF(預測IC!CX24&gt;預測IC!CX$25,1,0)</f>
        <v>1</v>
      </c>
      <c r="CY24" s="11">
        <f>IF(預測IC!CY24&gt;預測IC!CY$25,1,0)</f>
        <v>0</v>
      </c>
      <c r="CZ24" s="11">
        <f>IF(預測IC!CZ24&gt;預測IC!CZ$25,1,0)</f>
        <v>1</v>
      </c>
      <c r="DA24" s="11">
        <f>IF(預測IC!DA24&gt;預測IC!DA$25,1,0)</f>
        <v>1</v>
      </c>
      <c r="DB24" s="11">
        <f>IF(預測IC!DB24&gt;預測IC!DB$25,1,0)</f>
        <v>0</v>
      </c>
      <c r="DC24" s="11">
        <f>IF(預測IC!DC24&gt;預測IC!DC$25,1,0)</f>
        <v>1</v>
      </c>
      <c r="DD24" s="11">
        <f>IF(預測IC!DD24&gt;預測IC!DD$25,1,0)</f>
        <v>1</v>
      </c>
      <c r="DE24" s="11">
        <f>IF(預測IC!DE24&gt;預測IC!DE$25,1,0)</f>
        <v>0</v>
      </c>
      <c r="DF24" s="11">
        <f>IF(預測IC!DF24&gt;預測IC!DF$25,1,0)</f>
        <v>0</v>
      </c>
      <c r="DG24" s="11">
        <f>IF(預測IC!DG24&gt;預測IC!DG$25,1,0)</f>
        <v>1</v>
      </c>
      <c r="DH24" s="11">
        <f>IF(預測IC!DH24&gt;預測IC!DH$25,1,0)</f>
        <v>1</v>
      </c>
      <c r="DI24" s="11">
        <f>IF(預測IC!DI24&gt;預測IC!DI$25,1,0)</f>
        <v>1</v>
      </c>
      <c r="DJ24" s="11">
        <f>IF(預測IC!DJ24&gt;預測IC!DJ$25,1,0)</f>
        <v>0</v>
      </c>
      <c r="DK24" s="11">
        <f>IF(預測IC!DK24&gt;預測IC!DK$25,1,0)</f>
        <v>1</v>
      </c>
      <c r="DL24" s="11">
        <f>IF(預測IC!DL24&gt;預測IC!DL$25,1,0)</f>
        <v>0</v>
      </c>
      <c r="DM24" s="11">
        <f>IF(預測IC!DM24&gt;預測IC!DM$25,1,0)</f>
        <v>0</v>
      </c>
      <c r="DN24" s="11">
        <f>IF(預測IC!DN24&gt;預測IC!DN$25,1,0)</f>
        <v>1</v>
      </c>
      <c r="DO24" s="11">
        <f>IF(預測IC!DO24&gt;預測IC!DO$25,1,0)</f>
        <v>1</v>
      </c>
      <c r="DP24" s="11">
        <f>IF(預測IC!DP24&gt;預測IC!DP$25,1,0)</f>
        <v>1</v>
      </c>
      <c r="DQ24" s="11">
        <f>IF(預測IC!DQ24&gt;預測IC!DQ$25,1,0)</f>
        <v>0</v>
      </c>
      <c r="DR24" s="11">
        <f>IF(預測IC!DR24&gt;預測IC!DR$25,1,0)</f>
        <v>0</v>
      </c>
      <c r="DS24" s="11">
        <f>IF(預測IC!DS24&gt;預測IC!DS$25,1,0)</f>
        <v>0</v>
      </c>
      <c r="DT24" s="11">
        <f>IF(預測IC!DT24&gt;預測IC!DT$25,1,0)</f>
        <v>0</v>
      </c>
      <c r="DU24" s="11">
        <f>IF(預測IC!DU24&gt;預測IC!DU$25,1,0)</f>
        <v>0</v>
      </c>
      <c r="DV24" s="11">
        <f>IF(預測IC!DV24&gt;預測IC!DV$25,1,0)</f>
        <v>1</v>
      </c>
      <c r="DW24" s="11">
        <f>IF(預測IC!DW24&gt;預測IC!DW$25,1,0)</f>
        <v>1</v>
      </c>
      <c r="DX24" s="11">
        <f>IF(預測IC!DX24&gt;預測IC!DX$25,1,0)</f>
        <v>0</v>
      </c>
      <c r="DY24" s="11">
        <f>IF(預測IC!DY24&gt;預測IC!DY$25,1,0)</f>
        <v>0</v>
      </c>
      <c r="DZ24" s="11">
        <f>IF(預測IC!DZ24&gt;預測IC!DZ$25,1,0)</f>
        <v>0</v>
      </c>
      <c r="EA24" s="11">
        <f>IF(預測IC!EA24&gt;預測IC!EA$25,1,0)</f>
        <v>1</v>
      </c>
      <c r="EB24" s="11">
        <f>IF(預測IC!EB24&gt;預測IC!EB$25,1,0)</f>
        <v>0</v>
      </c>
      <c r="EC24" s="11">
        <f>IF(預測IC!EC24&gt;預測IC!EC$25,1,0)</f>
        <v>1</v>
      </c>
      <c r="ED24" s="11">
        <f>IF(預測IC!ED24&gt;預測IC!ED$25,1,0)</f>
        <v>0</v>
      </c>
      <c r="EE24" s="11">
        <f>IF(預測IC!EE24&gt;預測IC!EE$25,1,0)</f>
        <v>1</v>
      </c>
      <c r="EF24" s="11">
        <f>IF(預測IC!EF24&gt;預測IC!EF$25,1,0)</f>
        <v>1</v>
      </c>
      <c r="EG24" s="1">
        <f t="shared" si="6"/>
        <v>71</v>
      </c>
      <c r="EH24" s="58">
        <f t="shared" si="7"/>
        <v>0.52985074626865669</v>
      </c>
    </row>
    <row r="25" spans="1:138" ht="16">
      <c r="A25" s="6" t="s">
        <v>145</v>
      </c>
      <c r="B25" s="6" t="s">
        <v>146</v>
      </c>
      <c r="C25" s="26">
        <v>-1.7446770539390338E-2</v>
      </c>
      <c r="D25" s="26">
        <v>2.070106053181563E-2</v>
      </c>
      <c r="E25" s="26">
        <v>2.3982129254766709E-2</v>
      </c>
      <c r="F25" s="26">
        <v>-6.557578972823077E-3</v>
      </c>
      <c r="G25" s="26">
        <v>3.1845129800519692E-2</v>
      </c>
      <c r="H25" s="26">
        <v>3.4348532736990518E-2</v>
      </c>
      <c r="I25" s="26">
        <v>-8.2549327813252367E-3</v>
      </c>
      <c r="J25" s="26">
        <v>1.2843524394052759E-2</v>
      </c>
      <c r="K25" s="26">
        <v>-5.1018524626790823E-2</v>
      </c>
      <c r="L25" s="26">
        <v>8.7394274103658827E-4</v>
      </c>
      <c r="M25" s="26">
        <v>2.3389575505495919E-2</v>
      </c>
      <c r="N25" s="26">
        <v>1.2988972200332851E-2</v>
      </c>
      <c r="O25" s="26">
        <v>5.8545887256348812E-3</v>
      </c>
      <c r="P25" s="26">
        <v>2.7413206571790558E-2</v>
      </c>
      <c r="Q25" s="26">
        <v>-3.7129361176928542E-3</v>
      </c>
      <c r="R25" s="26">
        <v>2.4076614047823328E-2</v>
      </c>
      <c r="S25" s="26">
        <v>-1.219002529903996E-2</v>
      </c>
      <c r="T25" s="26">
        <v>-3.9749578159589592E-2</v>
      </c>
      <c r="U25" s="26">
        <v>-7.3155449831649552E-2</v>
      </c>
      <c r="V25" s="26">
        <v>-5.8260229910114661E-2</v>
      </c>
      <c r="W25" s="26">
        <v>7.7279756550837221E-4</v>
      </c>
      <c r="X25" s="26">
        <v>4.459152113521897E-2</v>
      </c>
      <c r="Y25" s="26">
        <v>-2.7699680050213091E-2</v>
      </c>
      <c r="Z25" s="26">
        <v>2.0950059497436462E-3</v>
      </c>
      <c r="AA25" s="26">
        <v>-2.340055099256411E-2</v>
      </c>
      <c r="AB25" s="26">
        <v>3.2129371097322189E-2</v>
      </c>
      <c r="AC25" s="26">
        <v>3.890327309406643E-2</v>
      </c>
      <c r="AD25" s="26">
        <v>-4.286538217110427E-2</v>
      </c>
      <c r="AE25" s="26">
        <v>1.8647194550152159E-2</v>
      </c>
      <c r="AF25" s="26">
        <v>1.5229768322528949E-2</v>
      </c>
      <c r="AG25" s="26">
        <v>3.6016603778892417E-2</v>
      </c>
      <c r="AH25" s="26">
        <v>9.3546113853161701E-3</v>
      </c>
      <c r="AI25" s="26">
        <v>1.0748251336838139E-2</v>
      </c>
      <c r="AJ25" s="26">
        <v>1.335775405308097E-2</v>
      </c>
      <c r="AK25" s="26">
        <v>-5.3327473290953921E-3</v>
      </c>
      <c r="AL25" s="26">
        <v>1.383135807261675E-3</v>
      </c>
      <c r="AM25" s="26">
        <v>2.079592842007446E-2</v>
      </c>
      <c r="AN25" s="26">
        <v>3.1517702220390638E-2</v>
      </c>
      <c r="AO25" s="26">
        <v>6.2417165333294418E-3</v>
      </c>
      <c r="AP25" s="26">
        <v>6.1452616535713897E-3</v>
      </c>
      <c r="AQ25" s="26">
        <v>1.694635767669651E-2</v>
      </c>
      <c r="AR25" s="26">
        <v>3.4682830454308228E-2</v>
      </c>
      <c r="AS25" s="26">
        <v>3.0985886171969678E-3</v>
      </c>
      <c r="AT25" s="26">
        <v>1.508134714348611E-2</v>
      </c>
      <c r="AU25" s="26">
        <v>-1.9251209229863991E-2</v>
      </c>
      <c r="AV25" s="26">
        <v>3.8711513387631437E-2</v>
      </c>
      <c r="AW25" s="26">
        <v>-2.1856951135736599E-2</v>
      </c>
      <c r="AX25" s="26">
        <v>7.7743007097896798E-3</v>
      </c>
      <c r="AY25" s="26">
        <v>4.2397246695325942E-2</v>
      </c>
      <c r="AZ25" s="26">
        <v>-2.630897486115975E-2</v>
      </c>
      <c r="BA25" s="26">
        <v>9.5717493087162323E-3</v>
      </c>
      <c r="BB25" s="26">
        <v>-2.424974126627483E-2</v>
      </c>
      <c r="BC25" s="26">
        <v>2.0163374143915822E-2</v>
      </c>
      <c r="BD25" s="26">
        <v>-3.5049987821160239E-3</v>
      </c>
      <c r="BE25" s="26">
        <v>2.0151935098542271E-2</v>
      </c>
      <c r="BF25" s="26">
        <v>5.8133623077027128E-4</v>
      </c>
      <c r="BG25" s="26">
        <v>-5.2197009532526043E-3</v>
      </c>
      <c r="BH25" s="26">
        <v>-0.11587176140213</v>
      </c>
      <c r="BI25" s="26">
        <v>8.7252256924373536E-3</v>
      </c>
      <c r="BJ25" s="26">
        <v>-1.6377260977822151E-2</v>
      </c>
      <c r="BK25" s="26">
        <v>2.0840371600260421E-2</v>
      </c>
      <c r="BL25" s="26">
        <v>4.4975872102114713E-2</v>
      </c>
      <c r="BM25" s="26">
        <v>2.3954306081863871E-2</v>
      </c>
      <c r="BN25" s="26">
        <v>3.0239101391442601E-2</v>
      </c>
      <c r="BO25" s="26">
        <v>-4.372588759108751E-2</v>
      </c>
      <c r="BP25" s="26">
        <v>2.1889469568198618E-2</v>
      </c>
      <c r="BQ25" s="26">
        <v>8.6274302635084028E-3</v>
      </c>
      <c r="BR25" s="26">
        <v>-1.9192953994658781E-2</v>
      </c>
      <c r="BS25" s="26">
        <v>1.973512988813305E-2</v>
      </c>
      <c r="BT25" s="26">
        <v>4.7694337483699438E-2</v>
      </c>
      <c r="BU25" s="26">
        <v>1.145481680658339E-2</v>
      </c>
      <c r="BV25" s="26">
        <v>4.3228620735213191E-2</v>
      </c>
      <c r="BW25" s="26">
        <v>-4.2747430436922793E-2</v>
      </c>
      <c r="BX25" s="26">
        <v>-1.781129242779457E-2</v>
      </c>
      <c r="BY25" s="26">
        <v>-0.1511530968690756</v>
      </c>
      <c r="BZ25" s="26">
        <v>0.12422400361957529</v>
      </c>
      <c r="CA25" s="26">
        <v>-4.5572538445296431E-3</v>
      </c>
      <c r="CB25" s="26">
        <v>6.0211240204911178E-2</v>
      </c>
      <c r="CC25" s="26">
        <v>8.5992033482502284E-2</v>
      </c>
      <c r="CD25" s="26">
        <v>-5.8084795823660634E-3</v>
      </c>
      <c r="CE25" s="26">
        <v>-6.0413469889680736E-3</v>
      </c>
      <c r="CF25" s="26">
        <v>2.4523243722520739E-3</v>
      </c>
      <c r="CG25" s="26">
        <v>8.963625193702289E-2</v>
      </c>
      <c r="CH25" s="26">
        <v>7.099273252675789E-2</v>
      </c>
      <c r="CI25" s="26">
        <v>2.7170642901783448E-2</v>
      </c>
      <c r="CJ25" s="26">
        <v>5.2468428425330033E-2</v>
      </c>
      <c r="CK25" s="26">
        <v>2.9480660943049509E-2</v>
      </c>
      <c r="CL25" s="26">
        <v>6.6825081060201283E-2</v>
      </c>
      <c r="CM25" s="26">
        <v>-2.8772229019816971E-2</v>
      </c>
      <c r="CN25" s="26">
        <v>3.9462515901637851E-2</v>
      </c>
      <c r="CO25" s="26">
        <v>-2.9031086977359909E-2</v>
      </c>
      <c r="CP25" s="26">
        <v>1.3983882519467901E-2</v>
      </c>
      <c r="CQ25" s="26">
        <v>-3.2276964959333833E-2</v>
      </c>
      <c r="CR25" s="26">
        <v>3.1035766128940231E-3</v>
      </c>
      <c r="CS25" s="26">
        <v>2.5591855767083171E-2</v>
      </c>
      <c r="CT25" s="26">
        <v>4.4391886287193302E-2</v>
      </c>
      <c r="CU25" s="26">
        <v>-3.0338958549577438E-2</v>
      </c>
      <c r="CV25" s="26">
        <v>-1.2579764545717069E-3</v>
      </c>
      <c r="CW25" s="26">
        <v>2.336356455857952E-3</v>
      </c>
      <c r="CX25" s="26">
        <v>-6.4264144925906069E-2</v>
      </c>
      <c r="CY25" s="26">
        <v>1.2909779458992439E-2</v>
      </c>
      <c r="CZ25" s="26">
        <v>-0.12547709467085871</v>
      </c>
      <c r="DA25" s="26">
        <v>1.1690682939792569E-2</v>
      </c>
      <c r="DB25" s="26">
        <v>6.3378437007417512E-3</v>
      </c>
      <c r="DC25" s="26">
        <v>-0.1173053564693855</v>
      </c>
      <c r="DD25" s="26">
        <v>-3.6010872049446613E-2</v>
      </c>
      <c r="DE25" s="26">
        <v>0.1389113040722679</v>
      </c>
      <c r="DF25" s="26">
        <v>-5.1143506226105737E-2</v>
      </c>
      <c r="DG25" s="26">
        <v>7.6731447181969059E-2</v>
      </c>
      <c r="DH25" s="26">
        <v>1.550878219700816E-2</v>
      </c>
      <c r="DI25" s="26">
        <v>2.3223773674755831E-2</v>
      </c>
      <c r="DJ25" s="26">
        <v>-1.8372876361227891E-2</v>
      </c>
      <c r="DK25" s="26">
        <v>6.2199014085099431E-2</v>
      </c>
      <c r="DL25" s="26">
        <v>2.0098304486957191E-2</v>
      </c>
      <c r="DM25" s="26">
        <v>1.349893974806809E-2</v>
      </c>
      <c r="DN25" s="26">
        <v>-3.025221272842088E-2</v>
      </c>
      <c r="DO25" s="26">
        <v>-1.7022835708053841E-2</v>
      </c>
      <c r="DP25" s="26">
        <v>-2.1788523272461981E-2</v>
      </c>
      <c r="DQ25" s="26">
        <v>8.5745624585137223E-2</v>
      </c>
      <c r="DR25" s="26">
        <v>2.8106743604973752E-2</v>
      </c>
      <c r="DS25" s="26">
        <v>-2.3031598073594501E-3</v>
      </c>
      <c r="DT25" s="26">
        <v>5.8471198131487503E-2</v>
      </c>
      <c r="DU25" s="26">
        <v>6.7658949048647651E-2</v>
      </c>
      <c r="DV25" s="26">
        <v>5.0207706404322644E-3</v>
      </c>
      <c r="DW25" s="26">
        <v>3.7416183675207063E-2</v>
      </c>
      <c r="DX25" s="26">
        <v>8.4111003746042121E-2</v>
      </c>
      <c r="DY25" s="26">
        <v>-3.6832398544012837E-2</v>
      </c>
      <c r="DZ25" s="26">
        <v>3.0917028169369942E-3</v>
      </c>
      <c r="EA25" s="26">
        <v>-1.957628214294549E-3</v>
      </c>
      <c r="EB25" s="26">
        <v>2.6459103603519739E-2</v>
      </c>
      <c r="EC25" s="26">
        <v>-2.4752538760690269E-2</v>
      </c>
      <c r="ED25" s="26">
        <v>3.4115490982559941E-2</v>
      </c>
      <c r="EE25" s="26">
        <v>2.1061973989032982E-2</v>
      </c>
      <c r="EF25" s="26">
        <v>-2.0277392706005919E-2</v>
      </c>
      <c r="EG25" s="3"/>
    </row>
    <row r="26" spans="1:138" ht="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3"/>
    </row>
    <row r="28" spans="1:138" ht="16">
      <c r="A28" s="28"/>
      <c r="B28" s="28"/>
      <c r="C28" s="28"/>
      <c r="D28" s="4"/>
      <c r="E28" s="4"/>
      <c r="F28" s="4"/>
      <c r="G28" s="4"/>
      <c r="H28" s="4"/>
      <c r="I28" s="4"/>
      <c r="J28" s="4"/>
      <c r="K28" s="28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</row>
  </sheetData>
  <mergeCells count="2">
    <mergeCell ref="A6:B6"/>
    <mergeCell ref="A10:B1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F28"/>
  <sheetViews>
    <sheetView tabSelected="1" topLeftCell="A6" zoomScale="81" workbookViewId="0">
      <selection activeCell="B24" sqref="B24:EE24"/>
    </sheetView>
  </sheetViews>
  <sheetFormatPr baseColWidth="10" defaultColWidth="8.83203125" defaultRowHeight="15"/>
  <cols>
    <col min="1" max="1" width="8.33203125" style="27" customWidth="1"/>
    <col min="2" max="3" width="9.33203125" style="27" customWidth="1"/>
    <col min="11" max="11" width="8.1640625" style="27" customWidth="1"/>
    <col min="64" max="64" width="8.33203125" style="27" customWidth="1"/>
  </cols>
  <sheetData>
    <row r="1" spans="1:136" ht="16">
      <c r="A1" s="15" t="s">
        <v>147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2" spans="1:136" ht="16">
      <c r="A2" s="4"/>
      <c r="B2" s="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18</v>
      </c>
      <c r="T2" s="16" t="s">
        <v>19</v>
      </c>
      <c r="U2" s="16" t="s">
        <v>20</v>
      </c>
      <c r="V2" s="16" t="s">
        <v>21</v>
      </c>
      <c r="W2" s="16" t="s">
        <v>22</v>
      </c>
      <c r="X2" s="16" t="s">
        <v>23</v>
      </c>
      <c r="Y2" s="16" t="s">
        <v>24</v>
      </c>
      <c r="Z2" s="16" t="s">
        <v>25</v>
      </c>
      <c r="AA2" s="16" t="s">
        <v>26</v>
      </c>
      <c r="AB2" s="16" t="s">
        <v>27</v>
      </c>
      <c r="AC2" s="16" t="s">
        <v>28</v>
      </c>
      <c r="AD2" s="16" t="s">
        <v>29</v>
      </c>
      <c r="AE2" s="16" t="s">
        <v>30</v>
      </c>
      <c r="AF2" s="16" t="s">
        <v>31</v>
      </c>
      <c r="AG2" s="16" t="s">
        <v>32</v>
      </c>
      <c r="AH2" s="16" t="s">
        <v>33</v>
      </c>
      <c r="AI2" s="16" t="s">
        <v>34</v>
      </c>
      <c r="AJ2" s="16" t="s">
        <v>35</v>
      </c>
      <c r="AK2" s="16" t="s">
        <v>36</v>
      </c>
      <c r="AL2" s="16" t="s">
        <v>37</v>
      </c>
      <c r="AM2" s="16" t="s">
        <v>38</v>
      </c>
      <c r="AN2" s="16" t="s">
        <v>39</v>
      </c>
      <c r="AO2" s="16" t="s">
        <v>40</v>
      </c>
      <c r="AP2" s="16" t="s">
        <v>41</v>
      </c>
      <c r="AQ2" s="16" t="s">
        <v>42</v>
      </c>
      <c r="AR2" s="16" t="s">
        <v>43</v>
      </c>
      <c r="AS2" s="16" t="s">
        <v>44</v>
      </c>
      <c r="AT2" s="16" t="s">
        <v>45</v>
      </c>
      <c r="AU2" s="16" t="s">
        <v>46</v>
      </c>
      <c r="AV2" s="16" t="s">
        <v>47</v>
      </c>
      <c r="AW2" s="16" t="s">
        <v>48</v>
      </c>
      <c r="AX2" s="16" t="s">
        <v>49</v>
      </c>
      <c r="AY2" s="16" t="s">
        <v>50</v>
      </c>
      <c r="AZ2" s="16" t="s">
        <v>51</v>
      </c>
      <c r="BA2" s="16" t="s">
        <v>52</v>
      </c>
      <c r="BB2" s="16" t="s">
        <v>53</v>
      </c>
      <c r="BC2" s="16" t="s">
        <v>54</v>
      </c>
      <c r="BD2" s="16" t="s">
        <v>55</v>
      </c>
      <c r="BE2" s="16" t="s">
        <v>56</v>
      </c>
      <c r="BF2" s="16" t="s">
        <v>57</v>
      </c>
      <c r="BG2" s="16" t="s">
        <v>58</v>
      </c>
      <c r="BH2" s="16" t="s">
        <v>59</v>
      </c>
      <c r="BI2" s="16" t="s">
        <v>60</v>
      </c>
      <c r="BJ2" s="16" t="s">
        <v>61</v>
      </c>
      <c r="BK2" s="16" t="s">
        <v>62</v>
      </c>
      <c r="BL2" s="16" t="s">
        <v>63</v>
      </c>
      <c r="BM2" s="16" t="s">
        <v>64</v>
      </c>
      <c r="BN2" s="16" t="s">
        <v>65</v>
      </c>
      <c r="BO2" s="16" t="s">
        <v>66</v>
      </c>
      <c r="BP2" s="16" t="s">
        <v>67</v>
      </c>
      <c r="BQ2" s="16" t="s">
        <v>68</v>
      </c>
      <c r="BR2" s="16" t="s">
        <v>69</v>
      </c>
      <c r="BS2" s="16" t="s">
        <v>70</v>
      </c>
      <c r="BT2" s="16" t="s">
        <v>71</v>
      </c>
      <c r="BU2" s="16" t="s">
        <v>72</v>
      </c>
      <c r="BV2" s="16" t="s">
        <v>73</v>
      </c>
      <c r="BW2" s="16" t="s">
        <v>74</v>
      </c>
      <c r="BX2" s="16" t="s">
        <v>75</v>
      </c>
      <c r="BY2" s="16" t="s">
        <v>76</v>
      </c>
      <c r="BZ2" s="16" t="s">
        <v>77</v>
      </c>
      <c r="CA2" s="16" t="s">
        <v>78</v>
      </c>
      <c r="CB2" s="16" t="s">
        <v>79</v>
      </c>
      <c r="CC2" s="16" t="s">
        <v>80</v>
      </c>
      <c r="CD2" s="16" t="s">
        <v>81</v>
      </c>
      <c r="CE2" s="16" t="s">
        <v>82</v>
      </c>
      <c r="CF2" s="16" t="s">
        <v>83</v>
      </c>
      <c r="CG2" s="16" t="s">
        <v>84</v>
      </c>
      <c r="CH2" s="16" t="s">
        <v>85</v>
      </c>
      <c r="CI2" s="16" t="s">
        <v>86</v>
      </c>
      <c r="CJ2" s="16" t="s">
        <v>87</v>
      </c>
      <c r="CK2" s="16" t="s">
        <v>88</v>
      </c>
      <c r="CL2" s="16" t="s">
        <v>89</v>
      </c>
      <c r="CM2" s="16" t="s">
        <v>90</v>
      </c>
      <c r="CN2" s="16" t="s">
        <v>91</v>
      </c>
      <c r="CO2" s="16" t="s">
        <v>92</v>
      </c>
      <c r="CP2" s="16" t="s">
        <v>93</v>
      </c>
      <c r="CQ2" s="16" t="s">
        <v>94</v>
      </c>
      <c r="CR2" s="16" t="s">
        <v>95</v>
      </c>
      <c r="CS2" s="16" t="s">
        <v>96</v>
      </c>
      <c r="CT2" s="16" t="s">
        <v>97</v>
      </c>
      <c r="CU2" s="16" t="s">
        <v>98</v>
      </c>
      <c r="CV2" s="16" t="s">
        <v>99</v>
      </c>
      <c r="CW2" s="16" t="s">
        <v>100</v>
      </c>
      <c r="CX2" s="16" t="s">
        <v>101</v>
      </c>
      <c r="CY2" s="16" t="s">
        <v>102</v>
      </c>
      <c r="CZ2" s="16" t="s">
        <v>103</v>
      </c>
      <c r="DA2" s="16" t="s">
        <v>104</v>
      </c>
      <c r="DB2" s="16" t="s">
        <v>105</v>
      </c>
      <c r="DC2" s="16" t="s">
        <v>106</v>
      </c>
      <c r="DD2" s="16" t="s">
        <v>107</v>
      </c>
      <c r="DE2" s="16" t="s">
        <v>108</v>
      </c>
      <c r="DF2" s="16" t="s">
        <v>109</v>
      </c>
      <c r="DG2" s="16" t="s">
        <v>110</v>
      </c>
      <c r="DH2" s="16" t="s">
        <v>111</v>
      </c>
      <c r="DI2" s="16" t="s">
        <v>112</v>
      </c>
      <c r="DJ2" s="16" t="s">
        <v>113</v>
      </c>
      <c r="DK2" s="16" t="s">
        <v>114</v>
      </c>
      <c r="DL2" s="16" t="s">
        <v>115</v>
      </c>
      <c r="DM2" s="16" t="s">
        <v>116</v>
      </c>
      <c r="DN2" s="16" t="s">
        <v>117</v>
      </c>
      <c r="DO2" s="16" t="s">
        <v>118</v>
      </c>
      <c r="DP2" s="16" t="s">
        <v>119</v>
      </c>
      <c r="DQ2" s="16" t="s">
        <v>120</v>
      </c>
      <c r="DR2" s="16" t="s">
        <v>121</v>
      </c>
      <c r="DS2" s="16" t="s">
        <v>122</v>
      </c>
      <c r="DT2" s="16" t="s">
        <v>123</v>
      </c>
      <c r="DU2" s="16" t="s">
        <v>124</v>
      </c>
      <c r="DV2" s="16" t="s">
        <v>125</v>
      </c>
      <c r="DW2" s="16" t="s">
        <v>126</v>
      </c>
      <c r="DX2" s="16" t="s">
        <v>127</v>
      </c>
      <c r="DY2" s="16" t="s">
        <v>128</v>
      </c>
      <c r="DZ2" s="16" t="s">
        <v>129</v>
      </c>
      <c r="EA2" s="16" t="s">
        <v>130</v>
      </c>
      <c r="EB2" s="16" t="s">
        <v>131</v>
      </c>
      <c r="EC2" s="16" t="s">
        <v>132</v>
      </c>
      <c r="ED2" s="17" t="s">
        <v>133</v>
      </c>
      <c r="EE2" s="17" t="s">
        <v>134</v>
      </c>
      <c r="EF2" s="13" t="s">
        <v>135</v>
      </c>
    </row>
    <row r="3" spans="1:136" ht="16">
      <c r="A3" s="4"/>
      <c r="B3" s="6" t="s">
        <v>136</v>
      </c>
      <c r="C3" s="23">
        <v>7.3912657797336578E-2</v>
      </c>
      <c r="D3" s="23">
        <v>7.563493400812149E-2</v>
      </c>
      <c r="E3" s="23">
        <v>5.3515486419200897E-2</v>
      </c>
      <c r="F3" s="23">
        <v>6.1629988253116608E-2</v>
      </c>
      <c r="G3" s="23">
        <v>5.0796419382095337E-2</v>
      </c>
      <c r="H3" s="23">
        <v>3.5059131681919098E-2</v>
      </c>
      <c r="I3" s="23">
        <v>9.0367138385772705E-2</v>
      </c>
      <c r="J3" s="23">
        <v>6.5266318619251251E-2</v>
      </c>
      <c r="K3" s="23">
        <v>-1.2474538758397101E-2</v>
      </c>
      <c r="L3" s="23">
        <v>7.7547639608383179E-2</v>
      </c>
      <c r="M3" s="23">
        <v>6.4441181719303131E-2</v>
      </c>
      <c r="N3" s="23">
        <v>4.6512190252542503E-2</v>
      </c>
      <c r="O3" s="23">
        <v>6.7610271275043488E-2</v>
      </c>
      <c r="P3" s="23">
        <v>-2.5644939392805099E-2</v>
      </c>
      <c r="Q3" s="23">
        <v>3.3374421298503883E-2</v>
      </c>
      <c r="R3" s="23">
        <v>5.7588163763284683E-2</v>
      </c>
      <c r="S3" s="23">
        <v>-3.4195460379123688E-2</v>
      </c>
      <c r="T3" s="23">
        <v>5.8177851140499108E-2</v>
      </c>
      <c r="U3" s="23">
        <v>3.8116455078125E-2</v>
      </c>
      <c r="V3" s="23">
        <v>-5.5063976906239986E-3</v>
      </c>
      <c r="W3" s="23">
        <v>5.813661590218544E-2</v>
      </c>
      <c r="X3" s="23">
        <v>5.6870419532060623E-2</v>
      </c>
      <c r="Y3" s="23">
        <v>5.9794772416353233E-2</v>
      </c>
      <c r="Z3" s="23">
        <v>1.319171953946352E-2</v>
      </c>
      <c r="AA3" s="23">
        <v>6.6306374967098236E-2</v>
      </c>
      <c r="AB3" s="23">
        <v>5.8820508420467377E-2</v>
      </c>
      <c r="AC3" s="23">
        <v>5.7617776095867157E-2</v>
      </c>
      <c r="AD3" s="23">
        <v>3.6969933658838272E-2</v>
      </c>
      <c r="AE3" s="23">
        <v>7.8433975577354431E-2</v>
      </c>
      <c r="AF3" s="23">
        <v>4.3248169124126427E-2</v>
      </c>
      <c r="AG3" s="23">
        <v>5.5671926587820053E-2</v>
      </c>
      <c r="AH3" s="23">
        <v>1.690743304789066E-2</v>
      </c>
      <c r="AI3" s="23">
        <v>3.7138056010007858E-2</v>
      </c>
      <c r="AJ3" s="23">
        <v>3.9113327860832207E-2</v>
      </c>
      <c r="AK3" s="23">
        <v>4.2720824480056763E-2</v>
      </c>
      <c r="AL3" s="23">
        <v>2.7467237785458561E-2</v>
      </c>
      <c r="AM3" s="23">
        <v>5.331827700138092E-2</v>
      </c>
      <c r="AN3" s="23">
        <v>0.1098324954509735</v>
      </c>
      <c r="AO3" s="23">
        <v>1.9733672961592671E-2</v>
      </c>
      <c r="AP3" s="23">
        <v>3.6758668720722198E-2</v>
      </c>
      <c r="AQ3" s="23">
        <v>5.1327180117368698E-2</v>
      </c>
      <c r="AR3" s="23">
        <v>5.3256317973136902E-2</v>
      </c>
      <c r="AS3" s="23">
        <v>5.4331317543983459E-2</v>
      </c>
      <c r="AT3" s="23">
        <v>4.3143793940544128E-2</v>
      </c>
      <c r="AU3" s="23">
        <v>3.8841631263494492E-2</v>
      </c>
      <c r="AV3" s="23">
        <v>5.5265516042709351E-2</v>
      </c>
      <c r="AW3" s="23">
        <v>5.0267204642295837E-2</v>
      </c>
      <c r="AX3" s="23">
        <v>-6.0497067868709557E-2</v>
      </c>
      <c r="AY3" s="23">
        <v>5.6344892829656601E-2</v>
      </c>
      <c r="AZ3" s="23">
        <v>4.4756263494491577E-2</v>
      </c>
      <c r="BA3" s="23">
        <v>4.9546454101800919E-2</v>
      </c>
      <c r="BB3" s="23">
        <v>6.5231695771217346E-2</v>
      </c>
      <c r="BC3" s="23">
        <v>5.2208933979272842E-2</v>
      </c>
      <c r="BD3" s="23">
        <v>5.0287269055843353E-2</v>
      </c>
      <c r="BE3" s="23">
        <v>5.3227733820676797E-2</v>
      </c>
      <c r="BF3" s="23">
        <v>5.2831601351499557E-2</v>
      </c>
      <c r="BG3" s="23">
        <v>-2.2505151107907299E-2</v>
      </c>
      <c r="BH3" s="23">
        <v>5.3355973213911063E-2</v>
      </c>
      <c r="BI3" s="23">
        <v>-4.2333740741014481E-2</v>
      </c>
      <c r="BJ3" s="23">
        <v>-4.1621774435043328E-2</v>
      </c>
      <c r="BK3" s="23">
        <v>5.2732300013303757E-2</v>
      </c>
      <c r="BL3" s="23">
        <v>5.2711453288793557E-2</v>
      </c>
      <c r="BM3" s="23">
        <v>5.2789580076932907E-2</v>
      </c>
      <c r="BN3" s="23">
        <v>5.7516373693943017E-2</v>
      </c>
      <c r="BO3" s="23">
        <v>-4.2583651840686798E-2</v>
      </c>
      <c r="BP3" s="23">
        <v>3.996393084526062E-2</v>
      </c>
      <c r="BQ3" s="23">
        <v>5.2070382982492447E-2</v>
      </c>
      <c r="BR3" s="23">
        <v>5.0181154161691673E-2</v>
      </c>
      <c r="BS3" s="23">
        <v>5.4154157638549798E-2</v>
      </c>
      <c r="BT3" s="23">
        <v>4.9134161323308938E-2</v>
      </c>
      <c r="BU3" s="23">
        <v>5.5349864065647132E-2</v>
      </c>
      <c r="BV3" s="23">
        <v>5.2839476615190513E-2</v>
      </c>
      <c r="BW3" s="23">
        <v>2.9234826564788818E-2</v>
      </c>
      <c r="BX3" s="23">
        <v>4.7284010797739029E-2</v>
      </c>
      <c r="BY3" s="23">
        <v>-4.2058713734149933E-3</v>
      </c>
      <c r="BZ3" s="23">
        <v>5.3063441067934043E-2</v>
      </c>
      <c r="CA3" s="23">
        <v>3.9631478488445282E-2</v>
      </c>
      <c r="CB3" s="23">
        <v>4.600171372294426E-2</v>
      </c>
      <c r="CC3" s="23">
        <v>5.1699593663215637E-2</v>
      </c>
      <c r="CD3" s="23">
        <v>5.2426740527153022E-2</v>
      </c>
      <c r="CE3" s="23">
        <v>4.7352515161037452E-2</v>
      </c>
      <c r="CF3" s="23">
        <v>2.1231763064861301E-2</v>
      </c>
      <c r="CG3" s="23">
        <v>4.5137140899896622E-2</v>
      </c>
      <c r="CH3" s="23">
        <v>-4.9076564610004432E-2</v>
      </c>
      <c r="CI3" s="23">
        <v>2.026702277362347E-2</v>
      </c>
      <c r="CJ3" s="23">
        <v>5.7584956288337708E-2</v>
      </c>
      <c r="CK3" s="23">
        <v>6.9196119904518127E-2</v>
      </c>
      <c r="CL3" s="23">
        <v>4.2080968618392937E-2</v>
      </c>
      <c r="CM3" s="23">
        <v>4.9845971167087548E-2</v>
      </c>
      <c r="CN3" s="23">
        <v>-4.840879887342453E-2</v>
      </c>
      <c r="CO3" s="23">
        <v>4.8292059451341629E-2</v>
      </c>
      <c r="CP3" s="23">
        <v>3.9594132453203201E-2</v>
      </c>
      <c r="CQ3" s="23">
        <v>4.8842102289199829E-2</v>
      </c>
      <c r="CR3" s="23">
        <v>4.9500271677970893E-2</v>
      </c>
      <c r="CS3" s="23">
        <v>4.7897454351186752E-2</v>
      </c>
      <c r="CT3" s="23">
        <v>2.8369873762130741E-2</v>
      </c>
      <c r="CU3" s="23">
        <v>4.4375255703926093E-2</v>
      </c>
      <c r="CV3" s="23">
        <v>5.0530951470136642E-2</v>
      </c>
      <c r="CW3" s="23">
        <v>4.3176311999559402E-2</v>
      </c>
      <c r="CX3" s="23">
        <v>5.2143923938274377E-2</v>
      </c>
      <c r="CY3" s="23">
        <v>5.0900701433420181E-2</v>
      </c>
      <c r="CZ3" s="23">
        <v>4.2558174580335617E-2</v>
      </c>
      <c r="DA3" s="23">
        <v>4.4029783457517617E-2</v>
      </c>
      <c r="DB3" s="23">
        <v>-4.3919529765844352E-2</v>
      </c>
      <c r="DC3" s="23">
        <v>5.1982991397380829E-2</v>
      </c>
      <c r="DD3" s="23">
        <v>-8.4397029131650925E-3</v>
      </c>
      <c r="DE3" s="23">
        <v>5.2998926490545273E-2</v>
      </c>
      <c r="DF3" s="23">
        <v>4.4837679713964462E-2</v>
      </c>
      <c r="DG3" s="23">
        <v>4.3406125158071518E-2</v>
      </c>
      <c r="DH3" s="23">
        <v>4.7541145235300057E-2</v>
      </c>
      <c r="DI3" s="23">
        <v>4.8345033079385757E-2</v>
      </c>
      <c r="DJ3" s="23">
        <v>5.2155863493680947E-2</v>
      </c>
      <c r="DK3" s="23">
        <v>8.9188195765018463E-2</v>
      </c>
      <c r="DL3" s="23">
        <v>-2.6696257293224331E-2</v>
      </c>
      <c r="DM3" s="23">
        <v>4.845760390162468E-2</v>
      </c>
      <c r="DN3" s="23">
        <v>4.64659184217453E-2</v>
      </c>
      <c r="DO3" s="23">
        <v>-2.9918596148490909E-2</v>
      </c>
      <c r="DP3" s="23">
        <v>4.7435946762561798E-2</v>
      </c>
      <c r="DQ3" s="23">
        <v>3.8500402122735977E-2</v>
      </c>
      <c r="DR3" s="23">
        <v>4.9186587333679199E-2</v>
      </c>
      <c r="DS3" s="23">
        <v>4.7889348119497299E-2</v>
      </c>
      <c r="DT3" s="23">
        <v>3.1652722507715232E-2</v>
      </c>
      <c r="DU3" s="23">
        <v>6.1842098832130432E-2</v>
      </c>
      <c r="DV3" s="23">
        <v>4.6563606709241867E-2</v>
      </c>
      <c r="DW3" s="23">
        <v>3.2814890146255493E-2</v>
      </c>
      <c r="DX3" s="23">
        <v>4.826011136174202E-2</v>
      </c>
      <c r="DY3" s="23">
        <v>-5.6952420622110367E-2</v>
      </c>
      <c r="DZ3" s="23">
        <v>3.3931814134120941E-2</v>
      </c>
      <c r="EA3" s="23">
        <v>4.8233494162559509E-2</v>
      </c>
      <c r="EB3" s="23">
        <v>9.788920171558857E-3</v>
      </c>
      <c r="EC3" s="23">
        <v>3.6156386137008667E-2</v>
      </c>
      <c r="ED3" s="23">
        <v>4.0190532803535461E-2</v>
      </c>
      <c r="EE3" s="24">
        <v>4.7531653195619583E-2</v>
      </c>
      <c r="EF3" s="23">
        <v>5.0330590456724167E-2</v>
      </c>
    </row>
    <row r="4" spans="1:136" ht="16">
      <c r="A4" s="4"/>
      <c r="B4" s="6" t="s">
        <v>137</v>
      </c>
      <c r="C4" s="23">
        <v>1.097527518868446E-2</v>
      </c>
      <c r="D4" s="23">
        <v>-4.8196077346801758E-2</v>
      </c>
      <c r="E4" s="23">
        <v>8.2988262176513672E-2</v>
      </c>
      <c r="F4" s="23">
        <v>3.8252770900726318E-2</v>
      </c>
      <c r="G4" s="23">
        <v>5.0002194941043847E-2</v>
      </c>
      <c r="H4" s="23">
        <v>1.3410039246082309E-2</v>
      </c>
      <c r="I4" s="23">
        <v>-2.6064049452543259E-2</v>
      </c>
      <c r="J4" s="23">
        <v>-3.02179642021656E-2</v>
      </c>
      <c r="K4" s="23">
        <v>-3.3898375928401947E-2</v>
      </c>
      <c r="L4" s="23">
        <v>-3.984282910823822E-2</v>
      </c>
      <c r="M4" s="23">
        <v>-4.3122667819261551E-2</v>
      </c>
      <c r="N4" s="23">
        <v>4.2018979787826538E-2</v>
      </c>
      <c r="O4" s="23">
        <v>-3.4795396029949188E-2</v>
      </c>
      <c r="P4" s="23">
        <v>-4.6467673033475883E-2</v>
      </c>
      <c r="Q4" s="23">
        <v>-6.1648782342672348E-2</v>
      </c>
      <c r="R4" s="23">
        <v>-3.4485667943954468E-2</v>
      </c>
      <c r="S4" s="23">
        <v>-2.5171820074319839E-2</v>
      </c>
      <c r="T4" s="23">
        <v>-3.7345178425312042E-2</v>
      </c>
      <c r="U4" s="23">
        <v>8.309655636548996E-2</v>
      </c>
      <c r="V4" s="23">
        <v>8.9860610663890839E-2</v>
      </c>
      <c r="W4" s="23">
        <v>-2.792869508266449E-2</v>
      </c>
      <c r="X4" s="23">
        <v>8.2243978977203369E-2</v>
      </c>
      <c r="Y4" s="23">
        <v>-7.1789160370826721E-2</v>
      </c>
      <c r="Z4" s="23">
        <v>-3.0311709269881248E-2</v>
      </c>
      <c r="AA4" s="23">
        <v>3.6390047520399087E-2</v>
      </c>
      <c r="AB4" s="23">
        <v>3.8148783147335052E-2</v>
      </c>
      <c r="AC4" s="23">
        <v>-2.473837323486805E-2</v>
      </c>
      <c r="AD4" s="23">
        <v>-9.8738029599189758E-2</v>
      </c>
      <c r="AE4" s="23">
        <v>-4.4849235564470291E-2</v>
      </c>
      <c r="AF4" s="23">
        <v>-4.4075444340705872E-2</v>
      </c>
      <c r="AG4" s="23">
        <v>-2.9871419072151181E-2</v>
      </c>
      <c r="AH4" s="23">
        <v>1.6651395708322528E-2</v>
      </c>
      <c r="AI4" s="23">
        <v>2.7999542653560638E-2</v>
      </c>
      <c r="AJ4" s="23">
        <v>-1.5782922506332401E-2</v>
      </c>
      <c r="AK4" s="23">
        <v>-9.3165159225463867E-2</v>
      </c>
      <c r="AL4" s="23">
        <v>5.6960459798574448E-2</v>
      </c>
      <c r="AM4" s="23">
        <v>-2.980230376124382E-2</v>
      </c>
      <c r="AN4" s="23">
        <v>-3.7541721016168587E-2</v>
      </c>
      <c r="AO4" s="23">
        <v>1.405663043260574E-2</v>
      </c>
      <c r="AP4" s="23">
        <v>2.8084170073270801E-2</v>
      </c>
      <c r="AQ4" s="23">
        <v>-2.095661498606205E-2</v>
      </c>
      <c r="AR4" s="23">
        <v>-3.324919193983078E-2</v>
      </c>
      <c r="AS4" s="23">
        <v>2.9234178364276889E-2</v>
      </c>
      <c r="AT4" s="23">
        <v>-3.8568161427974701E-2</v>
      </c>
      <c r="AU4" s="23">
        <v>-3.052850067615509E-2</v>
      </c>
      <c r="AV4" s="23">
        <v>-3.2747495919466019E-2</v>
      </c>
      <c r="AW4" s="23">
        <v>4.592633992433548E-2</v>
      </c>
      <c r="AX4" s="23">
        <v>-3.4888666123151779E-2</v>
      </c>
      <c r="AY4" s="23">
        <v>-3.4154564142227173E-2</v>
      </c>
      <c r="AZ4" s="23">
        <v>2.5950407609343529E-2</v>
      </c>
      <c r="BA4" s="23">
        <v>-3.119267150759697E-2</v>
      </c>
      <c r="BB4" s="23">
        <v>-8.7475843727588654E-2</v>
      </c>
      <c r="BC4" s="23">
        <v>3.5330057144165039E-2</v>
      </c>
      <c r="BD4" s="23">
        <v>-3.112911619246006E-2</v>
      </c>
      <c r="BE4" s="23">
        <v>-5.4915815591812127E-2</v>
      </c>
      <c r="BF4" s="23">
        <v>-3.1478296965360641E-2</v>
      </c>
      <c r="BG4" s="23">
        <v>-4.006657749414444E-2</v>
      </c>
      <c r="BH4" s="23">
        <v>3.062369488179684E-2</v>
      </c>
      <c r="BI4" s="23">
        <v>-3.1123528257012371E-2</v>
      </c>
      <c r="BJ4" s="23">
        <v>-3.0040133744478229E-2</v>
      </c>
      <c r="BK4" s="23">
        <v>-4.1486956179141998E-2</v>
      </c>
      <c r="BL4" s="23">
        <v>3.9935577660799033E-2</v>
      </c>
      <c r="BM4" s="23">
        <v>1.8027245998382568E-2</v>
      </c>
      <c r="BN4" s="23">
        <v>-0.1043956056237221</v>
      </c>
      <c r="BO4" s="23">
        <v>6.9876932539045811E-3</v>
      </c>
      <c r="BP4" s="23">
        <v>4.6952194534242153E-3</v>
      </c>
      <c r="BQ4" s="23">
        <v>1.519524399191141E-2</v>
      </c>
      <c r="BR4" s="23">
        <v>-7.3001924902200699E-3</v>
      </c>
      <c r="BS4" s="23">
        <v>-4.3473392724990838E-2</v>
      </c>
      <c r="BT4" s="23">
        <v>4.9916800111532211E-2</v>
      </c>
      <c r="BU4" s="23">
        <v>3.4368544816970832E-2</v>
      </c>
      <c r="BV4" s="23">
        <v>-4.2206816375255578E-2</v>
      </c>
      <c r="BW4" s="23">
        <v>4.0576938539743423E-2</v>
      </c>
      <c r="BX4" s="23">
        <v>0.11351513117551799</v>
      </c>
      <c r="BY4" s="23">
        <v>-6.0964066535234451E-2</v>
      </c>
      <c r="BZ4" s="23">
        <v>7.4336347170174122E-3</v>
      </c>
      <c r="CA4" s="23">
        <v>-3.4166339784860611E-2</v>
      </c>
      <c r="CB4" s="23">
        <v>-4.2827509343624108E-2</v>
      </c>
      <c r="CC4" s="23">
        <v>-4.052165150642395E-2</v>
      </c>
      <c r="CD4" s="23">
        <v>-2.6725079864263531E-2</v>
      </c>
      <c r="CE4" s="23">
        <v>-4.8888608813285828E-2</v>
      </c>
      <c r="CF4" s="23">
        <v>4.5108072459697723E-2</v>
      </c>
      <c r="CG4" s="23">
        <v>3.2500136643648148E-2</v>
      </c>
      <c r="CH4" s="23">
        <v>3.3603519201278693E-2</v>
      </c>
      <c r="CI4" s="23">
        <v>-5.9029228985309601E-2</v>
      </c>
      <c r="CJ4" s="23">
        <v>-3.3231545239686973E-2</v>
      </c>
      <c r="CK4" s="23">
        <v>3.3614955842494958E-2</v>
      </c>
      <c r="CL4" s="23">
        <v>-8.7717965245246887E-2</v>
      </c>
      <c r="CM4" s="23">
        <v>-7.8791035339236259E-3</v>
      </c>
      <c r="CN4" s="23">
        <v>-3.1603436917066567E-2</v>
      </c>
      <c r="CO4" s="23">
        <v>-2.4560306221246719E-2</v>
      </c>
      <c r="CP4" s="23">
        <v>-2.426661737263203E-2</v>
      </c>
      <c r="CQ4" s="23">
        <v>9.8067363724112511E-3</v>
      </c>
      <c r="CR4" s="23">
        <v>7.6525658369064331E-2</v>
      </c>
      <c r="CS4" s="23">
        <v>2.158103883266449E-2</v>
      </c>
      <c r="CT4" s="23">
        <v>2.1532453596591949E-2</v>
      </c>
      <c r="CU4" s="23">
        <v>3.4501176327466958E-2</v>
      </c>
      <c r="CV4" s="23">
        <v>-6.2654152512550354E-2</v>
      </c>
      <c r="CW4" s="23">
        <v>-4.558606818318367E-2</v>
      </c>
      <c r="CX4" s="23">
        <v>-6.5642617642879486E-2</v>
      </c>
      <c r="CY4" s="23">
        <v>6.3649572432041168E-2</v>
      </c>
      <c r="CZ4" s="23">
        <v>-7.8583814203739166E-2</v>
      </c>
      <c r="DA4" s="23">
        <v>-2.812452428042889E-2</v>
      </c>
      <c r="DB4" s="23">
        <v>-5.8803975582122803E-2</v>
      </c>
      <c r="DC4" s="23">
        <v>-3.1962350010871887E-2</v>
      </c>
      <c r="DD4" s="23">
        <v>-3.8284681737422943E-2</v>
      </c>
      <c r="DE4" s="23">
        <v>4.8030544072389603E-2</v>
      </c>
      <c r="DF4" s="23">
        <v>-2.9363507404923439E-2</v>
      </c>
      <c r="DG4" s="23">
        <v>6.0822788625955582E-2</v>
      </c>
      <c r="DH4" s="23">
        <v>-2.8199369087815281E-2</v>
      </c>
      <c r="DI4" s="23">
        <v>-2.9792105779051781E-2</v>
      </c>
      <c r="DJ4" s="23">
        <v>-3.0000817030668259E-2</v>
      </c>
      <c r="DK4" s="23">
        <v>1.032026950269938E-2</v>
      </c>
      <c r="DL4" s="23">
        <v>-4.2281743139028549E-2</v>
      </c>
      <c r="DM4" s="23">
        <v>-4.8086602240800858E-2</v>
      </c>
      <c r="DN4" s="23">
        <v>-1.942399330437183E-2</v>
      </c>
      <c r="DO4" s="23">
        <v>-4.04704250395298E-2</v>
      </c>
      <c r="DP4" s="23">
        <v>-3.4404326230287552E-2</v>
      </c>
      <c r="DQ4" s="23">
        <v>-2.7822112664580349E-2</v>
      </c>
      <c r="DR4" s="23">
        <v>-2.84544937312603E-2</v>
      </c>
      <c r="DS4" s="23">
        <v>-6.9464683532714844E-2</v>
      </c>
      <c r="DT4" s="23">
        <v>-2.8235232457518581E-2</v>
      </c>
      <c r="DU4" s="23">
        <v>5.3089391440153122E-2</v>
      </c>
      <c r="DV4" s="23">
        <v>-2.7063906192779541E-2</v>
      </c>
      <c r="DW4" s="23">
        <v>-2.4401027709245678E-2</v>
      </c>
      <c r="DX4" s="23">
        <v>2.726493868976831E-3</v>
      </c>
      <c r="DY4" s="23">
        <v>4.3977614492177963E-2</v>
      </c>
      <c r="DZ4" s="23">
        <v>-2.4560714140534401E-2</v>
      </c>
      <c r="EA4" s="23">
        <v>-4.7766271978616708E-2</v>
      </c>
      <c r="EB4" s="23">
        <v>-4.1742835193872452E-2</v>
      </c>
      <c r="EC4" s="23">
        <v>-2.8310522437095639E-2</v>
      </c>
      <c r="ED4" s="23">
        <v>-2.4022841826081279E-2</v>
      </c>
      <c r="EE4" s="23">
        <v>0.11009947955608369</v>
      </c>
      <c r="EF4" s="23">
        <v>-2.9047638177871701E-2</v>
      </c>
    </row>
    <row r="5" spans="1:136" ht="16">
      <c r="A5" s="4"/>
      <c r="B5" s="22" t="s">
        <v>138</v>
      </c>
      <c r="C5" s="23">
        <v>-2.4425527080893521E-3</v>
      </c>
      <c r="D5" s="23">
        <v>-2.162628248333931E-2</v>
      </c>
      <c r="E5" s="23">
        <v>-5.3863544017076492E-3</v>
      </c>
      <c r="F5" s="23">
        <v>-5.3014284931123257E-3</v>
      </c>
      <c r="G5" s="23">
        <v>3.1814873218536377E-2</v>
      </c>
      <c r="H5" s="23">
        <v>5.7366847991943359E-2</v>
      </c>
      <c r="I5" s="23">
        <v>-6.6244855523109436E-2</v>
      </c>
      <c r="J5" s="23">
        <v>3.624555841088295E-2</v>
      </c>
      <c r="K5" s="23">
        <v>-7.1708038449287406E-3</v>
      </c>
      <c r="L5" s="23">
        <v>-7.9015763476490974E-3</v>
      </c>
      <c r="M5" s="23">
        <v>7.1032247506082058E-3</v>
      </c>
      <c r="N5" s="23">
        <v>-3.7834208458662033E-2</v>
      </c>
      <c r="O5" s="23">
        <v>2.087398245930672E-2</v>
      </c>
      <c r="P5" s="23">
        <v>1.444438705220819E-3</v>
      </c>
      <c r="Q5" s="23">
        <v>3.0378168448805809E-3</v>
      </c>
      <c r="R5" s="23">
        <v>-4.4238022528588772E-3</v>
      </c>
      <c r="S5" s="23">
        <v>3.937915712594986E-2</v>
      </c>
      <c r="T5" s="23">
        <v>8.250849787145853E-4</v>
      </c>
      <c r="U5" s="23">
        <v>3.7100087851285928E-2</v>
      </c>
      <c r="V5" s="23">
        <v>1.865322515368462E-2</v>
      </c>
      <c r="W5" s="23">
        <v>-6.4136604778468609E-3</v>
      </c>
      <c r="X5" s="23">
        <v>-3.691675141453743E-3</v>
      </c>
      <c r="Y5" s="23">
        <v>-3.8559310138225562E-2</v>
      </c>
      <c r="Z5" s="23">
        <v>-8.7653528898954391E-3</v>
      </c>
      <c r="AA5" s="23">
        <v>-1.000822801142931E-2</v>
      </c>
      <c r="AB5" s="23">
        <v>-8.1863868981599808E-3</v>
      </c>
      <c r="AC5" s="23">
        <v>-4.3017767369747162E-2</v>
      </c>
      <c r="AD5" s="23">
        <v>-1.1843433603644369E-2</v>
      </c>
      <c r="AE5" s="23">
        <v>-3.2743070274591453E-2</v>
      </c>
      <c r="AF5" s="23">
        <v>-1.433323509991169E-2</v>
      </c>
      <c r="AG5" s="23">
        <v>-6.071711890399456E-3</v>
      </c>
      <c r="AH5" s="23">
        <v>7.1172383613884449E-3</v>
      </c>
      <c r="AI5" s="23">
        <v>-3.749270923435688E-3</v>
      </c>
      <c r="AJ5" s="23">
        <v>-3.687632037326694E-3</v>
      </c>
      <c r="AK5" s="23">
        <v>-5.2553778514266014E-3</v>
      </c>
      <c r="AL5" s="23">
        <v>-5.0698723644018173E-3</v>
      </c>
      <c r="AM5" s="23">
        <v>-6.5165474079549313E-3</v>
      </c>
      <c r="AN5" s="23">
        <v>-3.1071184203028679E-3</v>
      </c>
      <c r="AO5" s="23">
        <v>1.016197819262743E-2</v>
      </c>
      <c r="AP5" s="23">
        <v>-5.1280106417834759E-3</v>
      </c>
      <c r="AQ5" s="23">
        <v>-1.493195351213217E-2</v>
      </c>
      <c r="AR5" s="23">
        <v>-4.0432393550872803E-2</v>
      </c>
      <c r="AS5" s="23">
        <v>4.4245671480894089E-2</v>
      </c>
      <c r="AT5" s="23">
        <v>-1.627960242331028E-2</v>
      </c>
      <c r="AU5" s="23">
        <v>-1.177760493010283E-2</v>
      </c>
      <c r="AV5" s="23">
        <v>3.3210780471563339E-2</v>
      </c>
      <c r="AW5" s="23">
        <v>-1.15481223911047E-2</v>
      </c>
      <c r="AX5" s="23">
        <v>1.135891675949097E-2</v>
      </c>
      <c r="AY5" s="23">
        <v>-1.387173542752862E-3</v>
      </c>
      <c r="AZ5" s="23">
        <v>2.6015019044280049E-2</v>
      </c>
      <c r="BA5" s="23">
        <v>-2.783761010505259E-4</v>
      </c>
      <c r="BB5" s="23">
        <v>-7.3484578169882298E-3</v>
      </c>
      <c r="BC5" s="23">
        <v>2.1762042306363578E-3</v>
      </c>
      <c r="BD5" s="23">
        <v>-1.547292340546846E-2</v>
      </c>
      <c r="BE5" s="23">
        <v>-6.5566743724048138E-3</v>
      </c>
      <c r="BF5" s="23">
        <v>1.8655456369742751E-4</v>
      </c>
      <c r="BG5" s="23">
        <v>0.1231109201908112</v>
      </c>
      <c r="BH5" s="23">
        <v>1.567914895713329E-2</v>
      </c>
      <c r="BI5" s="23">
        <v>-4.0477633476257317E-2</v>
      </c>
      <c r="BJ5" s="23">
        <v>-2.2815016563981769E-4</v>
      </c>
      <c r="BK5" s="23">
        <v>-7.1884272620081902E-3</v>
      </c>
      <c r="BL5" s="23">
        <v>-1.8430699128657579E-3</v>
      </c>
      <c r="BM5" s="23">
        <v>-3.9120744913816452E-3</v>
      </c>
      <c r="BN5" s="23">
        <v>-3.5538640804588789E-4</v>
      </c>
      <c r="BO5" s="23">
        <v>-3.8149822503328319E-3</v>
      </c>
      <c r="BP5" s="23">
        <v>3.1992118805646903E-2</v>
      </c>
      <c r="BQ5" s="23">
        <v>8.8122236775234342E-4</v>
      </c>
      <c r="BR5" s="23">
        <v>8.2531711086630821E-4</v>
      </c>
      <c r="BS5" s="23">
        <v>1.15978941321373E-2</v>
      </c>
      <c r="BT5" s="23">
        <v>-1.8043554155156019E-4</v>
      </c>
      <c r="BU5" s="23">
        <v>-3.6622094921767712E-3</v>
      </c>
      <c r="BV5" s="23">
        <v>-1.5918856952339411E-3</v>
      </c>
      <c r="BW5" s="23">
        <v>1.1063155718147749E-2</v>
      </c>
      <c r="BX5" s="23">
        <v>-2.2377460263669491E-3</v>
      </c>
      <c r="BY5" s="23">
        <v>-2.6888400316238399E-3</v>
      </c>
      <c r="BZ5" s="23">
        <v>1.959662884473801E-2</v>
      </c>
      <c r="CA5" s="23">
        <v>-1.708961836993694E-2</v>
      </c>
      <c r="CB5" s="23">
        <v>-1.78644172847271E-2</v>
      </c>
      <c r="CC5" s="23">
        <v>-6.2383759766817093E-2</v>
      </c>
      <c r="CD5" s="23">
        <v>-6.3154017552733421E-3</v>
      </c>
      <c r="CE5" s="23">
        <v>4.7826808877289304E-3</v>
      </c>
      <c r="CF5" s="23">
        <v>-4.4821593910455704E-3</v>
      </c>
      <c r="CG5" s="23">
        <v>1.214408688247204E-2</v>
      </c>
      <c r="CH5" s="23">
        <v>5.5632010102272027E-2</v>
      </c>
      <c r="CI5" s="23">
        <v>-6.089337170124054E-3</v>
      </c>
      <c r="CJ5" s="23">
        <v>4.1742203757166862E-3</v>
      </c>
      <c r="CK5" s="23">
        <v>-5.3255923092365258E-2</v>
      </c>
      <c r="CL5" s="23">
        <v>-3.5227751359343529E-3</v>
      </c>
      <c r="CM5" s="23">
        <v>-1.0564735159277919E-2</v>
      </c>
      <c r="CN5" s="23">
        <v>-1.4071955811232331E-3</v>
      </c>
      <c r="CO5" s="23">
        <v>2.154150977730751E-3</v>
      </c>
      <c r="CP5" s="23">
        <v>-4.1955962777137763E-2</v>
      </c>
      <c r="CQ5" s="23">
        <v>-4.3455613777041444E-3</v>
      </c>
      <c r="CR5" s="23">
        <v>5.5619608610868454E-4</v>
      </c>
      <c r="CS5" s="23">
        <v>-4.6609323471784592E-3</v>
      </c>
      <c r="CT5" s="23">
        <v>-5.460372194647789E-4</v>
      </c>
      <c r="CU5" s="23">
        <v>2.285588905215263E-2</v>
      </c>
      <c r="CV5" s="23">
        <v>1.362518593668938E-2</v>
      </c>
      <c r="CW5" s="23">
        <v>-3.469586838036776E-3</v>
      </c>
      <c r="CX5" s="23">
        <v>-1.9505729433149099E-3</v>
      </c>
      <c r="CY5" s="23">
        <v>-2.4859204422682519E-3</v>
      </c>
      <c r="CZ5" s="23">
        <v>-1.0054910089820619E-3</v>
      </c>
      <c r="DA5" s="23">
        <v>1.2646311894059179E-2</v>
      </c>
      <c r="DB5" s="23">
        <v>-3.145966213196516E-3</v>
      </c>
      <c r="DC5" s="23">
        <v>-3.897595452144742E-3</v>
      </c>
      <c r="DD5" s="23">
        <v>-4.6709622256457814E-3</v>
      </c>
      <c r="DE5" s="23">
        <v>2.2379271686077121E-2</v>
      </c>
      <c r="DF5" s="23">
        <v>-2.2962655872106549E-2</v>
      </c>
      <c r="DG5" s="23">
        <v>-5.475522018969059E-3</v>
      </c>
      <c r="DH5" s="23">
        <v>-4.3155676685273647E-3</v>
      </c>
      <c r="DI5" s="23">
        <v>-1.630075462162495E-2</v>
      </c>
      <c r="DJ5" s="23">
        <v>6.7051458172500134E-3</v>
      </c>
      <c r="DK5" s="23">
        <v>-8.2752257585525513E-3</v>
      </c>
      <c r="DL5" s="23">
        <v>3.0191972851753231E-2</v>
      </c>
      <c r="DM5" s="23">
        <v>-5.071351770311594E-4</v>
      </c>
      <c r="DN5" s="23">
        <v>-3.951698075979948E-3</v>
      </c>
      <c r="DO5" s="23">
        <v>2.990380628034472E-3</v>
      </c>
      <c r="DP5" s="23">
        <v>-6.3493386842310429E-3</v>
      </c>
      <c r="DQ5" s="23">
        <v>-4.0843049064278603E-3</v>
      </c>
      <c r="DR5" s="23">
        <v>-2.2978853434324261E-2</v>
      </c>
      <c r="DS5" s="23">
        <v>1.368343830108643E-3</v>
      </c>
      <c r="DT5" s="23">
        <v>-3.4443521872162819E-4</v>
      </c>
      <c r="DU5" s="23">
        <v>-6.7529221996665001E-3</v>
      </c>
      <c r="DV5" s="23">
        <v>-1.2841427698731421E-2</v>
      </c>
      <c r="DW5" s="23">
        <v>-8.8949445635080338E-3</v>
      </c>
      <c r="DX5" s="23">
        <v>-6.7950468510389328E-3</v>
      </c>
      <c r="DY5" s="23">
        <v>-2.9764331411570311E-3</v>
      </c>
      <c r="DZ5" s="23">
        <v>-2.276478568091989E-3</v>
      </c>
      <c r="EA5" s="23">
        <v>-3.2696472480893139E-3</v>
      </c>
      <c r="EB5" s="23">
        <v>-5.5572022683918476E-3</v>
      </c>
      <c r="EC5" s="23">
        <v>-4.4316230341792107E-3</v>
      </c>
      <c r="ED5" s="23">
        <v>-6.1979256570339203E-3</v>
      </c>
      <c r="EE5" s="23">
        <v>-6.2301061116158962E-3</v>
      </c>
      <c r="EF5" s="23">
        <v>-6.0357367619872093E-3</v>
      </c>
    </row>
    <row r="6" spans="1:136" ht="16">
      <c r="A6" s="73" t="s">
        <v>139</v>
      </c>
      <c r="B6" s="74"/>
      <c r="C6" s="25" cm="1">
        <f t="array" ref="C6">MATCH(MAX(ABS(C3:C5)), ABS(C3:C5), 0)</f>
        <v>1</v>
      </c>
      <c r="D6" s="25" cm="1">
        <f t="array" ref="D6">MATCH(MAX(ABS(D3:D5)), ABS(D3:D5), 0)</f>
        <v>1</v>
      </c>
      <c r="E6" s="25" cm="1">
        <f t="array" ref="E6">MATCH(MAX(ABS(E3:E5)), ABS(E3:E5), 0)</f>
        <v>2</v>
      </c>
      <c r="F6" s="25" cm="1">
        <f t="array" ref="F6">MATCH(MAX(ABS(F3:F5)), ABS(F3:F5), 0)</f>
        <v>1</v>
      </c>
      <c r="G6" s="25" cm="1">
        <f t="array" ref="G6">MATCH(MAX(ABS(G3:G5)), ABS(G3:G5), 0)</f>
        <v>1</v>
      </c>
      <c r="H6" s="25" cm="1">
        <f t="array" ref="H6">MATCH(MAX(ABS(H3:H5)), ABS(H3:H5), 0)</f>
        <v>3</v>
      </c>
      <c r="I6" s="25" cm="1">
        <f t="array" ref="I6">MATCH(MAX(ABS(I3:I5)), ABS(I3:I5), 0)</f>
        <v>1</v>
      </c>
      <c r="J6" s="25" cm="1">
        <f t="array" ref="J6">MATCH(MAX(ABS(J3:J5)), ABS(J3:J5), 0)</f>
        <v>1</v>
      </c>
      <c r="K6" s="25" cm="1">
        <f t="array" ref="K6">MATCH(MAX(ABS(K3:K5)), ABS(K3:K5), 0)</f>
        <v>2</v>
      </c>
      <c r="L6" s="25" cm="1">
        <f t="array" ref="L6">MATCH(MAX(ABS(L3:L5)), ABS(L3:L5), 0)</f>
        <v>1</v>
      </c>
      <c r="M6" s="25" cm="1">
        <f t="array" ref="M6">MATCH(MAX(ABS(M3:M5)), ABS(M3:M5), 0)</f>
        <v>1</v>
      </c>
      <c r="N6" s="25" cm="1">
        <f t="array" ref="N6">MATCH(MAX(ABS(N3:N5)), ABS(N3:N5), 0)</f>
        <v>1</v>
      </c>
      <c r="O6" s="25" cm="1">
        <f t="array" ref="O6">MATCH(MAX(ABS(O3:O5)), ABS(O3:O5), 0)</f>
        <v>1</v>
      </c>
      <c r="P6" s="25" cm="1">
        <f t="array" ref="P6">MATCH(MAX(ABS(P3:P5)), ABS(P3:P5), 0)</f>
        <v>2</v>
      </c>
      <c r="Q6" s="25" cm="1">
        <f t="array" ref="Q6">MATCH(MAX(ABS(Q3:Q5)), ABS(Q3:Q5), 0)</f>
        <v>2</v>
      </c>
      <c r="R6" s="25" cm="1">
        <f t="array" ref="R6">MATCH(MAX(ABS(R3:R5)), ABS(R3:R5), 0)</f>
        <v>1</v>
      </c>
      <c r="S6" s="25" cm="1">
        <f t="array" ref="S6">MATCH(MAX(ABS(S3:S5)), ABS(S3:S5), 0)</f>
        <v>3</v>
      </c>
      <c r="T6" s="25" cm="1">
        <f t="array" ref="T6">MATCH(MAX(ABS(T3:T5)), ABS(T3:T5), 0)</f>
        <v>1</v>
      </c>
      <c r="U6" s="25" cm="1">
        <f t="array" ref="U6">MATCH(MAX(ABS(U3:U5)), ABS(U3:U5), 0)</f>
        <v>2</v>
      </c>
      <c r="V6" s="25" cm="1">
        <f t="array" ref="V6">MATCH(MAX(ABS(V3:V5)), ABS(V3:V5), 0)</f>
        <v>2</v>
      </c>
      <c r="W6" s="25" cm="1">
        <f t="array" ref="W6">MATCH(MAX(ABS(W3:W5)), ABS(W3:W5), 0)</f>
        <v>1</v>
      </c>
      <c r="X6" s="25" cm="1">
        <f t="array" ref="X6">MATCH(MAX(ABS(X3:X5)), ABS(X3:X5), 0)</f>
        <v>2</v>
      </c>
      <c r="Y6" s="25" cm="1">
        <f t="array" ref="Y6">MATCH(MAX(ABS(Y3:Y5)), ABS(Y3:Y5), 0)</f>
        <v>2</v>
      </c>
      <c r="Z6" s="25" cm="1">
        <f t="array" ref="Z6">MATCH(MAX(ABS(Z3:Z5)), ABS(Z3:Z5), 0)</f>
        <v>2</v>
      </c>
      <c r="AA6" s="25" cm="1">
        <f t="array" ref="AA6">MATCH(MAX(ABS(AA3:AA5)), ABS(AA3:AA5), 0)</f>
        <v>1</v>
      </c>
      <c r="AB6" s="25" cm="1">
        <f t="array" ref="AB6">MATCH(MAX(ABS(AB3:AB5)), ABS(AB3:AB5), 0)</f>
        <v>1</v>
      </c>
      <c r="AC6" s="25" cm="1">
        <f t="array" ref="AC6">MATCH(MAX(ABS(AC3:AC5)), ABS(AC3:AC5), 0)</f>
        <v>1</v>
      </c>
      <c r="AD6" s="25" cm="1">
        <f t="array" ref="AD6">MATCH(MAX(ABS(AD3:AD5)), ABS(AD3:AD5), 0)</f>
        <v>2</v>
      </c>
      <c r="AE6" s="25" cm="1">
        <f t="array" ref="AE6">MATCH(MAX(ABS(AE3:AE5)), ABS(AE3:AE5), 0)</f>
        <v>1</v>
      </c>
      <c r="AF6" s="25" cm="1">
        <f t="array" ref="AF6">MATCH(MAX(ABS(AF3:AF5)), ABS(AF3:AF5), 0)</f>
        <v>2</v>
      </c>
      <c r="AG6" s="25" cm="1">
        <f t="array" ref="AG6">MATCH(MAX(ABS(AG3:AG5)), ABS(AG3:AG5), 0)</f>
        <v>1</v>
      </c>
      <c r="AH6" s="25" cm="1">
        <f t="array" ref="AH6">MATCH(MAX(ABS(AH3:AH5)), ABS(AH3:AH5), 0)</f>
        <v>1</v>
      </c>
      <c r="AI6" s="25" cm="1">
        <f t="array" ref="AI6">MATCH(MAX(ABS(AI3:AI5)), ABS(AI3:AI5), 0)</f>
        <v>1</v>
      </c>
      <c r="AJ6" s="25" cm="1">
        <f t="array" ref="AJ6">MATCH(MAX(ABS(AJ3:AJ5)), ABS(AJ3:AJ5), 0)</f>
        <v>1</v>
      </c>
      <c r="AK6" s="25" cm="1">
        <f t="array" ref="AK6">MATCH(MAX(ABS(AK3:AK5)), ABS(AK3:AK5), 0)</f>
        <v>2</v>
      </c>
      <c r="AL6" s="25" cm="1">
        <f t="array" ref="AL6">MATCH(MAX(ABS(AL3:AL5)), ABS(AL3:AL5), 0)</f>
        <v>2</v>
      </c>
      <c r="AM6" s="25" cm="1">
        <f t="array" ref="AM6">MATCH(MAX(ABS(AM3:AM5)), ABS(AM3:AM5), 0)</f>
        <v>1</v>
      </c>
      <c r="AN6" s="25" cm="1">
        <f t="array" ref="AN6">MATCH(MAX(ABS(AN3:AN5)), ABS(AN3:AN5), 0)</f>
        <v>1</v>
      </c>
      <c r="AO6" s="25" cm="1">
        <f t="array" ref="AO6">MATCH(MAX(ABS(AO3:AO5)), ABS(AO3:AO5), 0)</f>
        <v>1</v>
      </c>
      <c r="AP6" s="25" cm="1">
        <f t="array" ref="AP6">MATCH(MAX(ABS(AP3:AP5)), ABS(AP3:AP5), 0)</f>
        <v>1</v>
      </c>
      <c r="AQ6" s="25" cm="1">
        <f t="array" ref="AQ6">MATCH(MAX(ABS(AQ3:AQ5)), ABS(AQ3:AQ5), 0)</f>
        <v>1</v>
      </c>
      <c r="AR6" s="25" cm="1">
        <f t="array" ref="AR6">MATCH(MAX(ABS(AR3:AR5)), ABS(AR3:AR5), 0)</f>
        <v>1</v>
      </c>
      <c r="AS6" s="25" cm="1">
        <f t="array" ref="AS6">MATCH(MAX(ABS(AS3:AS5)), ABS(AS3:AS5), 0)</f>
        <v>1</v>
      </c>
      <c r="AT6" s="25" cm="1">
        <f t="array" ref="AT6">MATCH(MAX(ABS(AT3:AT5)), ABS(AT3:AT5), 0)</f>
        <v>1</v>
      </c>
      <c r="AU6" s="25" cm="1">
        <f t="array" ref="AU6">MATCH(MAX(ABS(AU3:AU5)), ABS(AU3:AU5), 0)</f>
        <v>1</v>
      </c>
      <c r="AV6" s="25" cm="1">
        <f t="array" ref="AV6">MATCH(MAX(ABS(AV3:AV5)), ABS(AV3:AV5), 0)</f>
        <v>1</v>
      </c>
      <c r="AW6" s="25" cm="1">
        <f t="array" ref="AW6">MATCH(MAX(ABS(AW3:AW5)), ABS(AW3:AW5), 0)</f>
        <v>1</v>
      </c>
      <c r="AX6" s="25" cm="1">
        <f t="array" ref="AX6">MATCH(MAX(ABS(AX3:AX5)), ABS(AX3:AX5), 0)</f>
        <v>1</v>
      </c>
      <c r="AY6" s="25" cm="1">
        <f t="array" ref="AY6">MATCH(MAX(ABS(AY3:AY5)), ABS(AY3:AY5), 0)</f>
        <v>1</v>
      </c>
      <c r="AZ6" s="25" cm="1">
        <f t="array" ref="AZ6">MATCH(MAX(ABS(AZ3:AZ5)), ABS(AZ3:AZ5), 0)</f>
        <v>1</v>
      </c>
      <c r="BA6" s="25" cm="1">
        <f t="array" ref="BA6">MATCH(MAX(ABS(BA3:BA5)), ABS(BA3:BA5), 0)</f>
        <v>1</v>
      </c>
      <c r="BB6" s="25" cm="1">
        <f t="array" ref="BB6">MATCH(MAX(ABS(BB3:BB5)), ABS(BB3:BB5), 0)</f>
        <v>2</v>
      </c>
      <c r="BC6" s="25" cm="1">
        <f t="array" ref="BC6">MATCH(MAX(ABS(BC3:BC5)), ABS(BC3:BC5), 0)</f>
        <v>1</v>
      </c>
      <c r="BD6" s="25" cm="1">
        <f t="array" ref="BD6">MATCH(MAX(ABS(BD3:BD5)), ABS(BD3:BD5), 0)</f>
        <v>1</v>
      </c>
      <c r="BE6" s="25" cm="1">
        <f t="array" ref="BE6">MATCH(MAX(ABS(BE3:BE5)), ABS(BE3:BE5), 0)</f>
        <v>2</v>
      </c>
      <c r="BF6" s="25" cm="1">
        <f t="array" ref="BF6">MATCH(MAX(ABS(BF3:BF5)), ABS(BF3:BF5), 0)</f>
        <v>1</v>
      </c>
      <c r="BG6" s="25" cm="1">
        <f t="array" ref="BG6">MATCH(MAX(ABS(BG3:BG5)), ABS(BG3:BG5), 0)</f>
        <v>3</v>
      </c>
      <c r="BH6" s="25" cm="1">
        <f t="array" ref="BH6">MATCH(MAX(ABS(BH3:BH5)), ABS(BH3:BH5), 0)</f>
        <v>1</v>
      </c>
      <c r="BI6" s="25" cm="1">
        <f t="array" ref="BI6">MATCH(MAX(ABS(BI3:BI5)), ABS(BI3:BI5), 0)</f>
        <v>1</v>
      </c>
      <c r="BJ6" s="25" cm="1">
        <f t="array" ref="BJ6">MATCH(MAX(ABS(BJ3:BJ5)), ABS(BJ3:BJ5), 0)</f>
        <v>1</v>
      </c>
      <c r="BK6" s="25" cm="1">
        <f t="array" ref="BK6">MATCH(MAX(ABS(BK3:BK5)), ABS(BK3:BK5), 0)</f>
        <v>1</v>
      </c>
      <c r="BL6" s="25" cm="1">
        <f t="array" ref="BL6">MATCH(MAX(ABS(BL3:BL5)), ABS(BL3:BL5), 0)</f>
        <v>1</v>
      </c>
      <c r="BM6" s="25" cm="1">
        <f t="array" ref="BM6">MATCH(MAX(ABS(BM3:BM5)), ABS(BM3:BM5), 0)</f>
        <v>1</v>
      </c>
      <c r="BN6" s="25" cm="1">
        <f t="array" ref="BN6">MATCH(MAX(ABS(BN3:BN5)), ABS(BN3:BN5), 0)</f>
        <v>2</v>
      </c>
      <c r="BO6" s="25" cm="1">
        <f t="array" ref="BO6">MATCH(MAX(ABS(BO3:BO5)), ABS(BO3:BO5), 0)</f>
        <v>1</v>
      </c>
      <c r="BP6" s="25" cm="1">
        <f t="array" ref="BP6">MATCH(MAX(ABS(BP3:BP5)), ABS(BP3:BP5), 0)</f>
        <v>1</v>
      </c>
      <c r="BQ6" s="25" cm="1">
        <f t="array" ref="BQ6">MATCH(MAX(ABS(BQ3:BQ5)), ABS(BQ3:BQ5), 0)</f>
        <v>1</v>
      </c>
      <c r="BR6" s="25" cm="1">
        <f t="array" ref="BR6">MATCH(MAX(ABS(BR3:BR5)), ABS(BR3:BR5), 0)</f>
        <v>1</v>
      </c>
      <c r="BS6" s="25" cm="1">
        <f t="array" ref="BS6">MATCH(MAX(ABS(BS3:BS5)), ABS(BS3:BS5), 0)</f>
        <v>1</v>
      </c>
      <c r="BT6" s="25" cm="1">
        <f t="array" ref="BT6">MATCH(MAX(ABS(BT3:BT5)), ABS(BT3:BT5), 0)</f>
        <v>2</v>
      </c>
      <c r="BU6" s="25" cm="1">
        <f t="array" ref="BU6">MATCH(MAX(ABS(BU3:BU5)), ABS(BU3:BU5), 0)</f>
        <v>1</v>
      </c>
      <c r="BV6" s="25" cm="1">
        <f t="array" ref="BV6">MATCH(MAX(ABS(BV3:BV5)), ABS(BV3:BV5), 0)</f>
        <v>1</v>
      </c>
      <c r="BW6" s="25" cm="1">
        <f t="array" ref="BW6">MATCH(MAX(ABS(BW3:BW5)), ABS(BW3:BW5), 0)</f>
        <v>2</v>
      </c>
      <c r="BX6" s="25" cm="1">
        <f t="array" ref="BX6">MATCH(MAX(ABS(BX3:BX5)), ABS(BX3:BX5), 0)</f>
        <v>2</v>
      </c>
      <c r="BY6" s="25" cm="1">
        <f t="array" ref="BY6">MATCH(MAX(ABS(BY3:BY5)), ABS(BY3:BY5), 0)</f>
        <v>2</v>
      </c>
      <c r="BZ6" s="25" cm="1">
        <f t="array" ref="BZ6">MATCH(MAX(ABS(BZ3:BZ5)), ABS(BZ3:BZ5), 0)</f>
        <v>1</v>
      </c>
      <c r="CA6" s="25" cm="1">
        <f t="array" ref="CA6">MATCH(MAX(ABS(CA3:CA5)), ABS(CA3:CA5), 0)</f>
        <v>1</v>
      </c>
      <c r="CB6" s="25" cm="1">
        <f t="array" ref="CB6">MATCH(MAX(ABS(CB3:CB5)), ABS(CB3:CB5), 0)</f>
        <v>1</v>
      </c>
      <c r="CC6" s="25" cm="1">
        <f t="array" ref="CC6">MATCH(MAX(ABS(CC3:CC5)), ABS(CC3:CC5), 0)</f>
        <v>3</v>
      </c>
      <c r="CD6" s="25" cm="1">
        <f t="array" ref="CD6">MATCH(MAX(ABS(CD3:CD5)), ABS(CD3:CD5), 0)</f>
        <v>1</v>
      </c>
      <c r="CE6" s="25" cm="1">
        <f t="array" ref="CE6">MATCH(MAX(ABS(CE3:CE5)), ABS(CE3:CE5), 0)</f>
        <v>2</v>
      </c>
      <c r="CF6" s="25" cm="1">
        <f t="array" ref="CF6">MATCH(MAX(ABS(CF3:CF5)), ABS(CF3:CF5), 0)</f>
        <v>2</v>
      </c>
      <c r="CG6" s="25" cm="1">
        <f t="array" ref="CG6">MATCH(MAX(ABS(CG3:CG5)), ABS(CG3:CG5), 0)</f>
        <v>1</v>
      </c>
      <c r="CH6" s="25" cm="1">
        <f t="array" ref="CH6">MATCH(MAX(ABS(CH3:CH5)), ABS(CH3:CH5), 0)</f>
        <v>3</v>
      </c>
      <c r="CI6" s="25" cm="1">
        <f t="array" ref="CI6">MATCH(MAX(ABS(CI3:CI5)), ABS(CI3:CI5), 0)</f>
        <v>2</v>
      </c>
      <c r="CJ6" s="25" cm="1">
        <f t="array" ref="CJ6">MATCH(MAX(ABS(CJ3:CJ5)), ABS(CJ3:CJ5), 0)</f>
        <v>1</v>
      </c>
      <c r="CK6" s="25" cm="1">
        <f t="array" ref="CK6">MATCH(MAX(ABS(CK3:CK5)), ABS(CK3:CK5), 0)</f>
        <v>1</v>
      </c>
      <c r="CL6" s="25" cm="1">
        <f t="array" ref="CL6">MATCH(MAX(ABS(CL3:CL5)), ABS(CL3:CL5), 0)</f>
        <v>2</v>
      </c>
      <c r="CM6" s="25" cm="1">
        <f t="array" ref="CM6">MATCH(MAX(ABS(CM3:CM5)), ABS(CM3:CM5), 0)</f>
        <v>1</v>
      </c>
      <c r="CN6" s="25" cm="1">
        <f t="array" ref="CN6">MATCH(MAX(ABS(CN3:CN5)), ABS(CN3:CN5), 0)</f>
        <v>1</v>
      </c>
      <c r="CO6" s="25" cm="1">
        <f t="array" ref="CO6">MATCH(MAX(ABS(CO3:CO5)), ABS(CO3:CO5), 0)</f>
        <v>1</v>
      </c>
      <c r="CP6" s="25" cm="1">
        <f t="array" ref="CP6">MATCH(MAX(ABS(CP3:CP5)), ABS(CP3:CP5), 0)</f>
        <v>3</v>
      </c>
      <c r="CQ6" s="25" cm="1">
        <f t="array" ref="CQ6">MATCH(MAX(ABS(CQ3:CQ5)), ABS(CQ3:CQ5), 0)</f>
        <v>1</v>
      </c>
      <c r="CR6" s="25" cm="1">
        <f t="array" ref="CR6">MATCH(MAX(ABS(CR3:CR5)), ABS(CR3:CR5), 0)</f>
        <v>2</v>
      </c>
      <c r="CS6" s="25" cm="1">
        <f t="array" ref="CS6">MATCH(MAX(ABS(CS3:CS5)), ABS(CS3:CS5), 0)</f>
        <v>1</v>
      </c>
      <c r="CT6" s="25" cm="1">
        <f t="array" ref="CT6">MATCH(MAX(ABS(CT3:CT5)), ABS(CT3:CT5), 0)</f>
        <v>1</v>
      </c>
      <c r="CU6" s="25" cm="1">
        <f t="array" ref="CU6">MATCH(MAX(ABS(CU3:CU5)), ABS(CU3:CU5), 0)</f>
        <v>1</v>
      </c>
      <c r="CV6" s="25" cm="1">
        <f t="array" ref="CV6">MATCH(MAX(ABS(CV3:CV5)), ABS(CV3:CV5), 0)</f>
        <v>2</v>
      </c>
      <c r="CW6" s="25" cm="1">
        <f t="array" ref="CW6">MATCH(MAX(ABS(CW3:CW5)), ABS(CW3:CW5), 0)</f>
        <v>2</v>
      </c>
      <c r="CX6" s="25" cm="1">
        <f t="array" ref="CX6">MATCH(MAX(ABS(CX3:CX5)), ABS(CX3:CX5), 0)</f>
        <v>2</v>
      </c>
      <c r="CY6" s="25" cm="1">
        <f t="array" ref="CY6">MATCH(MAX(ABS(CY3:CY5)), ABS(CY3:CY5), 0)</f>
        <v>2</v>
      </c>
      <c r="CZ6" s="25" cm="1">
        <f t="array" ref="CZ6">MATCH(MAX(ABS(CZ3:CZ5)), ABS(CZ3:CZ5), 0)</f>
        <v>2</v>
      </c>
      <c r="DA6" s="25" cm="1">
        <f t="array" ref="DA6">MATCH(MAX(ABS(DA3:DA5)), ABS(DA3:DA5), 0)</f>
        <v>1</v>
      </c>
      <c r="DB6" s="25" cm="1">
        <f t="array" ref="DB6">MATCH(MAX(ABS(DB3:DB5)), ABS(DB3:DB5), 0)</f>
        <v>2</v>
      </c>
      <c r="DC6" s="25" cm="1">
        <f t="array" ref="DC6">MATCH(MAX(ABS(DC3:DC5)), ABS(DC3:DC5), 0)</f>
        <v>1</v>
      </c>
      <c r="DD6" s="25" cm="1">
        <f t="array" ref="DD6">MATCH(MAX(ABS(DD3:DD5)), ABS(DD3:DD5), 0)</f>
        <v>2</v>
      </c>
      <c r="DE6" s="25" cm="1">
        <f t="array" ref="DE6">MATCH(MAX(ABS(DE3:DE5)), ABS(DE3:DE5), 0)</f>
        <v>1</v>
      </c>
      <c r="DF6" s="25" cm="1">
        <f t="array" ref="DF6">MATCH(MAX(ABS(DF3:DF5)), ABS(DF3:DF5), 0)</f>
        <v>1</v>
      </c>
      <c r="DG6" s="25" cm="1">
        <f t="array" ref="DG6">MATCH(MAX(ABS(DG3:DG5)), ABS(DG3:DG5), 0)</f>
        <v>2</v>
      </c>
      <c r="DH6" s="25" cm="1">
        <f t="array" ref="DH6">MATCH(MAX(ABS(DH3:DH5)), ABS(DH3:DH5), 0)</f>
        <v>1</v>
      </c>
      <c r="DI6" s="25" cm="1">
        <f t="array" ref="DI6">MATCH(MAX(ABS(DI3:DI5)), ABS(DI3:DI5), 0)</f>
        <v>1</v>
      </c>
      <c r="DJ6" s="25" cm="1">
        <f t="array" ref="DJ6">MATCH(MAX(ABS(DJ3:DJ5)), ABS(DJ3:DJ5), 0)</f>
        <v>1</v>
      </c>
      <c r="DK6" s="25" cm="1">
        <f t="array" ref="DK6">MATCH(MAX(ABS(DK3:DK5)), ABS(DK3:DK5), 0)</f>
        <v>1</v>
      </c>
      <c r="DL6" s="25" cm="1">
        <f t="array" ref="DL6">MATCH(MAX(ABS(DL3:DL5)), ABS(DL3:DL5), 0)</f>
        <v>2</v>
      </c>
      <c r="DM6" s="25" cm="1">
        <f t="array" ref="DM6">MATCH(MAX(ABS(DM3:DM5)), ABS(DM3:DM5), 0)</f>
        <v>1</v>
      </c>
      <c r="DN6" s="25" cm="1">
        <f t="array" ref="DN6">MATCH(MAX(ABS(DN3:DN5)), ABS(DN3:DN5), 0)</f>
        <v>1</v>
      </c>
      <c r="DO6" s="25" cm="1">
        <f t="array" ref="DO6">MATCH(MAX(ABS(DO3:DO5)), ABS(DO3:DO5), 0)</f>
        <v>2</v>
      </c>
      <c r="DP6" s="25" cm="1">
        <f t="array" ref="DP6">MATCH(MAX(ABS(DP3:DP5)), ABS(DP3:DP5), 0)</f>
        <v>1</v>
      </c>
      <c r="DQ6" s="25" cm="1">
        <f t="array" ref="DQ6">MATCH(MAX(ABS(DQ3:DQ5)), ABS(DQ3:DQ5), 0)</f>
        <v>1</v>
      </c>
      <c r="DR6" s="25" cm="1">
        <f t="array" ref="DR6">MATCH(MAX(ABS(DR3:DR5)), ABS(DR3:DR5), 0)</f>
        <v>1</v>
      </c>
      <c r="DS6" s="25" cm="1">
        <f t="array" ref="DS6">MATCH(MAX(ABS(DS3:DS5)), ABS(DS3:DS5), 0)</f>
        <v>2</v>
      </c>
      <c r="DT6" s="25" cm="1">
        <f t="array" ref="DT6">MATCH(MAX(ABS(DT3:DT5)), ABS(DT3:DT5), 0)</f>
        <v>1</v>
      </c>
      <c r="DU6" s="25" cm="1">
        <f t="array" ref="DU6">MATCH(MAX(ABS(DU3:DU5)), ABS(DU3:DU5), 0)</f>
        <v>1</v>
      </c>
      <c r="DV6" s="25" cm="1">
        <f t="array" ref="DV6">MATCH(MAX(ABS(DV3:DV5)), ABS(DV3:DV5), 0)</f>
        <v>1</v>
      </c>
      <c r="DW6" s="25" cm="1">
        <f t="array" ref="DW6">MATCH(MAX(ABS(DW3:DW5)), ABS(DW3:DW5), 0)</f>
        <v>1</v>
      </c>
      <c r="DX6" s="25" cm="1">
        <f t="array" ref="DX6">MATCH(MAX(ABS(DX3:DX5)), ABS(DX3:DX5), 0)</f>
        <v>1</v>
      </c>
      <c r="DY6" s="25" cm="1">
        <f t="array" ref="DY6">MATCH(MAX(ABS(DY3:DY5)), ABS(DY3:DY5), 0)</f>
        <v>1</v>
      </c>
      <c r="DZ6" s="25" cm="1">
        <f t="array" ref="DZ6">MATCH(MAX(ABS(DZ3:DZ5)), ABS(DZ3:DZ5), 0)</f>
        <v>1</v>
      </c>
      <c r="EA6" s="25" cm="1">
        <f t="array" ref="EA6">MATCH(MAX(ABS(EA3:EA5)), ABS(EA3:EA5), 0)</f>
        <v>1</v>
      </c>
      <c r="EB6" s="25" cm="1">
        <f t="array" ref="EB6">MATCH(MAX(ABS(EB3:EB5)), ABS(EB3:EB5), 0)</f>
        <v>2</v>
      </c>
      <c r="EC6" s="25" cm="1">
        <f t="array" ref="EC6">MATCH(MAX(ABS(EC3:EC5)), ABS(EC3:EC5), 0)</f>
        <v>1</v>
      </c>
      <c r="ED6" s="25" cm="1">
        <f t="array" ref="ED6">MATCH(MAX(ABS(ED3:ED5)), ABS(ED3:ED5), 0)</f>
        <v>1</v>
      </c>
      <c r="EE6" s="25" cm="1">
        <f t="array" ref="EE6">MATCH(MAX(ABS(EE3:EE5)), ABS(EE3:EE5), 0)</f>
        <v>2</v>
      </c>
      <c r="EF6" s="25" cm="1">
        <f t="array" ref="EF6">MATCH(MAX(ABS(EF3:EF5)), ABS(EF3:EF5), 0)</f>
        <v>1</v>
      </c>
    </row>
    <row r="7" spans="1:136" ht="16">
      <c r="A7" s="4"/>
      <c r="B7" s="20"/>
      <c r="C7" s="25" t="str">
        <f>IF(C6=1,"bm",IF(C6=2,"size",IF(C6=3,"mom")))</f>
        <v>bm</v>
      </c>
      <c r="D7" s="25" t="str">
        <f t="shared" ref="D7:BO7" si="0">IF(D6=1,"bm",IF(D6=2,"size",IF(D6=3,"mom")))</f>
        <v>bm</v>
      </c>
      <c r="E7" s="25" t="str">
        <f t="shared" si="0"/>
        <v>size</v>
      </c>
      <c r="F7" s="25" t="str">
        <f t="shared" si="0"/>
        <v>bm</v>
      </c>
      <c r="G7" s="25" t="str">
        <f t="shared" si="0"/>
        <v>bm</v>
      </c>
      <c r="H7" s="25" t="str">
        <f t="shared" si="0"/>
        <v>mom</v>
      </c>
      <c r="I7" s="25" t="str">
        <f t="shared" si="0"/>
        <v>bm</v>
      </c>
      <c r="J7" s="25" t="str">
        <f t="shared" si="0"/>
        <v>bm</v>
      </c>
      <c r="K7" s="25" t="str">
        <f t="shared" si="0"/>
        <v>size</v>
      </c>
      <c r="L7" s="25" t="str">
        <f t="shared" si="0"/>
        <v>bm</v>
      </c>
      <c r="M7" s="25" t="str">
        <f t="shared" si="0"/>
        <v>bm</v>
      </c>
      <c r="N7" s="25" t="str">
        <f t="shared" si="0"/>
        <v>bm</v>
      </c>
      <c r="O7" s="25" t="str">
        <f t="shared" si="0"/>
        <v>bm</v>
      </c>
      <c r="P7" s="25" t="str">
        <f t="shared" si="0"/>
        <v>size</v>
      </c>
      <c r="Q7" s="25" t="str">
        <f t="shared" si="0"/>
        <v>size</v>
      </c>
      <c r="R7" s="25" t="str">
        <f t="shared" si="0"/>
        <v>bm</v>
      </c>
      <c r="S7" s="25" t="str">
        <f t="shared" si="0"/>
        <v>mom</v>
      </c>
      <c r="T7" s="25" t="str">
        <f t="shared" si="0"/>
        <v>bm</v>
      </c>
      <c r="U7" s="25" t="str">
        <f t="shared" si="0"/>
        <v>size</v>
      </c>
      <c r="V7" s="25" t="str">
        <f t="shared" si="0"/>
        <v>size</v>
      </c>
      <c r="W7" s="25" t="str">
        <f t="shared" si="0"/>
        <v>bm</v>
      </c>
      <c r="X7" s="25" t="str">
        <f t="shared" si="0"/>
        <v>size</v>
      </c>
      <c r="Y7" s="25" t="str">
        <f t="shared" si="0"/>
        <v>size</v>
      </c>
      <c r="Z7" s="25" t="str">
        <f t="shared" si="0"/>
        <v>size</v>
      </c>
      <c r="AA7" s="25" t="str">
        <f t="shared" si="0"/>
        <v>bm</v>
      </c>
      <c r="AB7" s="25" t="str">
        <f t="shared" si="0"/>
        <v>bm</v>
      </c>
      <c r="AC7" s="25" t="str">
        <f t="shared" si="0"/>
        <v>bm</v>
      </c>
      <c r="AD7" s="25" t="str">
        <f t="shared" si="0"/>
        <v>size</v>
      </c>
      <c r="AE7" s="25" t="str">
        <f t="shared" si="0"/>
        <v>bm</v>
      </c>
      <c r="AF7" s="25" t="str">
        <f t="shared" si="0"/>
        <v>size</v>
      </c>
      <c r="AG7" s="25" t="str">
        <f t="shared" si="0"/>
        <v>bm</v>
      </c>
      <c r="AH7" s="25" t="str">
        <f t="shared" si="0"/>
        <v>bm</v>
      </c>
      <c r="AI7" s="25" t="str">
        <f t="shared" si="0"/>
        <v>bm</v>
      </c>
      <c r="AJ7" s="25" t="str">
        <f t="shared" si="0"/>
        <v>bm</v>
      </c>
      <c r="AK7" s="25" t="str">
        <f t="shared" si="0"/>
        <v>size</v>
      </c>
      <c r="AL7" s="25" t="str">
        <f t="shared" si="0"/>
        <v>size</v>
      </c>
      <c r="AM7" s="25" t="str">
        <f t="shared" si="0"/>
        <v>bm</v>
      </c>
      <c r="AN7" s="25" t="str">
        <f t="shared" si="0"/>
        <v>bm</v>
      </c>
      <c r="AO7" s="25" t="str">
        <f t="shared" si="0"/>
        <v>bm</v>
      </c>
      <c r="AP7" s="25" t="str">
        <f t="shared" si="0"/>
        <v>bm</v>
      </c>
      <c r="AQ7" s="25" t="str">
        <f t="shared" si="0"/>
        <v>bm</v>
      </c>
      <c r="AR7" s="25" t="str">
        <f t="shared" si="0"/>
        <v>bm</v>
      </c>
      <c r="AS7" s="25" t="str">
        <f t="shared" si="0"/>
        <v>bm</v>
      </c>
      <c r="AT7" s="25" t="str">
        <f t="shared" si="0"/>
        <v>bm</v>
      </c>
      <c r="AU7" s="25" t="str">
        <f t="shared" si="0"/>
        <v>bm</v>
      </c>
      <c r="AV7" s="25" t="str">
        <f t="shared" si="0"/>
        <v>bm</v>
      </c>
      <c r="AW7" s="25" t="str">
        <f t="shared" si="0"/>
        <v>bm</v>
      </c>
      <c r="AX7" s="25" t="str">
        <f t="shared" si="0"/>
        <v>bm</v>
      </c>
      <c r="AY7" s="25" t="str">
        <f t="shared" si="0"/>
        <v>bm</v>
      </c>
      <c r="AZ7" s="25" t="str">
        <f t="shared" si="0"/>
        <v>bm</v>
      </c>
      <c r="BA7" s="25" t="str">
        <f t="shared" si="0"/>
        <v>bm</v>
      </c>
      <c r="BB7" s="25" t="str">
        <f t="shared" si="0"/>
        <v>size</v>
      </c>
      <c r="BC7" s="25" t="str">
        <f t="shared" si="0"/>
        <v>bm</v>
      </c>
      <c r="BD7" s="25" t="str">
        <f t="shared" si="0"/>
        <v>bm</v>
      </c>
      <c r="BE7" s="25" t="str">
        <f t="shared" si="0"/>
        <v>size</v>
      </c>
      <c r="BF7" s="25" t="str">
        <f t="shared" si="0"/>
        <v>bm</v>
      </c>
      <c r="BG7" s="25" t="str">
        <f t="shared" si="0"/>
        <v>mom</v>
      </c>
      <c r="BH7" s="25" t="str">
        <f t="shared" si="0"/>
        <v>bm</v>
      </c>
      <c r="BI7" s="25" t="str">
        <f t="shared" si="0"/>
        <v>bm</v>
      </c>
      <c r="BJ7" s="25" t="str">
        <f t="shared" si="0"/>
        <v>bm</v>
      </c>
      <c r="BK7" s="25" t="str">
        <f t="shared" si="0"/>
        <v>bm</v>
      </c>
      <c r="BL7" s="25" t="str">
        <f t="shared" si="0"/>
        <v>bm</v>
      </c>
      <c r="BM7" s="25" t="str">
        <f t="shared" si="0"/>
        <v>bm</v>
      </c>
      <c r="BN7" s="25" t="str">
        <f t="shared" si="0"/>
        <v>size</v>
      </c>
      <c r="BO7" s="25" t="str">
        <f t="shared" si="0"/>
        <v>bm</v>
      </c>
      <c r="BP7" s="25" t="str">
        <f t="shared" ref="BP7:EA7" si="1">IF(BP6=1,"bm",IF(BP6=2,"size",IF(BP6=3,"mom")))</f>
        <v>bm</v>
      </c>
      <c r="BQ7" s="25" t="str">
        <f t="shared" si="1"/>
        <v>bm</v>
      </c>
      <c r="BR7" s="25" t="str">
        <f t="shared" si="1"/>
        <v>bm</v>
      </c>
      <c r="BS7" s="25" t="str">
        <f t="shared" si="1"/>
        <v>bm</v>
      </c>
      <c r="BT7" s="25" t="str">
        <f t="shared" si="1"/>
        <v>size</v>
      </c>
      <c r="BU7" s="25" t="str">
        <f t="shared" si="1"/>
        <v>bm</v>
      </c>
      <c r="BV7" s="25" t="str">
        <f t="shared" si="1"/>
        <v>bm</v>
      </c>
      <c r="BW7" s="25" t="str">
        <f t="shared" si="1"/>
        <v>size</v>
      </c>
      <c r="BX7" s="25" t="str">
        <f t="shared" si="1"/>
        <v>size</v>
      </c>
      <c r="BY7" s="25" t="str">
        <f t="shared" si="1"/>
        <v>size</v>
      </c>
      <c r="BZ7" s="25" t="str">
        <f t="shared" si="1"/>
        <v>bm</v>
      </c>
      <c r="CA7" s="25" t="str">
        <f t="shared" si="1"/>
        <v>bm</v>
      </c>
      <c r="CB7" s="25" t="str">
        <f t="shared" si="1"/>
        <v>bm</v>
      </c>
      <c r="CC7" s="25" t="str">
        <f t="shared" si="1"/>
        <v>mom</v>
      </c>
      <c r="CD7" s="25" t="str">
        <f t="shared" si="1"/>
        <v>bm</v>
      </c>
      <c r="CE7" s="25" t="str">
        <f t="shared" si="1"/>
        <v>size</v>
      </c>
      <c r="CF7" s="25" t="str">
        <f t="shared" si="1"/>
        <v>size</v>
      </c>
      <c r="CG7" s="25" t="str">
        <f t="shared" si="1"/>
        <v>bm</v>
      </c>
      <c r="CH7" s="25" t="str">
        <f t="shared" si="1"/>
        <v>mom</v>
      </c>
      <c r="CI7" s="25" t="str">
        <f t="shared" si="1"/>
        <v>size</v>
      </c>
      <c r="CJ7" s="25" t="str">
        <f t="shared" si="1"/>
        <v>bm</v>
      </c>
      <c r="CK7" s="25" t="str">
        <f t="shared" si="1"/>
        <v>bm</v>
      </c>
      <c r="CL7" s="25" t="str">
        <f t="shared" si="1"/>
        <v>size</v>
      </c>
      <c r="CM7" s="25" t="str">
        <f t="shared" si="1"/>
        <v>bm</v>
      </c>
      <c r="CN7" s="25" t="str">
        <f t="shared" si="1"/>
        <v>bm</v>
      </c>
      <c r="CO7" s="25" t="str">
        <f t="shared" si="1"/>
        <v>bm</v>
      </c>
      <c r="CP7" s="25" t="str">
        <f t="shared" si="1"/>
        <v>mom</v>
      </c>
      <c r="CQ7" s="25" t="str">
        <f t="shared" si="1"/>
        <v>bm</v>
      </c>
      <c r="CR7" s="25" t="str">
        <f t="shared" si="1"/>
        <v>size</v>
      </c>
      <c r="CS7" s="25" t="str">
        <f t="shared" si="1"/>
        <v>bm</v>
      </c>
      <c r="CT7" s="25" t="str">
        <f t="shared" si="1"/>
        <v>bm</v>
      </c>
      <c r="CU7" s="25" t="str">
        <f t="shared" si="1"/>
        <v>bm</v>
      </c>
      <c r="CV7" s="25" t="str">
        <f t="shared" si="1"/>
        <v>size</v>
      </c>
      <c r="CW7" s="25" t="str">
        <f t="shared" si="1"/>
        <v>size</v>
      </c>
      <c r="CX7" s="25" t="str">
        <f t="shared" si="1"/>
        <v>size</v>
      </c>
      <c r="CY7" s="25" t="str">
        <f t="shared" si="1"/>
        <v>size</v>
      </c>
      <c r="CZ7" s="25" t="str">
        <f t="shared" si="1"/>
        <v>size</v>
      </c>
      <c r="DA7" s="25" t="str">
        <f t="shared" si="1"/>
        <v>bm</v>
      </c>
      <c r="DB7" s="25" t="str">
        <f t="shared" si="1"/>
        <v>size</v>
      </c>
      <c r="DC7" s="25" t="str">
        <f t="shared" si="1"/>
        <v>bm</v>
      </c>
      <c r="DD7" s="25" t="str">
        <f t="shared" si="1"/>
        <v>size</v>
      </c>
      <c r="DE7" s="25" t="str">
        <f t="shared" si="1"/>
        <v>bm</v>
      </c>
      <c r="DF7" s="25" t="str">
        <f t="shared" si="1"/>
        <v>bm</v>
      </c>
      <c r="DG7" s="25" t="str">
        <f t="shared" si="1"/>
        <v>size</v>
      </c>
      <c r="DH7" s="25" t="str">
        <f t="shared" si="1"/>
        <v>bm</v>
      </c>
      <c r="DI7" s="25" t="str">
        <f t="shared" si="1"/>
        <v>bm</v>
      </c>
      <c r="DJ7" s="25" t="str">
        <f t="shared" si="1"/>
        <v>bm</v>
      </c>
      <c r="DK7" s="25" t="str">
        <f t="shared" si="1"/>
        <v>bm</v>
      </c>
      <c r="DL7" s="25" t="str">
        <f t="shared" si="1"/>
        <v>size</v>
      </c>
      <c r="DM7" s="25" t="str">
        <f t="shared" si="1"/>
        <v>bm</v>
      </c>
      <c r="DN7" s="25" t="str">
        <f t="shared" si="1"/>
        <v>bm</v>
      </c>
      <c r="DO7" s="25" t="str">
        <f t="shared" si="1"/>
        <v>size</v>
      </c>
      <c r="DP7" s="25" t="str">
        <f t="shared" si="1"/>
        <v>bm</v>
      </c>
      <c r="DQ7" s="25" t="str">
        <f t="shared" si="1"/>
        <v>bm</v>
      </c>
      <c r="DR7" s="25" t="str">
        <f t="shared" si="1"/>
        <v>bm</v>
      </c>
      <c r="DS7" s="25" t="str">
        <f t="shared" si="1"/>
        <v>size</v>
      </c>
      <c r="DT7" s="25" t="str">
        <f t="shared" si="1"/>
        <v>bm</v>
      </c>
      <c r="DU7" s="25" t="str">
        <f t="shared" si="1"/>
        <v>bm</v>
      </c>
      <c r="DV7" s="25" t="str">
        <f t="shared" si="1"/>
        <v>bm</v>
      </c>
      <c r="DW7" s="25" t="str">
        <f t="shared" si="1"/>
        <v>bm</v>
      </c>
      <c r="DX7" s="25" t="str">
        <f t="shared" si="1"/>
        <v>bm</v>
      </c>
      <c r="DY7" s="25" t="str">
        <f t="shared" si="1"/>
        <v>bm</v>
      </c>
      <c r="DZ7" s="25" t="str">
        <f t="shared" si="1"/>
        <v>bm</v>
      </c>
      <c r="EA7" s="25" t="str">
        <f t="shared" si="1"/>
        <v>bm</v>
      </c>
      <c r="EB7" s="25" t="str">
        <f t="shared" ref="EB7:EF7" si="2">IF(EB6=1,"bm",IF(EB6=2,"size",IF(EB6=3,"mom")))</f>
        <v>size</v>
      </c>
      <c r="EC7" s="25" t="str">
        <f t="shared" si="2"/>
        <v>bm</v>
      </c>
      <c r="ED7" s="25" t="str">
        <f t="shared" si="2"/>
        <v>bm</v>
      </c>
      <c r="EE7" s="25" t="str">
        <f t="shared" si="2"/>
        <v>size</v>
      </c>
      <c r="EF7" s="25" t="str">
        <f t="shared" si="2"/>
        <v>bm</v>
      </c>
    </row>
    <row r="8" spans="1:136" ht="16">
      <c r="A8" s="4"/>
      <c r="B8" s="21"/>
      <c r="C8" s="25">
        <f>IF(C6=1,C3,IF(C6=2,C4,IF(C6=3,C5)))</f>
        <v>7.3912657797336578E-2</v>
      </c>
      <c r="D8" s="25">
        <f t="shared" ref="D8:BO8" si="3">IF(D6=1,D3,IF(D6=2,D4,IF(D6=3,D5)))</f>
        <v>7.563493400812149E-2</v>
      </c>
      <c r="E8" s="25">
        <f t="shared" si="3"/>
        <v>8.2988262176513672E-2</v>
      </c>
      <c r="F8" s="25">
        <f t="shared" si="3"/>
        <v>6.1629988253116608E-2</v>
      </c>
      <c r="G8" s="25">
        <f t="shared" si="3"/>
        <v>5.0796419382095337E-2</v>
      </c>
      <c r="H8" s="25">
        <f t="shared" si="3"/>
        <v>5.7366847991943359E-2</v>
      </c>
      <c r="I8" s="25">
        <f t="shared" si="3"/>
        <v>9.0367138385772705E-2</v>
      </c>
      <c r="J8" s="25">
        <f t="shared" si="3"/>
        <v>6.5266318619251251E-2</v>
      </c>
      <c r="K8" s="25">
        <f t="shared" si="3"/>
        <v>-3.3898375928401947E-2</v>
      </c>
      <c r="L8" s="25">
        <f t="shared" si="3"/>
        <v>7.7547639608383179E-2</v>
      </c>
      <c r="M8" s="25">
        <f t="shared" si="3"/>
        <v>6.4441181719303131E-2</v>
      </c>
      <c r="N8" s="25">
        <f t="shared" si="3"/>
        <v>4.6512190252542503E-2</v>
      </c>
      <c r="O8" s="25">
        <f t="shared" si="3"/>
        <v>6.7610271275043488E-2</v>
      </c>
      <c r="P8" s="25">
        <f t="shared" si="3"/>
        <v>-4.6467673033475883E-2</v>
      </c>
      <c r="Q8" s="25">
        <f t="shared" si="3"/>
        <v>-6.1648782342672348E-2</v>
      </c>
      <c r="R8" s="25">
        <f t="shared" si="3"/>
        <v>5.7588163763284683E-2</v>
      </c>
      <c r="S8" s="25">
        <f t="shared" si="3"/>
        <v>3.937915712594986E-2</v>
      </c>
      <c r="T8" s="25">
        <f t="shared" si="3"/>
        <v>5.8177851140499108E-2</v>
      </c>
      <c r="U8" s="25">
        <f t="shared" si="3"/>
        <v>8.309655636548996E-2</v>
      </c>
      <c r="V8" s="25">
        <f t="shared" si="3"/>
        <v>8.9860610663890839E-2</v>
      </c>
      <c r="W8" s="25">
        <f t="shared" si="3"/>
        <v>5.813661590218544E-2</v>
      </c>
      <c r="X8" s="25">
        <f t="shared" si="3"/>
        <v>8.2243978977203369E-2</v>
      </c>
      <c r="Y8" s="25">
        <f t="shared" si="3"/>
        <v>-7.1789160370826721E-2</v>
      </c>
      <c r="Z8" s="25">
        <f t="shared" si="3"/>
        <v>-3.0311709269881248E-2</v>
      </c>
      <c r="AA8" s="25">
        <f t="shared" si="3"/>
        <v>6.6306374967098236E-2</v>
      </c>
      <c r="AB8" s="25">
        <f t="shared" si="3"/>
        <v>5.8820508420467377E-2</v>
      </c>
      <c r="AC8" s="25">
        <f t="shared" si="3"/>
        <v>5.7617776095867157E-2</v>
      </c>
      <c r="AD8" s="25">
        <f t="shared" si="3"/>
        <v>-9.8738029599189758E-2</v>
      </c>
      <c r="AE8" s="25">
        <f t="shared" si="3"/>
        <v>7.8433975577354431E-2</v>
      </c>
      <c r="AF8" s="25">
        <f t="shared" si="3"/>
        <v>-4.4075444340705872E-2</v>
      </c>
      <c r="AG8" s="25">
        <f t="shared" si="3"/>
        <v>5.5671926587820053E-2</v>
      </c>
      <c r="AH8" s="25">
        <f t="shared" si="3"/>
        <v>1.690743304789066E-2</v>
      </c>
      <c r="AI8" s="25">
        <f t="shared" si="3"/>
        <v>3.7138056010007858E-2</v>
      </c>
      <c r="AJ8" s="25">
        <f t="shared" si="3"/>
        <v>3.9113327860832207E-2</v>
      </c>
      <c r="AK8" s="25">
        <f t="shared" si="3"/>
        <v>-9.3165159225463867E-2</v>
      </c>
      <c r="AL8" s="25">
        <f t="shared" si="3"/>
        <v>5.6960459798574448E-2</v>
      </c>
      <c r="AM8" s="25">
        <f t="shared" si="3"/>
        <v>5.331827700138092E-2</v>
      </c>
      <c r="AN8" s="25">
        <f t="shared" si="3"/>
        <v>0.1098324954509735</v>
      </c>
      <c r="AO8" s="25">
        <f t="shared" si="3"/>
        <v>1.9733672961592671E-2</v>
      </c>
      <c r="AP8" s="25">
        <f t="shared" si="3"/>
        <v>3.6758668720722198E-2</v>
      </c>
      <c r="AQ8" s="25">
        <f t="shared" si="3"/>
        <v>5.1327180117368698E-2</v>
      </c>
      <c r="AR8" s="25">
        <f t="shared" si="3"/>
        <v>5.3256317973136902E-2</v>
      </c>
      <c r="AS8" s="25">
        <f t="shared" si="3"/>
        <v>5.4331317543983459E-2</v>
      </c>
      <c r="AT8" s="25">
        <f t="shared" si="3"/>
        <v>4.3143793940544128E-2</v>
      </c>
      <c r="AU8" s="25">
        <f t="shared" si="3"/>
        <v>3.8841631263494492E-2</v>
      </c>
      <c r="AV8" s="25">
        <f t="shared" si="3"/>
        <v>5.5265516042709351E-2</v>
      </c>
      <c r="AW8" s="25">
        <f t="shared" si="3"/>
        <v>5.0267204642295837E-2</v>
      </c>
      <c r="AX8" s="25">
        <f t="shared" si="3"/>
        <v>-6.0497067868709557E-2</v>
      </c>
      <c r="AY8" s="25">
        <f t="shared" si="3"/>
        <v>5.6344892829656601E-2</v>
      </c>
      <c r="AZ8" s="25">
        <f t="shared" si="3"/>
        <v>4.4756263494491577E-2</v>
      </c>
      <c r="BA8" s="25">
        <f t="shared" si="3"/>
        <v>4.9546454101800919E-2</v>
      </c>
      <c r="BB8" s="25">
        <f t="shared" si="3"/>
        <v>-8.7475843727588654E-2</v>
      </c>
      <c r="BC8" s="25">
        <f t="shared" si="3"/>
        <v>5.2208933979272842E-2</v>
      </c>
      <c r="BD8" s="25">
        <f t="shared" si="3"/>
        <v>5.0287269055843353E-2</v>
      </c>
      <c r="BE8" s="25">
        <f t="shared" si="3"/>
        <v>-5.4915815591812127E-2</v>
      </c>
      <c r="BF8" s="25">
        <f t="shared" si="3"/>
        <v>5.2831601351499557E-2</v>
      </c>
      <c r="BG8" s="25">
        <f t="shared" si="3"/>
        <v>0.1231109201908112</v>
      </c>
      <c r="BH8" s="25">
        <f t="shared" si="3"/>
        <v>5.3355973213911063E-2</v>
      </c>
      <c r="BI8" s="25">
        <f t="shared" si="3"/>
        <v>-4.2333740741014481E-2</v>
      </c>
      <c r="BJ8" s="25">
        <f t="shared" si="3"/>
        <v>-4.1621774435043328E-2</v>
      </c>
      <c r="BK8" s="25">
        <f t="shared" si="3"/>
        <v>5.2732300013303757E-2</v>
      </c>
      <c r="BL8" s="25">
        <f t="shared" si="3"/>
        <v>5.2711453288793557E-2</v>
      </c>
      <c r="BM8" s="25">
        <f t="shared" si="3"/>
        <v>5.2789580076932907E-2</v>
      </c>
      <c r="BN8" s="25">
        <f t="shared" si="3"/>
        <v>-0.1043956056237221</v>
      </c>
      <c r="BO8" s="25">
        <f t="shared" si="3"/>
        <v>-4.2583651840686798E-2</v>
      </c>
      <c r="BP8" s="25">
        <f t="shared" ref="BP8:EA8" si="4">IF(BP6=1,BP3,IF(BP6=2,BP4,IF(BP6=3,BP5)))</f>
        <v>3.996393084526062E-2</v>
      </c>
      <c r="BQ8" s="25">
        <f t="shared" si="4"/>
        <v>5.2070382982492447E-2</v>
      </c>
      <c r="BR8" s="25">
        <f t="shared" si="4"/>
        <v>5.0181154161691673E-2</v>
      </c>
      <c r="BS8" s="25">
        <f t="shared" si="4"/>
        <v>5.4154157638549798E-2</v>
      </c>
      <c r="BT8" s="25">
        <f t="shared" si="4"/>
        <v>4.9916800111532211E-2</v>
      </c>
      <c r="BU8" s="25">
        <f t="shared" si="4"/>
        <v>5.5349864065647132E-2</v>
      </c>
      <c r="BV8" s="25">
        <f t="shared" si="4"/>
        <v>5.2839476615190513E-2</v>
      </c>
      <c r="BW8" s="25">
        <f t="shared" si="4"/>
        <v>4.0576938539743423E-2</v>
      </c>
      <c r="BX8" s="25">
        <f t="shared" si="4"/>
        <v>0.11351513117551799</v>
      </c>
      <c r="BY8" s="25">
        <f t="shared" si="4"/>
        <v>-6.0964066535234451E-2</v>
      </c>
      <c r="BZ8" s="25">
        <f t="shared" si="4"/>
        <v>5.3063441067934043E-2</v>
      </c>
      <c r="CA8" s="25">
        <f t="shared" si="4"/>
        <v>3.9631478488445282E-2</v>
      </c>
      <c r="CB8" s="25">
        <f t="shared" si="4"/>
        <v>4.600171372294426E-2</v>
      </c>
      <c r="CC8" s="25">
        <f t="shared" si="4"/>
        <v>-6.2383759766817093E-2</v>
      </c>
      <c r="CD8" s="25">
        <f t="shared" si="4"/>
        <v>5.2426740527153022E-2</v>
      </c>
      <c r="CE8" s="25">
        <f t="shared" si="4"/>
        <v>-4.8888608813285828E-2</v>
      </c>
      <c r="CF8" s="25">
        <f t="shared" si="4"/>
        <v>4.5108072459697723E-2</v>
      </c>
      <c r="CG8" s="25">
        <f t="shared" si="4"/>
        <v>4.5137140899896622E-2</v>
      </c>
      <c r="CH8" s="25">
        <f t="shared" si="4"/>
        <v>5.5632010102272027E-2</v>
      </c>
      <c r="CI8" s="25">
        <f t="shared" si="4"/>
        <v>-5.9029228985309601E-2</v>
      </c>
      <c r="CJ8" s="25">
        <f t="shared" si="4"/>
        <v>5.7584956288337708E-2</v>
      </c>
      <c r="CK8" s="25">
        <f t="shared" si="4"/>
        <v>6.9196119904518127E-2</v>
      </c>
      <c r="CL8" s="25">
        <f t="shared" si="4"/>
        <v>-8.7717965245246887E-2</v>
      </c>
      <c r="CM8" s="25">
        <f t="shared" si="4"/>
        <v>4.9845971167087548E-2</v>
      </c>
      <c r="CN8" s="25">
        <f t="shared" si="4"/>
        <v>-4.840879887342453E-2</v>
      </c>
      <c r="CO8" s="25">
        <f t="shared" si="4"/>
        <v>4.8292059451341629E-2</v>
      </c>
      <c r="CP8" s="25">
        <f t="shared" si="4"/>
        <v>-4.1955962777137763E-2</v>
      </c>
      <c r="CQ8" s="25">
        <f t="shared" si="4"/>
        <v>4.8842102289199829E-2</v>
      </c>
      <c r="CR8" s="25">
        <f t="shared" si="4"/>
        <v>7.6525658369064331E-2</v>
      </c>
      <c r="CS8" s="25">
        <f t="shared" si="4"/>
        <v>4.7897454351186752E-2</v>
      </c>
      <c r="CT8" s="25">
        <f t="shared" si="4"/>
        <v>2.8369873762130741E-2</v>
      </c>
      <c r="CU8" s="25">
        <f t="shared" si="4"/>
        <v>4.4375255703926093E-2</v>
      </c>
      <c r="CV8" s="25">
        <f t="shared" si="4"/>
        <v>-6.2654152512550354E-2</v>
      </c>
      <c r="CW8" s="25">
        <f t="shared" si="4"/>
        <v>-4.558606818318367E-2</v>
      </c>
      <c r="CX8" s="25">
        <f t="shared" si="4"/>
        <v>-6.5642617642879486E-2</v>
      </c>
      <c r="CY8" s="25">
        <f t="shared" si="4"/>
        <v>6.3649572432041168E-2</v>
      </c>
      <c r="CZ8" s="25">
        <f t="shared" si="4"/>
        <v>-7.8583814203739166E-2</v>
      </c>
      <c r="DA8" s="25">
        <f t="shared" si="4"/>
        <v>4.4029783457517617E-2</v>
      </c>
      <c r="DB8" s="25">
        <f t="shared" si="4"/>
        <v>-5.8803975582122803E-2</v>
      </c>
      <c r="DC8" s="25">
        <f t="shared" si="4"/>
        <v>5.1982991397380829E-2</v>
      </c>
      <c r="DD8" s="25">
        <f t="shared" si="4"/>
        <v>-3.8284681737422943E-2</v>
      </c>
      <c r="DE8" s="25">
        <f t="shared" si="4"/>
        <v>5.2998926490545273E-2</v>
      </c>
      <c r="DF8" s="25">
        <f t="shared" si="4"/>
        <v>4.4837679713964462E-2</v>
      </c>
      <c r="DG8" s="25">
        <f t="shared" si="4"/>
        <v>6.0822788625955582E-2</v>
      </c>
      <c r="DH8" s="25">
        <f t="shared" si="4"/>
        <v>4.7541145235300057E-2</v>
      </c>
      <c r="DI8" s="25">
        <f t="shared" si="4"/>
        <v>4.8345033079385757E-2</v>
      </c>
      <c r="DJ8" s="25">
        <f t="shared" si="4"/>
        <v>5.2155863493680947E-2</v>
      </c>
      <c r="DK8" s="25">
        <f t="shared" si="4"/>
        <v>8.9188195765018463E-2</v>
      </c>
      <c r="DL8" s="25">
        <f t="shared" si="4"/>
        <v>-4.2281743139028549E-2</v>
      </c>
      <c r="DM8" s="25">
        <f t="shared" si="4"/>
        <v>4.845760390162468E-2</v>
      </c>
      <c r="DN8" s="25">
        <f t="shared" si="4"/>
        <v>4.64659184217453E-2</v>
      </c>
      <c r="DO8" s="25">
        <f t="shared" si="4"/>
        <v>-4.04704250395298E-2</v>
      </c>
      <c r="DP8" s="25">
        <f t="shared" si="4"/>
        <v>4.7435946762561798E-2</v>
      </c>
      <c r="DQ8" s="25">
        <f t="shared" si="4"/>
        <v>3.8500402122735977E-2</v>
      </c>
      <c r="DR8" s="25">
        <f t="shared" si="4"/>
        <v>4.9186587333679199E-2</v>
      </c>
      <c r="DS8" s="25">
        <f t="shared" si="4"/>
        <v>-6.9464683532714844E-2</v>
      </c>
      <c r="DT8" s="25">
        <f t="shared" si="4"/>
        <v>3.1652722507715232E-2</v>
      </c>
      <c r="DU8" s="25">
        <f t="shared" si="4"/>
        <v>6.1842098832130432E-2</v>
      </c>
      <c r="DV8" s="25">
        <f t="shared" si="4"/>
        <v>4.6563606709241867E-2</v>
      </c>
      <c r="DW8" s="25">
        <f t="shared" si="4"/>
        <v>3.2814890146255493E-2</v>
      </c>
      <c r="DX8" s="25">
        <f t="shared" si="4"/>
        <v>4.826011136174202E-2</v>
      </c>
      <c r="DY8" s="25">
        <f t="shared" si="4"/>
        <v>-5.6952420622110367E-2</v>
      </c>
      <c r="DZ8" s="25">
        <f t="shared" si="4"/>
        <v>3.3931814134120941E-2</v>
      </c>
      <c r="EA8" s="25">
        <f t="shared" si="4"/>
        <v>4.8233494162559509E-2</v>
      </c>
      <c r="EB8" s="25">
        <f t="shared" ref="EB8:EF8" si="5">IF(EB6=1,EB3,IF(EB6=2,EB4,IF(EB6=3,EB5)))</f>
        <v>-4.1742835193872452E-2</v>
      </c>
      <c r="EC8" s="25">
        <f t="shared" si="5"/>
        <v>3.6156386137008667E-2</v>
      </c>
      <c r="ED8" s="25">
        <f t="shared" si="5"/>
        <v>4.0190532803535461E-2</v>
      </c>
      <c r="EE8" s="25">
        <f t="shared" si="5"/>
        <v>0.11009947955608369</v>
      </c>
      <c r="EF8" s="25">
        <f t="shared" si="5"/>
        <v>5.0330590456724167E-2</v>
      </c>
    </row>
    <row r="9" spans="1:136" ht="16">
      <c r="A9" s="28"/>
      <c r="B9" s="28"/>
      <c r="C9" s="28"/>
      <c r="D9" s="4"/>
      <c r="E9" s="4"/>
      <c r="F9" s="4"/>
      <c r="G9" s="4"/>
      <c r="H9" s="4"/>
      <c r="I9" s="4"/>
      <c r="J9" s="4"/>
      <c r="K9" s="2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</row>
    <row r="10" spans="1:136" ht="16">
      <c r="A10" s="73" t="s">
        <v>140</v>
      </c>
      <c r="B10" s="74"/>
      <c r="C10" s="10" t="s">
        <v>141</v>
      </c>
      <c r="D10" s="10">
        <v>964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</row>
    <row r="11" spans="1:136" ht="18">
      <c r="A11" s="37" t="s">
        <v>150</v>
      </c>
      <c r="B11" s="13" t="s">
        <v>3</v>
      </c>
      <c r="C11" s="13" t="s">
        <v>4</v>
      </c>
      <c r="D11" s="13" t="s">
        <v>5</v>
      </c>
      <c r="E11" s="13" t="s">
        <v>6</v>
      </c>
      <c r="F11" s="13" t="s">
        <v>7</v>
      </c>
      <c r="G11" s="13" t="s">
        <v>8</v>
      </c>
      <c r="H11" s="13" t="s">
        <v>9</v>
      </c>
      <c r="I11" s="13" t="s">
        <v>10</v>
      </c>
      <c r="J11" s="13" t="s">
        <v>11</v>
      </c>
      <c r="K11" s="13" t="s">
        <v>12</v>
      </c>
      <c r="L11" s="13" t="s">
        <v>13</v>
      </c>
      <c r="M11" s="13" t="s">
        <v>14</v>
      </c>
      <c r="N11" s="13" t="s">
        <v>15</v>
      </c>
      <c r="O11" s="13" t="s">
        <v>16</v>
      </c>
      <c r="P11" s="13" t="s">
        <v>17</v>
      </c>
      <c r="Q11" s="13" t="s">
        <v>18</v>
      </c>
      <c r="R11" s="13" t="s">
        <v>19</v>
      </c>
      <c r="S11" s="13" t="s">
        <v>20</v>
      </c>
      <c r="T11" s="13" t="s">
        <v>21</v>
      </c>
      <c r="U11" s="13" t="s">
        <v>22</v>
      </c>
      <c r="V11" s="13" t="s">
        <v>23</v>
      </c>
      <c r="W11" s="13" t="s">
        <v>24</v>
      </c>
      <c r="X11" s="13" t="s">
        <v>25</v>
      </c>
      <c r="Y11" s="13" t="s">
        <v>26</v>
      </c>
      <c r="Z11" s="13" t="s">
        <v>27</v>
      </c>
      <c r="AA11" s="13" t="s">
        <v>28</v>
      </c>
      <c r="AB11" s="13" t="s">
        <v>29</v>
      </c>
      <c r="AC11" s="13" t="s">
        <v>30</v>
      </c>
      <c r="AD11" s="13" t="s">
        <v>31</v>
      </c>
      <c r="AE11" s="13" t="s">
        <v>32</v>
      </c>
      <c r="AF11" s="13" t="s">
        <v>33</v>
      </c>
      <c r="AG11" s="13" t="s">
        <v>34</v>
      </c>
      <c r="AH11" s="13" t="s">
        <v>35</v>
      </c>
      <c r="AI11" s="13" t="s">
        <v>36</v>
      </c>
      <c r="AJ11" s="13" t="s">
        <v>37</v>
      </c>
      <c r="AK11" s="13" t="s">
        <v>38</v>
      </c>
      <c r="AL11" s="13" t="s">
        <v>39</v>
      </c>
      <c r="AM11" s="13" t="s">
        <v>40</v>
      </c>
      <c r="AN11" s="13" t="s">
        <v>41</v>
      </c>
      <c r="AO11" s="13" t="s">
        <v>42</v>
      </c>
      <c r="AP11" s="13" t="s">
        <v>43</v>
      </c>
      <c r="AQ11" s="13" t="s">
        <v>44</v>
      </c>
      <c r="AR11" s="13" t="s">
        <v>45</v>
      </c>
      <c r="AS11" s="13" t="s">
        <v>46</v>
      </c>
      <c r="AT11" s="13" t="s">
        <v>47</v>
      </c>
      <c r="AU11" s="13" t="s">
        <v>48</v>
      </c>
      <c r="AV11" s="13" t="s">
        <v>49</v>
      </c>
      <c r="AW11" s="13" t="s">
        <v>50</v>
      </c>
      <c r="AX11" s="13" t="s">
        <v>51</v>
      </c>
      <c r="AY11" s="13" t="s">
        <v>52</v>
      </c>
      <c r="AZ11" s="13" t="s">
        <v>53</v>
      </c>
      <c r="BA11" s="13" t="s">
        <v>54</v>
      </c>
      <c r="BB11" s="13" t="s">
        <v>55</v>
      </c>
      <c r="BC11" s="13" t="s">
        <v>56</v>
      </c>
      <c r="BD11" s="13" t="s">
        <v>57</v>
      </c>
      <c r="BE11" s="13" t="s">
        <v>58</v>
      </c>
      <c r="BF11" s="13" t="s">
        <v>59</v>
      </c>
      <c r="BG11" s="13" t="s">
        <v>60</v>
      </c>
      <c r="BH11" s="13" t="s">
        <v>61</v>
      </c>
      <c r="BI11" s="13" t="s">
        <v>62</v>
      </c>
      <c r="BJ11" s="13" t="s">
        <v>63</v>
      </c>
      <c r="BK11" s="13" t="s">
        <v>64</v>
      </c>
      <c r="BL11" s="13" t="s">
        <v>65</v>
      </c>
      <c r="BM11" s="13" t="s">
        <v>66</v>
      </c>
      <c r="BN11" s="13" t="s">
        <v>67</v>
      </c>
      <c r="BO11" s="13" t="s">
        <v>68</v>
      </c>
      <c r="BP11" s="13" t="s">
        <v>69</v>
      </c>
      <c r="BQ11" s="13" t="s">
        <v>70</v>
      </c>
      <c r="BR11" s="13" t="s">
        <v>71</v>
      </c>
      <c r="BS11" s="13" t="s">
        <v>72</v>
      </c>
      <c r="BT11" s="13" t="s">
        <v>73</v>
      </c>
      <c r="BU11" s="13" t="s">
        <v>74</v>
      </c>
      <c r="BV11" s="13" t="s">
        <v>75</v>
      </c>
      <c r="BW11" s="13" t="s">
        <v>76</v>
      </c>
      <c r="BX11" s="13" t="s">
        <v>77</v>
      </c>
      <c r="BY11" s="13" t="s">
        <v>78</v>
      </c>
      <c r="BZ11" s="13" t="s">
        <v>79</v>
      </c>
      <c r="CA11" s="13" t="s">
        <v>80</v>
      </c>
      <c r="CB11" s="13" t="s">
        <v>81</v>
      </c>
      <c r="CC11" s="13" t="s">
        <v>82</v>
      </c>
      <c r="CD11" s="13" t="s">
        <v>83</v>
      </c>
      <c r="CE11" s="13" t="s">
        <v>84</v>
      </c>
      <c r="CF11" s="13" t="s">
        <v>85</v>
      </c>
      <c r="CG11" s="13" t="s">
        <v>86</v>
      </c>
      <c r="CH11" s="13" t="s">
        <v>87</v>
      </c>
      <c r="CI11" s="13" t="s">
        <v>88</v>
      </c>
      <c r="CJ11" s="13" t="s">
        <v>89</v>
      </c>
      <c r="CK11" s="13" t="s">
        <v>90</v>
      </c>
      <c r="CL11" s="13" t="s">
        <v>91</v>
      </c>
      <c r="CM11" s="13" t="s">
        <v>92</v>
      </c>
      <c r="CN11" s="13" t="s">
        <v>93</v>
      </c>
      <c r="CO11" s="13" t="s">
        <v>94</v>
      </c>
      <c r="CP11" s="13" t="s">
        <v>95</v>
      </c>
      <c r="CQ11" s="13" t="s">
        <v>96</v>
      </c>
      <c r="CR11" s="13" t="s">
        <v>97</v>
      </c>
      <c r="CS11" s="13" t="s">
        <v>98</v>
      </c>
      <c r="CT11" s="13" t="s">
        <v>99</v>
      </c>
      <c r="CU11" s="13" t="s">
        <v>100</v>
      </c>
      <c r="CV11" s="13" t="s">
        <v>101</v>
      </c>
      <c r="CW11" s="13" t="s">
        <v>102</v>
      </c>
      <c r="CX11" s="13" t="s">
        <v>103</v>
      </c>
      <c r="CY11" s="13" t="s">
        <v>104</v>
      </c>
      <c r="CZ11" s="13" t="s">
        <v>105</v>
      </c>
      <c r="DA11" s="13" t="s">
        <v>106</v>
      </c>
      <c r="DB11" s="13" t="s">
        <v>107</v>
      </c>
      <c r="DC11" s="13" t="s">
        <v>108</v>
      </c>
      <c r="DD11" s="13" t="s">
        <v>109</v>
      </c>
      <c r="DE11" s="13" t="s">
        <v>110</v>
      </c>
      <c r="DF11" s="13" t="s">
        <v>111</v>
      </c>
      <c r="DG11" s="13" t="s">
        <v>112</v>
      </c>
      <c r="DH11" s="13" t="s">
        <v>113</v>
      </c>
      <c r="DI11" s="13" t="s">
        <v>114</v>
      </c>
      <c r="DJ11" s="13" t="s">
        <v>115</v>
      </c>
      <c r="DK11" s="13" t="s">
        <v>116</v>
      </c>
      <c r="DL11" s="13" t="s">
        <v>117</v>
      </c>
      <c r="DM11" s="13" t="s">
        <v>118</v>
      </c>
      <c r="DN11" s="13" t="s">
        <v>119</v>
      </c>
      <c r="DO11" s="13" t="s">
        <v>120</v>
      </c>
      <c r="DP11" s="13" t="s">
        <v>121</v>
      </c>
      <c r="DQ11" s="13" t="s">
        <v>122</v>
      </c>
      <c r="DR11" s="13" t="s">
        <v>123</v>
      </c>
      <c r="DS11" s="13" t="s">
        <v>124</v>
      </c>
      <c r="DT11" s="13" t="s">
        <v>125</v>
      </c>
      <c r="DU11" s="13" t="s">
        <v>126</v>
      </c>
      <c r="DV11" s="13" t="s">
        <v>127</v>
      </c>
      <c r="DW11" s="13" t="s">
        <v>128</v>
      </c>
      <c r="DX11" s="13" t="s">
        <v>129</v>
      </c>
      <c r="DY11" s="13" t="s">
        <v>130</v>
      </c>
      <c r="DZ11" s="13" t="s">
        <v>131</v>
      </c>
      <c r="EA11" s="13" t="s">
        <v>132</v>
      </c>
      <c r="EB11" s="13" t="s">
        <v>133</v>
      </c>
      <c r="EC11" s="13" t="s">
        <v>134</v>
      </c>
      <c r="ED11" s="13" t="s">
        <v>135</v>
      </c>
      <c r="EE11" s="13" t="s">
        <v>144</v>
      </c>
    </row>
    <row r="12" spans="1:136" ht="16">
      <c r="A12" s="6" t="s">
        <v>151</v>
      </c>
      <c r="B12" s="11">
        <v>4.6867682744863907E-2</v>
      </c>
      <c r="C12" s="11">
        <f>B12+預測IC!D12</f>
        <v>6.7497219955264823E-2</v>
      </c>
      <c r="D12" s="11">
        <f>C12+預測IC!E12</f>
        <v>1.9470396568062293E-2</v>
      </c>
      <c r="E12" s="11">
        <f>D12+預測IC!F12</f>
        <v>6.5268082265799304E-4</v>
      </c>
      <c r="F12" s="11">
        <f>E12+預測IC!G12</f>
        <v>9.249883735809733E-3</v>
      </c>
      <c r="G12" s="11">
        <f>F12+預測IC!H12</f>
        <v>1.8849142092409316E-2</v>
      </c>
      <c r="H12" s="11">
        <f>G12+預測IC!I12</f>
        <v>5.6946257331940774E-2</v>
      </c>
      <c r="I12" s="11">
        <f>H12+預測IC!J12</f>
        <v>0.1007308360768123</v>
      </c>
      <c r="J12" s="11">
        <f>I12+預測IC!K12</f>
        <v>0.11950521621414351</v>
      </c>
      <c r="K12" s="11">
        <f>J12+預測IC!L12</f>
        <v>0.11822541566695001</v>
      </c>
      <c r="L12" s="11">
        <f>K12+預測IC!M12</f>
        <v>0.10267361146678888</v>
      </c>
      <c r="M12" s="11">
        <f>L12+預測IC!N12</f>
        <v>0.15506794365508872</v>
      </c>
      <c r="N12" s="11">
        <f>M12+預測IC!O12</f>
        <v>0.17317472834161513</v>
      </c>
      <c r="O12" s="11">
        <f>N12+預測IC!P12</f>
        <v>0.17280865821112523</v>
      </c>
      <c r="P12" s="11">
        <f>O12+預測IC!Q12</f>
        <v>0.20807854366360362</v>
      </c>
      <c r="Q12" s="11">
        <f>P12+預測IC!R12</f>
        <v>0.22097671743829994</v>
      </c>
      <c r="R12" s="11">
        <f>Q12+預測IC!S12</f>
        <v>0.23203174721163916</v>
      </c>
      <c r="S12" s="11">
        <f>R12+預測IC!T12</f>
        <v>0.18936845650358886</v>
      </c>
      <c r="T12" s="11">
        <f>S12+預測IC!U12</f>
        <v>0.20554705538646773</v>
      </c>
      <c r="U12" s="11">
        <f>T12+預測IC!V12</f>
        <v>0.19934258531712326</v>
      </c>
      <c r="V12" s="11">
        <f>U12+預測IC!W12</f>
        <v>0.21862053154073335</v>
      </c>
      <c r="W12" s="11">
        <f>V12+預測IC!X12</f>
        <v>0.19287090692746095</v>
      </c>
      <c r="X12" s="11">
        <f>W12+預測IC!Y12</f>
        <v>0.20831127534102173</v>
      </c>
      <c r="Y12" s="11">
        <f>X12+預測IC!Z12</f>
        <v>0.21347718295082524</v>
      </c>
      <c r="Z12" s="11">
        <f>Y12+預測IC!AA12</f>
        <v>0.17511116133252022</v>
      </c>
      <c r="AA12" s="11">
        <f>Z12+預測IC!AB12</f>
        <v>0.20971542150312397</v>
      </c>
      <c r="AB12" s="11">
        <f>AA12+預測IC!AC12</f>
        <v>0.24695084119980146</v>
      </c>
      <c r="AC12" s="11">
        <f>AB12+預測IC!AD12</f>
        <v>0.25818163997795046</v>
      </c>
      <c r="AD12" s="11">
        <f>AC12+預測IC!AE12</f>
        <v>0.2206604190199791</v>
      </c>
      <c r="AE12" s="11">
        <f>AD12+預測IC!AF12</f>
        <v>0.26684192793981265</v>
      </c>
      <c r="AF12" s="11">
        <f>AE12+預測IC!AG12</f>
        <v>0.29746036794733527</v>
      </c>
      <c r="AG12" s="11">
        <f>AF12+預測IC!AH12</f>
        <v>0.31055722788345463</v>
      </c>
      <c r="AH12" s="11">
        <f>AG12+預測IC!AI12</f>
        <v>0.32956169305379396</v>
      </c>
      <c r="AI12" s="11">
        <f>AH12+預測IC!AJ12</f>
        <v>0.33705190976687904</v>
      </c>
      <c r="AJ12" s="11">
        <f>AI12+預測IC!AK12</f>
        <v>0.34723119351882453</v>
      </c>
      <c r="AK12" s="11">
        <f>AJ12+預測IC!AL12</f>
        <v>0.31312557227524812</v>
      </c>
      <c r="AL12" s="11">
        <f>AK12+預測IC!AM12</f>
        <v>0.34532992603434209</v>
      </c>
      <c r="AM12" s="11">
        <f>AL12+預測IC!AN12</f>
        <v>0.41570079250807401</v>
      </c>
      <c r="AN12" s="11">
        <f>AM12+預測IC!AO12</f>
        <v>0.41783939739417297</v>
      </c>
      <c r="AO12" s="11">
        <f>AN12+預測IC!AP12</f>
        <v>0.38411040162298415</v>
      </c>
      <c r="AP12" s="11">
        <f>AO12+預測IC!AQ12</f>
        <v>0.3769343853847969</v>
      </c>
      <c r="AQ12" s="11">
        <f>AP12+預測IC!AR12</f>
        <v>0.38978519882092871</v>
      </c>
      <c r="AR12" s="11">
        <f>AQ12+預測IC!AS12</f>
        <v>0.40951133021513636</v>
      </c>
      <c r="AS12" s="11">
        <f>AR12+預測IC!AT12</f>
        <v>0.42258025672207722</v>
      </c>
      <c r="AT12" s="11">
        <f>AS12+預測IC!AU12</f>
        <v>0.4425549064114821</v>
      </c>
      <c r="AU12" s="11">
        <f>AT12+預測IC!AV12</f>
        <v>0.40142883541971303</v>
      </c>
      <c r="AV12" s="11">
        <f>AU12+預測IC!AW12</f>
        <v>0.40235838296307191</v>
      </c>
      <c r="AW12" s="11">
        <f>AV12+預測IC!AX12</f>
        <v>0.35933792285149962</v>
      </c>
      <c r="AX12" s="11">
        <f>AW12+預測IC!AY12</f>
        <v>0.38382127679571199</v>
      </c>
      <c r="AY12" s="11">
        <f>AX12+預測IC!AZ12</f>
        <v>0.38076306193520543</v>
      </c>
      <c r="AZ12" s="11">
        <f>AY12+預測IC!BA12</f>
        <v>0.38492045248931894</v>
      </c>
      <c r="BA12" s="11">
        <f>AZ12+預測IC!BB12</f>
        <v>0.39070584740359415</v>
      </c>
      <c r="BB12" s="11">
        <f>BA12+預測IC!BC12</f>
        <v>0.40369142379103962</v>
      </c>
      <c r="BC12" s="11">
        <f>BB12+預測IC!BD12</f>
        <v>0.41512284778473557</v>
      </c>
      <c r="BD12" s="11">
        <f>BC12+預測IC!BE12</f>
        <v>0.36952430279966852</v>
      </c>
      <c r="BE12" s="11">
        <f>BD12+預測IC!BF12</f>
        <v>0.43825411181480406</v>
      </c>
      <c r="BF12" s="11">
        <f>BE12+預測IC!BG12</f>
        <v>0.39149635793352033</v>
      </c>
      <c r="BG12" s="11">
        <f>BF12+預測IC!BH12</f>
        <v>0.40264527354652435</v>
      </c>
      <c r="BH12" s="11">
        <f>BG12+預測IC!BI12</f>
        <v>0.35120534615955401</v>
      </c>
      <c r="BI12" s="11">
        <f>BH12+預測IC!BJ12</f>
        <v>0.35200133947947182</v>
      </c>
      <c r="BJ12" s="11">
        <f>BI12+預測IC!BK12</f>
        <v>0.33030486507502421</v>
      </c>
      <c r="BK12" s="11">
        <f>BJ12+預測IC!BL12</f>
        <v>0.35501411090517287</v>
      </c>
      <c r="BL12" s="11">
        <f>BK12+預測IC!BM12</f>
        <v>0.35308882780193418</v>
      </c>
      <c r="BM12" s="11">
        <f>BL12+預測IC!BN12</f>
        <v>0.33358628959181452</v>
      </c>
      <c r="BN12" s="11">
        <f>BM12+預測IC!BO12</f>
        <v>0.30933997933557761</v>
      </c>
      <c r="BO12" s="11">
        <f>BN12+預測IC!BP12</f>
        <v>0.29876316284128068</v>
      </c>
      <c r="BP12" s="11">
        <f>BO12+預測IC!BQ12</f>
        <v>0.31396974311259862</v>
      </c>
      <c r="BQ12" s="11">
        <f>BP12+預測IC!BR12</f>
        <v>0.31246307869890771</v>
      </c>
      <c r="BR12" s="11">
        <f>BQ12+預測IC!BS12</f>
        <v>0.33015998525732504</v>
      </c>
      <c r="BS12" s="11">
        <f>BR12+預測IC!BT12</f>
        <v>0.35144808248942377</v>
      </c>
      <c r="BT12" s="11">
        <f>BS12+預測IC!BU12</f>
        <v>0.36165758320203834</v>
      </c>
      <c r="BU12" s="11">
        <f>BT12+預測IC!BV12</f>
        <v>0.39188139641975489</v>
      </c>
      <c r="BV12" s="11">
        <f>BU12+預測IC!BW12</f>
        <v>0.33639383691011926</v>
      </c>
      <c r="BW12" s="11">
        <f>BV12+預測IC!BX12</f>
        <v>0.32040968526938934</v>
      </c>
      <c r="BX12" s="11">
        <f>BW12+預測IC!BY12</f>
        <v>0.27459369903655906</v>
      </c>
      <c r="BY12" s="11">
        <f>BX12+預測IC!BZ12</f>
        <v>0.31959772722055002</v>
      </c>
      <c r="BZ12" s="11">
        <f>BY12+預測IC!CA12</f>
        <v>0.28914995371811025</v>
      </c>
      <c r="CA12" s="11">
        <f>BZ12+預測IC!CB12</f>
        <v>0.29081484133261221</v>
      </c>
      <c r="CB12" s="11">
        <f>CA12+預測IC!CC12</f>
        <v>0.27469366062553496</v>
      </c>
      <c r="CC12" s="11">
        <f>CB12+預測IC!CD12</f>
        <v>0.38562729420998748</v>
      </c>
      <c r="CD12" s="11">
        <f>CC12+預測IC!CE12</f>
        <v>0.53963430709972937</v>
      </c>
      <c r="CE12" s="11">
        <f>CD12+預測IC!CF12</f>
        <v>0.53555641181595448</v>
      </c>
      <c r="CF12" s="11">
        <f>CE12+預測IC!CG12</f>
        <v>0.57686574520864164</v>
      </c>
      <c r="CG12" s="11">
        <f>CF12+預測IC!CH12</f>
        <v>0.56040263282985581</v>
      </c>
      <c r="CH12" s="11">
        <f>CG12+預測IC!CI12</f>
        <v>0.53606113477824202</v>
      </c>
      <c r="CI12" s="11">
        <f>CH12+預測IC!CJ12</f>
        <v>0.55367498431927542</v>
      </c>
      <c r="CJ12" s="11">
        <f>CI12+預測IC!CK12</f>
        <v>0.56566905269712808</v>
      </c>
      <c r="CK12" s="11">
        <f>CJ12+預測IC!CL12</f>
        <v>0.59880306312860365</v>
      </c>
      <c r="CL12" s="11">
        <f>CK12+預測IC!CM12</f>
        <v>0.58442037251562695</v>
      </c>
      <c r="CM12" s="11">
        <f>CL12+預測IC!CN12</f>
        <v>0.61000733540249619</v>
      </c>
      <c r="CN12" s="11">
        <f>CM12+預測IC!CO12</f>
        <v>0.58325939005176275</v>
      </c>
      <c r="CO12" s="11">
        <f>CN12+預測IC!CP12</f>
        <v>0.58426441208745461</v>
      </c>
      <c r="CP12" s="11">
        <f>CO12+預測IC!CQ12</f>
        <v>0.62152307282767449</v>
      </c>
      <c r="CQ12" s="11">
        <f>CP12+預測IC!CR12</f>
        <v>0.57337644754037287</v>
      </c>
      <c r="CR12" s="11">
        <f>CQ12+預測IC!CS12</f>
        <v>0.5581747998533273</v>
      </c>
      <c r="CS12" s="11">
        <f>CR12+預測IC!CT12</f>
        <v>0.55721315364942481</v>
      </c>
      <c r="CT12" s="11">
        <f>CS12+預測IC!CU12</f>
        <v>0.58924933241276989</v>
      </c>
      <c r="CU12" s="11">
        <f>CT12+預測IC!CV12</f>
        <v>0.59357258776756172</v>
      </c>
      <c r="CV12" s="11">
        <f>CU12+預測IC!CW12</f>
        <v>0.62333027719592915</v>
      </c>
      <c r="CW12" s="11">
        <f>CV12+預測IC!CX12</f>
        <v>0.66987773566039777</v>
      </c>
      <c r="CX12" s="11">
        <f>CW12+預測IC!CY12</f>
        <v>0.62380475799494284</v>
      </c>
      <c r="CY12" s="11">
        <f>CX12+預測IC!CZ12</f>
        <v>0.71236648412363768</v>
      </c>
      <c r="CZ12" s="11">
        <f>CY12+預測IC!DA12</f>
        <v>0.71576969211919017</v>
      </c>
      <c r="DA12" s="11">
        <f>CZ12+預測IC!DB12</f>
        <v>0.80475150861723521</v>
      </c>
      <c r="DB12" s="11">
        <f>DA12+預測IC!DC12</f>
        <v>0.83779588590041287</v>
      </c>
      <c r="DC12" s="11">
        <f>DB12+預測IC!DD12</f>
        <v>0.79870388856890573</v>
      </c>
      <c r="DD12" s="11">
        <f>DC12+預測IC!DE12</f>
        <v>0.79851914432387416</v>
      </c>
      <c r="DE12" s="11">
        <f>DD12+預測IC!DF12</f>
        <v>0.79168612814028427</v>
      </c>
      <c r="DF12" s="11">
        <f>DE12+預測IC!DG12</f>
        <v>0.83809594591980896</v>
      </c>
      <c r="DG12" s="11">
        <f>DF12+預測IC!DH12</f>
        <v>0.8328338021450058</v>
      </c>
      <c r="DH12" s="11">
        <f>DG12+預測IC!DI12</f>
        <v>0.77839062915287338</v>
      </c>
      <c r="DI12" s="11">
        <f>DH12+預測IC!DJ12</f>
        <v>0.78645322740764378</v>
      </c>
      <c r="DJ12" s="11">
        <f>DI12+預測IC!DK12</f>
        <v>0.77118882418525914</v>
      </c>
      <c r="DK12" s="11">
        <f>DJ12+預測IC!DL12</f>
        <v>0.77427793569518844</v>
      </c>
      <c r="DL12" s="11">
        <f>DK12+預測IC!DM12</f>
        <v>0.76856316429932159</v>
      </c>
      <c r="DM12" s="11">
        <f>DL12+預測IC!DN12</f>
        <v>0.80779150693216129</v>
      </c>
      <c r="DN12" s="11">
        <f>DM12+預測IC!DO12</f>
        <v>0.83834844903365213</v>
      </c>
      <c r="DO12" s="11">
        <f>DN12+預測IC!DP12</f>
        <v>0.87093289863394929</v>
      </c>
      <c r="DP12" s="11">
        <f>DO12+預測IC!DQ12</f>
        <v>0.84748450808245468</v>
      </c>
      <c r="DQ12" s="11">
        <f>DP12+預測IC!DR12</f>
        <v>0.86626345136184157</v>
      </c>
      <c r="DR12" s="11">
        <f>DQ12+預測IC!DS12</f>
        <v>0.9359140034315413</v>
      </c>
      <c r="DS12" s="11">
        <f>DR12+預測IC!DT12</f>
        <v>0.8916927986277452</v>
      </c>
      <c r="DT12" s="11">
        <f>DS12+預測IC!DU12</f>
        <v>0.90544544671412763</v>
      </c>
      <c r="DU12" s="11">
        <f>DT12+預測IC!DV12</f>
        <v>0.95761863052365337</v>
      </c>
      <c r="DV12" s="11">
        <f>DU12+預測IC!DW12</f>
        <v>0.99731293214792127</v>
      </c>
      <c r="DW12" s="11">
        <f>DV12+預測IC!DX12</f>
        <v>0.94769372534469376</v>
      </c>
      <c r="DX12" s="11">
        <f>DW12+預測IC!DY12</f>
        <v>0.93044857740746389</v>
      </c>
      <c r="DY12" s="11">
        <f>DX12+預測IC!DZ12</f>
        <v>0.92569105228160253</v>
      </c>
      <c r="DZ12" s="11">
        <f>DY12+預測IC!EA12</f>
        <v>0.98969499360479962</v>
      </c>
      <c r="EA12" s="11">
        <f>DZ12+預測IC!EB12</f>
        <v>0.99548096416518028</v>
      </c>
      <c r="EB12" s="11">
        <f>EA12+預測IC!EC12</f>
        <v>1.0221324737448456</v>
      </c>
      <c r="EC12" s="11">
        <f>EB12+預測IC!ED12</f>
        <v>0.96550443793745</v>
      </c>
      <c r="ED12" s="11">
        <f>EC12+預測IC!EE12</f>
        <v>0.99201133009859765</v>
      </c>
      <c r="EE12" s="11">
        <f>ED12+預測IC!EF12</f>
        <v>1.0312446781373934</v>
      </c>
    </row>
    <row r="13" spans="1:136" ht="16">
      <c r="A13" s="6" t="s">
        <v>152</v>
      </c>
      <c r="B13" s="9">
        <v>5.420904267159625E-2</v>
      </c>
      <c r="C13" s="11">
        <f>B13+預測IC!D13</f>
        <v>8.2221133504003951E-2</v>
      </c>
      <c r="D13" s="11">
        <f>C13+預測IC!E13</f>
        <v>1.2359577151197496E-2</v>
      </c>
      <c r="E13" s="11">
        <f>D13+預測IC!F13</f>
        <v>-2.2562578731457013E-2</v>
      </c>
      <c r="F13" s="11">
        <f>E13+預測IC!G13</f>
        <v>-3.7470558488760401E-2</v>
      </c>
      <c r="G13" s="11">
        <f>F13+預測IC!H13</f>
        <v>-2.008217146126141E-2</v>
      </c>
      <c r="H13" s="11">
        <f>G13+預測IC!I13</f>
        <v>1.723351270040566E-2</v>
      </c>
      <c r="I13" s="11">
        <f>H13+預測IC!J13</f>
        <v>5.3640414071654235E-2</v>
      </c>
      <c r="J13" s="11">
        <f>I13+預測IC!K13</f>
        <v>5.2273107245206771E-2</v>
      </c>
      <c r="K13" s="11">
        <f>J13+預測IC!L13</f>
        <v>2.0978147086295529E-2</v>
      </c>
      <c r="L13" s="11">
        <f>K13+預測IC!M13</f>
        <v>2.8686803348787732E-2</v>
      </c>
      <c r="M13" s="11">
        <f>L13+預測IC!N13</f>
        <v>7.2665313395178011E-2</v>
      </c>
      <c r="N13" s="11">
        <f>M13+預測IC!O13</f>
        <v>0.10956665445382152</v>
      </c>
      <c r="O13" s="11">
        <f>N13+預測IC!P13</f>
        <v>0.12635828219191214</v>
      </c>
      <c r="P13" s="11">
        <f>O13+預測IC!Q13</f>
        <v>0.19958265067946956</v>
      </c>
      <c r="Q13" s="11">
        <f>P13+預測IC!R13</f>
        <v>0.21642435278929456</v>
      </c>
      <c r="R13" s="11">
        <f>Q13+預測IC!S13</f>
        <v>0.21041054978225229</v>
      </c>
      <c r="S13" s="11">
        <f>R13+預測IC!T13</f>
        <v>0.16015865306353996</v>
      </c>
      <c r="T13" s="11">
        <f>S13+預測IC!U13</f>
        <v>0.15856163683035415</v>
      </c>
      <c r="U13" s="11">
        <f>T13+預測IC!V13</f>
        <v>0.17865596484422863</v>
      </c>
      <c r="V13" s="11">
        <f>U13+預測IC!W13</f>
        <v>0.20975905272859854</v>
      </c>
      <c r="W13" s="11">
        <f>V13+預測IC!X13</f>
        <v>0.15648215800265491</v>
      </c>
      <c r="X13" s="11">
        <f>W13+預測IC!Y13</f>
        <v>0.17040315056030358</v>
      </c>
      <c r="Y13" s="11">
        <f>X13+預測IC!Z13</f>
        <v>0.19098691172943183</v>
      </c>
      <c r="Z13" s="11">
        <f>Y13+預測IC!AA13</f>
        <v>0.15970104757081099</v>
      </c>
      <c r="AA13" s="11">
        <f>Z13+預測IC!AB13</f>
        <v>0.20648339738653815</v>
      </c>
      <c r="AB13" s="11">
        <f>AA13+預測IC!AC13</f>
        <v>0.22783243395295324</v>
      </c>
      <c r="AC13" s="11">
        <f>AB13+預測IC!AD13</f>
        <v>0.24937612373822865</v>
      </c>
      <c r="AD13" s="11">
        <f>AC13+預測IC!AE13</f>
        <v>0.20309201498563789</v>
      </c>
      <c r="AE13" s="11">
        <f>AD13+預測IC!AF13</f>
        <v>0.25502757280877481</v>
      </c>
      <c r="AF13" s="11">
        <f>AE13+預測IC!AG13</f>
        <v>0.28670935586377772</v>
      </c>
      <c r="AG13" s="11">
        <f>AF13+預測IC!AH13</f>
        <v>0.29804970820162063</v>
      </c>
      <c r="AH13" s="11">
        <f>AG13+預測IC!AI13</f>
        <v>0.31011725827569342</v>
      </c>
      <c r="AI13" s="11">
        <f>AH13+預測IC!AJ13</f>
        <v>0.29160941473881374</v>
      </c>
      <c r="AJ13" s="11">
        <f>AI13+預測IC!AK13</f>
        <v>0.2949278595102543</v>
      </c>
      <c r="AK13" s="11">
        <f>AJ13+預測IC!AL13</f>
        <v>0.27237750192371746</v>
      </c>
      <c r="AL13" s="11">
        <f>AK13+預測IC!AM13</f>
        <v>0.31814217647712695</v>
      </c>
      <c r="AM13" s="11">
        <f>AL13+預測IC!AN13</f>
        <v>0.42347241461316104</v>
      </c>
      <c r="AN13" s="11">
        <f>AM13+預測IC!AO13</f>
        <v>0.43918683853604568</v>
      </c>
      <c r="AO13" s="11">
        <f>AN13+預測IC!AP13</f>
        <v>0.37964861836317254</v>
      </c>
      <c r="AP13" s="11">
        <f>AO13+預測IC!AQ13</f>
        <v>0.37609913155653535</v>
      </c>
      <c r="AQ13" s="11">
        <f>AP13+預測IC!AR13</f>
        <v>0.3904701943753861</v>
      </c>
      <c r="AR13" s="11">
        <f>AQ13+預測IC!AS13</f>
        <v>0.43024814736506084</v>
      </c>
      <c r="AS13" s="11">
        <f>AR13+預測IC!AT13</f>
        <v>0.47071123521950059</v>
      </c>
      <c r="AT13" s="11">
        <f>AS13+預測IC!AU13</f>
        <v>0.51317221744747199</v>
      </c>
      <c r="AU13" s="11">
        <f>AT13+預測IC!AV13</f>
        <v>0.50417143942623843</v>
      </c>
      <c r="AV13" s="11">
        <f>AU13+預測IC!AW13</f>
        <v>0.50743971026429324</v>
      </c>
      <c r="AW13" s="11">
        <f>AV13+預測IC!AX13</f>
        <v>0.44209068878827218</v>
      </c>
      <c r="AX13" s="11">
        <f>AW13+預測IC!AY13</f>
        <v>0.45785833219134886</v>
      </c>
      <c r="AY13" s="11">
        <f>AX13+預測IC!AZ13</f>
        <v>0.44886056833892152</v>
      </c>
      <c r="AZ13" s="11">
        <f>AY13+預測IC!BA13</f>
        <v>0.45675502097071641</v>
      </c>
      <c r="BA13" s="11">
        <f>AZ13+預測IC!BB13</f>
        <v>0.48280136650361244</v>
      </c>
      <c r="BB13" s="11">
        <f>BA13+預測IC!BC13</f>
        <v>0.49582794675726005</v>
      </c>
      <c r="BC13" s="11">
        <f>BB13+預測IC!BD13</f>
        <v>0.50143002887256261</v>
      </c>
      <c r="BD13" s="11">
        <f>BC13+預測IC!BE13</f>
        <v>0.45538177228508409</v>
      </c>
      <c r="BE13" s="11">
        <f>BD13+預測IC!BF13</f>
        <v>0.5393111875925809</v>
      </c>
      <c r="BF13" s="11">
        <f>BE13+預測IC!BG13</f>
        <v>0.45091364173626008</v>
      </c>
      <c r="BG13" s="11">
        <f>BF13+預測IC!BH13</f>
        <v>0.45788991363742237</v>
      </c>
      <c r="BH13" s="11">
        <f>BG13+預測IC!BI13</f>
        <v>0.40510179407047398</v>
      </c>
      <c r="BI13" s="11">
        <f>BH13+預測IC!BJ13</f>
        <v>0.42275590259663665</v>
      </c>
      <c r="BJ13" s="11">
        <f>BI13+預測IC!BK13</f>
        <v>0.40436487771688717</v>
      </c>
      <c r="BK13" s="11">
        <f>BJ13+預測IC!BL13</f>
        <v>0.44132748789383552</v>
      </c>
      <c r="BL13" s="11">
        <f>BK13+預測IC!BM13</f>
        <v>0.4563837375403097</v>
      </c>
      <c r="BM13" s="11">
        <f>BL13+預測IC!BN13</f>
        <v>0.46048527476587825</v>
      </c>
      <c r="BN13" s="11">
        <f>BM13+預測IC!BO13</f>
        <v>0.42874996243395824</v>
      </c>
      <c r="BO13" s="11">
        <f>BN13+預測IC!BP13</f>
        <v>0.4364019092582756</v>
      </c>
      <c r="BP13" s="11">
        <f>BO13+預測IC!BQ13</f>
        <v>0.47722100602968603</v>
      </c>
      <c r="BQ13" s="11">
        <f>BP13+預測IC!BR13</f>
        <v>0.47014962455305731</v>
      </c>
      <c r="BR13" s="11">
        <f>BQ13+預測IC!BS13</f>
        <v>0.47740786706099092</v>
      </c>
      <c r="BS13" s="11">
        <f>BR13+預測IC!BT13</f>
        <v>0.51107563681891011</v>
      </c>
      <c r="BT13" s="11">
        <f>BS13+預測IC!BU13</f>
        <v>0.52760263156380749</v>
      </c>
      <c r="BU13" s="11">
        <f>BT13+預測IC!BV13</f>
        <v>0.54824650656510621</v>
      </c>
      <c r="BV13" s="11">
        <f>BU13+預測IC!BW13</f>
        <v>0.46201635191381396</v>
      </c>
      <c r="BW13" s="11">
        <f>BV13+預測IC!BX13</f>
        <v>0.46053891713757183</v>
      </c>
      <c r="BX13" s="11">
        <f>BW13+預測IC!BY13</f>
        <v>0.4297111574731986</v>
      </c>
      <c r="BY13" s="11">
        <f>BX13+預測IC!BZ13</f>
        <v>0.50663902819762718</v>
      </c>
      <c r="BZ13" s="11">
        <f>BY13+預測IC!CA13</f>
        <v>0.47310746259723035</v>
      </c>
      <c r="CA13" s="11">
        <f>BZ13+預測IC!CB13</f>
        <v>0.4659755931893963</v>
      </c>
      <c r="CB13" s="11">
        <f>CA13+預測IC!CC13</f>
        <v>0.47420040256132673</v>
      </c>
      <c r="CC13" s="11">
        <f>CB13+預測IC!CD13</f>
        <v>0.57969228078936519</v>
      </c>
      <c r="CD13" s="11">
        <f>CC13+預測IC!CE13</f>
        <v>0.76352011724497393</v>
      </c>
      <c r="CE13" s="11">
        <f>CD13+預測IC!CF13</f>
        <v>0.74529117640834641</v>
      </c>
      <c r="CF13" s="11">
        <f>CE13+預測IC!CG13</f>
        <v>0.78230644830918195</v>
      </c>
      <c r="CG13" s="11">
        <f>CF13+預測IC!CH13</f>
        <v>0.77827694225097166</v>
      </c>
      <c r="CH13" s="11">
        <f>CG13+預測IC!CI13</f>
        <v>0.77038140781506348</v>
      </c>
      <c r="CI13" s="11">
        <f>CH13+預測IC!CJ13</f>
        <v>0.76650480752057071</v>
      </c>
      <c r="CJ13" s="11">
        <f>CI13+預測IC!CK13</f>
        <v>0.79855007675703471</v>
      </c>
      <c r="CK13" s="11">
        <f>CJ13+預測IC!CL13</f>
        <v>0.84255046800442324</v>
      </c>
      <c r="CL13" s="11">
        <f>CK13+預測IC!CM13</f>
        <v>0.83225366424802827</v>
      </c>
      <c r="CM13" s="11">
        <f>CL13+預測IC!CN13</f>
        <v>0.85914123024688061</v>
      </c>
      <c r="CN13" s="11">
        <f>CM13+預測IC!CO13</f>
        <v>0.84568377168365316</v>
      </c>
      <c r="CO13" s="11">
        <f>CN13+預測IC!CP13</f>
        <v>0.82510677594352366</v>
      </c>
      <c r="CP13" s="11">
        <f>CO13+預測IC!CQ13</f>
        <v>0.86305574076534997</v>
      </c>
      <c r="CQ13" s="11">
        <f>CP13+預測IC!CR13</f>
        <v>0.79867509202793774</v>
      </c>
      <c r="CR13" s="11">
        <f>CQ13+預測IC!CS13</f>
        <v>0.81075325235956475</v>
      </c>
      <c r="CS13" s="11">
        <f>CR13+預測IC!CT13</f>
        <v>0.81882405167594341</v>
      </c>
      <c r="CT13" s="11">
        <f>CS13+預測IC!CU13</f>
        <v>0.85483096721023255</v>
      </c>
      <c r="CU13" s="11">
        <f>CT13+預測IC!CV13</f>
        <v>0.87914995022892917</v>
      </c>
      <c r="CV13" s="11">
        <f>CU13+預測IC!CW13</f>
        <v>0.88960691316024787</v>
      </c>
      <c r="CW13" s="11">
        <f>CV13+預測IC!CX13</f>
        <v>0.89459420871136097</v>
      </c>
      <c r="CX13" s="11">
        <f>CW13+預測IC!CY13</f>
        <v>0.8296203839393157</v>
      </c>
      <c r="CY13" s="11">
        <f>CX13+預測IC!CZ13</f>
        <v>0.91991058937631154</v>
      </c>
      <c r="CZ13" s="11">
        <f>CY13+預測IC!DA13</f>
        <v>0.91281405842487118</v>
      </c>
      <c r="DA13" s="11">
        <f>CZ13+預測IC!DB13</f>
        <v>1.0190493797278248</v>
      </c>
      <c r="DB13" s="11">
        <f>DA13+預測IC!DC13</f>
        <v>1.0487895650615511</v>
      </c>
      <c r="DC13" s="11">
        <f>DB13+預測IC!DD13</f>
        <v>0.99738291145873259</v>
      </c>
      <c r="DD13" s="11">
        <f>DC13+預測IC!DE13</f>
        <v>1.0025505643541519</v>
      </c>
      <c r="DE13" s="11">
        <f>DD13+預測IC!DF13</f>
        <v>0.97403176756051713</v>
      </c>
      <c r="DF13" s="11">
        <f>DE13+預測IC!DG13</f>
        <v>1.0217608511669767</v>
      </c>
      <c r="DG13" s="11">
        <f>DF13+預測IC!DH13</f>
        <v>1.0347530962127687</v>
      </c>
      <c r="DH13" s="11">
        <f>DG13+預測IC!DI13</f>
        <v>0.98819163939853516</v>
      </c>
      <c r="DI13" s="11">
        <f>DH13+預測IC!DJ13</f>
        <v>0.98847411936683105</v>
      </c>
      <c r="DJ13" s="11">
        <f>DI13+預測IC!DK13</f>
        <v>1.0005009092056751</v>
      </c>
      <c r="DK13" s="11">
        <f>DJ13+預測IC!DL13</f>
        <v>1.0276228486372156</v>
      </c>
      <c r="DL13" s="11">
        <f>DK13+預測IC!DM13</f>
        <v>1.0209639795887717</v>
      </c>
      <c r="DM13" s="11">
        <f>DL13+預測IC!DN13</f>
        <v>1.0358037773690363</v>
      </c>
      <c r="DN13" s="11">
        <f>DM13+預測IC!DO13</f>
        <v>1.0736672424538292</v>
      </c>
      <c r="DO13" s="11">
        <f>DN13+預測IC!DP13</f>
        <v>1.12090539567987</v>
      </c>
      <c r="DP13" s="11">
        <f>DO13+預測IC!DQ13</f>
        <v>1.0944753142627413</v>
      </c>
      <c r="DQ13" s="11">
        <f>DP13+預測IC!DR13</f>
        <v>1.1082465235350532</v>
      </c>
      <c r="DR13" s="11">
        <f>DQ13+預測IC!DS13</f>
        <v>1.176843376175444</v>
      </c>
      <c r="DS13" s="11">
        <f>DR13+預測IC!DT13</f>
        <v>1.1414170751277792</v>
      </c>
      <c r="DT13" s="11">
        <f>DS13+預測IC!DU13</f>
        <v>1.1622654896468023</v>
      </c>
      <c r="DU13" s="11">
        <f>DT13+預測IC!DV13</f>
        <v>1.2418856336709909</v>
      </c>
      <c r="DV13" s="11">
        <f>DU13+預測IC!DW13</f>
        <v>1.287572613098998</v>
      </c>
      <c r="DW13" s="11">
        <f>DV13+預測IC!DX13</f>
        <v>1.2229306936084667</v>
      </c>
      <c r="DX13" s="11">
        <f>DW13+預測IC!DY13</f>
        <v>1.1876245556675968</v>
      </c>
      <c r="DY13" s="11">
        <f>DX13+預測IC!DZ13</f>
        <v>1.1758540899053262</v>
      </c>
      <c r="DZ13" s="11">
        <f>DY13+預測IC!EA13</f>
        <v>1.2524444562543826</v>
      </c>
      <c r="EA13" s="11">
        <f>DZ13+預測IC!EB13</f>
        <v>1.2526456624733078</v>
      </c>
      <c r="EB13" s="11">
        <f>EA13+預測IC!EC13</f>
        <v>1.2943054159085368</v>
      </c>
      <c r="EC13" s="11">
        <f>EB13+預測IC!ED13</f>
        <v>1.2286233222493017</v>
      </c>
      <c r="ED13" s="11">
        <f>EC13+預測IC!EE13</f>
        <v>1.2698577062452132</v>
      </c>
      <c r="EE13" s="11">
        <f>ED13+預測IC!EF13</f>
        <v>1.3371488629866655</v>
      </c>
    </row>
    <row r="14" spans="1:136" ht="16">
      <c r="A14" s="6" t="s">
        <v>153</v>
      </c>
      <c r="B14" s="9">
        <v>-3.0371566279064999E-2</v>
      </c>
      <c r="C14" s="11">
        <f>B14+預測IC!D14</f>
        <v>5.2975745264236415E-2</v>
      </c>
      <c r="D14" s="11">
        <f>C14+預測IC!E14</f>
        <v>-4.5792502877985697E-2</v>
      </c>
      <c r="E14" s="11">
        <f>D14+預測IC!F14</f>
        <v>-9.4246645677845547E-2</v>
      </c>
      <c r="F14" s="11">
        <f>E14+預測IC!G14</f>
        <v>-0.13526656217577099</v>
      </c>
      <c r="G14" s="11">
        <f>F14+預測IC!H14</f>
        <v>-0.14677482303789458</v>
      </c>
      <c r="H14" s="11">
        <f>G14+預測IC!I14</f>
        <v>-0.10298746321475227</v>
      </c>
      <c r="I14" s="11">
        <f>H14+預測IC!J14</f>
        <v>-8.4375282350069636E-2</v>
      </c>
      <c r="J14" s="11">
        <f>I14+預測IC!K14</f>
        <v>-7.1924120834277253E-2</v>
      </c>
      <c r="K14" s="11">
        <f>J14+預測IC!L14</f>
        <v>-6.7076923646570447E-2</v>
      </c>
      <c r="L14" s="11">
        <f>K14+預測IC!M14</f>
        <v>-6.1380730882938654E-2</v>
      </c>
      <c r="M14" s="11">
        <f>L14+預測IC!N14</f>
        <v>2.1312735965468642E-2</v>
      </c>
      <c r="N14" s="11">
        <f>M14+預測IC!O14</f>
        <v>5.8788522978475144E-2</v>
      </c>
      <c r="O14" s="11">
        <f>N14+預測IC!P14</f>
        <v>0.1065682872612824</v>
      </c>
      <c r="P14" s="11">
        <f>O14+預測IC!Q14</f>
        <v>0.16480623341591724</v>
      </c>
      <c r="Q14" s="11">
        <f>P14+預測IC!R14</f>
        <v>0.14886504611881543</v>
      </c>
      <c r="R14" s="11">
        <f>Q14+預測IC!S14</f>
        <v>0.12405830002604766</v>
      </c>
      <c r="S14" s="11">
        <f>R14+預測IC!T14</f>
        <v>5.4216820505151794E-2</v>
      </c>
      <c r="T14" s="11">
        <f>S14+預測IC!U14</f>
        <v>1.7637690985449914E-2</v>
      </c>
      <c r="U14" s="11">
        <f>T14+預測IC!V14</f>
        <v>5.6013237249954453E-2</v>
      </c>
      <c r="V14" s="11">
        <f>U14+預測IC!W14</f>
        <v>0.13002139663820744</v>
      </c>
      <c r="W14" s="11">
        <f>V14+預測IC!X14</f>
        <v>7.6439688124024199E-2</v>
      </c>
      <c r="X14" s="11">
        <f>W14+預測IC!Y14</f>
        <v>5.967702476733474E-2</v>
      </c>
      <c r="Y14" s="11">
        <f>X14+預測IC!Z14</f>
        <v>8.0929225870785632E-2</v>
      </c>
      <c r="Z14" s="11">
        <f>Y14+預測IC!AA14</f>
        <v>4.1479045568703458E-2</v>
      </c>
      <c r="AA14" s="11">
        <f>Z14+預測IC!AB14</f>
        <v>0.10923296814628083</v>
      </c>
      <c r="AB14" s="11">
        <f>AA14+預測IC!AC14</f>
        <v>9.698628346641229E-2</v>
      </c>
      <c r="AC14" s="11">
        <f>AB14+預測IC!AD14</f>
        <v>0.13631417565644219</v>
      </c>
      <c r="AD14" s="11">
        <f>AC14+預測IC!AE14</f>
        <v>2.8879831963158686E-2</v>
      </c>
      <c r="AE14" s="11">
        <f>AD14+預測IC!AF14</f>
        <v>0.11319684113983279</v>
      </c>
      <c r="AF14" s="11">
        <f>AE14+預測IC!AG14</f>
        <v>0.13168766135536572</v>
      </c>
      <c r="AG14" s="11">
        <f>AF14+預測IC!AH14</f>
        <v>0.12834138713445598</v>
      </c>
      <c r="AH14" s="11">
        <f>AG14+預測IC!AI14</f>
        <v>0.20041433806157682</v>
      </c>
      <c r="AI14" s="11">
        <f>AH14+預測IC!AJ14</f>
        <v>0.21547337414472784</v>
      </c>
      <c r="AJ14" s="11">
        <f>AI14+預測IC!AK14</f>
        <v>0.20396391120755267</v>
      </c>
      <c r="AK14" s="11">
        <f>AJ14+預測IC!AL14</f>
        <v>0.18540436894934584</v>
      </c>
      <c r="AL14" s="11">
        <f>AK14+預測IC!AM14</f>
        <v>0.25368764235035379</v>
      </c>
      <c r="AM14" s="11">
        <f>AL14+預測IC!AN14</f>
        <v>0.34594813155392989</v>
      </c>
      <c r="AN14" s="11">
        <f>AM14+預測IC!AO14</f>
        <v>0.40685383701933986</v>
      </c>
      <c r="AO14" s="11">
        <f>AN14+預測IC!AP14</f>
        <v>0.33687731186725567</v>
      </c>
      <c r="AP14" s="11">
        <f>AO14+預測IC!AQ14</f>
        <v>0.33599792583886329</v>
      </c>
      <c r="AQ14" s="11">
        <f>AP14+預測IC!AR14</f>
        <v>0.37364376560112622</v>
      </c>
      <c r="AR14" s="11">
        <f>AQ14+預測IC!AS14</f>
        <v>0.45597674164233798</v>
      </c>
      <c r="AS14" s="11">
        <f>AR14+預測IC!AT14</f>
        <v>0.49690130730043536</v>
      </c>
      <c r="AT14" s="11">
        <f>AS14+預測IC!AU14</f>
        <v>0.54392266120910948</v>
      </c>
      <c r="AU14" s="11">
        <f>AT14+預測IC!AV14</f>
        <v>0.52123787486847251</v>
      </c>
      <c r="AV14" s="11">
        <f>AU14+預測IC!AW14</f>
        <v>0.50581649674521756</v>
      </c>
      <c r="AW14" s="11">
        <f>AV14+預測IC!AX14</f>
        <v>0.36886546845082485</v>
      </c>
      <c r="AX14" s="11">
        <f>AW14+預測IC!AY14</f>
        <v>0.38393358722258641</v>
      </c>
      <c r="AY14" s="11">
        <f>AX14+預測IC!AZ14</f>
        <v>0.33077533951752364</v>
      </c>
      <c r="AZ14" s="11">
        <f>AY14+預測IC!BA14</f>
        <v>0.350901250554361</v>
      </c>
      <c r="BA14" s="11">
        <f>AZ14+預測IC!BB14</f>
        <v>0.45279959081281901</v>
      </c>
      <c r="BB14" s="11">
        <f>BA14+預測IC!BC14</f>
        <v>0.44371566728730072</v>
      </c>
      <c r="BC14" s="11">
        <f>BB14+預測IC!BD14</f>
        <v>0.48704344895470614</v>
      </c>
      <c r="BD14" s="11">
        <f>BC14+預測IC!BE14</f>
        <v>0.46292643045810405</v>
      </c>
      <c r="BE14" s="11">
        <f>BD14+預測IC!BF14</f>
        <v>0.50369695200379383</v>
      </c>
      <c r="BF14" s="11">
        <f>BE14+預測IC!BG14</f>
        <v>0.37839164556420402</v>
      </c>
      <c r="BG14" s="11">
        <f>BF14+預測IC!BH14</f>
        <v>0.3781082013971882</v>
      </c>
      <c r="BH14" s="11">
        <f>BG14+預測IC!BI14</f>
        <v>0.32609396577101946</v>
      </c>
      <c r="BI14" s="11">
        <f>BH14+預測IC!BJ14</f>
        <v>0.33934824458508667</v>
      </c>
      <c r="BJ14" s="11">
        <f>BI14+預測IC!BK14</f>
        <v>0.3392609193053337</v>
      </c>
      <c r="BK14" s="11">
        <f>BJ14+預測IC!BL14</f>
        <v>0.39899868614770406</v>
      </c>
      <c r="BL14" s="11">
        <f>BK14+預測IC!BM14</f>
        <v>0.43100152337407538</v>
      </c>
      <c r="BM14" s="11">
        <f>BL14+預測IC!BN14</f>
        <v>0.47637322968281465</v>
      </c>
      <c r="BN14" s="11">
        <f>BM14+預測IC!BO14</f>
        <v>0.44276418400555018</v>
      </c>
      <c r="BO14" s="11">
        <f>BN14+預測IC!BP14</f>
        <v>0.45558685139595145</v>
      </c>
      <c r="BP14" s="11">
        <f>BO14+預測IC!BQ14</f>
        <v>0.46763627418108727</v>
      </c>
      <c r="BQ14" s="11">
        <f>BP14+預測IC!BR14</f>
        <v>0.43970684464846937</v>
      </c>
      <c r="BR14" s="11">
        <f>BQ14+預測IC!BS14</f>
        <v>0.40107764103416521</v>
      </c>
      <c r="BS14" s="11">
        <f>BR14+預測IC!BT14</f>
        <v>0.38578971313079241</v>
      </c>
      <c r="BT14" s="11">
        <f>BS14+預測IC!BU14</f>
        <v>0.37693487777276158</v>
      </c>
      <c r="BU14" s="11">
        <f>BT14+預測IC!BV14</f>
        <v>0.40582629965571737</v>
      </c>
      <c r="BV14" s="11">
        <f>BU14+預測IC!BW14</f>
        <v>0.28741825767641249</v>
      </c>
      <c r="BW14" s="11">
        <f>BV14+預測IC!BX14</f>
        <v>0.28772539190107888</v>
      </c>
      <c r="BX14" s="11">
        <f>BW14+預測IC!BY14</f>
        <v>0.20732562331731766</v>
      </c>
      <c r="BY14" s="11">
        <f>BX14+預測IC!BZ14</f>
        <v>0.31910614384889857</v>
      </c>
      <c r="BZ14" s="11">
        <f>BY14+預測IC!CA14</f>
        <v>0.29464087773396153</v>
      </c>
      <c r="CA14" s="11">
        <f>BZ14+預測IC!CB14</f>
        <v>0.31676849427613635</v>
      </c>
      <c r="CB14" s="11">
        <f>CA14+預測IC!CC14</f>
        <v>0.34574417576250505</v>
      </c>
      <c r="CC14" s="11">
        <f>CB14+預測IC!CD14</f>
        <v>0.44376088569470279</v>
      </c>
      <c r="CD14" s="11">
        <f>CC14+預測IC!CE14</f>
        <v>0.61431618818325329</v>
      </c>
      <c r="CE14" s="11">
        <f>CD14+預測IC!CF14</f>
        <v>0.63462640510577284</v>
      </c>
      <c r="CF14" s="11">
        <f>CE14+預測IC!CG14</f>
        <v>0.68769343340161171</v>
      </c>
      <c r="CG14" s="11">
        <f>CF14+預測IC!CH14</f>
        <v>0.63881376294554593</v>
      </c>
      <c r="CH14" s="11">
        <f>CG14+預測IC!CI14</f>
        <v>0.63498440681086077</v>
      </c>
      <c r="CI14" s="11">
        <f>CH14+預測IC!CJ14</f>
        <v>0.60245400013194994</v>
      </c>
      <c r="CJ14" s="11">
        <f>CI14+預測IC!CK14</f>
        <v>0.61647036452259607</v>
      </c>
      <c r="CK14" s="11">
        <f>CJ14+預測IC!CL14</f>
        <v>0.74650323160824728</v>
      </c>
      <c r="CL14" s="11">
        <f>CK14+預測IC!CM14</f>
        <v>0.77854324197656444</v>
      </c>
      <c r="CM14" s="11">
        <f>CL14+預測IC!CN14</f>
        <v>0.79902264001977008</v>
      </c>
      <c r="CN14" s="11">
        <f>CM14+預測IC!CO14</f>
        <v>0.72543491998087717</v>
      </c>
      <c r="CO14" s="11">
        <f>CN14+預測IC!CP14</f>
        <v>0.63177556223983533</v>
      </c>
      <c r="CP14" s="11">
        <f>CO14+預測IC!CQ14</f>
        <v>0.6849871903315099</v>
      </c>
      <c r="CQ14" s="11">
        <f>CP14+預測IC!CR14</f>
        <v>0.62234653495506187</v>
      </c>
      <c r="CR14" s="11">
        <f>CQ14+預測IC!CS14</f>
        <v>0.68137365521871762</v>
      </c>
      <c r="CS14" s="11">
        <f>CR14+預測IC!CT14</f>
        <v>0.70047423176940249</v>
      </c>
      <c r="CT14" s="11">
        <f>CS14+預測IC!CU14</f>
        <v>0.65592978965639648</v>
      </c>
      <c r="CU14" s="11">
        <f>CT14+預測IC!CV14</f>
        <v>0.69532922355761628</v>
      </c>
      <c r="CV14" s="11">
        <f>CU14+預測IC!CW14</f>
        <v>0.70356322543799221</v>
      </c>
      <c r="CW14" s="11">
        <f>CV14+預測IC!CX14</f>
        <v>0.72780748192548794</v>
      </c>
      <c r="CX14" s="11">
        <f>CW14+預測IC!CY14</f>
        <v>0.67766973845153899</v>
      </c>
      <c r="CY14" s="11">
        <f>CX14+預測IC!CZ14</f>
        <v>0.81384178527064588</v>
      </c>
      <c r="CZ14" s="11">
        <f>CY14+預測IC!DA14</f>
        <v>0.78953749610006141</v>
      </c>
      <c r="DA14" s="11">
        <f>CZ14+預測IC!DB14</f>
        <v>0.89414493720029131</v>
      </c>
      <c r="DB14" s="11">
        <f>DA14+預測IC!DC14</f>
        <v>0.92167902980068295</v>
      </c>
      <c r="DC14" s="11">
        <f>DB14+預測IC!DD14</f>
        <v>0.86777906305188923</v>
      </c>
      <c r="DD14" s="11">
        <f>DC14+預測IC!DE14</f>
        <v>0.87316336265965377</v>
      </c>
      <c r="DE14" s="11">
        <f>DD14+預測IC!DF14</f>
        <v>0.8333929021975115</v>
      </c>
      <c r="DF14" s="11">
        <f>DE14+預測IC!DG14</f>
        <v>0.8789762979244099</v>
      </c>
      <c r="DG14" s="11">
        <f>DF14+預測IC!DH14</f>
        <v>0.88375113516732151</v>
      </c>
      <c r="DH14" s="11">
        <f>DG14+預測IC!DI14</f>
        <v>0.83055913792271374</v>
      </c>
      <c r="DI14" s="11">
        <f>DH14+預測IC!DJ14</f>
        <v>0.8315828621900111</v>
      </c>
      <c r="DJ14" s="11">
        <f>DI14+預測IC!DK14</f>
        <v>0.84990023826689076</v>
      </c>
      <c r="DK14" s="11">
        <f>DJ14+預測IC!DL14</f>
        <v>0.84062605590964956</v>
      </c>
      <c r="DL14" s="11">
        <f>DK14+預測IC!DM14</f>
        <v>0.8461303250033001</v>
      </c>
      <c r="DM14" s="11">
        <f>DL14+預測IC!DN14</f>
        <v>0.88598203256984487</v>
      </c>
      <c r="DN14" s="11">
        <f>DM14+預測IC!DO14</f>
        <v>0.98857422193307865</v>
      </c>
      <c r="DO14" s="11">
        <f>DN14+預測IC!DP14</f>
        <v>1.0291064494373159</v>
      </c>
      <c r="DP14" s="11">
        <f>DO14+預測IC!DQ14</f>
        <v>0.93973858939650412</v>
      </c>
      <c r="DQ14" s="11">
        <f>DP14+預測IC!DR14</f>
        <v>0.99236110885550366</v>
      </c>
      <c r="DR14" s="11">
        <f>DQ14+預測IC!DS14</f>
        <v>1.0484129287840673</v>
      </c>
      <c r="DS14" s="11">
        <f>DR14+預測IC!DT14</f>
        <v>1.0039797449437267</v>
      </c>
      <c r="DT14" s="11">
        <f>DS14+預測IC!DU14</f>
        <v>0.95906479632474473</v>
      </c>
      <c r="DU14" s="11">
        <f>DT14+預測IC!DV14</f>
        <v>1.0673271508548521</v>
      </c>
      <c r="DV14" s="11">
        <f>DU14+預測IC!DW14</f>
        <v>1.1591364799106905</v>
      </c>
      <c r="DW14" s="11">
        <f>DV14+預測IC!DX14</f>
        <v>1.0569752600248512</v>
      </c>
      <c r="DX14" s="11">
        <f>DW14+預測IC!DY14</f>
        <v>1.0189781800780027</v>
      </c>
      <c r="DY14" s="11">
        <f>DX14+預測IC!DZ14</f>
        <v>1.0146378405055638</v>
      </c>
      <c r="DZ14" s="11">
        <f>DY14+預測IC!EA14</f>
        <v>1.0927431063935</v>
      </c>
      <c r="EA14" s="11">
        <f>DZ14+預測IC!EB14</f>
        <v>1.0676335857752355</v>
      </c>
      <c r="EB14" s="11">
        <f>EA14+預測IC!EC14</f>
        <v>1.0737129679233686</v>
      </c>
      <c r="EC14" s="11">
        <f>EB14+預測IC!ED14</f>
        <v>0.9710832587371816</v>
      </c>
      <c r="ED14" s="11">
        <f>EC14+預測IC!EE14</f>
        <v>0.96768400521910913</v>
      </c>
      <c r="EE14" s="11">
        <f>ED14+預測IC!EF14</f>
        <v>1.0343163519485217</v>
      </c>
    </row>
    <row r="15" spans="1:136" ht="16">
      <c r="A15" s="6" t="s">
        <v>154</v>
      </c>
      <c r="B15" s="9">
        <v>-9.6503141994516081E-2</v>
      </c>
      <c r="C15" s="11">
        <f>B15+預測IC!D15</f>
        <v>-8.0554613470164349E-2</v>
      </c>
      <c r="D15" s="11">
        <f>C15+預測IC!E15</f>
        <v>-0.14659310068137005</v>
      </c>
      <c r="E15" s="11">
        <f>D15+預測IC!F15</f>
        <v>-0.25515539405455995</v>
      </c>
      <c r="F15" s="11">
        <f>E15+預測IC!G15</f>
        <v>-0.30057744651845431</v>
      </c>
      <c r="G15" s="11">
        <f>F15+預測IC!H15</f>
        <v>-0.30182117257655938</v>
      </c>
      <c r="H15" s="11">
        <f>G15+預測IC!I15</f>
        <v>-0.24338972829669384</v>
      </c>
      <c r="I15" s="11">
        <f>H15+預測IC!J15</f>
        <v>-0.19342826304930419</v>
      </c>
      <c r="J15" s="11">
        <f>I15+預測IC!K15</f>
        <v>-0.19763862943464497</v>
      </c>
      <c r="K15" s="11">
        <f>J15+預測IC!L15</f>
        <v>-0.16508012427746033</v>
      </c>
      <c r="L15" s="11">
        <f>K15+預測IC!M15</f>
        <v>-0.13958241479797306</v>
      </c>
      <c r="M15" s="11">
        <f>L15+預測IC!N15</f>
        <v>-2.3100602669370071E-2</v>
      </c>
      <c r="N15" s="11">
        <f>M15+預測IC!O15</f>
        <v>4.7741001514446185E-2</v>
      </c>
      <c r="O15" s="11">
        <f>N15+預測IC!P15</f>
        <v>0.10072428470680173</v>
      </c>
      <c r="P15" s="11">
        <f>O15+預測IC!Q15</f>
        <v>0.20109963429069252</v>
      </c>
      <c r="Q15" s="11">
        <f>P15+預測IC!R15</f>
        <v>0.14896994418557508</v>
      </c>
      <c r="R15" s="11">
        <f>Q15+預測IC!S15</f>
        <v>0.23445783439151596</v>
      </c>
      <c r="S15" s="11">
        <f>R15+預測IC!T15</f>
        <v>0.16765770944840386</v>
      </c>
      <c r="T15" s="11">
        <f>S15+預測IC!U15</f>
        <v>0.12086746628977216</v>
      </c>
      <c r="U15" s="11">
        <f>T15+預測IC!V15</f>
        <v>0.20654834816864559</v>
      </c>
      <c r="V15" s="11">
        <f>U15+預測IC!W15</f>
        <v>0.30909194215138869</v>
      </c>
      <c r="W15" s="11">
        <f>V15+預測IC!X15</f>
        <v>0.23065552970580128</v>
      </c>
      <c r="X15" s="11">
        <f>W15+預測IC!Y15</f>
        <v>0.20646691115864638</v>
      </c>
      <c r="Y15" s="11">
        <f>X15+預測IC!Z15</f>
        <v>0.18281049247297562</v>
      </c>
      <c r="Z15" s="11">
        <f>Y15+預測IC!AA15</f>
        <v>0.13154248644758068</v>
      </c>
      <c r="AA15" s="11">
        <f>Z15+預測IC!AB15</f>
        <v>0.198317700319352</v>
      </c>
      <c r="AB15" s="11">
        <f>AA15+預測IC!AC15</f>
        <v>0.21479866652754009</v>
      </c>
      <c r="AC15" s="11">
        <f>AB15+預測IC!AD15</f>
        <v>0.25448914765524838</v>
      </c>
      <c r="AD15" s="11">
        <f>AC15+預測IC!AE15</f>
        <v>0.15317583145637337</v>
      </c>
      <c r="AE15" s="11">
        <f>AD15+預測IC!AF15</f>
        <v>0.20294785633148765</v>
      </c>
      <c r="AF15" s="11">
        <f>AE15+預測IC!AG15</f>
        <v>0.2130713345931432</v>
      </c>
      <c r="AG15" s="11">
        <f>AF15+預測IC!AH15</f>
        <v>0.17946696123546674</v>
      </c>
      <c r="AH15" s="11">
        <f>AG15+預測IC!AI15</f>
        <v>0.23032141082149182</v>
      </c>
      <c r="AI15" s="11">
        <f>AH15+預測IC!AJ15</f>
        <v>0.23978627078896755</v>
      </c>
      <c r="AJ15" s="11">
        <f>AI15+預測IC!AK15</f>
        <v>0.20278695903223753</v>
      </c>
      <c r="AK15" s="11">
        <f>AJ15+預測IC!AL15</f>
        <v>0.20966871814367366</v>
      </c>
      <c r="AL15" s="11">
        <f>AK15+預測IC!AM15</f>
        <v>0.26479134027830076</v>
      </c>
      <c r="AM15" s="11">
        <f>AL15+預測IC!AN15</f>
        <v>0.35765325369598711</v>
      </c>
      <c r="AN15" s="11">
        <f>AM15+預測IC!AO15</f>
        <v>0.42102306615945417</v>
      </c>
      <c r="AO15" s="11">
        <f>AN15+預測IC!AP15</f>
        <v>0.33456529964895143</v>
      </c>
      <c r="AP15" s="11">
        <f>AO15+預測IC!AQ15</f>
        <v>0.30196775764260159</v>
      </c>
      <c r="AQ15" s="11">
        <f>AP15+預測IC!AR15</f>
        <v>0.38048501451004291</v>
      </c>
      <c r="AR15" s="11">
        <f>AQ15+預測IC!AS15</f>
        <v>0.43430619354715694</v>
      </c>
      <c r="AS15" s="11">
        <f>AR15+預測IC!AT15</f>
        <v>0.49956118419958551</v>
      </c>
      <c r="AT15" s="11">
        <f>AS15+預測IC!AU15</f>
        <v>0.53950444528905184</v>
      </c>
      <c r="AU15" s="11">
        <f>AT15+預測IC!AV15</f>
        <v>0.49227762696161298</v>
      </c>
      <c r="AV15" s="11">
        <f>AU15+預測IC!AW15</f>
        <v>0.5079375662161939</v>
      </c>
      <c r="AW15" s="11">
        <f>AV15+預測IC!AX15</f>
        <v>0.38270358904145874</v>
      </c>
      <c r="AX15" s="11">
        <f>AW15+預測IC!AY15</f>
        <v>0.41081300550424493</v>
      </c>
      <c r="AY15" s="11">
        <f>AX15+預測IC!AZ15</f>
        <v>0.31948972543574145</v>
      </c>
      <c r="AZ15" s="11">
        <f>AY15+預測IC!BA15</f>
        <v>0.33010324024339444</v>
      </c>
      <c r="BA15" s="11">
        <f>AZ15+預測IC!BB15</f>
        <v>0.43889234005951716</v>
      </c>
      <c r="BB15" s="11">
        <f>BA15+預測IC!BC15</f>
        <v>0.50104748372734742</v>
      </c>
      <c r="BC15" s="11">
        <f>BB15+預測IC!BD15</f>
        <v>0.5439973040793159</v>
      </c>
      <c r="BD15" s="11">
        <f>BC15+預測IC!BE15</f>
        <v>0.49778019009629365</v>
      </c>
      <c r="BE15" s="11">
        <f>BD15+預測IC!BF15</f>
        <v>0.54895807737383717</v>
      </c>
      <c r="BF15" s="11">
        <f>BE15+預測IC!BG15</f>
        <v>0.38290686190924039</v>
      </c>
      <c r="BG15" s="11">
        <f>BF15+預測IC!BH15</f>
        <v>0.41646339919561737</v>
      </c>
      <c r="BH15" s="11">
        <f>BG15+預測IC!BI15</f>
        <v>0.34787674008064773</v>
      </c>
      <c r="BI15" s="11">
        <f>BH15+預測IC!BJ15</f>
        <v>0.36349584275263952</v>
      </c>
      <c r="BJ15" s="11">
        <f>BI15+預測IC!BK15</f>
        <v>0.3523394750391835</v>
      </c>
      <c r="BK15" s="11">
        <f>BJ15+預測IC!BL15</f>
        <v>0.41508765103937367</v>
      </c>
      <c r="BL15" s="11">
        <f>BK15+預測IC!BM15</f>
        <v>0.48029453403810735</v>
      </c>
      <c r="BM15" s="11">
        <f>BL15+預測IC!BN15</f>
        <v>0.54634856926368924</v>
      </c>
      <c r="BN15" s="11">
        <f>BM15+預測IC!BO15</f>
        <v>0.51861409330875829</v>
      </c>
      <c r="BO15" s="11">
        <f>BN15+預測IC!BP15</f>
        <v>0.53279831401656308</v>
      </c>
      <c r="BP15" s="11">
        <f>BO15+預測IC!BQ15</f>
        <v>0.5456012453068908</v>
      </c>
      <c r="BQ15" s="11">
        <f>BP15+預測IC!BR15</f>
        <v>0.49544381618483113</v>
      </c>
      <c r="BR15" s="11">
        <f>BQ15+預測IC!BS15</f>
        <v>0.47862003873454484</v>
      </c>
      <c r="BS15" s="11">
        <f>BR15+預測IC!BT15</f>
        <v>0.51525370493010481</v>
      </c>
      <c r="BT15" s="11">
        <f>BS15+預測IC!BU15</f>
        <v>0.53473012472589831</v>
      </c>
      <c r="BU15" s="11">
        <f>BT15+預測IC!BV15</f>
        <v>0.5939590616863466</v>
      </c>
      <c r="BV15" s="11">
        <f>BU15+預測IC!BW15</f>
        <v>0.38981322233386184</v>
      </c>
      <c r="BW15" s="11">
        <f>BV15+預測IC!BX15</f>
        <v>0.36586379089652044</v>
      </c>
      <c r="BX15" s="11">
        <f>BW15+預測IC!BY15</f>
        <v>0.27252539843268359</v>
      </c>
      <c r="BY15" s="11">
        <f>BX15+預測IC!BZ15</f>
        <v>0.37543186741003087</v>
      </c>
      <c r="BZ15" s="11">
        <f>BY15+預測IC!CA15</f>
        <v>0.35683984661358858</v>
      </c>
      <c r="CA15" s="11">
        <f>BZ15+預測IC!CB15</f>
        <v>0.37189674062541306</v>
      </c>
      <c r="CB15" s="11">
        <f>CA15+預測IC!CC15</f>
        <v>0.33653819745289637</v>
      </c>
      <c r="CC15" s="11">
        <f>CB15+預測IC!CD15</f>
        <v>0.45669028141598078</v>
      </c>
      <c r="CD15" s="11">
        <f>CC15+預測IC!CE15</f>
        <v>0.53005840146443128</v>
      </c>
      <c r="CE15" s="11">
        <f>CD15+預測IC!CF15</f>
        <v>0.5336852183947538</v>
      </c>
      <c r="CF15" s="11">
        <f>CE15+預測IC!CG15</f>
        <v>0.52938633914138966</v>
      </c>
      <c r="CG15" s="11">
        <f>CF15+預測IC!CH15</f>
        <v>0.4480437311580614</v>
      </c>
      <c r="CH15" s="11">
        <f>CG15+預測IC!CI15</f>
        <v>0.37870688642282446</v>
      </c>
      <c r="CI15" s="11">
        <f>CH15+預測IC!CJ15</f>
        <v>0.29166253035010636</v>
      </c>
      <c r="CJ15" s="11">
        <f>CI15+預測IC!CK15</f>
        <v>0.34833517612220577</v>
      </c>
      <c r="CK15" s="11">
        <f>CJ15+預測IC!CL15</f>
        <v>0.56108606362886115</v>
      </c>
      <c r="CL15" s="11">
        <f>CK15+預測IC!CM15</f>
        <v>0.6357171797573149</v>
      </c>
      <c r="CM15" s="11">
        <f>CL15+預測IC!CN15</f>
        <v>0.67835129555647522</v>
      </c>
      <c r="CN15" s="11">
        <f>CM15+預測IC!CO15</f>
        <v>0.54890227067443376</v>
      </c>
      <c r="CO15" s="11">
        <f>CN15+預測IC!CP15</f>
        <v>0.41880352300069407</v>
      </c>
      <c r="CP15" s="11">
        <f>CO15+預測IC!CQ15</f>
        <v>0.4556798473643634</v>
      </c>
      <c r="CQ15" s="11">
        <f>CP15+預測IC!CR15</f>
        <v>0.43130552866660804</v>
      </c>
      <c r="CR15" s="11">
        <f>CQ15+預測IC!CS15</f>
        <v>0.49149070113020266</v>
      </c>
      <c r="CS15" s="11">
        <f>CR15+預測IC!CT15</f>
        <v>0.49888527610565742</v>
      </c>
      <c r="CT15" s="11">
        <f>CS15+預測IC!CU15</f>
        <v>0.43570661619088469</v>
      </c>
      <c r="CU15" s="11">
        <f>CT15+預測IC!CV15</f>
        <v>0.49615111188027461</v>
      </c>
      <c r="CV15" s="11">
        <f>CU15+預測IC!CW15</f>
        <v>0.46889367033478069</v>
      </c>
      <c r="CW15" s="11">
        <f>CV15+預測IC!CX15</f>
        <v>0.48676256215156027</v>
      </c>
      <c r="CX15" s="11">
        <f>CW15+預測IC!CY15</f>
        <v>0.43102985132673233</v>
      </c>
      <c r="CY15" s="11">
        <f>CX15+預測IC!CZ15</f>
        <v>0.54639389641970826</v>
      </c>
      <c r="CZ15" s="11">
        <f>CY15+預測IC!DA15</f>
        <v>0.52001806097783176</v>
      </c>
      <c r="DA15" s="11">
        <f>CZ15+預測IC!DB15</f>
        <v>0.61706630250329697</v>
      </c>
      <c r="DB15" s="11">
        <f>DA15+預測IC!DC15</f>
        <v>0.64188740943402989</v>
      </c>
      <c r="DC15" s="11">
        <f>DB15+預測IC!DD15</f>
        <v>0.57436100036629467</v>
      </c>
      <c r="DD15" s="11">
        <f>DC15+預測IC!DE15</f>
        <v>0.59930971511133768</v>
      </c>
      <c r="DE15" s="11">
        <f>DD15+預測IC!DF15</f>
        <v>0.55691840871194298</v>
      </c>
      <c r="DF15" s="11">
        <f>DE15+預測IC!DG15</f>
        <v>0.60483589368628532</v>
      </c>
      <c r="DG15" s="11">
        <f>DF15+預測IC!DH15</f>
        <v>0.58612688264239321</v>
      </c>
      <c r="DH15" s="11">
        <f>DG15+預測IC!DI15</f>
        <v>0.57440843363293548</v>
      </c>
      <c r="DI15" s="11">
        <f>DH15+預測IC!DJ15</f>
        <v>0.52288562280953121</v>
      </c>
      <c r="DJ15" s="11">
        <f>DI15+預測IC!DK15</f>
        <v>0.62466045686099925</v>
      </c>
      <c r="DK15" s="11">
        <f>DJ15+預測IC!DL15</f>
        <v>0.63239829063916952</v>
      </c>
      <c r="DL15" s="11">
        <f>DK15+預測IC!DM15</f>
        <v>0.60858974377150088</v>
      </c>
      <c r="DM15" s="11">
        <f>DL15+預測IC!DN15</f>
        <v>0.65258624119512054</v>
      </c>
      <c r="DN15" s="11">
        <f>DM15+預測IC!DO15</f>
        <v>0.81213165255439268</v>
      </c>
      <c r="DO15" s="11">
        <f>DN15+預測IC!DP15</f>
        <v>0.83586725456128519</v>
      </c>
      <c r="DP15" s="11">
        <f>DO15+預測IC!DQ15</f>
        <v>0.73619503950614962</v>
      </c>
      <c r="DQ15" s="11">
        <f>DP15+預測IC!DR15</f>
        <v>0.77598064756125051</v>
      </c>
      <c r="DR15" s="11">
        <f>DQ15+預測IC!DS15</f>
        <v>0.81351079133921889</v>
      </c>
      <c r="DS15" s="11">
        <f>DR15+預測IC!DT15</f>
        <v>0.74134715962105591</v>
      </c>
      <c r="DT15" s="11">
        <f>DS15+預測IC!DU15</f>
        <v>0.69557643066937525</v>
      </c>
      <c r="DU15" s="11">
        <f>DT15+預測IC!DV15</f>
        <v>0.83534478761024666</v>
      </c>
      <c r="DV15" s="11">
        <f>DU15+預測IC!DW15</f>
        <v>0.86088341475707919</v>
      </c>
      <c r="DW15" s="11">
        <f>DV15+預測IC!DX15</f>
        <v>0.74226716410709281</v>
      </c>
      <c r="DX15" s="11">
        <f>DW15+預測IC!DY15</f>
        <v>0.63572799750608322</v>
      </c>
      <c r="DY15" s="11">
        <f>DX15+預測IC!DZ15</f>
        <v>0.6168077534366988</v>
      </c>
      <c r="DZ15" s="11">
        <f>DY15+預測IC!EA15</f>
        <v>0.64904744473573672</v>
      </c>
      <c r="EA15" s="11">
        <f>DZ15+預測IC!EB15</f>
        <v>0.59292096446841203</v>
      </c>
      <c r="EB15" s="11">
        <f>EA15+預測IC!EC15</f>
        <v>0.6436574632370482</v>
      </c>
      <c r="EC15" s="11">
        <f>EB15+預測IC!ED15</f>
        <v>0.53030040730173678</v>
      </c>
      <c r="ED15" s="11">
        <f>EC15+預測IC!EE15</f>
        <v>0.53349112780326358</v>
      </c>
      <c r="EE15" s="11">
        <f>ED15+預測IC!EF15</f>
        <v>0.59569943304233952</v>
      </c>
    </row>
    <row r="16" spans="1:136" ht="16">
      <c r="A16" s="6" t="s">
        <v>155</v>
      </c>
      <c r="B16" s="9">
        <v>-2.7383644610379052E-2</v>
      </c>
      <c r="C16" s="11">
        <f>B16+預測IC!D16</f>
        <v>-2.8103893277696107E-2</v>
      </c>
      <c r="D16" s="11">
        <f>C16+預測IC!E16</f>
        <v>-9.3110470389024327E-2</v>
      </c>
      <c r="E16" s="11">
        <f>D16+預測IC!F16</f>
        <v>-0.19249296324451143</v>
      </c>
      <c r="F16" s="11">
        <f>E16+預測IC!G16</f>
        <v>-0.26618922837143527</v>
      </c>
      <c r="G16" s="11">
        <f>F16+預測IC!H16</f>
        <v>-0.26683857782825832</v>
      </c>
      <c r="H16" s="11">
        <f>G16+預測IC!I16</f>
        <v>-0.20930795916263689</v>
      </c>
      <c r="I16" s="11">
        <f>H16+預測IC!J16</f>
        <v>-0.16259803311997073</v>
      </c>
      <c r="J16" s="11">
        <f>I16+預測IC!K16</f>
        <v>-0.14467292860170763</v>
      </c>
      <c r="K16" s="11">
        <f>J16+預測IC!L16</f>
        <v>-0.13478639401383885</v>
      </c>
      <c r="L16" s="11">
        <f>K16+預測IC!M16</f>
        <v>-9.4451939288598269E-2</v>
      </c>
      <c r="M16" s="11">
        <f>L16+預測IC!N16</f>
        <v>2.6196368996019334E-2</v>
      </c>
      <c r="N16" s="11">
        <f>M16+預測IC!O16</f>
        <v>0.10718075663858047</v>
      </c>
      <c r="O16" s="11">
        <f>N16+預測IC!P16</f>
        <v>0.16916049191948831</v>
      </c>
      <c r="P16" s="11">
        <f>O16+預測IC!Q16</f>
        <v>0.26577866509439807</v>
      </c>
      <c r="Q16" s="11">
        <f>P16+預測IC!R16</f>
        <v>0.21678768681147154</v>
      </c>
      <c r="R16" s="11">
        <f>Q16+預測IC!S16</f>
        <v>0.32664673114627812</v>
      </c>
      <c r="S16" s="11">
        <f>R16+預測IC!T16</f>
        <v>0.25942767098867681</v>
      </c>
      <c r="T16" s="11">
        <f>S16+預測IC!U16</f>
        <v>0.21077615519587503</v>
      </c>
      <c r="U16" s="11">
        <f>T16+預測IC!V16</f>
        <v>0.31509233079731674</v>
      </c>
      <c r="V16" s="11">
        <f>U16+預測IC!W16</f>
        <v>0.42351706917331783</v>
      </c>
      <c r="W16" s="11">
        <f>V16+預測IC!X16</f>
        <v>0.34983879151585073</v>
      </c>
      <c r="X16" s="11">
        <f>W16+預測IC!Y16</f>
        <v>0.34555134442411434</v>
      </c>
      <c r="Y16" s="11">
        <f>X16+預測IC!Z16</f>
        <v>0.32547554954568952</v>
      </c>
      <c r="Z16" s="11">
        <f>Y16+預測IC!AA16</f>
        <v>0.28198791370969739</v>
      </c>
      <c r="AA16" s="11">
        <f>Z16+預測IC!AB16</f>
        <v>0.35697295534767781</v>
      </c>
      <c r="AB16" s="11">
        <f>AA16+預測IC!AC16</f>
        <v>0.40260245832787123</v>
      </c>
      <c r="AC16" s="11">
        <f>AB16+預測IC!AD16</f>
        <v>0.43741363018512269</v>
      </c>
      <c r="AD16" s="11">
        <f>AC16+預測IC!AE16</f>
        <v>0.34091126969651703</v>
      </c>
      <c r="AE16" s="11">
        <f>AD16+預測IC!AF16</f>
        <v>0.35591989270885993</v>
      </c>
      <c r="AF16" s="11">
        <f>AE16+預測IC!AG16</f>
        <v>0.36921064574539531</v>
      </c>
      <c r="AG16" s="11">
        <f>AF16+預測IC!AH16</f>
        <v>0.33744524529595477</v>
      </c>
      <c r="AH16" s="11">
        <f>AG16+預測IC!AI16</f>
        <v>0.38652328847252282</v>
      </c>
      <c r="AI16" s="11">
        <f>AH16+預測IC!AJ16</f>
        <v>0.37949732240064676</v>
      </c>
      <c r="AJ16" s="11">
        <f>AI16+預測IC!AK16</f>
        <v>0.37151015467072196</v>
      </c>
      <c r="AK16" s="11">
        <f>AJ16+預測IC!AL16</f>
        <v>0.38598266618818056</v>
      </c>
      <c r="AL16" s="11">
        <f>AK16+預測IC!AM16</f>
        <v>0.45205939678997853</v>
      </c>
      <c r="AM16" s="11">
        <f>AL16+預測IC!AN16</f>
        <v>0.55851559687965413</v>
      </c>
      <c r="AN16" s="11">
        <f>AM16+預測IC!AO16</f>
        <v>0.61731084914572765</v>
      </c>
      <c r="AO16" s="11">
        <f>AN16+預測IC!AP16</f>
        <v>0.53951248100013915</v>
      </c>
      <c r="AP16" s="11">
        <f>AO16+預測IC!AQ16</f>
        <v>0.50104628085407055</v>
      </c>
      <c r="AQ16" s="11">
        <f>AP16+預測IC!AR16</f>
        <v>0.604337459914563</v>
      </c>
      <c r="AR16" s="11">
        <f>AQ16+預測IC!AS16</f>
        <v>0.6694056853885324</v>
      </c>
      <c r="AS16" s="11">
        <f>AR16+預測IC!AT16</f>
        <v>0.72927282453292652</v>
      </c>
      <c r="AT16" s="11">
        <f>AS16+預測IC!AU16</f>
        <v>0.7710996627878216</v>
      </c>
      <c r="AU16" s="11">
        <f>AT16+預測IC!AV16</f>
        <v>0.76202715600780291</v>
      </c>
      <c r="AV16" s="11">
        <f>AU16+預測IC!AW16</f>
        <v>0.8012800860824536</v>
      </c>
      <c r="AW16" s="11">
        <f>AV16+預測IC!AX16</f>
        <v>0.70045031283848069</v>
      </c>
      <c r="AX16" s="11">
        <f>AW16+預測IC!AY16</f>
        <v>0.73426290268282668</v>
      </c>
      <c r="AY16" s="11">
        <f>AX16+預測IC!AZ16</f>
        <v>0.62935326750411447</v>
      </c>
      <c r="AZ16" s="11">
        <f>AY16+預測IC!BA16</f>
        <v>0.63916146604846436</v>
      </c>
      <c r="BA16" s="11">
        <f>AZ16+預測IC!BB16</f>
        <v>0.77163620364503616</v>
      </c>
      <c r="BB16" s="11">
        <f>BA16+預測IC!BC16</f>
        <v>0.83773844874472503</v>
      </c>
      <c r="BC16" s="11">
        <f>BB16+預測IC!BD16</f>
        <v>0.87367516029062908</v>
      </c>
      <c r="BD16" s="11">
        <f>BC16+預測IC!BE16</f>
        <v>0.82953602365056023</v>
      </c>
      <c r="BE16" s="11">
        <f>BD16+預測IC!BF16</f>
        <v>0.8938040779702785</v>
      </c>
      <c r="BF16" s="11">
        <f>BE16+預測IC!BG16</f>
        <v>0.73257450838592786</v>
      </c>
      <c r="BG16" s="11">
        <f>BF16+預測IC!BH16</f>
        <v>0.72716202831897059</v>
      </c>
      <c r="BH16" s="11">
        <f>BG16+預測IC!BI16</f>
        <v>0.67482626802450596</v>
      </c>
      <c r="BI16" s="11">
        <f>BH16+預測IC!BJ16</f>
        <v>0.69533008430771359</v>
      </c>
      <c r="BJ16" s="11">
        <f>BI16+預測IC!BK16</f>
        <v>0.69320713249519783</v>
      </c>
      <c r="BK16" s="11">
        <f>BJ16+預測IC!BL16</f>
        <v>0.76383069820272098</v>
      </c>
      <c r="BL16" s="11">
        <f>BK16+預測IC!BM16</f>
        <v>0.85493787055259363</v>
      </c>
      <c r="BM16" s="11">
        <f>BL16+預測IC!BN16</f>
        <v>0.92213584095728263</v>
      </c>
      <c r="BN16" s="11">
        <f>BM16+預測IC!BO16</f>
        <v>0.90024548100362489</v>
      </c>
      <c r="BO16" s="11">
        <f>BN16+預測IC!BP16</f>
        <v>0.91199267898696401</v>
      </c>
      <c r="BP16" s="11">
        <f>BO16+預測IC!BQ16</f>
        <v>0.92530513273177994</v>
      </c>
      <c r="BQ16" s="11">
        <f>BP16+預測IC!BR16</f>
        <v>0.89900828471033556</v>
      </c>
      <c r="BR16" s="11">
        <f>BQ16+預測IC!BS16</f>
        <v>0.88581671156287134</v>
      </c>
      <c r="BS16" s="11">
        <f>BR16+預測IC!BT16</f>
        <v>0.92388278977511673</v>
      </c>
      <c r="BT16" s="11">
        <f>BS16+預測IC!BU16</f>
        <v>0.98164789995991719</v>
      </c>
      <c r="BU16" s="11">
        <f>BT16+預測IC!BV16</f>
        <v>1.0454303883090705</v>
      </c>
      <c r="BV16" s="11">
        <f>BU16+預測IC!BW16</f>
        <v>0.82148547430741237</v>
      </c>
      <c r="BW16" s="11">
        <f>BV16+預測IC!BX16</f>
        <v>0.79740720247806507</v>
      </c>
      <c r="BX16" s="11">
        <f>BW16+預測IC!BY16</f>
        <v>0.67841249442478657</v>
      </c>
      <c r="BY16" s="11">
        <f>BX16+預測IC!BZ16</f>
        <v>0.78993834292643572</v>
      </c>
      <c r="BZ16" s="11">
        <f>BY16+預測IC!CA16</f>
        <v>0.77282223924266435</v>
      </c>
      <c r="CA16" s="11">
        <f>BZ16+預測IC!CB16</f>
        <v>0.77139419425344702</v>
      </c>
      <c r="CB16" s="11">
        <f>CA16+預測IC!CC16</f>
        <v>0.75071103355226187</v>
      </c>
      <c r="CC16" s="11">
        <f>CB16+預測IC!CD16</f>
        <v>0.90578230517862368</v>
      </c>
      <c r="CD16" s="11">
        <f>CC16+預測IC!CE16</f>
        <v>0.99939653564653941</v>
      </c>
      <c r="CE16" s="11">
        <f>CD16+預測IC!CF16</f>
        <v>1.0140925986129687</v>
      </c>
      <c r="CF16" s="11">
        <f>CE16+預測IC!CG16</f>
        <v>1.0205406201601763</v>
      </c>
      <c r="CG16" s="11">
        <f>CF16+預測IC!CH16</f>
        <v>0.97009189545618024</v>
      </c>
      <c r="CH16" s="11">
        <f>CG16+預測IC!CI16</f>
        <v>0.91174714561167236</v>
      </c>
      <c r="CI16" s="11">
        <f>CH16+預測IC!CJ16</f>
        <v>0.86622359482400579</v>
      </c>
      <c r="CJ16" s="11">
        <f>CI16+預測IC!CK16</f>
        <v>0.9426965785416962</v>
      </c>
      <c r="CK16" s="11">
        <f>CJ16+預測IC!CL16</f>
        <v>1.186634735107118</v>
      </c>
      <c r="CL16" s="11">
        <f>CK16+預測IC!CM16</f>
        <v>1.2756233632566296</v>
      </c>
      <c r="CM16" s="11">
        <f>CL16+預測IC!CN16</f>
        <v>1.3086808783975796</v>
      </c>
      <c r="CN16" s="11">
        <f>CM16+預測IC!CO16</f>
        <v>1.1378021872903332</v>
      </c>
      <c r="CO16" s="11">
        <f>CN16+預測IC!CP16</f>
        <v>1.0266507370886888</v>
      </c>
      <c r="CP16" s="11">
        <f>CO16+預測IC!CQ16</f>
        <v>1.067528913413144</v>
      </c>
      <c r="CQ16" s="11">
        <f>CP16+預測IC!CR16</f>
        <v>1.0423002569009845</v>
      </c>
      <c r="CR16" s="11">
        <f>CQ16+預測IC!CS16</f>
        <v>1.1072486590974637</v>
      </c>
      <c r="CS16" s="11">
        <f>CR16+預測IC!CT16</f>
        <v>1.1123160655983046</v>
      </c>
      <c r="CT16" s="11">
        <f>CS16+預測IC!CU16</f>
        <v>1.0482026965344209</v>
      </c>
      <c r="CU16" s="11">
        <f>CT16+預測IC!CV16</f>
        <v>1.1076566893202568</v>
      </c>
      <c r="CV16" s="11">
        <f>CU16+預測IC!CW16</f>
        <v>1.0759835751485742</v>
      </c>
      <c r="CW16" s="11">
        <f>CV16+預測IC!CX16</f>
        <v>1.0826703528268025</v>
      </c>
      <c r="CX16" s="11">
        <f>CW16+預測IC!CY16</f>
        <v>1.0241160466555497</v>
      </c>
      <c r="CY16" s="11">
        <f>CX16+預測IC!CZ16</f>
        <v>1.1903343638380113</v>
      </c>
      <c r="CZ16" s="11">
        <f>CY16+預測IC!DA16</f>
        <v>1.1605295698707758</v>
      </c>
      <c r="DA16" s="11">
        <f>CZ16+預測IC!DB16</f>
        <v>1.2585468527565724</v>
      </c>
      <c r="DB16" s="11">
        <f>DA16+預測IC!DC16</f>
        <v>1.2939045719401006</v>
      </c>
      <c r="DC16" s="11">
        <f>DB16+預測IC!DD16</f>
        <v>1.2195334569375034</v>
      </c>
      <c r="DD16" s="11">
        <f>DC16+預測IC!DE16</f>
        <v>1.1883403289013705</v>
      </c>
      <c r="DE16" s="11">
        <f>DD16+預測IC!DF16</f>
        <v>1.1651938956758114</v>
      </c>
      <c r="DF16" s="11">
        <f>DE16+預測IC!DG16</f>
        <v>1.2108708107047039</v>
      </c>
      <c r="DG16" s="11">
        <f>DF16+預測IC!DH16</f>
        <v>1.1917414672867328</v>
      </c>
      <c r="DH16" s="11">
        <f>DG16+預測IC!DI16</f>
        <v>1.1785080415742106</v>
      </c>
      <c r="DI16" s="11">
        <f>DH16+預測IC!DJ16</f>
        <v>1.141864898842627</v>
      </c>
      <c r="DJ16" s="11">
        <f>DI16+預測IC!DK16</f>
        <v>1.2754592554682076</v>
      </c>
      <c r="DK16" s="11">
        <f>DJ16+預測IC!DL16</f>
        <v>1.2768252275561303</v>
      </c>
      <c r="DL16" s="11">
        <f>DK16+預測IC!DM16</f>
        <v>1.2464942777977892</v>
      </c>
      <c r="DM16" s="11">
        <f>DL16+預測IC!DN16</f>
        <v>1.2889321311571964</v>
      </c>
      <c r="DN16" s="11">
        <f>DM16+預測IC!DO16</f>
        <v>1.4585230775452707</v>
      </c>
      <c r="DO16" s="11">
        <f>DN16+預測IC!DP16</f>
        <v>1.4783650261244967</v>
      </c>
      <c r="DP16" s="11">
        <f>DO16+預測IC!DQ16</f>
        <v>1.3953313680474801</v>
      </c>
      <c r="DQ16" s="11">
        <f>DP16+預測IC!DR16</f>
        <v>1.4505226196969954</v>
      </c>
      <c r="DR16" s="11">
        <f>DQ16+預測IC!DS16</f>
        <v>1.4719632924094883</v>
      </c>
      <c r="DS16" s="11">
        <f>DR16+預測IC!DT16</f>
        <v>1.371269968113616</v>
      </c>
      <c r="DT16" s="11">
        <f>DS16+預測IC!DU16</f>
        <v>1.3067962343440773</v>
      </c>
      <c r="DU16" s="11">
        <f>DT16+預測IC!DV16</f>
        <v>1.4437499663618709</v>
      </c>
      <c r="DV16" s="11">
        <f>DU16+預測IC!DW16</f>
        <v>1.4846676960615617</v>
      </c>
      <c r="DW16" s="11">
        <f>DV16+預測IC!DX16</f>
        <v>1.3593829897375842</v>
      </c>
      <c r="DX16" s="11">
        <f>DW16+預測IC!DY16</f>
        <v>1.2430286548272411</v>
      </c>
      <c r="DY16" s="11">
        <f>DX16+預測IC!DZ16</f>
        <v>1.2117515750025647</v>
      </c>
      <c r="DZ16" s="11">
        <f>DY16+預測IC!EA16</f>
        <v>1.2584129465582916</v>
      </c>
      <c r="EA16" s="11">
        <f>DZ16+預測IC!EB16</f>
        <v>1.1875375027787405</v>
      </c>
      <c r="EB16" s="11">
        <f>EA16+預測IC!EC16</f>
        <v>1.2386551550331211</v>
      </c>
      <c r="EC16" s="11">
        <f>EB16+預測IC!ED16</f>
        <v>1.1232384075341999</v>
      </c>
      <c r="ED16" s="11">
        <f>EC16+預測IC!EE16</f>
        <v>1.1276350828409596</v>
      </c>
      <c r="EE16" s="11">
        <f>ED16+預測IC!EF16</f>
        <v>1.1675289895536034</v>
      </c>
    </row>
    <row r="17" spans="1:136" ht="16">
      <c r="A17" s="6" t="s">
        <v>156</v>
      </c>
      <c r="B17" s="9">
        <v>-4.5056429492109057E-2</v>
      </c>
      <c r="C17" s="11">
        <f>B17+預測IC!D17</f>
        <v>-6.2390804225196855E-2</v>
      </c>
      <c r="D17" s="11">
        <f>C17+預測IC!E17</f>
        <v>-0.14198065361594986</v>
      </c>
      <c r="E17" s="11">
        <f>D17+預測IC!F17</f>
        <v>-0.25481816873324559</v>
      </c>
      <c r="F17" s="11">
        <f>E17+預測IC!G17</f>
        <v>-0.33288120956184086</v>
      </c>
      <c r="G17" s="11">
        <f>F17+預測IC!H17</f>
        <v>-0.3249383527138392</v>
      </c>
      <c r="H17" s="11">
        <f>G17+預測IC!I17</f>
        <v>-0.21121332491165168</v>
      </c>
      <c r="I17" s="11">
        <f>H17+預測IC!J17</f>
        <v>-0.16935492979342248</v>
      </c>
      <c r="J17" s="11">
        <f>I17+預測IC!K17</f>
        <v>-0.12990993787568861</v>
      </c>
      <c r="K17" s="11">
        <f>J17+預測IC!L17</f>
        <v>-0.12445217894529059</v>
      </c>
      <c r="L17" s="11">
        <f>K17+預測IC!M17</f>
        <v>-5.9520143961804384E-2</v>
      </c>
      <c r="M17" s="11">
        <f>L17+預測IC!N17</f>
        <v>7.6428288090980817E-2</v>
      </c>
      <c r="N17" s="11">
        <f>M17+預測IC!O17</f>
        <v>0.15894539573134397</v>
      </c>
      <c r="O17" s="11">
        <f>N17+預測IC!P17</f>
        <v>0.23586099923424492</v>
      </c>
      <c r="P17" s="11">
        <f>O17+預測IC!Q17</f>
        <v>0.34229125252072173</v>
      </c>
      <c r="Q17" s="11">
        <f>P17+預測IC!R17</f>
        <v>0.29023364361619453</v>
      </c>
      <c r="R17" s="11">
        <f>Q17+預測IC!S17</f>
        <v>0.40928803294152521</v>
      </c>
      <c r="S17" s="11">
        <f>R17+預測IC!T17</f>
        <v>0.33808601840871816</v>
      </c>
      <c r="T17" s="11">
        <f>S17+預測IC!U17</f>
        <v>0.28579578446190201</v>
      </c>
      <c r="U17" s="11">
        <f>T17+預測IC!V17</f>
        <v>0.40215208648730211</v>
      </c>
      <c r="V17" s="11">
        <f>U17+預測IC!W17</f>
        <v>0.52565298702518737</v>
      </c>
      <c r="W17" s="11">
        <f>V17+預測IC!X17</f>
        <v>0.42546702002119907</v>
      </c>
      <c r="X17" s="11">
        <f>W17+預測IC!Y17</f>
        <v>0.42696752134773625</v>
      </c>
      <c r="Y17" s="11">
        <f>X17+預測IC!Z17</f>
        <v>0.40535903155346986</v>
      </c>
      <c r="Z17" s="11">
        <f>Y17+預測IC!AA17</f>
        <v>0.3680964195124562</v>
      </c>
      <c r="AA17" s="11">
        <f>Z17+預測IC!AB17</f>
        <v>0.45294848239062852</v>
      </c>
      <c r="AB17" s="11">
        <f>AA17+預測IC!AC17</f>
        <v>0.51167717268112234</v>
      </c>
      <c r="AC17" s="11">
        <f>AB17+預測IC!AD17</f>
        <v>0.58029699591796913</v>
      </c>
      <c r="AD17" s="11">
        <f>AC17+預測IC!AE17</f>
        <v>0.45313857347074415</v>
      </c>
      <c r="AE17" s="11">
        <f>AD17+預測IC!AF17</f>
        <v>0.46154981671905571</v>
      </c>
      <c r="AF17" s="11">
        <f>AE17+預測IC!AG17</f>
        <v>0.49342338929672586</v>
      </c>
      <c r="AG17" s="11">
        <f>AF17+預測IC!AH17</f>
        <v>0.44398584701618488</v>
      </c>
      <c r="AH17" s="11">
        <f>AG17+預測IC!AI17</f>
        <v>0.47457355565769843</v>
      </c>
      <c r="AI17" s="11">
        <f>AH17+預測IC!AJ17</f>
        <v>0.43197092513874152</v>
      </c>
      <c r="AJ17" s="11">
        <f>AI17+預測IC!AK17</f>
        <v>0.41864521238637786</v>
      </c>
      <c r="AK17" s="11">
        <f>AJ17+預測IC!AL17</f>
        <v>0.42862894572137661</v>
      </c>
      <c r="AL17" s="11">
        <f>AK17+預測IC!AM17</f>
        <v>0.50399831330903355</v>
      </c>
      <c r="AM17" s="11">
        <f>AL17+預測IC!AN17</f>
        <v>0.61728543365495125</v>
      </c>
      <c r="AN17" s="11">
        <f>AM17+預測IC!AO17</f>
        <v>0.62991776825067547</v>
      </c>
      <c r="AO17" s="11">
        <f>AN17+預測IC!AP17</f>
        <v>0.55267495383109</v>
      </c>
      <c r="AP17" s="11">
        <f>AO17+預測IC!AQ17</f>
        <v>0.49214781642959093</v>
      </c>
      <c r="AQ17" s="11">
        <f>AP17+預測IC!AR17</f>
        <v>0.60859746305723217</v>
      </c>
      <c r="AR17" s="11">
        <f>AQ17+預測IC!AS17</f>
        <v>0.66492102509170792</v>
      </c>
      <c r="AS17" s="11">
        <f>AR17+預測IC!AT17</f>
        <v>0.71718883154143009</v>
      </c>
      <c r="AT17" s="11">
        <f>AS17+預測IC!AU17</f>
        <v>0.7698370627844231</v>
      </c>
      <c r="AU17" s="11">
        <f>AT17+預測IC!AV17</f>
        <v>0.74832869984651751</v>
      </c>
      <c r="AV17" s="11">
        <f>AU17+預測IC!AW17</f>
        <v>0.76749267362083728</v>
      </c>
      <c r="AW17" s="11">
        <f>AV17+預測IC!AX17</f>
        <v>0.67125211511203831</v>
      </c>
      <c r="AX17" s="11">
        <f>AW17+預測IC!AY17</f>
        <v>0.69867581180263916</v>
      </c>
      <c r="AY17" s="11">
        <f>AX17+預測IC!AZ17</f>
        <v>0.57356498689527102</v>
      </c>
      <c r="AZ17" s="11">
        <f>AY17+預測IC!BA17</f>
        <v>0.58339016600238403</v>
      </c>
      <c r="BA17" s="11">
        <f>AZ17+預測IC!BB17</f>
        <v>0.73666145028076868</v>
      </c>
      <c r="BB17" s="11">
        <f>BA17+預測IC!BC17</f>
        <v>0.81937802182457886</v>
      </c>
      <c r="BC17" s="11">
        <f>BB17+預測IC!BD17</f>
        <v>0.84173450407078365</v>
      </c>
      <c r="BD17" s="11">
        <f>BC17+預測IC!BE17</f>
        <v>0.82543711530023944</v>
      </c>
      <c r="BE17" s="11">
        <f>BD17+預測IC!BF17</f>
        <v>0.88063461190919312</v>
      </c>
      <c r="BF17" s="11">
        <f>BE17+預測IC!BG17</f>
        <v>0.69488303377831229</v>
      </c>
      <c r="BG17" s="11">
        <f>BF17+預測IC!BH17</f>
        <v>0.69315164901368764</v>
      </c>
      <c r="BH17" s="11">
        <f>BG17+預測IC!BI17</f>
        <v>0.59378625697613729</v>
      </c>
      <c r="BI17" s="11">
        <f>BH17+預測IC!BJ17</f>
        <v>0.60364432124937373</v>
      </c>
      <c r="BJ17" s="11">
        <f>BI17+預測IC!BK17</f>
        <v>0.5898213691792682</v>
      </c>
      <c r="BK17" s="11">
        <f>BJ17+預測IC!BL17</f>
        <v>0.66375267438101437</v>
      </c>
      <c r="BL17" s="11">
        <f>BK17+預測IC!BM17</f>
        <v>0.73975044482687435</v>
      </c>
      <c r="BM17" s="11">
        <f>BL17+預測IC!BN17</f>
        <v>0.81340721276324024</v>
      </c>
      <c r="BN17" s="11">
        <f>BM17+預測IC!BO17</f>
        <v>0.79352113205435326</v>
      </c>
      <c r="BO17" s="11">
        <f>BN17+預測IC!BP17</f>
        <v>0.82035863313278734</v>
      </c>
      <c r="BP17" s="11">
        <f>BO17+預測IC!BQ17</f>
        <v>0.83173514357923894</v>
      </c>
      <c r="BQ17" s="11">
        <f>BP17+預測IC!BR17</f>
        <v>0.83081719817331823</v>
      </c>
      <c r="BR17" s="11">
        <f>BQ17+預測IC!BS17</f>
        <v>0.82671372906271168</v>
      </c>
      <c r="BS17" s="11">
        <f>BR17+預測IC!BT17</f>
        <v>0.86036130230907004</v>
      </c>
      <c r="BT17" s="11">
        <f>BS17+預測IC!BU17</f>
        <v>0.9314891210598224</v>
      </c>
      <c r="BU17" s="11">
        <f>BT17+預測IC!BV17</f>
        <v>1.0059360218585576</v>
      </c>
      <c r="BV17" s="11">
        <f>BU17+預測IC!BW17</f>
        <v>0.77870192834959451</v>
      </c>
      <c r="BW17" s="11">
        <f>BV17+預測IC!BX17</f>
        <v>0.77150097806916906</v>
      </c>
      <c r="BX17" s="11">
        <f>BW17+預測IC!BY17</f>
        <v>0.67564010614917802</v>
      </c>
      <c r="BY17" s="11">
        <f>BX17+預測IC!BZ17</f>
        <v>0.79621826203026336</v>
      </c>
      <c r="BZ17" s="11">
        <f>BY17+預測IC!CA17</f>
        <v>0.76828342967177377</v>
      </c>
      <c r="CA17" s="11">
        <f>BZ17+預測IC!CB17</f>
        <v>0.76694811933766172</v>
      </c>
      <c r="CB17" s="11">
        <f>CA17+預測IC!CC17</f>
        <v>0.65226727248388394</v>
      </c>
      <c r="CC17" s="11">
        <f>CB17+預測IC!CD17</f>
        <v>0.82522701370303253</v>
      </c>
      <c r="CD17" s="11">
        <f>CC17+預測IC!CE17</f>
        <v>0.92093508736452767</v>
      </c>
      <c r="CE17" s="11">
        <f>CD17+預測IC!CF17</f>
        <v>1.0160584363027316</v>
      </c>
      <c r="CF17" s="11">
        <f>CE17+預測IC!CG17</f>
        <v>1.0138361893785095</v>
      </c>
      <c r="CG17" s="11">
        <f>CF17+預測IC!CH17</f>
        <v>0.98086711720805642</v>
      </c>
      <c r="CH17" s="11">
        <f>CG17+預測IC!CI17</f>
        <v>0.89841420288799922</v>
      </c>
      <c r="CI17" s="11">
        <f>CH17+預測IC!CJ17</f>
        <v>0.8476718814035572</v>
      </c>
      <c r="CJ17" s="11">
        <f>CI17+預測IC!CK17</f>
        <v>0.93941045406147017</v>
      </c>
      <c r="CK17" s="11">
        <f>CJ17+預測IC!CL17</f>
        <v>1.2265895520428236</v>
      </c>
      <c r="CL17" s="11">
        <f>CK17+預測IC!CM17</f>
        <v>1.3611588964743979</v>
      </c>
      <c r="CM17" s="11">
        <f>CL17+預測IC!CN17</f>
        <v>1.3878769576253849</v>
      </c>
      <c r="CN17" s="11">
        <f>CM17+預測IC!CO17</f>
        <v>1.1853383303623954</v>
      </c>
      <c r="CO17" s="11">
        <f>CN17+預測IC!CP17</f>
        <v>1.0771169468535065</v>
      </c>
      <c r="CP17" s="11">
        <f>CO17+預測IC!CQ17</f>
        <v>1.1182048800369098</v>
      </c>
      <c r="CQ17" s="11">
        <f>CP17+預測IC!CR17</f>
        <v>1.0951990504989115</v>
      </c>
      <c r="CR17" s="11">
        <f>CQ17+預測IC!CS17</f>
        <v>1.1882389711991035</v>
      </c>
      <c r="CS17" s="11">
        <f>CR17+預測IC!CT17</f>
        <v>1.2374990275882967</v>
      </c>
      <c r="CT17" s="11">
        <f>CS17+預測IC!CU17</f>
        <v>1.1630907200050427</v>
      </c>
      <c r="CU17" s="11">
        <f>CT17+預測IC!CV17</f>
        <v>1.2309817370763221</v>
      </c>
      <c r="CV17" s="11">
        <f>CU17+預測IC!CW17</f>
        <v>1.2078258922614742</v>
      </c>
      <c r="CW17" s="11">
        <f>CV17+預測IC!CX17</f>
        <v>1.2328183414669958</v>
      </c>
      <c r="CX17" s="11">
        <f>CW17+預測IC!CY17</f>
        <v>1.1733203896071731</v>
      </c>
      <c r="CY17" s="11">
        <f>CX17+預測IC!CZ17</f>
        <v>1.3574535902332963</v>
      </c>
      <c r="CZ17" s="11">
        <f>CY17+預測IC!DA17</f>
        <v>1.3135577310881621</v>
      </c>
      <c r="DA17" s="11">
        <f>CZ17+預測IC!DB17</f>
        <v>1.4178293569912455</v>
      </c>
      <c r="DB17" s="11">
        <f>DA17+預測IC!DC17</f>
        <v>1.4611928259687448</v>
      </c>
      <c r="DC17" s="11">
        <f>DB17+預測IC!DD17</f>
        <v>1.413062236630233</v>
      </c>
      <c r="DD17" s="11">
        <f>DC17+預測IC!DE17</f>
        <v>1.3798813059629658</v>
      </c>
      <c r="DE17" s="11">
        <f>DD17+預測IC!DF17</f>
        <v>1.3686499356363064</v>
      </c>
      <c r="DF17" s="11">
        <f>DE17+預測IC!DG17</f>
        <v>1.4158609240648303</v>
      </c>
      <c r="DG17" s="11">
        <f>DF17+預測IC!DH17</f>
        <v>1.3771342731268177</v>
      </c>
      <c r="DH17" s="11">
        <f>DG17+預測IC!DI17</f>
        <v>1.3718410288030352</v>
      </c>
      <c r="DI17" s="11">
        <f>DH17+預測IC!DJ17</f>
        <v>1.3265048712622152</v>
      </c>
      <c r="DJ17" s="11">
        <f>DI17+預測IC!DK17</f>
        <v>1.4825412993787614</v>
      </c>
      <c r="DK17" s="11">
        <f>DJ17+預測IC!DL17</f>
        <v>1.4767509536332681</v>
      </c>
      <c r="DL17" s="11">
        <f>DK17+預測IC!DM17</f>
        <v>1.4244980430509522</v>
      </c>
      <c r="DM17" s="11">
        <f>DL17+預測IC!DN17</f>
        <v>1.4599870757652913</v>
      </c>
      <c r="DN17" s="11">
        <f>DM17+預測IC!DO17</f>
        <v>1.6397500018640201</v>
      </c>
      <c r="DO17" s="11">
        <f>DN17+預測IC!DP17</f>
        <v>1.6228713925301232</v>
      </c>
      <c r="DP17" s="11">
        <f>DO17+預測IC!DQ17</f>
        <v>1.5151689237334924</v>
      </c>
      <c r="DQ17" s="11">
        <f>DP17+預測IC!DR17</f>
        <v>1.5710537386098207</v>
      </c>
      <c r="DR17" s="11">
        <f>DQ17+預測IC!DS17</f>
        <v>1.6084078273649229</v>
      </c>
      <c r="DS17" s="11">
        <f>DR17+預測IC!DT17</f>
        <v>1.5144276150021994</v>
      </c>
      <c r="DT17" s="11">
        <f>DS17+預測IC!DU17</f>
        <v>1.4426969089516941</v>
      </c>
      <c r="DU17" s="11">
        <f>DT17+預測IC!DV17</f>
        <v>1.5604623070626484</v>
      </c>
      <c r="DV17" s="11">
        <f>DU17+預測IC!DW17</f>
        <v>1.6091437904767987</v>
      </c>
      <c r="DW17" s="11">
        <f>DV17+預測IC!DX17</f>
        <v>1.4796048078803246</v>
      </c>
      <c r="DX17" s="11">
        <f>DW17+預測IC!DY17</f>
        <v>1.3764841296121704</v>
      </c>
      <c r="DY17" s="11">
        <f>DX17+預測IC!DZ17</f>
        <v>1.3283388307651627</v>
      </c>
      <c r="DZ17" s="11">
        <f>DY17+預測IC!EA17</f>
        <v>1.3401567546308752</v>
      </c>
      <c r="EA17" s="11">
        <f>DZ17+預測IC!EB17</f>
        <v>1.2663757849132224</v>
      </c>
      <c r="EB17" s="11">
        <f>EA17+預測IC!EC17</f>
        <v>1.2828010021292831</v>
      </c>
      <c r="EC17" s="11">
        <f>EB17+預測IC!ED17</f>
        <v>1.1544765582003704</v>
      </c>
      <c r="ED17" s="11">
        <f>EC17+預測IC!EE17</f>
        <v>1.1542830370542909</v>
      </c>
      <c r="EE17" s="11">
        <f>ED17+預測IC!EF17</f>
        <v>1.2019928040641428</v>
      </c>
    </row>
    <row r="18" spans="1:136" ht="16">
      <c r="A18" s="6" t="s">
        <v>157</v>
      </c>
      <c r="B18" s="9">
        <v>-5.3942228163147227E-2</v>
      </c>
      <c r="C18" s="11">
        <f>B18+預測IC!D18</f>
        <v>-3.7227061578284995E-2</v>
      </c>
      <c r="D18" s="11">
        <f>C18+預測IC!E18</f>
        <v>-9.0666411846009015E-2</v>
      </c>
      <c r="E18" s="11">
        <f>D18+預測IC!F18</f>
        <v>-0.22508078627939471</v>
      </c>
      <c r="F18" s="11">
        <f>E18+預測IC!G18</f>
        <v>-0.30587503330025456</v>
      </c>
      <c r="G18" s="11">
        <f>F18+預測IC!H18</f>
        <v>-0.29725280554581024</v>
      </c>
      <c r="H18" s="11">
        <f>G18+預測IC!I18</f>
        <v>-0.16175262532256915</v>
      </c>
      <c r="I18" s="11">
        <f>H18+預測IC!J18</f>
        <v>-0.11834110957092754</v>
      </c>
      <c r="J18" s="11">
        <f>I18+預測IC!K18</f>
        <v>-8.6754659260013856E-2</v>
      </c>
      <c r="K18" s="11">
        <f>J18+預測IC!L18</f>
        <v>-7.3772172413032244E-2</v>
      </c>
      <c r="L18" s="11">
        <f>K18+預測IC!M18</f>
        <v>-3.9658688525241875E-3</v>
      </c>
      <c r="M18" s="11">
        <f>L18+預測IC!N18</f>
        <v>0.13902655843224693</v>
      </c>
      <c r="N18" s="11">
        <f>M18+預測IC!O18</f>
        <v>0.21982632853346945</v>
      </c>
      <c r="O18" s="11">
        <f>N18+預測IC!P18</f>
        <v>0.27439594164445358</v>
      </c>
      <c r="P18" s="11">
        <f>O18+預測IC!Q18</f>
        <v>0.39613231330908871</v>
      </c>
      <c r="Q18" s="11">
        <f>P18+預測IC!R18</f>
        <v>0.32639828617129829</v>
      </c>
      <c r="R18" s="11">
        <f>Q18+預測IC!S18</f>
        <v>0.47020351347019751</v>
      </c>
      <c r="S18" s="11">
        <f>R18+預測IC!T18</f>
        <v>0.41299713182079412</v>
      </c>
      <c r="T18" s="11">
        <f>S18+預測IC!U18</f>
        <v>0.38486160418820348</v>
      </c>
      <c r="U18" s="11">
        <f>T18+預測IC!V18</f>
        <v>0.51611553112764441</v>
      </c>
      <c r="V18" s="11">
        <f>U18+預測IC!W18</f>
        <v>0.65403276904335061</v>
      </c>
      <c r="W18" s="11">
        <f>V18+預測IC!X18</f>
        <v>0.52690996041786031</v>
      </c>
      <c r="X18" s="11">
        <f>W18+預測IC!Y18</f>
        <v>0.55112376813844122</v>
      </c>
      <c r="Y18" s="11">
        <f>X18+預測IC!Z18</f>
        <v>0.53421805195105732</v>
      </c>
      <c r="Z18" s="11">
        <f>Y18+預測IC!AA18</f>
        <v>0.49251280676833326</v>
      </c>
      <c r="AA18" s="11">
        <f>Z18+預測IC!AB18</f>
        <v>0.58091044421233495</v>
      </c>
      <c r="AB18" s="11">
        <f>AA18+預測IC!AC18</f>
        <v>0.60127941420783793</v>
      </c>
      <c r="AC18" s="11">
        <f>AB18+預測IC!AD18</f>
        <v>0.6975652593932572</v>
      </c>
      <c r="AD18" s="11">
        <f>AC18+預測IC!AE18</f>
        <v>0.55403601796418267</v>
      </c>
      <c r="AE18" s="11">
        <f>AD18+預測IC!AF18</f>
        <v>0.55228452601566158</v>
      </c>
      <c r="AF18" s="11">
        <f>AE18+預測IC!AG18</f>
        <v>0.56802819598613663</v>
      </c>
      <c r="AG18" s="11">
        <f>AF18+預測IC!AH18</f>
        <v>0.5278307350176219</v>
      </c>
      <c r="AH18" s="11">
        <f>AG18+預測IC!AI18</f>
        <v>0.57468627637137792</v>
      </c>
      <c r="AI18" s="11">
        <f>AH18+預測IC!AJ18</f>
        <v>0.52729252020492878</v>
      </c>
      <c r="AJ18" s="11">
        <f>AI18+預測IC!AK18</f>
        <v>0.55458244750197194</v>
      </c>
      <c r="AK18" s="11">
        <f>AJ18+預測IC!AL18</f>
        <v>0.55543800255634412</v>
      </c>
      <c r="AL18" s="11">
        <f>AK18+預測IC!AM18</f>
        <v>0.62208140798111533</v>
      </c>
      <c r="AM18" s="11">
        <f>AL18+預測IC!AN18</f>
        <v>0.70137604793631714</v>
      </c>
      <c r="AN18" s="11">
        <f>AM18+預測IC!AO18</f>
        <v>0.70680358290400991</v>
      </c>
      <c r="AO18" s="11">
        <f>AN18+預測IC!AP18</f>
        <v>0.62852499097020298</v>
      </c>
      <c r="AP18" s="11">
        <f>AO18+預測IC!AQ18</f>
        <v>0.55229414564375301</v>
      </c>
      <c r="AQ18" s="11">
        <f>AP18+預測IC!AR18</f>
        <v>0.69052738298132188</v>
      </c>
      <c r="AR18" s="11">
        <f>AQ18+預測IC!AS18</f>
        <v>0.776353934535291</v>
      </c>
      <c r="AS18" s="11">
        <f>AR18+預測IC!AT18</f>
        <v>0.81967958435586974</v>
      </c>
      <c r="AT18" s="11">
        <f>AS18+預測IC!AU18</f>
        <v>0.88799492441256289</v>
      </c>
      <c r="AU18" s="11">
        <f>AT18+預測IC!AV18</f>
        <v>0.85922616853084566</v>
      </c>
      <c r="AV18" s="11">
        <f>AU18+預測IC!AW18</f>
        <v>0.88376420277195311</v>
      </c>
      <c r="AW18" s="11">
        <f>AV18+預測IC!AX18</f>
        <v>0.77620333451611701</v>
      </c>
      <c r="AX18" s="11">
        <f>AW18+預測IC!AY18</f>
        <v>0.81098661315726506</v>
      </c>
      <c r="AY18" s="11">
        <f>AX18+預測IC!AZ18</f>
        <v>0.6625775307683659</v>
      </c>
      <c r="AZ18" s="11">
        <f>AY18+預測IC!BA18</f>
        <v>0.66206540515505863</v>
      </c>
      <c r="BA18" s="11">
        <f>AZ18+預測IC!BB18</f>
        <v>0.82932342363585121</v>
      </c>
      <c r="BB18" s="11">
        <f>BA18+預測IC!BC18</f>
        <v>0.91252499622917183</v>
      </c>
      <c r="BC18" s="11">
        <f>BB18+預測IC!BD18</f>
        <v>0.88850872454187135</v>
      </c>
      <c r="BD18" s="11">
        <f>BC18+預測IC!BE18</f>
        <v>0.86627818328298745</v>
      </c>
      <c r="BE18" s="11">
        <f>BD18+預測IC!BF18</f>
        <v>0.91216271958256634</v>
      </c>
      <c r="BF18" s="11">
        <f>BE18+預測IC!BG18</f>
        <v>0.76544874475427771</v>
      </c>
      <c r="BG18" s="11">
        <f>BF18+預測IC!BH18</f>
        <v>0.79546473673499907</v>
      </c>
      <c r="BH18" s="11">
        <f>BG18+預測IC!BI18</f>
        <v>0.68646472981633333</v>
      </c>
      <c r="BI18" s="11">
        <f>BH18+預測IC!BJ18</f>
        <v>0.68050866576587377</v>
      </c>
      <c r="BJ18" s="11">
        <f>BI18+預測IC!BK18</f>
        <v>0.62976361438181228</v>
      </c>
      <c r="BK18" s="11">
        <f>BJ18+預測IC!BL18</f>
        <v>0.71092128820201639</v>
      </c>
      <c r="BL18" s="11">
        <f>BK18+預測IC!BM18</f>
        <v>0.81369522726545596</v>
      </c>
      <c r="BM18" s="11">
        <f>BL18+預測IC!BN18</f>
        <v>0.89190392674783137</v>
      </c>
      <c r="BN18" s="11">
        <f>BM18+預測IC!BO18</f>
        <v>0.87167643064145672</v>
      </c>
      <c r="BO18" s="11">
        <f>BN18+預測IC!BP18</f>
        <v>0.91853397097613876</v>
      </c>
      <c r="BP18" s="11">
        <f>BO18+預測IC!BQ18</f>
        <v>0.92045075508598773</v>
      </c>
      <c r="BQ18" s="11">
        <f>BP18+預測IC!BR18</f>
        <v>0.914702561502033</v>
      </c>
      <c r="BR18" s="11">
        <f>BQ18+預測IC!BS18</f>
        <v>0.89320536012033147</v>
      </c>
      <c r="BS18" s="11">
        <f>BR18+預測IC!BT18</f>
        <v>0.90650451089800921</v>
      </c>
      <c r="BT18" s="11">
        <f>BS18+預測IC!BU18</f>
        <v>0.98718195493805005</v>
      </c>
      <c r="BU18" s="11">
        <f>BT18+預測IC!BV18</f>
        <v>1.0681053502150923</v>
      </c>
      <c r="BV18" s="11">
        <f>BU18+預測IC!BW18</f>
        <v>0.80706541991653735</v>
      </c>
      <c r="BW18" s="11">
        <f>BV18+預測IC!BX18</f>
        <v>0.8228773438623298</v>
      </c>
      <c r="BX18" s="11">
        <f>BW18+預測IC!BY18</f>
        <v>0.76019059941224487</v>
      </c>
      <c r="BY18" s="11">
        <f>BX18+預測IC!BZ18</f>
        <v>0.91351058721484302</v>
      </c>
      <c r="BZ18" s="11">
        <f>BY18+預測IC!CA18</f>
        <v>0.89743404332198218</v>
      </c>
      <c r="CA18" s="11">
        <f>BZ18+預測IC!CB18</f>
        <v>0.87285668670953387</v>
      </c>
      <c r="CB18" s="11">
        <f>CA18+預測IC!CC18</f>
        <v>0.76725862399364253</v>
      </c>
      <c r="CC18" s="11">
        <f>CB18+預測IC!CD18</f>
        <v>0.9609754426404733</v>
      </c>
      <c r="CD18" s="11">
        <f>CC18+預測IC!CE18</f>
        <v>1.038235837518696</v>
      </c>
      <c r="CE18" s="11">
        <f>CD18+預測IC!CF18</f>
        <v>1.1400944530516899</v>
      </c>
      <c r="CF18" s="11">
        <f>CE18+預測IC!CG18</f>
        <v>1.1372930941122743</v>
      </c>
      <c r="CG18" s="11">
        <f>CF18+預測IC!CH18</f>
        <v>1.0919274451531156</v>
      </c>
      <c r="CH18" s="11">
        <f>CG18+預測IC!CI18</f>
        <v>0.97420203522083171</v>
      </c>
      <c r="CI18" s="11">
        <f>CH18+預測IC!CJ18</f>
        <v>0.911888357395922</v>
      </c>
      <c r="CJ18" s="11">
        <f>CI18+預測IC!CK18</f>
        <v>1.0025561416882058</v>
      </c>
      <c r="CK18" s="11">
        <f>CJ18+預測IC!CL18</f>
        <v>1.3196647546066675</v>
      </c>
      <c r="CL18" s="11">
        <f>CK18+預測IC!CM18</f>
        <v>1.4793005523657012</v>
      </c>
      <c r="CM18" s="11">
        <f>CL18+預測IC!CN18</f>
        <v>1.517297589460082</v>
      </c>
      <c r="CN18" s="11">
        <f>CM18+預測IC!CO18</f>
        <v>1.2857237109106527</v>
      </c>
      <c r="CO18" s="11">
        <f>CN18+預測IC!CP18</f>
        <v>1.1694533911027194</v>
      </c>
      <c r="CP18" s="11">
        <f>CO18+預測IC!CQ18</f>
        <v>1.217429927510987</v>
      </c>
      <c r="CQ18" s="11">
        <f>CP18+預測IC!CR18</f>
        <v>1.1836866252397944</v>
      </c>
      <c r="CR18" s="11">
        <f>CQ18+預測IC!CS18</f>
        <v>1.270703756079268</v>
      </c>
      <c r="CS18" s="11">
        <f>CR18+預測IC!CT18</f>
        <v>1.3656547851447536</v>
      </c>
      <c r="CT18" s="11">
        <f>CS18+預測IC!CU18</f>
        <v>1.2940060939396436</v>
      </c>
      <c r="CU18" s="11">
        <f>CT18+預測IC!CV18</f>
        <v>1.3626002335866332</v>
      </c>
      <c r="CV18" s="11">
        <f>CU18+預測IC!CW18</f>
        <v>1.3342719770018234</v>
      </c>
      <c r="CW18" s="11">
        <f>CV18+預測IC!CX18</f>
        <v>1.320193229421541</v>
      </c>
      <c r="CX18" s="11">
        <f>CW18+預測IC!CY18</f>
        <v>1.248760770509167</v>
      </c>
      <c r="CY18" s="11">
        <f>CX18+預測IC!CZ18</f>
        <v>1.4531711090682822</v>
      </c>
      <c r="CZ18" s="11">
        <f>CY18+預測IC!DA18</f>
        <v>1.4057901695495887</v>
      </c>
      <c r="DA18" s="11">
        <f>CZ18+預測IC!DB18</f>
        <v>1.5239048878348003</v>
      </c>
      <c r="DB18" s="11">
        <f>DA18+預測IC!DC18</f>
        <v>1.5603136693303066</v>
      </c>
      <c r="DC18" s="11">
        <f>DB18+預測IC!DD18</f>
        <v>1.4892423694227435</v>
      </c>
      <c r="DD18" s="11">
        <f>DC18+預測IC!DE18</f>
        <v>1.4544410217517527</v>
      </c>
      <c r="DE18" s="11">
        <f>DD18+預測IC!DF18</f>
        <v>1.4193982429693826</v>
      </c>
      <c r="DF18" s="11">
        <f>DE18+預測IC!DG18</f>
        <v>1.4741687270962562</v>
      </c>
      <c r="DG18" s="11">
        <f>DF18+預測IC!DH18</f>
        <v>1.4461307138476072</v>
      </c>
      <c r="DH18" s="11">
        <f>DG18+預測IC!DI18</f>
        <v>1.4300160846095804</v>
      </c>
      <c r="DI18" s="11">
        <f>DH18+預測IC!DJ18</f>
        <v>1.3848120448242909</v>
      </c>
      <c r="DJ18" s="11">
        <f>DI18+預測IC!DK18</f>
        <v>1.5433256719167183</v>
      </c>
      <c r="DK18" s="11">
        <f>DJ18+預測IC!DL18</f>
        <v>1.5199151437808978</v>
      </c>
      <c r="DL18" s="11">
        <f>DK18+預測IC!DM18</f>
        <v>1.4534070030488595</v>
      </c>
      <c r="DM18" s="11">
        <f>DL18+預測IC!DN18</f>
        <v>1.4366849389708383</v>
      </c>
      <c r="DN18" s="11">
        <f>DM18+預測IC!DO18</f>
        <v>1.6570051507621368</v>
      </c>
      <c r="DO18" s="11">
        <f>DN18+預測IC!DP18</f>
        <v>1.6364004642952712</v>
      </c>
      <c r="DP18" s="11">
        <f>DO18+預測IC!DQ18</f>
        <v>1.5356731859894397</v>
      </c>
      <c r="DQ18" s="11">
        <f>DP18+預測IC!DR18</f>
        <v>1.6125138407614008</v>
      </c>
      <c r="DR18" s="11">
        <f>DQ18+預測IC!DS18</f>
        <v>1.6237918230170836</v>
      </c>
      <c r="DS18" s="11">
        <f>DR18+預測IC!DT18</f>
        <v>1.5077744329061065</v>
      </c>
      <c r="DT18" s="11">
        <f>DS18+預測IC!DU18</f>
        <v>1.4108792468292017</v>
      </c>
      <c r="DU18" s="11">
        <f>DT18+預測IC!DV18</f>
        <v>1.5165198556292636</v>
      </c>
      <c r="DV18" s="11">
        <f>DU18+預測IC!DW18</f>
        <v>1.5984285479136369</v>
      </c>
      <c r="DW18" s="11">
        <f>DV18+預測IC!DX18</f>
        <v>1.444825570451155</v>
      </c>
      <c r="DX18" s="11">
        <f>DW18+預測IC!DY18</f>
        <v>1.3473975334752053</v>
      </c>
      <c r="DY18" s="11">
        <f>DX18+預測IC!DZ18</f>
        <v>1.2718811741788396</v>
      </c>
      <c r="DZ18" s="11">
        <f>DY18+預測IC!EA18</f>
        <v>1.2655196114348579</v>
      </c>
      <c r="EA18" s="11">
        <f>DZ18+預測IC!EB18</f>
        <v>1.168476921892579</v>
      </c>
      <c r="EB18" s="11">
        <f>EA18+預測IC!EC18</f>
        <v>1.1742997693680766</v>
      </c>
      <c r="EC18" s="11">
        <f>EB18+預測IC!ED18</f>
        <v>1.0542223370917361</v>
      </c>
      <c r="ED18" s="11">
        <f>EC18+預測IC!EE18</f>
        <v>1.0553336247640936</v>
      </c>
      <c r="EE18" s="11">
        <f>ED18+預測IC!EF18</f>
        <v>1.1042886418745101</v>
      </c>
    </row>
    <row r="19" spans="1:136" ht="16">
      <c r="A19" s="6" t="s">
        <v>158</v>
      </c>
      <c r="B19" s="9">
        <v>-7.7959416087486216E-2</v>
      </c>
      <c r="C19" s="11">
        <f>B19+預測IC!D19</f>
        <v>-6.9077142931051189E-2</v>
      </c>
      <c r="D19" s="11">
        <f>C19+預測IC!E19</f>
        <v>-0.11348107489786632</v>
      </c>
      <c r="E19" s="11">
        <f>D19+預測IC!F19</f>
        <v>-0.15212775678411039</v>
      </c>
      <c r="F19" s="11">
        <f>E19+預測IC!G19</f>
        <v>-0.24963984734571051</v>
      </c>
      <c r="G19" s="11">
        <f>F19+預測IC!H19</f>
        <v>-0.26170863580819542</v>
      </c>
      <c r="H19" s="11">
        <f>G19+預測IC!I19</f>
        <v>-0.12705430291672892</v>
      </c>
      <c r="I19" s="11">
        <f>H19+預測IC!J19</f>
        <v>-9.1624718396537908E-2</v>
      </c>
      <c r="J19" s="11">
        <f>I19+預測IC!K19</f>
        <v>-3.50837488349727E-2</v>
      </c>
      <c r="K19" s="11">
        <f>J19+預測IC!L19</f>
        <v>9.460466079188927E-3</v>
      </c>
      <c r="L19" s="11">
        <f>K19+預測IC!M19</f>
        <v>9.5254039636866406E-2</v>
      </c>
      <c r="M19" s="11">
        <f>L19+預測IC!N19</f>
        <v>0.1906019253268473</v>
      </c>
      <c r="N19" s="11">
        <f>M19+預測IC!O19</f>
        <v>0.28282330834630454</v>
      </c>
      <c r="O19" s="11">
        <f>N19+預測IC!P19</f>
        <v>0.3056085214583979</v>
      </c>
      <c r="P19" s="11">
        <f>O19+預測IC!Q19</f>
        <v>0.47607081353841596</v>
      </c>
      <c r="Q19" s="11">
        <f>P19+預測IC!R19</f>
        <v>0.38577172290755968</v>
      </c>
      <c r="R19" s="11">
        <f>Q19+預測IC!S19</f>
        <v>0.5084635992433012</v>
      </c>
      <c r="S19" s="11">
        <f>R19+預測IC!T19</f>
        <v>0.4813093212570021</v>
      </c>
      <c r="T19" s="11">
        <f>S19+預測IC!U19</f>
        <v>0.43712246325867715</v>
      </c>
      <c r="U19" s="11">
        <f>T19+預測IC!V19</f>
        <v>0.55580692177759827</v>
      </c>
      <c r="V19" s="11">
        <f>U19+預測IC!W19</f>
        <v>0.70242791249510839</v>
      </c>
      <c r="W19" s="11">
        <f>V19+預測IC!X19</f>
        <v>0.5795047662493914</v>
      </c>
      <c r="X19" s="11">
        <f>W19+預測IC!Y19</f>
        <v>0.60356907159444917</v>
      </c>
      <c r="Y19" s="11">
        <f>X19+預測IC!Z19</f>
        <v>0.58134583229554682</v>
      </c>
      <c r="Z19" s="11">
        <f>Y19+預測IC!AA19</f>
        <v>0.54836040238643102</v>
      </c>
      <c r="AA19" s="11">
        <f>Z19+預測IC!AB19</f>
        <v>0.64760232963206077</v>
      </c>
      <c r="AB19" s="11">
        <f>AA19+預測IC!AC19</f>
        <v>0.67605516427375212</v>
      </c>
      <c r="AC19" s="11">
        <f>AB19+預測IC!AD19</f>
        <v>0.77204854207182028</v>
      </c>
      <c r="AD19" s="11">
        <f>AC19+預測IC!AE19</f>
        <v>0.60263248107403045</v>
      </c>
      <c r="AE19" s="11">
        <f>AD19+預測IC!AF19</f>
        <v>0.60289504979238728</v>
      </c>
      <c r="AF19" s="11">
        <f>AE19+預測IC!AG19</f>
        <v>0.63083736924336586</v>
      </c>
      <c r="AG19" s="11">
        <f>AF19+預測IC!AH19</f>
        <v>0.58799143517481656</v>
      </c>
      <c r="AH19" s="11">
        <f>AG19+預測IC!AI19</f>
        <v>0.66976155996431308</v>
      </c>
      <c r="AI19" s="11">
        <f>AH19+預測IC!AJ19</f>
        <v>0.61821626963705079</v>
      </c>
      <c r="AJ19" s="11">
        <f>AI19+預測IC!AK19</f>
        <v>0.66727505427094169</v>
      </c>
      <c r="AK19" s="11">
        <f>AJ19+預測IC!AL19</f>
        <v>0.66841131645229435</v>
      </c>
      <c r="AL19" s="11">
        <f>AK19+預測IC!AM19</f>
        <v>0.69972274129724532</v>
      </c>
      <c r="AM19" s="11">
        <f>AL19+預測IC!AN19</f>
        <v>0.78329103566292746</v>
      </c>
      <c r="AN19" s="11">
        <f>AM19+預測IC!AO19</f>
        <v>0.80918393870834182</v>
      </c>
      <c r="AO19" s="11">
        <f>AN19+預測IC!AP19</f>
        <v>0.72160981843548977</v>
      </c>
      <c r="AP19" s="11">
        <f>AO19+預測IC!AQ19</f>
        <v>0.63335706137483916</v>
      </c>
      <c r="AQ19" s="11">
        <f>AP19+預測IC!AR19</f>
        <v>0.79639019287813884</v>
      </c>
      <c r="AR19" s="11">
        <f>AQ19+預測IC!AS19</f>
        <v>0.89418714814645328</v>
      </c>
      <c r="AS19" s="11">
        <f>AR19+預測IC!AT19</f>
        <v>0.94348212991215463</v>
      </c>
      <c r="AT19" s="11">
        <f>AS19+預測IC!AU19</f>
        <v>1.0199108456258088</v>
      </c>
      <c r="AU19" s="11">
        <f>AT19+預測IC!AV19</f>
        <v>0.97144774405196221</v>
      </c>
      <c r="AV19" s="11">
        <f>AU19+預測IC!AW19</f>
        <v>0.99380391220609865</v>
      </c>
      <c r="AW19" s="11">
        <f>AV19+預測IC!AX19</f>
        <v>0.91359749789568578</v>
      </c>
      <c r="AX19" s="11">
        <f>AW19+預測IC!AY19</f>
        <v>0.94312646828906566</v>
      </c>
      <c r="AY19" s="11">
        <f>AX19+預測IC!AZ19</f>
        <v>0.75624685012089132</v>
      </c>
      <c r="AZ19" s="11">
        <f>AY19+預測IC!BA19</f>
        <v>0.72188296616681824</v>
      </c>
      <c r="BA19" s="11">
        <f>AZ19+預測IC!BB19</f>
        <v>0.92368487683002609</v>
      </c>
      <c r="BB19" s="11">
        <f>BA19+預測IC!BC19</f>
        <v>0.98774036317621183</v>
      </c>
      <c r="BC19" s="11">
        <f>BB19+預測IC!BD19</f>
        <v>0.98450597054614364</v>
      </c>
      <c r="BD19" s="11">
        <f>BC19+預測IC!BE19</f>
        <v>0.95411529947784035</v>
      </c>
      <c r="BE19" s="11">
        <f>BD19+預測IC!BF19</f>
        <v>0.96768627362697901</v>
      </c>
      <c r="BF19" s="11">
        <f>BE19+預測IC!BG19</f>
        <v>0.81437752245719075</v>
      </c>
      <c r="BG19" s="11">
        <f>BF19+預測IC!BH19</f>
        <v>0.81639572415862172</v>
      </c>
      <c r="BH19" s="11">
        <f>BG19+預測IC!BI19</f>
        <v>0.68859709533940305</v>
      </c>
      <c r="BI19" s="11">
        <f>BH19+預測IC!BJ19</f>
        <v>0.6668897938008238</v>
      </c>
      <c r="BJ19" s="11">
        <f>BI19+預測IC!BK19</f>
        <v>0.61514026770883146</v>
      </c>
      <c r="BK19" s="11">
        <f>BJ19+預測IC!BL19</f>
        <v>0.69510492585533457</v>
      </c>
      <c r="BL19" s="11">
        <f>BK19+預測IC!BM19</f>
        <v>0.80935552611403028</v>
      </c>
      <c r="BM19" s="11">
        <f>BL19+預測IC!BN19</f>
        <v>0.8907687863141982</v>
      </c>
      <c r="BN19" s="11">
        <f>BM19+預測IC!BO19</f>
        <v>0.86503982504908283</v>
      </c>
      <c r="BO19" s="11">
        <f>BN19+預測IC!BP19</f>
        <v>0.90246608792561922</v>
      </c>
      <c r="BP19" s="11">
        <f>BO19+預測IC!BQ19</f>
        <v>0.91240013237994233</v>
      </c>
      <c r="BQ19" s="11">
        <f>BP19+預測IC!BR19</f>
        <v>0.91907537840346232</v>
      </c>
      <c r="BR19" s="11">
        <f>BQ19+預測IC!BS19</f>
        <v>0.89481903965898024</v>
      </c>
      <c r="BS19" s="11">
        <f>BR19+預測IC!BT19</f>
        <v>0.88162537045584288</v>
      </c>
      <c r="BT19" s="11">
        <f>BS19+預測IC!BU19</f>
        <v>0.95756162169008097</v>
      </c>
      <c r="BU19" s="11">
        <f>BT19+預測IC!BV19</f>
        <v>1.0512168628434273</v>
      </c>
      <c r="BV19" s="11">
        <f>BU19+預測IC!BW19</f>
        <v>0.75524056701039588</v>
      </c>
      <c r="BW19" s="11">
        <f>BV19+預測IC!BX19</f>
        <v>0.79163945656918944</v>
      </c>
      <c r="BX19" s="11">
        <f>BW19+預測IC!BY19</f>
        <v>0.76396396415752899</v>
      </c>
      <c r="BY19" s="11">
        <f>BX19+預測IC!BZ19</f>
        <v>0.82777935792474278</v>
      </c>
      <c r="BZ19" s="11">
        <f>BY19+預測IC!CA19</f>
        <v>0.80623366779356342</v>
      </c>
      <c r="CA19" s="11">
        <f>BZ19+預測IC!CB19</f>
        <v>0.75819249928531862</v>
      </c>
      <c r="CB19" s="11">
        <f>CA19+預測IC!CC19</f>
        <v>0.65277574226659441</v>
      </c>
      <c r="CC19" s="11">
        <f>CB19+預測IC!CD19</f>
        <v>0.85986154291595052</v>
      </c>
      <c r="CD19" s="11">
        <f>CC19+預測IC!CE19</f>
        <v>0.94833640185361845</v>
      </c>
      <c r="CE19" s="11">
        <f>CD19+預測IC!CF19</f>
        <v>1.0600348893186353</v>
      </c>
      <c r="CF19" s="11">
        <f>CE19+預測IC!CG19</f>
        <v>1.0094013593039819</v>
      </c>
      <c r="CG19" s="11">
        <f>CF19+預測IC!CH19</f>
        <v>0.96668631556124773</v>
      </c>
      <c r="CH19" s="11">
        <f>CG19+預測IC!CI19</f>
        <v>0.80148390329033525</v>
      </c>
      <c r="CI19" s="11">
        <f>CH19+預測IC!CJ19</f>
        <v>0.73954340332429913</v>
      </c>
      <c r="CJ19" s="11">
        <f>CI19+預測IC!CK19</f>
        <v>0.84351112114139737</v>
      </c>
      <c r="CK19" s="11">
        <f>CJ19+預測IC!CL19</f>
        <v>1.1546628247456274</v>
      </c>
      <c r="CL19" s="11">
        <f>CK19+預測IC!CM19</f>
        <v>1.3300104663273424</v>
      </c>
      <c r="CM19" s="11">
        <f>CL19+預測IC!CN19</f>
        <v>1.4069431209946459</v>
      </c>
      <c r="CN19" s="11">
        <f>CM19+預測IC!CO19</f>
        <v>1.1344887163661395</v>
      </c>
      <c r="CO19" s="11">
        <f>CN19+預測IC!CP19</f>
        <v>0.99707399160830357</v>
      </c>
      <c r="CP19" s="11">
        <f>CO19+預測IC!CQ19</f>
        <v>0.99434408345374159</v>
      </c>
      <c r="CQ19" s="11">
        <f>CP19+預測IC!CR19</f>
        <v>0.97004488099001496</v>
      </c>
      <c r="CR19" s="11">
        <f>CQ19+預測IC!CS19</f>
        <v>1.0307457318885531</v>
      </c>
      <c r="CS19" s="11">
        <f>CR19+預測IC!CT19</f>
        <v>1.1533661585185839</v>
      </c>
      <c r="CT19" s="11">
        <f>CS19+預測IC!CU19</f>
        <v>1.069929761404691</v>
      </c>
      <c r="CU19" s="11">
        <f>CT19+預測IC!CV19</f>
        <v>1.1460722558837879</v>
      </c>
      <c r="CV19" s="11">
        <f>CU19+預測IC!CW19</f>
        <v>1.1138801224959725</v>
      </c>
      <c r="CW19" s="11">
        <f>CV19+預測IC!CX19</f>
        <v>1.1150077171133668</v>
      </c>
      <c r="CX19" s="11">
        <f>CW19+預測IC!CY19</f>
        <v>1.0418563798054039</v>
      </c>
      <c r="CY19" s="11">
        <f>CX19+預測IC!CZ19</f>
        <v>1.1998683805172221</v>
      </c>
      <c r="CZ19" s="11">
        <f>CY19+預測IC!DA19</f>
        <v>1.1416445038139853</v>
      </c>
      <c r="DA19" s="11">
        <f>CZ19+預測IC!DB19</f>
        <v>1.2896063505836015</v>
      </c>
      <c r="DB19" s="11">
        <f>DA19+預測IC!DC19</f>
        <v>1.2544269506815073</v>
      </c>
      <c r="DC19" s="11">
        <f>DB19+預測IC!DD19</f>
        <v>1.1908794865290049</v>
      </c>
      <c r="DD19" s="11">
        <f>DC19+預測IC!DE19</f>
        <v>1.146933850588544</v>
      </c>
      <c r="DE19" s="11">
        <f>DD19+預測IC!DF19</f>
        <v>1.0772408036955214</v>
      </c>
      <c r="DF19" s="11">
        <f>DE19+預測IC!DG19</f>
        <v>1.1436150686899578</v>
      </c>
      <c r="DG19" s="11">
        <f>DF19+預測IC!DH19</f>
        <v>1.143458085560553</v>
      </c>
      <c r="DH19" s="11">
        <f>DG19+預測IC!DI19</f>
        <v>1.1471245100029741</v>
      </c>
      <c r="DI19" s="11">
        <f>DH19+預測IC!DJ19</f>
        <v>1.0986101592799975</v>
      </c>
      <c r="DJ19" s="11">
        <f>DI19+預測IC!DK19</f>
        <v>1.2227547470642051</v>
      </c>
      <c r="DK19" s="11">
        <f>DJ19+預測IC!DL19</f>
        <v>1.1994412020296179</v>
      </c>
      <c r="DL19" s="11">
        <f>DK19+預測IC!DM19</f>
        <v>1.1174889469956235</v>
      </c>
      <c r="DM19" s="11">
        <f>DL19+預測IC!DN19</f>
        <v>1.1133113021923549</v>
      </c>
      <c r="DN19" s="11">
        <f>DM19+預測IC!DO19</f>
        <v>1.3625732539020992</v>
      </c>
      <c r="DO19" s="11">
        <f>DN19+預測IC!DP19</f>
        <v>1.3897386964134628</v>
      </c>
      <c r="DP19" s="11">
        <f>DO19+預測IC!DQ19</f>
        <v>1.2692493170528276</v>
      </c>
      <c r="DQ19" s="11">
        <f>DP19+預測IC!DR19</f>
        <v>1.3452116703778758</v>
      </c>
      <c r="DR19" s="11">
        <f>DQ19+預測IC!DS19</f>
        <v>1.3395343568588849</v>
      </c>
      <c r="DS19" s="11">
        <f>DR19+預測IC!DT19</f>
        <v>1.2064058562395354</v>
      </c>
      <c r="DT19" s="11">
        <f>DS19+預測IC!DU19</f>
        <v>1.0635751581850952</v>
      </c>
      <c r="DU19" s="11">
        <f>DT19+預測IC!DV19</f>
        <v>1.1831070025994972</v>
      </c>
      <c r="DV19" s="11">
        <f>DU19+預測IC!DW19</f>
        <v>1.2437161419401814</v>
      </c>
      <c r="DW19" s="11">
        <f>DV19+預測IC!DX19</f>
        <v>1.1053510077020037</v>
      </c>
      <c r="DX19" s="11">
        <f>DW19+預測IC!DY19</f>
        <v>1.0352414300140806</v>
      </c>
      <c r="DY19" s="11">
        <f>DX19+預測IC!DZ19</f>
        <v>0.92332060115008752</v>
      </c>
      <c r="DZ19" s="11">
        <f>DY19+預測IC!EA19</f>
        <v>0.89524124767442015</v>
      </c>
      <c r="EA19" s="11">
        <f>DZ19+預測IC!EB19</f>
        <v>0.78899538964897542</v>
      </c>
      <c r="EB19" s="11">
        <f>EA19+預測IC!EC19</f>
        <v>0.78037386715042045</v>
      </c>
      <c r="EC19" s="11">
        <f>EB19+預測IC!ED19</f>
        <v>0.62943855016026351</v>
      </c>
      <c r="ED19" s="11">
        <f>EC19+預測IC!EE19</f>
        <v>0.62213202348313579</v>
      </c>
      <c r="EE19" s="11">
        <f>ED19+預測IC!EF19</f>
        <v>0.63910997835790495</v>
      </c>
    </row>
    <row r="20" spans="1:136" ht="16">
      <c r="A20" s="6" t="s">
        <v>159</v>
      </c>
      <c r="B20" s="9">
        <v>-0.13932460396499161</v>
      </c>
      <c r="C20" s="11">
        <f>B20+預測IC!D20</f>
        <v>-0.13897288570124605</v>
      </c>
      <c r="D20" s="11">
        <f>C20+預測IC!E20</f>
        <v>-0.19630923602802663</v>
      </c>
      <c r="E20" s="11">
        <f>D20+預測IC!F20</f>
        <v>-0.28752765820007259</v>
      </c>
      <c r="F20" s="11">
        <f>E20+預測IC!G20</f>
        <v>-0.39913213136738745</v>
      </c>
      <c r="G20" s="11">
        <f>F20+預測IC!H20</f>
        <v>-0.38754910528880976</v>
      </c>
      <c r="H20" s="11">
        <f>G20+預測IC!I20</f>
        <v>-0.22939954268770807</v>
      </c>
      <c r="I20" s="11">
        <f>H20+預測IC!J20</f>
        <v>-0.16267839280665353</v>
      </c>
      <c r="J20" s="11">
        <f>I20+預測IC!K20</f>
        <v>-0.12527370795454196</v>
      </c>
      <c r="K20" s="11">
        <f>J20+預測IC!L20</f>
        <v>-2.9565072450006238E-2</v>
      </c>
      <c r="L20" s="11">
        <f>K20+預測IC!M20</f>
        <v>7.0568341914079763E-2</v>
      </c>
      <c r="M20" s="11">
        <f>L20+預測IC!N20</f>
        <v>0.17249327095971967</v>
      </c>
      <c r="N20" s="11">
        <f>M20+預測IC!O20</f>
        <v>0.2715947551041934</v>
      </c>
      <c r="O20" s="11">
        <f>N20+預測IC!P20</f>
        <v>0.31162324985596351</v>
      </c>
      <c r="P20" s="11">
        <f>O20+預測IC!Q20</f>
        <v>0.53644806084835861</v>
      </c>
      <c r="Q20" s="11">
        <f>P20+預測IC!R20</f>
        <v>0.42719500521088982</v>
      </c>
      <c r="R20" s="11">
        <f>Q20+預測IC!S20</f>
        <v>0.5097576159181777</v>
      </c>
      <c r="S20" s="11">
        <f>R20+預測IC!T20</f>
        <v>0.52542052643743709</v>
      </c>
      <c r="T20" s="11">
        <f>S20+預測IC!U20</f>
        <v>0.49318286801792993</v>
      </c>
      <c r="U20" s="11">
        <f>T20+預測IC!V20</f>
        <v>0.62947093138550669</v>
      </c>
      <c r="V20" s="11">
        <f>U20+預測IC!W20</f>
        <v>0.8025563075630876</v>
      </c>
      <c r="W20" s="11">
        <f>V20+預測IC!X20</f>
        <v>0.65251399593554904</v>
      </c>
      <c r="X20" s="11">
        <f>W20+預測IC!Y20</f>
        <v>0.64765823807523337</v>
      </c>
      <c r="Y20" s="11">
        <f>X20+預測IC!Z20</f>
        <v>0.67681558812957976</v>
      </c>
      <c r="Z20" s="11">
        <f>Y20+預測IC!AA20</f>
        <v>0.66767240960741736</v>
      </c>
      <c r="AA20" s="11">
        <f>Z20+預測IC!AB20</f>
        <v>0.75243225033359051</v>
      </c>
      <c r="AB20" s="11">
        <f>AA20+預測IC!AC20</f>
        <v>0.80887559597411007</v>
      </c>
      <c r="AC20" s="11">
        <f>AB20+預測IC!AD20</f>
        <v>0.93871901468777441</v>
      </c>
      <c r="AD20" s="11">
        <f>AC20+預測IC!AE20</f>
        <v>0.76343750012456302</v>
      </c>
      <c r="AE20" s="11">
        <f>AD20+預測IC!AF20</f>
        <v>0.75696821864126784</v>
      </c>
      <c r="AF20" s="11">
        <f>AE20+預測IC!AG20</f>
        <v>0.78462743718116013</v>
      </c>
      <c r="AG20" s="11">
        <f>AF20+預測IC!AH20</f>
        <v>0.69444923646637746</v>
      </c>
      <c r="AH20" s="11">
        <f>AG20+預測IC!AI20</f>
        <v>0.77260378138754593</v>
      </c>
      <c r="AI20" s="11">
        <f>AH20+預測IC!AJ20</f>
        <v>0.71061374683999834</v>
      </c>
      <c r="AJ20" s="11">
        <f>AI20+預測IC!AK20</f>
        <v>0.77758010798264365</v>
      </c>
      <c r="AK20" s="11">
        <f>AJ20+預測IC!AL20</f>
        <v>0.78319673434438453</v>
      </c>
      <c r="AL20" s="11">
        <f>AK20+預測IC!AM20</f>
        <v>0.81629271509318713</v>
      </c>
      <c r="AM20" s="11">
        <f>AL20+預測IC!AN20</f>
        <v>0.89176290861218543</v>
      </c>
      <c r="AN20" s="11">
        <f>AM20+預測IC!AO20</f>
        <v>0.91375021262043332</v>
      </c>
      <c r="AO20" s="11">
        <f>AN20+預測IC!AP20</f>
        <v>0.78201975136504553</v>
      </c>
      <c r="AP20" s="11">
        <f>AO20+預測IC!AQ20</f>
        <v>0.80947223669799662</v>
      </c>
      <c r="AQ20" s="11">
        <f>AP20+預測IC!AR20</f>
        <v>0.99093992440545164</v>
      </c>
      <c r="AR20" s="11">
        <f>AQ20+預測IC!AS20</f>
        <v>1.1030357340882686</v>
      </c>
      <c r="AS20" s="11">
        <f>AR20+預測IC!AT20</f>
        <v>1.1088945078484744</v>
      </c>
      <c r="AT20" s="11">
        <f>AS20+預測IC!AU20</f>
        <v>1.1817943259893937</v>
      </c>
      <c r="AU20" s="11">
        <f>AT20+預測IC!AV20</f>
        <v>1.1271686122069156</v>
      </c>
      <c r="AV20" s="11">
        <f>AU20+預測IC!AW20</f>
        <v>1.1340338803860666</v>
      </c>
      <c r="AW20" s="11">
        <f>AV20+預測IC!AX20</f>
        <v>1.023301332387365</v>
      </c>
      <c r="AX20" s="11">
        <f>AW20+預測IC!AY20</f>
        <v>1.0619760308302744</v>
      </c>
      <c r="AY20" s="11">
        <f>AX20+預測IC!AZ20</f>
        <v>0.84817359965318562</v>
      </c>
      <c r="AZ20" s="11">
        <f>AY20+預測IC!BA20</f>
        <v>0.79412846564287887</v>
      </c>
      <c r="BA20" s="11">
        <f>AZ20+預測IC!BB20</f>
        <v>1.0253420918309555</v>
      </c>
      <c r="BB20" s="11">
        <f>BA20+預測IC!BC20</f>
        <v>1.0959476595086957</v>
      </c>
      <c r="BC20" s="11">
        <f>BB20+預測IC!BD20</f>
        <v>1.0425178462870983</v>
      </c>
      <c r="BD20" s="11">
        <f>BC20+預測IC!BE20</f>
        <v>1.0040510138416616</v>
      </c>
      <c r="BE20" s="11">
        <f>BD20+預測IC!BF20</f>
        <v>1.0097395961729903</v>
      </c>
      <c r="BF20" s="11">
        <f>BE20+預測IC!BG20</f>
        <v>0.91567754056465001</v>
      </c>
      <c r="BG20" s="11">
        <f>BF20+預測IC!BH20</f>
        <v>0.84407109345053899</v>
      </c>
      <c r="BH20" s="11">
        <f>BG20+預測IC!BI20</f>
        <v>0.71232582636536412</v>
      </c>
      <c r="BI20" s="11">
        <f>BH20+預測IC!BJ20</f>
        <v>0.6906963145321775</v>
      </c>
      <c r="BJ20" s="11">
        <f>BI20+預測IC!BK20</f>
        <v>0.63146314668935022</v>
      </c>
      <c r="BK20" s="11">
        <f>BJ20+預測IC!BL20</f>
        <v>0.71775537786580501</v>
      </c>
      <c r="BL20" s="11">
        <f>BK20+預測IC!BM20</f>
        <v>0.85467303919424331</v>
      </c>
      <c r="BM20" s="11">
        <f>BL20+預測IC!BN20</f>
        <v>0.83603501194107699</v>
      </c>
      <c r="BN20" s="11">
        <f>BM20+預測IC!BO20</f>
        <v>0.87449672945705614</v>
      </c>
      <c r="BO20" s="11">
        <f>BN20+預測IC!BP20</f>
        <v>0.93490425022001111</v>
      </c>
      <c r="BP20" s="11">
        <f>BO20+預測IC!BQ20</f>
        <v>0.95035595718085408</v>
      </c>
      <c r="BQ20" s="11">
        <f>BP20+預測IC!BR20</f>
        <v>0.95855603975606962</v>
      </c>
      <c r="BR20" s="11">
        <f>BQ20+預測IC!BS20</f>
        <v>0.95643335616740466</v>
      </c>
      <c r="BS20" s="11">
        <f>BR20+預測IC!BT20</f>
        <v>0.90396573288549886</v>
      </c>
      <c r="BT20" s="11">
        <f>BS20+預測IC!BU20</f>
        <v>1.0027206822532055</v>
      </c>
      <c r="BU20" s="11">
        <f>BT20+預測IC!BV20</f>
        <v>1.1186390138162776</v>
      </c>
      <c r="BV20" s="11">
        <f>BU20+預測IC!BW20</f>
        <v>0.77659633493699287</v>
      </c>
      <c r="BW20" s="11">
        <f>BV20+預測IC!BX20</f>
        <v>0.8294577566675182</v>
      </c>
      <c r="BX20" s="11">
        <f>BW20+預測IC!BY20</f>
        <v>0.78627427398028193</v>
      </c>
      <c r="BY20" s="11">
        <f>BX20+預測IC!BZ20</f>
        <v>0.87654567824056551</v>
      </c>
      <c r="BZ20" s="11">
        <f>BY20+預測IC!CA20</f>
        <v>0.87455185609961561</v>
      </c>
      <c r="CA20" s="11">
        <f>BZ20+預測IC!CB20</f>
        <v>0.83629990608868776</v>
      </c>
      <c r="CB20" s="11">
        <f>CA20+預測IC!CC20</f>
        <v>0.73487052512369389</v>
      </c>
      <c r="CC20" s="11">
        <f>CB20+預測IC!CD20</f>
        <v>0.91589802261429099</v>
      </c>
      <c r="CD20" s="11">
        <f>CC20+預測IC!CE20</f>
        <v>1.0016761952167315</v>
      </c>
      <c r="CE20" s="11">
        <f>CD20+預測IC!CF20</f>
        <v>1.1328847509815463</v>
      </c>
      <c r="CF20" s="11">
        <f>CE20+預測IC!CG20</f>
        <v>1.0338318624514575</v>
      </c>
      <c r="CG20" s="11">
        <f>CF20+預測IC!CH20</f>
        <v>1.0116366334273246</v>
      </c>
      <c r="CH20" s="11">
        <f>CG20+預測IC!CI20</f>
        <v>0.88015089901567733</v>
      </c>
      <c r="CI20" s="11">
        <f>CH20+預測IC!CJ20</f>
        <v>0.75671057912832629</v>
      </c>
      <c r="CJ20" s="11">
        <f>CI20+預測IC!CK20</f>
        <v>0.84768897587843295</v>
      </c>
      <c r="CK20" s="11">
        <f>CJ20+預測IC!CL20</f>
        <v>1.1456238862425909</v>
      </c>
      <c r="CL20" s="11">
        <f>CK20+預測IC!CM20</f>
        <v>1.3346750514132117</v>
      </c>
      <c r="CM20" s="11">
        <f>CL20+預測IC!CN20</f>
        <v>1.3125156400427271</v>
      </c>
      <c r="CN20" s="11">
        <f>CM20+預測IC!CO20</f>
        <v>0.89654430487371473</v>
      </c>
      <c r="CO20" s="11">
        <f>CN20+預測IC!CP20</f>
        <v>0.73988354967853187</v>
      </c>
      <c r="CP20" s="11">
        <f>CO20+預測IC!CQ20</f>
        <v>0.74599490760759413</v>
      </c>
      <c r="CQ20" s="11">
        <f>CP20+預測IC!CR20</f>
        <v>0.72063235483358012</v>
      </c>
      <c r="CR20" s="11">
        <f>CQ20+預測IC!CS20</f>
        <v>0.80899663184584159</v>
      </c>
      <c r="CS20" s="11">
        <f>CR20+預測IC!CT20</f>
        <v>0.89947066926010788</v>
      </c>
      <c r="CT20" s="11">
        <f>CS20+預測IC!CU20</f>
        <v>0.79536977146768173</v>
      </c>
      <c r="CU20" s="11">
        <f>CT20+預測IC!CV20</f>
        <v>0.89237372578940177</v>
      </c>
      <c r="CV20" s="11">
        <f>CU20+預測IC!CW20</f>
        <v>0.866557323217925</v>
      </c>
      <c r="CW20" s="11">
        <f>CV20+預測IC!CX20</f>
        <v>0.87594346697122727</v>
      </c>
      <c r="CX20" s="11">
        <f>CW20+預測IC!CY20</f>
        <v>0.76721062856915523</v>
      </c>
      <c r="CY20" s="11">
        <f>CX20+預測IC!CZ20</f>
        <v>0.89551133017153939</v>
      </c>
      <c r="CZ20" s="11">
        <f>CY20+預測IC!DA20</f>
        <v>0.84803943701636186</v>
      </c>
      <c r="DA20" s="11">
        <f>CZ20+預測IC!DB20</f>
        <v>0.92500750678714594</v>
      </c>
      <c r="DB20" s="11">
        <f>DA20+預測IC!DC20</f>
        <v>0.87792337347938287</v>
      </c>
      <c r="DC20" s="11">
        <f>DB20+預測IC!DD20</f>
        <v>0.80976036116559857</v>
      </c>
      <c r="DD20" s="11">
        <f>DC20+預測IC!DE20</f>
        <v>0.78301049724467009</v>
      </c>
      <c r="DE20" s="11">
        <f>DD20+預測IC!DF20</f>
        <v>0.78386961877709072</v>
      </c>
      <c r="DF20" s="11">
        <f>DE20+預測IC!DG20</f>
        <v>0.83621443207690971</v>
      </c>
      <c r="DG20" s="11">
        <f>DF20+預測IC!DH20</f>
        <v>0.82523902033438268</v>
      </c>
      <c r="DH20" s="11">
        <f>DG20+預測IC!DI20</f>
        <v>0.81748145232039016</v>
      </c>
      <c r="DI20" s="11">
        <f>DH20+預測IC!DJ20</f>
        <v>0.77802150605150233</v>
      </c>
      <c r="DJ20" s="11">
        <f>DI20+預測IC!DK20</f>
        <v>0.86297548749755726</v>
      </c>
      <c r="DK20" s="11">
        <f>DJ20+預測IC!DL20</f>
        <v>0.87316245618086152</v>
      </c>
      <c r="DL20" s="11">
        <f>DK20+預測IC!DM20</f>
        <v>0.88244610646029864</v>
      </c>
      <c r="DM20" s="11">
        <f>DL20+預測IC!DN20</f>
        <v>0.94046531311449777</v>
      </c>
      <c r="DN20" s="11">
        <f>DM20+預測IC!DO20</f>
        <v>1.1984666765735092</v>
      </c>
      <c r="DO20" s="11">
        <f>DN20+預測IC!DP20</f>
        <v>1.2082972079643965</v>
      </c>
      <c r="DP20" s="11">
        <f>DO20+預測IC!DQ20</f>
        <v>1.0169676695081131</v>
      </c>
      <c r="DQ20" s="11">
        <f>DP20+預測IC!DR20</f>
        <v>1.0954803295364037</v>
      </c>
      <c r="DR20" s="11">
        <f>DQ20+預測IC!DS20</f>
        <v>1.0879896337826447</v>
      </c>
      <c r="DS20" s="11">
        <f>DR20+預測IC!DT20</f>
        <v>0.96071493189509172</v>
      </c>
      <c r="DT20" s="11">
        <f>DS20+預測IC!DU20</f>
        <v>0.78864582468922229</v>
      </c>
      <c r="DU20" s="11">
        <f>DT20+預測IC!DV20</f>
        <v>0.91799129652808098</v>
      </c>
      <c r="DV20" s="11">
        <f>DU20+預測IC!DW20</f>
        <v>0.98705150048612056</v>
      </c>
      <c r="DW20" s="11">
        <f>DV20+預測IC!DX20</f>
        <v>0.83318517087980593</v>
      </c>
      <c r="DX20" s="11">
        <f>DW20+預測IC!DY20</f>
        <v>0.77956656152815718</v>
      </c>
      <c r="DY20" s="11">
        <f>DX20+預測IC!DZ20</f>
        <v>0.69509198321846499</v>
      </c>
      <c r="DZ20" s="11">
        <f>DY20+預測IC!EA20</f>
        <v>0.70890070941982286</v>
      </c>
      <c r="EA20" s="11">
        <f>DZ20+預測IC!EB20</f>
        <v>0.60258844256953581</v>
      </c>
      <c r="EB20" s="11">
        <f>EA20+預測IC!EC20</f>
        <v>0.63663802398347757</v>
      </c>
      <c r="EC20" s="11">
        <f>EB20+預測IC!ED20</f>
        <v>0.45971916291646736</v>
      </c>
      <c r="ED20" s="11">
        <f>EC20+預測IC!EE20</f>
        <v>0.45797818316461281</v>
      </c>
      <c r="EE20" s="11">
        <f>ED20+預測IC!EF20</f>
        <v>0.47825959978052002</v>
      </c>
    </row>
    <row r="21" spans="1:136" ht="16">
      <c r="A21" s="6" t="s">
        <v>160</v>
      </c>
      <c r="B21" s="9">
        <v>-0.19764916434148611</v>
      </c>
      <c r="C21" s="11">
        <f>B21+預測IC!D21</f>
        <v>-0.19801687373664528</v>
      </c>
      <c r="D21" s="11">
        <f>C21+預測IC!E21</f>
        <v>-0.1843267034508547</v>
      </c>
      <c r="E21" s="11">
        <f>D21+預測IC!F21</f>
        <v>-0.23542418729726292</v>
      </c>
      <c r="F21" s="11">
        <f>E21+預測IC!G21</f>
        <v>-0.24272032532511437</v>
      </c>
      <c r="G21" s="11">
        <f>F21+預測IC!H21</f>
        <v>-0.28056440235340679</v>
      </c>
      <c r="H21" s="11">
        <f>G21+預測IC!I21</f>
        <v>-0.13330879422593381</v>
      </c>
      <c r="I21" s="11">
        <f>H21+預測IC!J21</f>
        <v>-7.2873468534291497E-2</v>
      </c>
      <c r="J21" s="11">
        <f>I21+預測IC!K21</f>
        <v>-7.1403172574155585E-2</v>
      </c>
      <c r="K21" s="11">
        <f>J21+預測IC!L21</f>
        <v>3.8276434880074317E-2</v>
      </c>
      <c r="L21" s="11">
        <f>K21+預測IC!M21</f>
        <v>-0.15759406866908787</v>
      </c>
      <c r="M21" s="11">
        <f>L21+預測IC!N21</f>
        <v>-5.8006656546146299E-2</v>
      </c>
      <c r="N21" s="11">
        <f>M21+預測IC!O21</f>
        <v>5.4152617915166304E-2</v>
      </c>
      <c r="O21" s="11">
        <f>N21+預測IC!P21</f>
        <v>9.9579810932669391E-2</v>
      </c>
      <c r="P21" s="11">
        <f>O21+預測IC!Q21</f>
        <v>0.37366325620335905</v>
      </c>
      <c r="Q21" s="11">
        <f>P21+預測IC!R21</f>
        <v>0.26782754583658447</v>
      </c>
      <c r="R21" s="11">
        <f>Q21+預測IC!S21</f>
        <v>0.47698702131154896</v>
      </c>
      <c r="S21" s="11">
        <f>R21+預測IC!T21</f>
        <v>0.46294665697134407</v>
      </c>
      <c r="T21" s="11">
        <f>S21+預測IC!U21</f>
        <v>0.472771297705741</v>
      </c>
      <c r="U21" s="11">
        <f>T21+預測IC!V21</f>
        <v>0.60452178635824338</v>
      </c>
      <c r="V21" s="11">
        <f>U21+預測IC!W21</f>
        <v>0.76488694206380115</v>
      </c>
      <c r="W21" s="11">
        <f>V21+預測IC!X21</f>
        <v>0.55708567471046333</v>
      </c>
      <c r="X21" s="11">
        <f>W21+預測IC!Y21</f>
        <v>0.54694201433726075</v>
      </c>
      <c r="Y21" s="11">
        <f>X21+預測IC!Z21</f>
        <v>0.58639973001721779</v>
      </c>
      <c r="Z21" s="11">
        <f>Y21+預測IC!AA21</f>
        <v>0.60589077355731169</v>
      </c>
      <c r="AA21" s="11">
        <f>Z21+預測IC!AB21</f>
        <v>0.73403401853220163</v>
      </c>
      <c r="AB21" s="11">
        <f>AA21+預測IC!AC21</f>
        <v>0.80833514832422404</v>
      </c>
      <c r="AC21" s="11">
        <f>AB21+預測IC!AD21</f>
        <v>0.93715981397178194</v>
      </c>
      <c r="AD21" s="11">
        <f>AC21+預測IC!AE21</f>
        <v>0.69670370347859523</v>
      </c>
      <c r="AE21" s="11">
        <f>AD21+預測IC!AF21</f>
        <v>0.66313687809461463</v>
      </c>
      <c r="AF21" s="11">
        <f>AE21+預測IC!AG21</f>
        <v>0.70743965588440871</v>
      </c>
      <c r="AG21" s="11">
        <f>AF21+預測IC!AH21</f>
        <v>0.59985829331961038</v>
      </c>
      <c r="AH21" s="11">
        <f>AG21+預測IC!AI21</f>
        <v>0.67945250265290147</v>
      </c>
      <c r="AI21" s="11">
        <f>AH21+預測IC!AJ21</f>
        <v>0.60904716070643272</v>
      </c>
      <c r="AJ21" s="11">
        <f>AI21+預測IC!AK21</f>
        <v>0.71403577085872616</v>
      </c>
      <c r="AK21" s="11">
        <f>AJ21+預測IC!AL21</f>
        <v>0.69425495729887465</v>
      </c>
      <c r="AL21" s="11">
        <f>AK21+預測IC!AM21</f>
        <v>0.75911193510523045</v>
      </c>
      <c r="AM21" s="11">
        <f>AL21+預測IC!AN21</f>
        <v>0.87106799116832478</v>
      </c>
      <c r="AN21" s="11">
        <f>AM21+預測IC!AO21</f>
        <v>0.91879438681205139</v>
      </c>
      <c r="AO21" s="11">
        <f>AN21+預測IC!AP21</f>
        <v>0.85640383311311519</v>
      </c>
      <c r="AP21" s="11">
        <f>AO21+預測IC!AQ21</f>
        <v>0.88099497353624168</v>
      </c>
      <c r="AQ21" s="11">
        <f>AP21+預測IC!AR21</f>
        <v>1.086177251766723</v>
      </c>
      <c r="AR21" s="11">
        <f>AQ21+預測IC!AS21</f>
        <v>1.1506331204133524</v>
      </c>
      <c r="AS21" s="11">
        <f>AR21+預測IC!AT21</f>
        <v>1.1481402091361974</v>
      </c>
      <c r="AT21" s="11">
        <f>AS21+預測IC!AU21</f>
        <v>1.1959498406451545</v>
      </c>
      <c r="AU21" s="11">
        <f>AT21+預測IC!AV21</f>
        <v>1.1404290605830207</v>
      </c>
      <c r="AV21" s="11">
        <f>AU21+預測IC!AW21</f>
        <v>1.150220090537118</v>
      </c>
      <c r="AW21" s="11">
        <f>AV21+預測IC!AX21</f>
        <v>1.0070724030673612</v>
      </c>
      <c r="AX21" s="11">
        <f>AW21+預測IC!AY21</f>
        <v>1.0540936940453993</v>
      </c>
      <c r="AY21" s="11">
        <f>AX21+預測IC!AZ21</f>
        <v>0.7991824241482629</v>
      </c>
      <c r="AZ21" s="11">
        <f>AY21+預測IC!BA21</f>
        <v>0.72815024250017701</v>
      </c>
      <c r="BA21" s="11">
        <f>AZ21+預測IC!BB21</f>
        <v>1.0226628794774988</v>
      </c>
      <c r="BB21" s="11">
        <f>BA21+預測IC!BC21</f>
        <v>1.0609840272026927</v>
      </c>
      <c r="BC21" s="11">
        <f>BB21+預測IC!BD21</f>
        <v>1.0392331638320649</v>
      </c>
      <c r="BD21" s="11">
        <f>BC21+預測IC!BE21</f>
        <v>0.9986448313282531</v>
      </c>
      <c r="BE21" s="11">
        <f>BD21+預測IC!BF21</f>
        <v>1.0022219315086878</v>
      </c>
      <c r="BF21" s="11">
        <f>BE21+預測IC!BG21</f>
        <v>0.90993636000143407</v>
      </c>
      <c r="BG21" s="11">
        <f>BF21+預測IC!BH21</f>
        <v>0.83361499686267881</v>
      </c>
      <c r="BH21" s="11">
        <f>BG21+預測IC!BI21</f>
        <v>0.66764540068428702</v>
      </c>
      <c r="BI21" s="11">
        <f>BH21+預測IC!BJ21</f>
        <v>0.64406637450256932</v>
      </c>
      <c r="BJ21" s="11">
        <f>BI21+預測IC!BK21</f>
        <v>0.57561649412303451</v>
      </c>
      <c r="BK21" s="11">
        <f>BJ21+預測IC!BL21</f>
        <v>0.71833758676938431</v>
      </c>
      <c r="BL21" s="11">
        <f>BK21+預測IC!BM21</f>
        <v>0.87345759069048412</v>
      </c>
      <c r="BM21" s="11">
        <f>BL21+預測IC!BN21</f>
        <v>0.84766682424203721</v>
      </c>
      <c r="BN21" s="11">
        <f>BM21+預測IC!BO21</f>
        <v>0.85833521579522709</v>
      </c>
      <c r="BO21" s="11">
        <f>BN21+預測IC!BP21</f>
        <v>0.96284434521464135</v>
      </c>
      <c r="BP21" s="11">
        <f>BO21+預測IC!BQ21</f>
        <v>1.0173865760491463</v>
      </c>
      <c r="BQ21" s="11">
        <f>BP21+預測IC!BR21</f>
        <v>1.0313498331887616</v>
      </c>
      <c r="BR21" s="11">
        <f>BQ21+預測IC!BS21</f>
        <v>1.0062699787782647</v>
      </c>
      <c r="BS21" s="11">
        <f>BR21+預測IC!BT21</f>
        <v>0.94544923623573995</v>
      </c>
      <c r="BT21" s="11">
        <f>BS21+預測IC!BU21</f>
        <v>1.066270175585929</v>
      </c>
      <c r="BU21" s="11">
        <f>BT21+預測IC!BV21</f>
        <v>1.2084131757713823</v>
      </c>
      <c r="BV21" s="11">
        <f>BU21+預測IC!BW21</f>
        <v>0.80628225993232294</v>
      </c>
      <c r="BW21" s="11">
        <f>BV21+預測IC!BX21</f>
        <v>0.88344726245291982</v>
      </c>
      <c r="BX21" s="11">
        <f>BW21+預測IC!BY21</f>
        <v>0.86853088353608288</v>
      </c>
      <c r="BY21" s="11">
        <f>BX21+預測IC!BZ21</f>
        <v>0.96668759397598125</v>
      </c>
      <c r="BZ21" s="11">
        <f>BY21+預測IC!CA21</f>
        <v>0.94213152542319378</v>
      </c>
      <c r="CA21" s="11">
        <f>BZ21+預測IC!CB21</f>
        <v>0.82988791462403544</v>
      </c>
      <c r="CB21" s="11">
        <f>CA21+預測IC!CC21</f>
        <v>0.77658033668458137</v>
      </c>
      <c r="CC21" s="11">
        <f>CB21+預測IC!CD21</f>
        <v>1.0646364010470546</v>
      </c>
      <c r="CD21" s="11">
        <f>CC21+預測IC!CE21</f>
        <v>1.1261512834012088</v>
      </c>
      <c r="CE21" s="11">
        <f>CD21+預測IC!CF21</f>
        <v>1.253321759492817</v>
      </c>
      <c r="CF21" s="11">
        <f>CE21+預測IC!CG21</f>
        <v>1.1095705703351313</v>
      </c>
      <c r="CG21" s="11">
        <f>CF21+預測IC!CH21</f>
        <v>0.95294412970816267</v>
      </c>
      <c r="CH21" s="11">
        <f>CG21+預測IC!CI21</f>
        <v>0.82965078329661568</v>
      </c>
      <c r="CI21" s="11">
        <f>CH21+預測IC!CJ21</f>
        <v>0.75789612134056994</v>
      </c>
      <c r="CJ21" s="11">
        <f>CI21+預測IC!CK21</f>
        <v>0.8849466680707041</v>
      </c>
      <c r="CK21" s="11">
        <f>CJ21+預測IC!CL21</f>
        <v>1.2470304189689005</v>
      </c>
      <c r="CL21" s="11">
        <f>CK21+預測IC!CM21</f>
        <v>1.4725334073722718</v>
      </c>
      <c r="CM21" s="11">
        <f>CL21+預測IC!CN21</f>
        <v>1.4419945171684962</v>
      </c>
      <c r="CN21" s="11">
        <f>CM21+預測IC!CO21</f>
        <v>0.92712926857090361</v>
      </c>
      <c r="CO21" s="11">
        <f>CN21+預測IC!CP21</f>
        <v>0.82882196244685324</v>
      </c>
      <c r="CP21" s="11">
        <f>CO21+預測IC!CQ21</f>
        <v>0.83211005417194406</v>
      </c>
      <c r="CQ21" s="11">
        <f>CP21+預測IC!CR21</f>
        <v>0.820494265311841</v>
      </c>
      <c r="CR21" s="11">
        <f>CQ21+預測IC!CS21</f>
        <v>0.8901406614586127</v>
      </c>
      <c r="CS21" s="11">
        <f>CR21+預測IC!CT21</f>
        <v>0.97243353431295165</v>
      </c>
      <c r="CT21" s="11">
        <f>CS21+預測IC!CU21</f>
        <v>0.90975997414346033</v>
      </c>
      <c r="CU21" s="11">
        <f>CT21+預測IC!CV21</f>
        <v>1.0413875053054169</v>
      </c>
      <c r="CV21" s="11">
        <f>CU21+預測IC!CW21</f>
        <v>1.010635023997378</v>
      </c>
      <c r="CW21" s="11">
        <f>CV21+預測IC!CX21</f>
        <v>1.0240305479584371</v>
      </c>
      <c r="CX21" s="11">
        <f>CW21+預測IC!CY21</f>
        <v>0.92152538687687402</v>
      </c>
      <c r="CY21" s="11">
        <f>CX21+預測IC!CZ21</f>
        <v>1.1118187735200167</v>
      </c>
      <c r="CZ21" s="11">
        <f>CY21+預測IC!DA21</f>
        <v>1.1130110299767484</v>
      </c>
      <c r="DA21" s="11">
        <f>CZ21+預測IC!DB21</f>
        <v>1.1844722437507464</v>
      </c>
      <c r="DB21" s="11">
        <f>DA21+預測IC!DC21</f>
        <v>1.1459259730858331</v>
      </c>
      <c r="DC21" s="11">
        <f>DB21+預測IC!DD21</f>
        <v>1.0788984768850916</v>
      </c>
      <c r="DD21" s="11">
        <f>DC21+預測IC!DE21</f>
        <v>1.0911365854734105</v>
      </c>
      <c r="DE21" s="11">
        <f>DD21+預測IC!DF21</f>
        <v>1.0988651447450293</v>
      </c>
      <c r="DF21" s="11">
        <f>DE21+預測IC!DG21</f>
        <v>1.1582746635899428</v>
      </c>
      <c r="DG21" s="11">
        <f>DF21+預測IC!DH21</f>
        <v>1.1723514838023974</v>
      </c>
      <c r="DH21" s="11">
        <f>DG21+預測IC!DI21</f>
        <v>1.2067589620825769</v>
      </c>
      <c r="DI21" s="11">
        <f>DH21+預測IC!DJ21</f>
        <v>1.1688476488920168</v>
      </c>
      <c r="DJ21" s="11">
        <f>DI21+預測IC!DK21</f>
        <v>1.3083503557109213</v>
      </c>
      <c r="DK21" s="11">
        <f>DJ21+預測IC!DL21</f>
        <v>1.3405585589604818</v>
      </c>
      <c r="DL21" s="11">
        <f>DK21+預測IC!DM21</f>
        <v>1.3107244393182416</v>
      </c>
      <c r="DM21" s="11">
        <f>DL21+預測IC!DN21</f>
        <v>1.37268522076503</v>
      </c>
      <c r="DN21" s="11">
        <f>DM21+預測IC!DO21</f>
        <v>1.7043120256436759</v>
      </c>
      <c r="DO21" s="11">
        <f>DN21+預測IC!DP21</f>
        <v>1.728578180737242</v>
      </c>
      <c r="DP21" s="11">
        <f>DO21+預測IC!DQ21</f>
        <v>1.6008247876385897</v>
      </c>
      <c r="DQ21" s="11">
        <f>DP21+預測IC!DR21</f>
        <v>1.6509956466756703</v>
      </c>
      <c r="DR21" s="11">
        <f>DQ21+預測IC!DS21</f>
        <v>1.6493235519963489</v>
      </c>
      <c r="DS21" s="11">
        <f>DR21+預測IC!DT21</f>
        <v>1.4787527493108881</v>
      </c>
      <c r="DT21" s="11">
        <f>DS21+預測IC!DU21</f>
        <v>1.4506624553145093</v>
      </c>
      <c r="DU21" s="11">
        <f>DT21+預測IC!DV21</f>
        <v>1.5909384321843874</v>
      </c>
      <c r="DV21" s="11">
        <f>DU21+預測IC!DW21</f>
        <v>1.7102856495583911</v>
      </c>
      <c r="DW21" s="11">
        <f>DV21+預測IC!DX21</f>
        <v>1.5243194355272078</v>
      </c>
      <c r="DX21" s="11">
        <f>DW21+預測IC!DY21</f>
        <v>1.4997234399891919</v>
      </c>
      <c r="DY21" s="11">
        <f>DX21+預測IC!DZ21</f>
        <v>1.4468793734289029</v>
      </c>
      <c r="DZ21" s="11">
        <f>DY21+預測IC!EA21</f>
        <v>1.4206284769476425</v>
      </c>
      <c r="EA21" s="11">
        <f>DZ21+預測IC!EB21</f>
        <v>1.3173329179236348</v>
      </c>
      <c r="EB21" s="11">
        <f>EA21+預測IC!EC21</f>
        <v>1.3203978864264336</v>
      </c>
      <c r="EC21" s="11">
        <f>EB21+預測IC!ED21</f>
        <v>1.2658990300782529</v>
      </c>
      <c r="ED21" s="11">
        <f>EC21+預測IC!EE21</f>
        <v>1.2872096223861202</v>
      </c>
      <c r="EE21" s="11">
        <f>ED21+預測IC!EF21</f>
        <v>1.2792180195300884</v>
      </c>
    </row>
    <row r="22" spans="1:136" ht="16">
      <c r="A22" s="6" t="s">
        <v>161</v>
      </c>
      <c r="B22" s="9">
        <v>6.4235717628454689E-2</v>
      </c>
      <c r="C22" s="11">
        <f>B22+預測IC!D22</f>
        <v>1.9554820724968169E-2</v>
      </c>
      <c r="D22" s="11">
        <f>C22+預測IC!E22</f>
        <v>3.6909919641427147E-2</v>
      </c>
      <c r="E22" s="11">
        <f>D22+預測IC!F22</f>
        <v>-6.0524075937559305E-2</v>
      </c>
      <c r="F22" s="11">
        <f>E22+預測IC!G22</f>
        <v>-9.3478900187357911E-2</v>
      </c>
      <c r="G22" s="11">
        <f>F22+預測IC!H22</f>
        <v>-0.3232844446787585</v>
      </c>
      <c r="H22" s="11">
        <f>G22+預測IC!I22</f>
        <v>-0.19979127534068869</v>
      </c>
      <c r="I22" s="11">
        <f>H22+預測IC!J22</f>
        <v>-0.14719268607534577</v>
      </c>
      <c r="J22" s="11">
        <f>I22+預測IC!K22</f>
        <v>-0.11853590595895178</v>
      </c>
      <c r="K22" s="11">
        <f>J22+預測IC!L22</f>
        <v>5.2647453466949434E-2</v>
      </c>
      <c r="L22" s="11">
        <f>K22+預測IC!M22</f>
        <v>-0.17251115159663227</v>
      </c>
      <c r="M22" s="11">
        <f>L22+預測IC!N22</f>
        <v>-3.9230732573385774E-2</v>
      </c>
      <c r="N22" s="11">
        <f>M22+預測IC!O22</f>
        <v>0.10424961343088662</v>
      </c>
      <c r="O22" s="11">
        <f>N22+預測IC!P22</f>
        <v>0.19488048785752093</v>
      </c>
      <c r="P22" s="11">
        <f>O22+預測IC!Q22</f>
        <v>0.32215137808891114</v>
      </c>
      <c r="Q22" s="11">
        <f>P22+預測IC!R22</f>
        <v>0.28552294381732307</v>
      </c>
      <c r="R22" s="11">
        <f>Q22+預測IC!S22</f>
        <v>0.53257957334705264</v>
      </c>
      <c r="S22" s="11">
        <f>R22+預測IC!T22</f>
        <v>0.46092767295741133</v>
      </c>
      <c r="T22" s="11">
        <f>S22+預測IC!U22</f>
        <v>0.4084387664617895</v>
      </c>
      <c r="U22" s="11">
        <f>T22+預測IC!V22</f>
        <v>0.58406366893220185</v>
      </c>
      <c r="V22" s="11">
        <f>U22+預測IC!W22</f>
        <v>0.7915439359564993</v>
      </c>
      <c r="W22" s="11">
        <f>V22+預測IC!X22</f>
        <v>0.53434158474300231</v>
      </c>
      <c r="X22" s="11">
        <f>W22+預測IC!Y22</f>
        <v>0.46448825304020147</v>
      </c>
      <c r="Y22" s="11">
        <f>X22+預測IC!Z22</f>
        <v>0.48835437483055788</v>
      </c>
      <c r="Z22" s="11">
        <f>Y22+預測IC!AA22</f>
        <v>0.49540239171741463</v>
      </c>
      <c r="AA22" s="11">
        <f>Z22+預測IC!AB22</f>
        <v>0.62983860443074013</v>
      </c>
      <c r="AB22" s="11">
        <f>AA22+預測IC!AC22</f>
        <v>0.70425898527116748</v>
      </c>
      <c r="AC22" s="11">
        <f>AB22+預測IC!AD22</f>
        <v>0.71783177404352883</v>
      </c>
      <c r="AD22" s="11">
        <f>AC22+預測IC!AE22</f>
        <v>0.45514605269138531</v>
      </c>
      <c r="AE22" s="11">
        <f>AD22+預測IC!AF22</f>
        <v>0.36874181364896175</v>
      </c>
      <c r="AF22" s="11">
        <f>AE22+預測IC!AG22</f>
        <v>0.42158335382469564</v>
      </c>
      <c r="AG22" s="11">
        <f>AF22+預測IC!AH22</f>
        <v>0.31571739440422297</v>
      </c>
      <c r="AH22" s="11">
        <f>AG22+預測IC!AI22</f>
        <v>0.40985865506160901</v>
      </c>
      <c r="AI22" s="11">
        <f>AH22+預測IC!AJ22</f>
        <v>0.37815880573520072</v>
      </c>
      <c r="AJ22" s="11">
        <f>AI22+預測IC!AK22</f>
        <v>0.30988947757107288</v>
      </c>
      <c r="AK22" s="11">
        <f>AJ22+預測IC!AL22</f>
        <v>0.31932921604478315</v>
      </c>
      <c r="AL22" s="11">
        <f>AK22+預測IC!AM22</f>
        <v>0.40341811951248674</v>
      </c>
      <c r="AM22" s="11">
        <f>AL22+預測IC!AN22</f>
        <v>0.51455092917604606</v>
      </c>
      <c r="AN22" s="11">
        <f>AM22+預測IC!AO22</f>
        <v>0.58926830256975171</v>
      </c>
      <c r="AO22" s="11">
        <f>AN22+預測IC!AP22</f>
        <v>0.52673194868175899</v>
      </c>
      <c r="AP22" s="11">
        <f>AO22+預測IC!AQ22</f>
        <v>0.54122793250398282</v>
      </c>
      <c r="AQ22" s="11">
        <f>AP22+預測IC!AR22</f>
        <v>0.77912907353123251</v>
      </c>
      <c r="AR22" s="11">
        <f>AQ22+預測IC!AS22</f>
        <v>0.86193951242978251</v>
      </c>
      <c r="AS22" s="11">
        <f>AR22+預測IC!AT22</f>
        <v>0.86851990277880209</v>
      </c>
      <c r="AT22" s="11">
        <f>AS22+預測IC!AU22</f>
        <v>0.92166269447918037</v>
      </c>
      <c r="AU22" s="11">
        <f>AT22+預測IC!AV22</f>
        <v>0.86184951780330044</v>
      </c>
      <c r="AV22" s="11">
        <f>AU22+預測IC!AW22</f>
        <v>0.8317001285962915</v>
      </c>
      <c r="AW22" s="11">
        <f>AV22+預測IC!AX22</f>
        <v>0.65793672861626729</v>
      </c>
      <c r="AX22" s="11">
        <f>AW22+預測IC!AY22</f>
        <v>0.72967011395049786</v>
      </c>
      <c r="AY22" s="11">
        <f>AX22+預測IC!AZ22</f>
        <v>0.57476633562934576</v>
      </c>
      <c r="AZ22" s="11">
        <f>AY22+預測IC!BA22</f>
        <v>0.52916791046188383</v>
      </c>
      <c r="BA22" s="11">
        <f>AZ22+預測IC!BB22</f>
        <v>0.89871849375837165</v>
      </c>
      <c r="BB22" s="11">
        <f>BA22+預測IC!BC22</f>
        <v>0.76788155563541649</v>
      </c>
      <c r="BC22" s="11">
        <f>BB22+預測IC!BD22</f>
        <v>0.78082894547798865</v>
      </c>
      <c r="BD22" s="11">
        <f>BC22+預測IC!BE22</f>
        <v>0.71234590860988789</v>
      </c>
      <c r="BE22" s="11">
        <f>BD22+預測IC!BF22</f>
        <v>0.72598472594820751</v>
      </c>
      <c r="BF22" s="11">
        <f>BE22+預測IC!BG22</f>
        <v>0.76721619510098793</v>
      </c>
      <c r="BG22" s="11">
        <f>BF22+預測IC!BH22</f>
        <v>0.63925565276285601</v>
      </c>
      <c r="BH22" s="11">
        <f>BG22+預測IC!BI22</f>
        <v>0.52816693335294906</v>
      </c>
      <c r="BI22" s="11">
        <f>BH22+預測IC!BJ22</f>
        <v>0.47317051820222816</v>
      </c>
      <c r="BJ22" s="11">
        <f>BI22+預測IC!BK22</f>
        <v>0.43133088226856303</v>
      </c>
      <c r="BK22" s="11">
        <f>BJ22+預測IC!BL22</f>
        <v>0.59311122133959837</v>
      </c>
      <c r="BL22" s="11">
        <f>BK22+預測IC!BM22</f>
        <v>0.69871569829730984</v>
      </c>
      <c r="BM22" s="11">
        <f>BL22+預測IC!BN22</f>
        <v>0.61577779909698727</v>
      </c>
      <c r="BN22" s="11">
        <f>BM22+預測IC!BO22</f>
        <v>0.71279069462059308</v>
      </c>
      <c r="BO22" s="11">
        <f>BN22+預測IC!BP22</f>
        <v>0.78762624477569942</v>
      </c>
      <c r="BP22" s="11">
        <f>BO22+預測IC!BQ22</f>
        <v>0.81545634217401197</v>
      </c>
      <c r="BQ22" s="11">
        <f>BP22+預測IC!BR22</f>
        <v>0.83626995164046491</v>
      </c>
      <c r="BR22" s="11">
        <f>BQ22+預測IC!BS22</f>
        <v>0.81989716926366574</v>
      </c>
      <c r="BS22" s="11">
        <f>BR22+預測IC!BT22</f>
        <v>0.90862336359644924</v>
      </c>
      <c r="BT22" s="11">
        <f>BS22+預測IC!BU22</f>
        <v>1.1215721297344596</v>
      </c>
      <c r="BU22" s="11">
        <f>BT22+預測IC!BV22</f>
        <v>1.2801161021320686</v>
      </c>
      <c r="BV22" s="11">
        <f>BU22+預測IC!BW22</f>
        <v>0.85239960566769235</v>
      </c>
      <c r="BW22" s="11">
        <f>BV22+預測IC!BX22</f>
        <v>0.96542850457205753</v>
      </c>
      <c r="BX22" s="11">
        <f>BW22+預測IC!BY22</f>
        <v>0.9977813800925569</v>
      </c>
      <c r="BY22" s="11">
        <f>BX22+預測IC!BZ22</f>
        <v>1.0450391159554491</v>
      </c>
      <c r="BZ22" s="11">
        <f>BY22+預測IC!CA22</f>
        <v>1.0175490374751255</v>
      </c>
      <c r="CA22" s="11">
        <f>BZ22+預測IC!CB22</f>
        <v>0.86855575922919892</v>
      </c>
      <c r="CB22" s="11">
        <f>CA22+預測IC!CC22</f>
        <v>0.8909872249821843</v>
      </c>
      <c r="CC22" s="11">
        <f>CB22+預測IC!CD22</f>
        <v>1.2248652616949072</v>
      </c>
      <c r="CD22" s="11">
        <f>CC22+預測IC!CE22</f>
        <v>1.2917054073317247</v>
      </c>
      <c r="CE22" s="11">
        <f>CD22+預測IC!CF22</f>
        <v>1.4472779757541916</v>
      </c>
      <c r="CF22" s="11">
        <f>CE22+預測IC!CG22</f>
        <v>1.2440148835516045</v>
      </c>
      <c r="CG22" s="11">
        <f>CF22+預測IC!CH22</f>
        <v>1.0904085987420613</v>
      </c>
      <c r="CH22" s="11">
        <f>CG22+預測IC!CI22</f>
        <v>0.85995943170387712</v>
      </c>
      <c r="CI22" s="11">
        <f>CH22+預測IC!CJ22</f>
        <v>0.75657992661431439</v>
      </c>
      <c r="CJ22" s="11">
        <f>CI22+預測IC!CK22</f>
        <v>0.79274326921899685</v>
      </c>
      <c r="CK22" s="11">
        <f>CJ22+預測IC!CL22</f>
        <v>1.3466976346215147</v>
      </c>
      <c r="CL22" s="11">
        <f>CK22+預測IC!CM22</f>
        <v>1.6484578925309967</v>
      </c>
      <c r="CM22" s="11">
        <f>CL22+預測IC!CN22</f>
        <v>1.6570046643519041</v>
      </c>
      <c r="CN22" s="11">
        <f>CM22+預測IC!CO22</f>
        <v>1.0070481961027484</v>
      </c>
      <c r="CO22" s="11">
        <f>CN22+預測IC!CP22</f>
        <v>0.83520446296034967</v>
      </c>
      <c r="CP22" s="11">
        <f>CO22+預測IC!CQ22</f>
        <v>0.82287068363468507</v>
      </c>
      <c r="CQ22" s="11">
        <f>CP22+預測IC!CR22</f>
        <v>0.85129288871384579</v>
      </c>
      <c r="CR22" s="11">
        <f>CQ22+預測IC!CS22</f>
        <v>0.83609070519242301</v>
      </c>
      <c r="CS22" s="11">
        <f>CR22+預測IC!CT22</f>
        <v>0.89432322654840835</v>
      </c>
      <c r="CT22" s="11">
        <f>CS22+預測IC!CU22</f>
        <v>0.78348180690654257</v>
      </c>
      <c r="CU22" s="11">
        <f>CT22+預測IC!CV22</f>
        <v>0.91309930567542552</v>
      </c>
      <c r="CV22" s="11">
        <f>CU22+預測IC!CW22</f>
        <v>0.89959950713946391</v>
      </c>
      <c r="CW22" s="11">
        <f>CV22+預測IC!CX22</f>
        <v>0.94688496039825421</v>
      </c>
      <c r="CX22" s="11">
        <f>CW22+預測IC!CY22</f>
        <v>0.84237413433019259</v>
      </c>
      <c r="CY22" s="11">
        <f>CX22+預測IC!CZ22</f>
        <v>1.0490679964159511</v>
      </c>
      <c r="CZ22" s="11">
        <f>CY22+預測IC!DA22</f>
        <v>1.045076242534027</v>
      </c>
      <c r="DA22" s="11">
        <f>CZ22+預測IC!DB22</f>
        <v>1.0991178642445489</v>
      </c>
      <c r="DB22" s="11">
        <f>DA22+預測IC!DC22</f>
        <v>1.0596235342946521</v>
      </c>
      <c r="DC22" s="11">
        <f>DB22+預測IC!DD22</f>
        <v>1.0436609564790893</v>
      </c>
      <c r="DD22" s="11">
        <f>DC22+預測IC!DE22</f>
        <v>1.0381691984971391</v>
      </c>
      <c r="DE22" s="11">
        <f>DD22+預測IC!DF22</f>
        <v>1.0552009737706922</v>
      </c>
      <c r="DF22" s="11">
        <f>DE22+預測IC!DG22</f>
        <v>1.1270904731876954</v>
      </c>
      <c r="DG22" s="11">
        <f>DF22+預測IC!DH22</f>
        <v>1.1410358193711994</v>
      </c>
      <c r="DH22" s="11">
        <f>DG22+預測IC!DI22</f>
        <v>1.2045968186334488</v>
      </c>
      <c r="DI22" s="11">
        <f>DH22+預測IC!DJ22</f>
        <v>1.154350812800353</v>
      </c>
      <c r="DJ22" s="11">
        <f>DI22+預測IC!DK22</f>
        <v>1.3334855266231931</v>
      </c>
      <c r="DK22" s="11">
        <f>DJ22+預測IC!DL22</f>
        <v>1.3551658527810837</v>
      </c>
      <c r="DL22" s="11">
        <f>DK22+預測IC!DM22</f>
        <v>1.2916998017430501</v>
      </c>
      <c r="DM22" s="11">
        <f>DL22+預測IC!DN22</f>
        <v>1.3384631299470575</v>
      </c>
      <c r="DN22" s="11">
        <f>DM22+預測IC!DO22</f>
        <v>1.4141789460019636</v>
      </c>
      <c r="DO22" s="11">
        <f>DN22+預測IC!DP22</f>
        <v>1.4163512693409939</v>
      </c>
      <c r="DP22" s="11">
        <f>DO22+預測IC!DQ22</f>
        <v>1.2853202655215539</v>
      </c>
      <c r="DQ22" s="11">
        <f>DP22+預測IC!DR22</f>
        <v>1.2792277129062359</v>
      </c>
      <c r="DR22" s="11">
        <f>DQ22+預測IC!DS22</f>
        <v>1.2428814506567001</v>
      </c>
      <c r="DS22" s="11">
        <f>DR22+預測IC!DT22</f>
        <v>1.2165050944204994</v>
      </c>
      <c r="DT22" s="11">
        <f>DS22+預測IC!DU22</f>
        <v>1.1590097035836604</v>
      </c>
      <c r="DU22" s="11">
        <f>DT22+預測IC!DV22</f>
        <v>1.2847148212618384</v>
      </c>
      <c r="DV22" s="11">
        <f>DU22+預測IC!DW22</f>
        <v>1.3942178879034028</v>
      </c>
      <c r="DW22" s="11">
        <f>DV22+預測IC!DX22</f>
        <v>1.1717752794551082</v>
      </c>
      <c r="DX22" s="11">
        <f>DW22+預測IC!DY22</f>
        <v>1.1799223960806482</v>
      </c>
      <c r="DY22" s="11">
        <f>DX22+預測IC!DZ22</f>
        <v>1.0761744151350907</v>
      </c>
      <c r="DZ22" s="11">
        <f>DY22+預測IC!EA22</f>
        <v>1.005625766295732</v>
      </c>
      <c r="EA22" s="11">
        <f>DZ22+預測IC!EB22</f>
        <v>0.86269869024340451</v>
      </c>
      <c r="EB22" s="11">
        <f>EA22+預測IC!EC22</f>
        <v>0.88419379181904267</v>
      </c>
      <c r="EC22" s="11">
        <f>EB22+預測IC!ED22</f>
        <v>0.80678022476143518</v>
      </c>
      <c r="ED22" s="11">
        <f>EC22+預測IC!EE22</f>
        <v>0.85441688414613404</v>
      </c>
      <c r="EE22" s="11">
        <f>ED22+預測IC!EF22</f>
        <v>0.81962663777396172</v>
      </c>
    </row>
    <row r="23" spans="1:136" ht="16">
      <c r="A23" s="6" t="s">
        <v>162</v>
      </c>
      <c r="B23" s="9">
        <v>-3.4987009286289193E-2</v>
      </c>
      <c r="C23" s="11">
        <f>B23+預測IC!D23</f>
        <v>-6.4797676971711279E-2</v>
      </c>
      <c r="D23" s="11">
        <f>C23+預測IC!E23</f>
        <v>-0.1978028710278823</v>
      </c>
      <c r="E23" s="11">
        <f>D23+預測IC!F23</f>
        <v>-0.33946778007978401</v>
      </c>
      <c r="F23" s="11">
        <f>E23+預測IC!G23</f>
        <v>-0.39169195392628237</v>
      </c>
      <c r="G23" s="11">
        <f>F23+預測IC!H23</f>
        <v>-0.65450219512773522</v>
      </c>
      <c r="H23" s="11">
        <f>G23+預測IC!I23</f>
        <v>-0.50635016652744125</v>
      </c>
      <c r="I23" s="11">
        <f>H23+預測IC!J23</f>
        <v>-0.60451245767389361</v>
      </c>
      <c r="J23" s="11">
        <f>I23+預測IC!K23</f>
        <v>-0.66443034218195651</v>
      </c>
      <c r="K23" s="11">
        <f>J23+預測IC!L23</f>
        <v>-0.61038681240635784</v>
      </c>
      <c r="L23" s="11">
        <f>K23+預測IC!M23</f>
        <v>-0.8777533824163366</v>
      </c>
      <c r="M23" s="11">
        <f>L23+預測IC!N23</f>
        <v>-0.72133414478032387</v>
      </c>
      <c r="N23" s="11">
        <f>M23+預測IC!O23</f>
        <v>-0.51676976680732178</v>
      </c>
      <c r="O23" s="11">
        <f>N23+預測IC!P23</f>
        <v>-0.46208824077277388</v>
      </c>
      <c r="P23" s="11">
        <f>O23+預測IC!Q23</f>
        <v>-0.17091474730606926</v>
      </c>
      <c r="Q23" s="11">
        <f>P23+預測IC!R23</f>
        <v>-0.1952285419180067</v>
      </c>
      <c r="R23" s="11">
        <f>Q23+預測IC!S23</f>
        <v>-2.5933542004762694E-2</v>
      </c>
      <c r="S23" s="11">
        <f>R23+預測IC!T23</f>
        <v>-2.6306911213241441E-2</v>
      </c>
      <c r="T23" s="11">
        <f>S23+預測IC!U23</f>
        <v>-8.5548700694342894E-2</v>
      </c>
      <c r="U23" s="11">
        <f>T23+預測IC!V23</f>
        <v>0.14692850267658181</v>
      </c>
      <c r="V23" s="11">
        <f>U23+預測IC!W23</f>
        <v>0.47854765292572632</v>
      </c>
      <c r="W23" s="11">
        <f>V23+預測IC!X23</f>
        <v>0.28399119146808205</v>
      </c>
      <c r="X23" s="11">
        <f>W23+預測IC!Y23</f>
        <v>0.21604126987673128</v>
      </c>
      <c r="Y23" s="11">
        <f>X23+預測IC!Z23</f>
        <v>0.25709323639698267</v>
      </c>
      <c r="Z23" s="11">
        <f>Y23+預測IC!AA23</f>
        <v>0.26369952836645294</v>
      </c>
      <c r="AA23" s="11">
        <f>Z23+預測IC!AB23</f>
        <v>0.32773930824323644</v>
      </c>
      <c r="AB23" s="11">
        <f>AA23+預測IC!AC23</f>
        <v>0.40408564639007444</v>
      </c>
      <c r="AC23" s="11">
        <f>AB23+預測IC!AD23</f>
        <v>0.47571451447574847</v>
      </c>
      <c r="AD23" s="11">
        <f>AC23+預測IC!AE23</f>
        <v>0.1137391352221947</v>
      </c>
      <c r="AE23" s="11">
        <f>AD23+預測IC!AF23</f>
        <v>8.8438642855647454E-2</v>
      </c>
      <c r="AF23" s="11">
        <f>AE23+預測IC!AG23</f>
        <v>0.18031230050200764</v>
      </c>
      <c r="AG23" s="11">
        <f>AF23+預測IC!AH23</f>
        <v>9.6140715978824398E-2</v>
      </c>
      <c r="AH23" s="11">
        <f>AG23+預測IC!AI23</f>
        <v>0.11334663329229167</v>
      </c>
      <c r="AI23" s="11">
        <f>AH23+預測IC!AJ23</f>
        <v>0.16154223348242056</v>
      </c>
      <c r="AJ23" s="11">
        <f>AI23+預測IC!AK23</f>
        <v>0.1800999642191318</v>
      </c>
      <c r="AK23" s="11">
        <f>AJ23+預測IC!AL23</f>
        <v>0.19416655732613616</v>
      </c>
      <c r="AL23" s="11">
        <f>AK23+預測IC!AM23</f>
        <v>0.20193604633100143</v>
      </c>
      <c r="AM23" s="11">
        <f>AL23+預測IC!AN23</f>
        <v>0.44425074568830214</v>
      </c>
      <c r="AN23" s="11">
        <f>AM23+預測IC!AO23</f>
        <v>0.43891379349687804</v>
      </c>
      <c r="AO23" s="11">
        <f>AN23+預測IC!AP23</f>
        <v>0.44203489284918374</v>
      </c>
      <c r="AP23" s="11">
        <f>AO23+預測IC!AQ23</f>
        <v>0.53145988510879438</v>
      </c>
      <c r="AQ23" s="11">
        <f>AP23+預測IC!AR23</f>
        <v>0.86820392895386211</v>
      </c>
      <c r="AR23" s="11">
        <f>AQ23+預測IC!AS23</f>
        <v>0.85349704095648449</v>
      </c>
      <c r="AS23" s="11">
        <f>AR23+預測IC!AT23</f>
        <v>0.81206931914283487</v>
      </c>
      <c r="AT23" s="11">
        <f>AS23+預測IC!AU23</f>
        <v>0.84521484527133917</v>
      </c>
      <c r="AU23" s="11">
        <f>AT23+預測IC!AV23</f>
        <v>0.81757585107396513</v>
      </c>
      <c r="AV23" s="11">
        <f>AU23+預測IC!AW23</f>
        <v>0.76554894123556239</v>
      </c>
      <c r="AW23" s="11">
        <f>AV23+預測IC!AX23</f>
        <v>0.69571078740851833</v>
      </c>
      <c r="AX23" s="11">
        <f>AW23+預測IC!AY23</f>
        <v>0.86594476824910038</v>
      </c>
      <c r="AY23" s="11">
        <f>AX23+預測IC!AZ23</f>
        <v>0.80219115084804016</v>
      </c>
      <c r="AZ23" s="11">
        <f>AY23+預測IC!BA23</f>
        <v>0.81183793092814094</v>
      </c>
      <c r="BA23" s="11">
        <f>AZ23+預測IC!BB23</f>
        <v>1.3786644569755813</v>
      </c>
      <c r="BB23" s="11">
        <f>BA23+預測IC!BC23</f>
        <v>1.0778362078025154</v>
      </c>
      <c r="BC23" s="11">
        <f>BB23+預測IC!BD23</f>
        <v>1.1726670891489657</v>
      </c>
      <c r="BD23" s="11">
        <f>BC23+預測IC!BE23</f>
        <v>1.0861346943589627</v>
      </c>
      <c r="BE23" s="11">
        <f>BD23+預測IC!BF23</f>
        <v>1.0632877037542765</v>
      </c>
      <c r="BF23" s="11">
        <f>BE23+預測IC!BG23</f>
        <v>1.0249648763351307</v>
      </c>
      <c r="BG23" s="11">
        <f>BF23+預測IC!BH23</f>
        <v>0.82148089497984345</v>
      </c>
      <c r="BH23" s="11">
        <f>BG23+預測IC!BI23</f>
        <v>0.63036881565664438</v>
      </c>
      <c r="BI23" s="11">
        <f>BH23+預測IC!BJ23</f>
        <v>0.52636550038871743</v>
      </c>
      <c r="BJ23" s="11">
        <f>BI23+預測IC!BK23</f>
        <v>0.5310524780996414</v>
      </c>
      <c r="BK23" s="11">
        <f>BJ23+預測IC!BL23</f>
        <v>0.68058677434988102</v>
      </c>
      <c r="BL23" s="11">
        <f>BK23+預測IC!BM23</f>
        <v>0.86976746113703496</v>
      </c>
      <c r="BM23" s="11">
        <f>BL23+預測IC!BN23</f>
        <v>0.83131422389676179</v>
      </c>
      <c r="BN23" s="11">
        <f>BM23+預測IC!BO23</f>
        <v>0.99762438978945234</v>
      </c>
      <c r="BO23" s="11">
        <f>BN23+預測IC!BP23</f>
        <v>1.0958907890009089</v>
      </c>
      <c r="BP23" s="11">
        <f>BO23+預測IC!BQ23</f>
        <v>1.1455026302889</v>
      </c>
      <c r="BQ23" s="11">
        <f>BP23+預測IC!BR23</f>
        <v>1.1633469517528627</v>
      </c>
      <c r="BR23" s="11">
        <f>BQ23+預測IC!BS23</f>
        <v>1.0900715630949509</v>
      </c>
      <c r="BS23" s="11">
        <f>BR23+預測IC!BT23</f>
        <v>1.308258239227855</v>
      </c>
      <c r="BT23" s="11">
        <f>BS23+預測IC!BU23</f>
        <v>1.5139459750738009</v>
      </c>
      <c r="BU23" s="11">
        <f>BT23+預測IC!BV23</f>
        <v>1.6274135434339894</v>
      </c>
      <c r="BV23" s="11">
        <f>BU23+預測IC!BW23</f>
        <v>1.0264160170005385</v>
      </c>
      <c r="BW23" s="11">
        <f>BV23+預測IC!BX23</f>
        <v>1.0951511063313364</v>
      </c>
      <c r="BX23" s="11">
        <f>BW23+預測IC!BY23</f>
        <v>1.1350905552074668</v>
      </c>
      <c r="BY23" s="11">
        <f>BX23+預測IC!BZ23</f>
        <v>1.1427603176393117</v>
      </c>
      <c r="BZ23" s="11">
        <f>BY23+預測IC!CA23</f>
        <v>1.0671071178926828</v>
      </c>
      <c r="CA23" s="11">
        <f>BZ23+預測IC!CB23</f>
        <v>0.84949291490024281</v>
      </c>
      <c r="CB23" s="11">
        <f>CA23+預測IC!CC23</f>
        <v>0.93304882393841182</v>
      </c>
      <c r="CC23" s="11">
        <f>CB23+預測IC!CD23</f>
        <v>1.124725278953197</v>
      </c>
      <c r="CD23" s="11">
        <f>CC23+預測IC!CE23</f>
        <v>1.1843275807909144</v>
      </c>
      <c r="CE23" s="11">
        <f>CD23+預測IC!CF23</f>
        <v>1.3677608170764737</v>
      </c>
      <c r="CF23" s="11">
        <f>CE23+預測IC!CG23</f>
        <v>0.97451702915279692</v>
      </c>
      <c r="CG23" s="11">
        <f>CF23+預測IC!CH23</f>
        <v>0.81239445483572625</v>
      </c>
      <c r="CH23" s="11">
        <f>CG23+預測IC!CI23</f>
        <v>0.75327198092220238</v>
      </c>
      <c r="CI23" s="11">
        <f>CH23+預測IC!CJ23</f>
        <v>0.73339661337179185</v>
      </c>
      <c r="CJ23" s="11">
        <f>CI23+預測IC!CK23</f>
        <v>0.82951360809975339</v>
      </c>
      <c r="CK23" s="11">
        <f>CJ23+預測IC!CL23</f>
        <v>1.650662434865285</v>
      </c>
      <c r="CL23" s="11">
        <f>CK23+預測IC!CM23</f>
        <v>2.0373953813881944</v>
      </c>
      <c r="CM23" s="11">
        <f>CL23+預測IC!CN23</f>
        <v>2.0904005597579975</v>
      </c>
      <c r="CN23" s="11">
        <f>CM23+預測IC!CO23</f>
        <v>1.1814772723923777</v>
      </c>
      <c r="CO23" s="11">
        <f>CN23+預測IC!CP23</f>
        <v>0.93537549993615876</v>
      </c>
      <c r="CP23" s="11">
        <f>CO23+預測IC!CQ23</f>
        <v>0.9261917554363529</v>
      </c>
      <c r="CQ23" s="11">
        <f>CP23+預測IC!CR23</f>
        <v>0.96442459460757279</v>
      </c>
      <c r="CR23" s="11">
        <f>CQ23+預測IC!CS23</f>
        <v>0.92745037561629418</v>
      </c>
      <c r="CS23" s="11">
        <f>CR23+預測IC!CT23</f>
        <v>0.97311291732754801</v>
      </c>
      <c r="CT23" s="11">
        <f>CS23+預測IC!CU23</f>
        <v>0.95205632161426101</v>
      </c>
      <c r="CU23" s="11">
        <f>CT23+預測IC!CV23</f>
        <v>1.1539077845011394</v>
      </c>
      <c r="CV23" s="11">
        <f>CU23+預測IC!CW23</f>
        <v>1.2180728966169807</v>
      </c>
      <c r="CW23" s="11">
        <f>CV23+預測IC!CX23</f>
        <v>1.1738188170674457</v>
      </c>
      <c r="CX23" s="11">
        <f>CW23+預測IC!CY23</f>
        <v>1.0200684833959068</v>
      </c>
      <c r="CY23" s="11">
        <f>CX23+預測IC!CZ23</f>
        <v>1.1860729326132464</v>
      </c>
      <c r="CZ23" s="11">
        <f>CY23+預測IC!DA23</f>
        <v>1.155090796387336</v>
      </c>
      <c r="DA23" s="11">
        <f>CZ23+預測IC!DB23</f>
        <v>1.1738378628305557</v>
      </c>
      <c r="DB23" s="11">
        <f>DA23+預測IC!DC23</f>
        <v>1.29302834890097</v>
      </c>
      <c r="DC23" s="11">
        <f>DB23+預測IC!DD23</f>
        <v>1.2746205226279688</v>
      </c>
      <c r="DD23" s="11">
        <f>DC23+預測IC!DE23</f>
        <v>1.265225296676324</v>
      </c>
      <c r="DE23" s="11">
        <f>DD23+預測IC!DF23</f>
        <v>1.3271674237212294</v>
      </c>
      <c r="DF23" s="11">
        <f>DE23+預測IC!DG23</f>
        <v>1.3947878511276386</v>
      </c>
      <c r="DG23" s="11">
        <f>DF23+預測IC!DH23</f>
        <v>1.450201298436381</v>
      </c>
      <c r="DH23" s="11">
        <f>DG23+預測IC!DI23</f>
        <v>1.5036808953524019</v>
      </c>
      <c r="DI23" s="11">
        <f>DH23+預測IC!DJ23</f>
        <v>1.4166228871800541</v>
      </c>
      <c r="DJ23" s="11">
        <f>DI23+預測IC!DK23</f>
        <v>1.6944561037388972</v>
      </c>
      <c r="DK23" s="11">
        <f>DJ23+預測IC!DL23</f>
        <v>1.6378487694078216</v>
      </c>
      <c r="DL23" s="11">
        <f>DK23+預測IC!DM23</f>
        <v>1.6183514644884558</v>
      </c>
      <c r="DM23" s="11">
        <f>DL23+預測IC!DN23</f>
        <v>1.6248486605324259</v>
      </c>
      <c r="DN23" s="11">
        <f>DM23+預測IC!DO23</f>
        <v>1.7489171025201549</v>
      </c>
      <c r="DO23" s="11">
        <f>DN23+預測IC!DP23</f>
        <v>1.7960053351758778</v>
      </c>
      <c r="DP23" s="11">
        <f>DO23+預測IC!DQ23</f>
        <v>1.6257943386723399</v>
      </c>
      <c r="DQ23" s="11">
        <f>DP23+預測IC!DR23</f>
        <v>1.5359083359410333</v>
      </c>
      <c r="DR23" s="11">
        <f>DQ23+預測IC!DS23</f>
        <v>1.4193323442740939</v>
      </c>
      <c r="DS23" s="11">
        <f>DR23+預測IC!DT23</f>
        <v>1.295377121077895</v>
      </c>
      <c r="DT23" s="11">
        <f>DS23+預測IC!DU23</f>
        <v>1.3296643063328926</v>
      </c>
      <c r="DU23" s="11">
        <f>DT23+預測IC!DV23</f>
        <v>1.6059359146623322</v>
      </c>
      <c r="DV23" s="11">
        <f>DU23+預測IC!DW23</f>
        <v>1.7471641472451709</v>
      </c>
      <c r="DW23" s="11">
        <f>DV23+預測IC!DX23</f>
        <v>1.4336709408662047</v>
      </c>
      <c r="DX23" s="11">
        <f>DW23+預測IC!DY23</f>
        <v>1.2637941122139507</v>
      </c>
      <c r="DY23" s="11">
        <f>DX23+預測IC!DZ23</f>
        <v>1.1781032097309894</v>
      </c>
      <c r="DZ23" s="11">
        <f>DY23+預測IC!EA23</f>
        <v>1.1546543021178699</v>
      </c>
      <c r="EA23" s="11">
        <f>DZ23+預測IC!EB23</f>
        <v>1.0164288069946679</v>
      </c>
      <c r="EB23" s="11">
        <f>EA23+預測IC!EC23</f>
        <v>0.97984449066885448</v>
      </c>
      <c r="EC23" s="11">
        <f>EB23+預測IC!ED23</f>
        <v>0.88841858604907342</v>
      </c>
      <c r="ED23" s="11">
        <f>EC23+預測IC!EE23</f>
        <v>0.9576306620340661</v>
      </c>
      <c r="EE23" s="11">
        <f>ED23+預測IC!EF23</f>
        <v>0.90984838344240648</v>
      </c>
    </row>
    <row r="24" spans="1:136" ht="16">
      <c r="A24" s="6" t="s">
        <v>163</v>
      </c>
      <c r="B24" s="9">
        <v>0.162993136931085</v>
      </c>
      <c r="C24" s="11">
        <f>B24+預測IC!D24</f>
        <v>5.89441269586721E-2</v>
      </c>
      <c r="D24" s="11">
        <f>C24+預測IC!E24</f>
        <v>-0.22556837073182981</v>
      </c>
      <c r="E24" s="11">
        <f>D24+預測IC!F24</f>
        <v>-0.45272791736857865</v>
      </c>
      <c r="F24" s="11">
        <f>E24+預測IC!G24</f>
        <v>-0.22696789431100625</v>
      </c>
      <c r="G24" s="11">
        <f>F24+預測IC!H24</f>
        <v>-0.57779008564204504</v>
      </c>
      <c r="H24" s="11">
        <f>G24+預測IC!I24</f>
        <v>-0.57990201884518855</v>
      </c>
      <c r="I24" s="11">
        <f>H24+預測IC!J24</f>
        <v>-0.6798742117553247</v>
      </c>
      <c r="J24" s="11">
        <f>I24+預測IC!K24</f>
        <v>-0.62614121508709064</v>
      </c>
      <c r="K24" s="11">
        <f>J24+預測IC!L24</f>
        <v>-0.5305179645784085</v>
      </c>
      <c r="L24" s="11">
        <f>K24+預測IC!M24</f>
        <v>-0.99354550877854697</v>
      </c>
      <c r="M24" s="11">
        <f>L24+預測IC!N24</f>
        <v>-0.84941505637811376</v>
      </c>
      <c r="N24" s="11">
        <f>M24+預測IC!O24</f>
        <v>-0.61410586297269076</v>
      </c>
      <c r="O24" s="11">
        <f>N24+預測IC!P24</f>
        <v>-0.61236957410834358</v>
      </c>
      <c r="P24" s="11">
        <f>O24+預測IC!Q24</f>
        <v>-0.61521670971074083</v>
      </c>
      <c r="Q24" s="11">
        <f>P24+預測IC!R24</f>
        <v>-0.86091408049000051</v>
      </c>
      <c r="R24" s="11">
        <f>Q24+預測IC!S24</f>
        <v>-0.72103028092299992</v>
      </c>
      <c r="S24" s="11">
        <f>R24+預測IC!T24</f>
        <v>-0.59733923683121071</v>
      </c>
      <c r="T24" s="11">
        <f>S24+預測IC!U24</f>
        <v>-0.88319552681261149</v>
      </c>
      <c r="U24" s="11">
        <f>T24+預測IC!V24</f>
        <v>-0.78451701555328157</v>
      </c>
      <c r="V24" s="11">
        <f>U24+預測IC!W24</f>
        <v>-0.28880502959733895</v>
      </c>
      <c r="W24" s="11">
        <f>V24+預測IC!X24</f>
        <v>-0.28790615313232176</v>
      </c>
      <c r="X24" s="11">
        <f>W24+預測IC!Y24</f>
        <v>-0.40822364619685225</v>
      </c>
      <c r="Y24" s="11">
        <f>X24+預測IC!Z24</f>
        <v>-0.43261819494642839</v>
      </c>
      <c r="Z24" s="11">
        <f>Y24+預測IC!AA24</f>
        <v>-0.41907042670885114</v>
      </c>
      <c r="AA24" s="11">
        <f>Z24+預測IC!AB24</f>
        <v>-0.22373080403360734</v>
      </c>
      <c r="AB24" s="11">
        <f>AA24+預測IC!AC24</f>
        <v>-9.8350423257642344E-2</v>
      </c>
      <c r="AC24" s="11">
        <f>AB24+預測IC!AD24</f>
        <v>2.8248759990805589E-3</v>
      </c>
      <c r="AD24" s="11">
        <f>AC24+預測IC!AE24</f>
        <v>-0.53843324524720071</v>
      </c>
      <c r="AE24" s="11">
        <f>AD24+預測IC!AF24</f>
        <v>-0.70413702489374297</v>
      </c>
      <c r="AF24" s="11">
        <f>AE24+預測IC!AG24</f>
        <v>-0.56540130726710536</v>
      </c>
      <c r="AG24" s="11">
        <f>AF24+預測IC!AH24</f>
        <v>-0.62209866733489494</v>
      </c>
      <c r="AH24" s="11">
        <f>AG24+預測IC!AI24</f>
        <v>-0.63090699843332221</v>
      </c>
      <c r="AI24" s="11">
        <f>AH24+預測IC!AJ24</f>
        <v>-0.71179824243269763</v>
      </c>
      <c r="AJ24" s="11">
        <f>AI24+預測IC!AK24</f>
        <v>-0.71035726535274946</v>
      </c>
      <c r="AK24" s="11">
        <f>AJ24+預測IC!AL24</f>
        <v>-0.7975309668293844</v>
      </c>
      <c r="AL24" s="11">
        <f>AK24+預測IC!AM24</f>
        <v>-0.81645024824991108</v>
      </c>
      <c r="AM24" s="11">
        <f>AL24+預測IC!AN24</f>
        <v>-0.59526078310447983</v>
      </c>
      <c r="AN24" s="11">
        <f>AM24+預測IC!AO24</f>
        <v>-0.52917067127548978</v>
      </c>
      <c r="AO24" s="11">
        <f>AN24+預測IC!AP24</f>
        <v>-0.55202238676458615</v>
      </c>
      <c r="AP24" s="11">
        <f>AO24+預測IC!AQ24</f>
        <v>-0.50494541393034043</v>
      </c>
      <c r="AQ24" s="11">
        <f>AP24+預測IC!AR24</f>
        <v>-0.49530615732273342</v>
      </c>
      <c r="AR24" s="11">
        <f>AQ24+預測IC!AS24</f>
        <v>-0.52326223458932353</v>
      </c>
      <c r="AS24" s="11">
        <f>AR24+預測IC!AT24</f>
        <v>-0.49280302710461488</v>
      </c>
      <c r="AT24" s="11">
        <f>AS24+預測IC!AU24</f>
        <v>-0.44870770723939057</v>
      </c>
      <c r="AU24" s="11">
        <f>AT24+預測IC!AV24</f>
        <v>-0.53585965942628644</v>
      </c>
      <c r="AV24" s="11">
        <f>AU24+預測IC!AW24</f>
        <v>-0.53087211791524724</v>
      </c>
      <c r="AW24" s="11">
        <f>AV24+預測IC!AX24</f>
        <v>-0.55917830450367179</v>
      </c>
      <c r="AX24" s="11">
        <f>AW24+預測IC!AY24</f>
        <v>-0.39105101061878239</v>
      </c>
      <c r="AY24" s="11">
        <f>AX24+預測IC!AZ24</f>
        <v>-0.35318393701911721</v>
      </c>
      <c r="AZ24" s="11">
        <f>AY24+預測IC!BA24</f>
        <v>-0.40697866910375036</v>
      </c>
      <c r="BA24" s="11">
        <f>AZ24+預測IC!BB24</f>
        <v>0.2837978622769215</v>
      </c>
      <c r="BB24" s="11">
        <f>BA24+預測IC!BC24</f>
        <v>-0.31562377874697034</v>
      </c>
      <c r="BC24" s="11">
        <f>BB24+預測IC!BD24</f>
        <v>-0.13002855950053513</v>
      </c>
      <c r="BD24" s="11">
        <f>BC24+預測IC!BE24</f>
        <v>-0.23415968235121973</v>
      </c>
      <c r="BE24" s="11">
        <f>BD24+預測IC!BF24</f>
        <v>-0.14650834629712742</v>
      </c>
      <c r="BF24" s="11">
        <f>BE24+預測IC!BG24</f>
        <v>-5.5524118589691807E-2</v>
      </c>
      <c r="BG24" s="11">
        <f>BF24+預測IC!BH24</f>
        <v>-0.44177945550322678</v>
      </c>
      <c r="BH24" s="11">
        <f>BG24+預測IC!BI24</f>
        <v>-0.66540856157327388</v>
      </c>
      <c r="BI24" s="11">
        <f>BH24+預測IC!BJ24</f>
        <v>-0.66875687732815847</v>
      </c>
      <c r="BJ24" s="11">
        <f>BI24+預測IC!BK24</f>
        <v>-0.66473333043387228</v>
      </c>
      <c r="BK24" s="11">
        <f>BJ24+預測IC!BL24</f>
        <v>-0.34756903650915566</v>
      </c>
      <c r="BL24" s="11">
        <f>BK24+預測IC!BM24</f>
        <v>-0.33609601739141853</v>
      </c>
      <c r="BM24" s="11">
        <f>BL24+預測IC!BN24</f>
        <v>-0.44500927770796606</v>
      </c>
      <c r="BN24" s="11">
        <f>BM24+預測IC!BO24</f>
        <v>-0.28389958661232417</v>
      </c>
      <c r="BO24" s="11">
        <f>BN24+預測IC!BP24</f>
        <v>-0.16054840548300225</v>
      </c>
      <c r="BP24" s="11">
        <f>BO24+預測IC!BQ24</f>
        <v>-0.2247180388131173</v>
      </c>
      <c r="BQ24" s="11">
        <f>BP24+預測IC!BR24</f>
        <v>-0.1823618155096996</v>
      </c>
      <c r="BR24" s="11">
        <f>BQ24+預測IC!BS24</f>
        <v>-0.18364653299415656</v>
      </c>
      <c r="BS24" s="11">
        <f>BR24+預測IC!BT24</f>
        <v>9.3072483146051821E-2</v>
      </c>
      <c r="BT24" s="11">
        <f>BS24+預測IC!BU24</f>
        <v>0.32139911470599253</v>
      </c>
      <c r="BU24" s="11">
        <f>BT24+預測IC!BV24</f>
        <v>0.42912756859397544</v>
      </c>
      <c r="BV24" s="11">
        <f>BU24+預測IC!BW24</f>
        <v>-0.67988450144338652</v>
      </c>
      <c r="BW24" s="11">
        <f>BV24+預測IC!BX24</f>
        <v>-0.57592946739429518</v>
      </c>
      <c r="BX24" s="11">
        <f>BW24+預測IC!BY24</f>
        <v>-0.86626634233971211</v>
      </c>
      <c r="BY24" s="11">
        <f>BX24+預測IC!BZ24</f>
        <v>-0.60737344348971523</v>
      </c>
      <c r="BZ24" s="11">
        <f>BY24+預測IC!CA24</f>
        <v>-0.72259512426312988</v>
      </c>
      <c r="CA24" s="11">
        <f>BZ24+預測IC!CB24</f>
        <v>-0.51383314997526075</v>
      </c>
      <c r="CB24" s="11">
        <f>CA24+預測IC!CC24</f>
        <v>-0.29400195677403362</v>
      </c>
      <c r="CC24" s="11">
        <f>CB24+預測IC!CD24</f>
        <v>-0.26160968941975732</v>
      </c>
      <c r="CD24" s="11">
        <f>CC24+預測IC!CE24</f>
        <v>-9.604481542864271E-2</v>
      </c>
      <c r="CE24" s="11">
        <f>CD24+預測IC!CF24</f>
        <v>6.9086537580753199E-2</v>
      </c>
      <c r="CF24" s="11">
        <f>CE24+預測IC!CG24</f>
        <v>-0.25473144143830739</v>
      </c>
      <c r="CG24" s="11">
        <f>CF24+預測IC!CH24</f>
        <v>-0.46770432546762569</v>
      </c>
      <c r="CH24" s="11">
        <f>CG24+預測IC!CI24</f>
        <v>-0.52621248270066456</v>
      </c>
      <c r="CI24" s="11">
        <f>CH24+預測IC!CJ24</f>
        <v>-0.51310299728124498</v>
      </c>
      <c r="CJ24" s="11">
        <f>CI24+預測IC!CK24</f>
        <v>-0.41957291796554841</v>
      </c>
      <c r="CK24" s="11">
        <f>CJ24+預測IC!CL24</f>
        <v>0.72904711690479751</v>
      </c>
      <c r="CL24" s="11">
        <f>CK24+預測IC!CM24</f>
        <v>1.2786342268638977</v>
      </c>
      <c r="CM24" s="11">
        <f>CL24+預測IC!CN24</f>
        <v>1.3863729933211109</v>
      </c>
      <c r="CN24" s="11">
        <f>CM24+預測IC!CO24</f>
        <v>0.60971977498487973</v>
      </c>
      <c r="CO24" s="11">
        <f>CN24+預測IC!CP24</f>
        <v>0.41165242943778674</v>
      </c>
      <c r="CP24" s="11">
        <f>CO24+預測IC!CQ24</f>
        <v>0.52633960330108354</v>
      </c>
      <c r="CQ24" s="11">
        <f>CP24+預測IC!CR24</f>
        <v>0.62315751049242196</v>
      </c>
      <c r="CR24" s="11">
        <f>CQ24+預測IC!CS24</f>
        <v>0.53726227774561619</v>
      </c>
      <c r="CS24" s="11">
        <f>CR24+預測IC!CT24</f>
        <v>0.63368128589301198</v>
      </c>
      <c r="CT24" s="11">
        <f>CS24+預測IC!CU24</f>
        <v>0.56092993823630199</v>
      </c>
      <c r="CU24" s="11">
        <f>CT24+預測IC!CV24</f>
        <v>0.92241023358771201</v>
      </c>
      <c r="CV24" s="11">
        <f>CU24+預測IC!CW24</f>
        <v>0.92082209137990434</v>
      </c>
      <c r="CW24" s="11">
        <f>CV24+預測IC!CX24</f>
        <v>0.97358735022317133</v>
      </c>
      <c r="CX24" s="11">
        <f>CW24+預測IC!CY24</f>
        <v>0.65243959801643059</v>
      </c>
      <c r="CY24" s="11">
        <f>CX24+預測IC!CZ24</f>
        <v>0.9750294753733405</v>
      </c>
      <c r="CZ24" s="11">
        <f>CY24+預測IC!DA24</f>
        <v>0.99954067953609538</v>
      </c>
      <c r="DA24" s="11">
        <f>CZ24+預測IC!DB24</f>
        <v>0.98303881368709911</v>
      </c>
      <c r="DB24" s="11">
        <f>DA24+預測IC!DC24</f>
        <v>1.177492411978317</v>
      </c>
      <c r="DC24" s="11">
        <f>DB24+預測IC!DD24</f>
        <v>1.2267921846490921</v>
      </c>
      <c r="DD24" s="11">
        <f>DC24+預測IC!DE24</f>
        <v>1.0507294271395571</v>
      </c>
      <c r="DE24" s="11">
        <f>DD24+預測IC!DF24</f>
        <v>0.94606445111899573</v>
      </c>
      <c r="DF24" s="11">
        <f>DE24+預測IC!DG24</f>
        <v>1.0656097375191285</v>
      </c>
      <c r="DG24" s="11">
        <f>DF24+預測IC!DH24</f>
        <v>1.1649767180190678</v>
      </c>
      <c r="DH24" s="11">
        <f>DG24+預測IC!DI24</f>
        <v>1.3068521769573374</v>
      </c>
      <c r="DI24" s="11">
        <f>DH24+預測IC!DJ24</f>
        <v>1.1743635664480976</v>
      </c>
      <c r="DJ24" s="11">
        <f>DI24+預測IC!DK24</f>
        <v>1.5138727770785414</v>
      </c>
      <c r="DK24" s="11">
        <f>DJ24+預測IC!DL24</f>
        <v>1.4821240787639611</v>
      </c>
      <c r="DL24" s="11">
        <f>DK24+預測IC!DM24</f>
        <v>1.3406845515370862</v>
      </c>
      <c r="DM24" s="11">
        <f>DL24+預測IC!DN24</f>
        <v>1.5740191223117823</v>
      </c>
      <c r="DN24" s="11">
        <f>DM24+預測IC!DO24</f>
        <v>1.6896310773352627</v>
      </c>
      <c r="DO24" s="11">
        <f>DN24+預測IC!DP24</f>
        <v>1.8040045028212766</v>
      </c>
      <c r="DP24" s="11">
        <f>DO24+預測IC!DQ24</f>
        <v>1.6710271515853066</v>
      </c>
      <c r="DQ24" s="11">
        <f>DP24+預測IC!DR24</f>
        <v>1.6505115213732773</v>
      </c>
      <c r="DR24" s="11">
        <f>DQ24+預測IC!DS24</f>
        <v>1.5831489756593327</v>
      </c>
      <c r="DS24" s="11">
        <f>DR24+預測IC!DT24</f>
        <v>1.544786109489203</v>
      </c>
      <c r="DT24" s="11">
        <f>DS24+預測IC!DU24</f>
        <v>1.4971475222154456</v>
      </c>
      <c r="DU24" s="11">
        <f>DT24+預測IC!DV24</f>
        <v>1.6553722208592598</v>
      </c>
      <c r="DV24" s="11">
        <f>DU24+預測IC!DW24</f>
        <v>1.7642293107505902</v>
      </c>
      <c r="DW24" s="11">
        <f>DV24+預測IC!DX24</f>
        <v>1.4526361829580863</v>
      </c>
      <c r="DX24" s="11">
        <f>DW24+預測IC!DY24</f>
        <v>1.1088318961598778</v>
      </c>
      <c r="DY24" s="11">
        <f>DX24+預測IC!DZ24</f>
        <v>1.0583627137567611</v>
      </c>
      <c r="DZ24" s="11">
        <f>DY24+預測IC!EA24</f>
        <v>1.1357136359840969</v>
      </c>
      <c r="EA24" s="11">
        <f>DZ24+預測IC!EB24</f>
        <v>1.0264848636112907</v>
      </c>
      <c r="EB24" s="11">
        <f>EA24+預測IC!EC24</f>
        <v>1.0121749448406117</v>
      </c>
      <c r="EC24" s="11">
        <f>EB24+預測IC!ED24</f>
        <v>0.95600209954224957</v>
      </c>
      <c r="ED24" s="11">
        <f>EC24+預測IC!EE24</f>
        <v>1.0634827567766676</v>
      </c>
      <c r="EE24" s="11">
        <f>ED24+預測IC!EF24</f>
        <v>1.1307594338206359</v>
      </c>
    </row>
    <row r="25" spans="1:136" ht="16">
      <c r="A25" s="6" t="s">
        <v>145</v>
      </c>
      <c r="B25" s="26">
        <v>-1.7446770539390338E-2</v>
      </c>
      <c r="C25" s="40">
        <f>B25+預測IC!D25</f>
        <v>3.2542899924252917E-3</v>
      </c>
      <c r="D25" s="40">
        <f>C25+預測IC!E25</f>
        <v>2.7236419247192001E-2</v>
      </c>
      <c r="E25" s="40">
        <f>D25+預測IC!F25</f>
        <v>2.0678840274368924E-2</v>
      </c>
      <c r="F25" s="40">
        <f>E25+預測IC!G25</f>
        <v>5.2523970074888612E-2</v>
      </c>
      <c r="G25" s="40">
        <f>F25+預測IC!H25</f>
        <v>8.6872502811879138E-2</v>
      </c>
      <c r="H25" s="40">
        <f>G25+預測IC!I25</f>
        <v>7.8617570030553904E-2</v>
      </c>
      <c r="I25" s="40">
        <f>H25+預測IC!J25</f>
        <v>9.1461094424606662E-2</v>
      </c>
      <c r="J25" s="40">
        <f>I25+預測IC!K25</f>
        <v>4.0442569797815839E-2</v>
      </c>
      <c r="K25" s="40">
        <f>J25+預測IC!L25</f>
        <v>4.1316512538852428E-2</v>
      </c>
      <c r="L25" s="40">
        <f>K25+預測IC!M25</f>
        <v>6.4706088044348353E-2</v>
      </c>
      <c r="M25" s="40">
        <f>L25+預測IC!N25</f>
        <v>7.7695060244681202E-2</v>
      </c>
      <c r="N25" s="40">
        <f>M25+預測IC!O25</f>
        <v>8.3549648970316082E-2</v>
      </c>
      <c r="O25" s="40">
        <f>N25+預測IC!P25</f>
        <v>0.11096285554210664</v>
      </c>
      <c r="P25" s="40">
        <f>O25+預測IC!Q25</f>
        <v>0.10724991942441378</v>
      </c>
      <c r="Q25" s="40">
        <f>P25+預測IC!R25</f>
        <v>0.13132653347223711</v>
      </c>
      <c r="R25" s="40">
        <f>Q25+預測IC!S25</f>
        <v>0.11913650817319715</v>
      </c>
      <c r="S25" s="40">
        <f>R25+預測IC!T25</f>
        <v>7.9386930013607554E-2</v>
      </c>
      <c r="T25" s="40">
        <f>S25+預測IC!U25</f>
        <v>6.2314801819580018E-3</v>
      </c>
      <c r="U25" s="40">
        <f>T25+預測IC!V25</f>
        <v>-5.2028749728156659E-2</v>
      </c>
      <c r="V25" s="40">
        <f>U25+預測IC!W25</f>
        <v>-5.1255952162648284E-2</v>
      </c>
      <c r="W25" s="40">
        <f>V25+預測IC!X25</f>
        <v>-6.6644310274293142E-3</v>
      </c>
      <c r="X25" s="40">
        <f>W25+預測IC!Y25</f>
        <v>-3.4364111077642409E-2</v>
      </c>
      <c r="Y25" s="40">
        <f>X25+預測IC!Z25</f>
        <v>-3.226910512789876E-2</v>
      </c>
      <c r="Z25" s="40">
        <f>Y25+預測IC!AA25</f>
        <v>-5.5669656120462874E-2</v>
      </c>
      <c r="AA25" s="40">
        <f>Z25+預測IC!AB25</f>
        <v>-2.3540285023140685E-2</v>
      </c>
      <c r="AB25" s="40">
        <f>AA25+預測IC!AC25</f>
        <v>1.5362988070925745E-2</v>
      </c>
      <c r="AC25" s="40">
        <f>AB25+預測IC!AD25</f>
        <v>-2.7502394100178525E-2</v>
      </c>
      <c r="AD25" s="40">
        <f>AC25+預測IC!AE25</f>
        <v>-8.8551995500263658E-3</v>
      </c>
      <c r="AE25" s="40">
        <f>AD25+預測IC!AF25</f>
        <v>6.3745687725025833E-3</v>
      </c>
      <c r="AF25" s="40">
        <f>AE25+預測IC!AG25</f>
        <v>4.2391172551395004E-2</v>
      </c>
      <c r="AG25" s="40">
        <f>AF25+預測IC!AH25</f>
        <v>5.174578393671117E-2</v>
      </c>
      <c r="AH25" s="40">
        <f>AG25+預測IC!AI25</f>
        <v>6.2494035273549312E-2</v>
      </c>
      <c r="AI25" s="40">
        <f>AH25+預測IC!AJ25</f>
        <v>7.5851789326630281E-2</v>
      </c>
      <c r="AJ25" s="40">
        <f>AI25+預測IC!AK25</f>
        <v>7.0519041997534893E-2</v>
      </c>
      <c r="AK25" s="40">
        <f>AJ25+預測IC!AL25</f>
        <v>7.1902177804796574E-2</v>
      </c>
      <c r="AL25" s="40">
        <f>AK25+預測IC!AM25</f>
        <v>9.2698106224871041E-2</v>
      </c>
      <c r="AM25" s="40">
        <f>AL25+預測IC!AN25</f>
        <v>0.12421580844526167</v>
      </c>
      <c r="AN25" s="40">
        <f>AM25+預測IC!AO25</f>
        <v>0.13045752497859112</v>
      </c>
      <c r="AO25" s="40">
        <f>AN25+預測IC!AP25</f>
        <v>0.13660278663216249</v>
      </c>
      <c r="AP25" s="40">
        <f>AO25+預測IC!AQ25</f>
        <v>0.15354914430885899</v>
      </c>
      <c r="AQ25" s="40">
        <f>AP25+預測IC!AR25</f>
        <v>0.18823197476316722</v>
      </c>
      <c r="AR25" s="40">
        <f>AQ25+預測IC!AS25</f>
        <v>0.19133056338036419</v>
      </c>
      <c r="AS25" s="40">
        <f>AR25+預測IC!AT25</f>
        <v>0.2064119105238503</v>
      </c>
      <c r="AT25" s="40">
        <f>AS25+預測IC!AU25</f>
        <v>0.18716070129398632</v>
      </c>
      <c r="AU25" s="40">
        <f>AT25+預測IC!AV25</f>
        <v>0.22587221468161775</v>
      </c>
      <c r="AV25" s="40">
        <f>AU25+預測IC!AW25</f>
        <v>0.20401526354588115</v>
      </c>
      <c r="AW25" s="40">
        <f>AV25+預測IC!AX25</f>
        <v>0.21178956425567083</v>
      </c>
      <c r="AX25" s="40">
        <f>AW25+預測IC!AY25</f>
        <v>0.25418681095099677</v>
      </c>
      <c r="AY25" s="40">
        <f>AX25+預測IC!AZ25</f>
        <v>0.22787783608983703</v>
      </c>
      <c r="AZ25" s="40">
        <f>AY25+預測IC!BA25</f>
        <v>0.23744958539855326</v>
      </c>
      <c r="BA25" s="40">
        <f>AZ25+預測IC!BB25</f>
        <v>0.21319984413227844</v>
      </c>
      <c r="BB25" s="40">
        <f>BA25+預測IC!BC25</f>
        <v>0.23336321827619427</v>
      </c>
      <c r="BC25" s="40">
        <f>BB25+預測IC!BD25</f>
        <v>0.22985821949407825</v>
      </c>
      <c r="BD25" s="40">
        <f>BC25+預測IC!BE25</f>
        <v>0.25001015459262055</v>
      </c>
      <c r="BE25" s="40">
        <f>BD25+預測IC!BF25</f>
        <v>0.25059149082339083</v>
      </c>
      <c r="BF25" s="40">
        <f>BE25+預測IC!BG25</f>
        <v>0.24537178987013822</v>
      </c>
      <c r="BG25" s="40">
        <f>BF25+預測IC!BH25</f>
        <v>0.12950002846800823</v>
      </c>
      <c r="BH25" s="40">
        <f>BG25+預測IC!BI25</f>
        <v>0.13822525416044559</v>
      </c>
      <c r="BI25" s="40">
        <f>BH25+預測IC!BJ25</f>
        <v>0.12184799318262345</v>
      </c>
      <c r="BJ25" s="40">
        <f>BI25+預測IC!BK25</f>
        <v>0.14268836478288388</v>
      </c>
      <c r="BK25" s="40">
        <f>BJ25+預測IC!BL25</f>
        <v>0.18766423688499859</v>
      </c>
      <c r="BL25" s="40">
        <f>BK25+預測IC!BM25</f>
        <v>0.21161854296686244</v>
      </c>
      <c r="BM25" s="40">
        <f>BL25+預測IC!BN25</f>
        <v>0.24185764435830504</v>
      </c>
      <c r="BN25" s="40">
        <f>BM25+預測IC!BO25</f>
        <v>0.19813175676721753</v>
      </c>
      <c r="BO25" s="40">
        <f>BN25+預測IC!BP25</f>
        <v>0.22002122633541615</v>
      </c>
      <c r="BP25" s="40">
        <f>BO25+預測IC!BQ25</f>
        <v>0.22864865659892455</v>
      </c>
      <c r="BQ25" s="40">
        <f>BP25+預測IC!BR25</f>
        <v>0.20945570260426577</v>
      </c>
      <c r="BR25" s="40">
        <f>BQ25+預測IC!BS25</f>
        <v>0.22919083249239883</v>
      </c>
      <c r="BS25" s="40">
        <f>BR25+預測IC!BT25</f>
        <v>0.27688516997609824</v>
      </c>
      <c r="BT25" s="40">
        <f>BS25+預測IC!BU25</f>
        <v>0.28833998678268163</v>
      </c>
      <c r="BU25" s="40">
        <f>BT25+預測IC!BV25</f>
        <v>0.33156860751789485</v>
      </c>
      <c r="BV25" s="40">
        <f>BU25+預測IC!BW25</f>
        <v>0.28882117708097205</v>
      </c>
      <c r="BW25" s="40">
        <f>BV25+預測IC!BX25</f>
        <v>0.27100988465317749</v>
      </c>
      <c r="BX25" s="40">
        <f>BW25+預測IC!BY25</f>
        <v>0.11985678778410189</v>
      </c>
      <c r="BY25" s="40">
        <f>BX25+預測IC!BZ25</f>
        <v>0.24408079140367717</v>
      </c>
      <c r="BZ25" s="40">
        <f>BY25+預測IC!CA25</f>
        <v>0.23952353755914751</v>
      </c>
      <c r="CA25" s="40">
        <f>BZ25+預測IC!CB25</f>
        <v>0.29973477776405871</v>
      </c>
      <c r="CB25" s="40">
        <f>CA25+預測IC!CC25</f>
        <v>0.385726811246561</v>
      </c>
      <c r="CC25" s="40">
        <f>CB25+預測IC!CD25</f>
        <v>0.37991833166419492</v>
      </c>
      <c r="CD25" s="40">
        <f>CC25+預測IC!CE25</f>
        <v>0.37387698467522684</v>
      </c>
      <c r="CE25" s="40">
        <f>CD25+預測IC!CF25</f>
        <v>0.37632930904747891</v>
      </c>
      <c r="CF25" s="40">
        <f>CE25+預測IC!CG25</f>
        <v>0.46596556098450181</v>
      </c>
      <c r="CG25" s="40">
        <f>CF25+預測IC!CH25</f>
        <v>0.53695829351125968</v>
      </c>
      <c r="CH25" s="40">
        <f>CG25+預測IC!CI25</f>
        <v>0.56412893641304307</v>
      </c>
      <c r="CI25" s="40">
        <f>CH25+預測IC!CJ25</f>
        <v>0.61659736483837313</v>
      </c>
      <c r="CJ25" s="40">
        <f>CI25+預測IC!CK25</f>
        <v>0.64607802578142259</v>
      </c>
      <c r="CK25" s="40">
        <f>CJ25+預測IC!CL25</f>
        <v>0.71290310684162383</v>
      </c>
      <c r="CL25" s="40">
        <f>CK25+預測IC!CM25</f>
        <v>0.68413087782180682</v>
      </c>
      <c r="CM25" s="40">
        <f>CL25+預測IC!CN25</f>
        <v>0.72359339372344467</v>
      </c>
      <c r="CN25" s="40">
        <f>CM25+預測IC!CO25</f>
        <v>0.69456230674608477</v>
      </c>
      <c r="CO25" s="40">
        <f>CN25+預測IC!CP25</f>
        <v>0.70854618926555268</v>
      </c>
      <c r="CP25" s="40">
        <f>CO25+預測IC!CQ25</f>
        <v>0.67626922430621883</v>
      </c>
      <c r="CQ25" s="40">
        <f>CP25+預測IC!CR25</f>
        <v>0.6793728009191129</v>
      </c>
      <c r="CR25" s="40">
        <f>CQ25+預測IC!CS25</f>
        <v>0.70496465668619601</v>
      </c>
      <c r="CS25" s="40">
        <f>CR25+預測IC!CT25</f>
        <v>0.74935654297338927</v>
      </c>
      <c r="CT25" s="40">
        <f>CS25+預測IC!CU25</f>
        <v>0.71901758442381181</v>
      </c>
      <c r="CU25" s="40">
        <f>CT25+預測IC!CV25</f>
        <v>0.7177596079692401</v>
      </c>
      <c r="CV25" s="40">
        <f>CU25+預測IC!CW25</f>
        <v>0.72009596442509805</v>
      </c>
      <c r="CW25" s="40">
        <f>CV25+預測IC!CX25</f>
        <v>0.655831819499192</v>
      </c>
      <c r="CX25" s="40">
        <f>CW25+預測IC!CY25</f>
        <v>0.66874159895818441</v>
      </c>
      <c r="CY25" s="40">
        <f>CX25+預測IC!CZ25</f>
        <v>0.54326450428732564</v>
      </c>
      <c r="CZ25" s="40">
        <f>CY25+預測IC!DA25</f>
        <v>0.55495518722711823</v>
      </c>
      <c r="DA25" s="40">
        <f>CZ25+預測IC!DB25</f>
        <v>0.56129303092785998</v>
      </c>
      <c r="DB25" s="40">
        <f>DA25+預測IC!DC25</f>
        <v>0.44398767445847448</v>
      </c>
      <c r="DC25" s="40">
        <f>DB25+預測IC!DD25</f>
        <v>0.40797680240902789</v>
      </c>
      <c r="DD25" s="40">
        <f>DC25+預測IC!DE25</f>
        <v>0.54688810648129582</v>
      </c>
      <c r="DE25" s="40">
        <f>DD25+預測IC!DF25</f>
        <v>0.49574460025519007</v>
      </c>
      <c r="DF25" s="40">
        <f>DE25+預測IC!DG25</f>
        <v>0.57247604743715907</v>
      </c>
      <c r="DG25" s="40">
        <f>DF25+預測IC!DH25</f>
        <v>0.58798482963416721</v>
      </c>
      <c r="DH25" s="40">
        <f>DG25+預測IC!DI25</f>
        <v>0.61120860330892302</v>
      </c>
      <c r="DI25" s="40">
        <f>DH25+預測IC!DJ25</f>
        <v>0.59283572694769515</v>
      </c>
      <c r="DJ25" s="40">
        <f>DI25+預測IC!DK25</f>
        <v>0.65503474103279458</v>
      </c>
      <c r="DK25" s="40">
        <f>DJ25+預測IC!DL25</f>
        <v>0.67513304551975173</v>
      </c>
      <c r="DL25" s="40">
        <f>DK25+預測IC!DM25</f>
        <v>0.68863198526781977</v>
      </c>
      <c r="DM25" s="40">
        <f>DL25+預測IC!DN25</f>
        <v>0.65837977253939894</v>
      </c>
      <c r="DN25" s="40">
        <f>DM25+預測IC!DO25</f>
        <v>0.64135693683134509</v>
      </c>
      <c r="DO25" s="40">
        <f>DN25+預測IC!DP25</f>
        <v>0.61956841355888315</v>
      </c>
      <c r="DP25" s="40">
        <f>DO25+預測IC!DQ25</f>
        <v>0.70531403814402038</v>
      </c>
      <c r="DQ25" s="40">
        <f>DP25+預測IC!DR25</f>
        <v>0.73342078174899417</v>
      </c>
      <c r="DR25" s="40">
        <f>DQ25+預測IC!DS25</f>
        <v>0.73111762194163477</v>
      </c>
      <c r="DS25" s="40">
        <f>DR25+預測IC!DT25</f>
        <v>0.78958882007312226</v>
      </c>
      <c r="DT25" s="40">
        <f>DS25+預測IC!DU25</f>
        <v>0.85724776912176992</v>
      </c>
      <c r="DU25" s="40">
        <f>DT25+預測IC!DV25</f>
        <v>0.86226853976220219</v>
      </c>
      <c r="DV25" s="40">
        <f>DU25+預測IC!DW25</f>
        <v>0.89968472343740924</v>
      </c>
      <c r="DW25" s="40">
        <f>DV25+預測IC!DX25</f>
        <v>0.98379572718345132</v>
      </c>
      <c r="DX25" s="40">
        <f>DW25+預測IC!DY25</f>
        <v>0.94696332863943844</v>
      </c>
      <c r="DY25" s="40">
        <f>DX25+預測IC!DZ25</f>
        <v>0.95005503145637549</v>
      </c>
      <c r="DZ25" s="40">
        <f>DY25+預測IC!EA25</f>
        <v>0.94809740324208092</v>
      </c>
      <c r="EA25" s="40">
        <f>DZ25+預測IC!EB25</f>
        <v>0.97455650684560069</v>
      </c>
      <c r="EB25" s="40">
        <f>EA25+預測IC!EC25</f>
        <v>0.94980396808491041</v>
      </c>
      <c r="EC25" s="40">
        <f>EB25+預測IC!ED25</f>
        <v>0.98391945906747036</v>
      </c>
      <c r="ED25" s="40">
        <f>EC25+預測IC!EE25</f>
        <v>1.0049814330565034</v>
      </c>
      <c r="EE25" s="40">
        <f>ED25+預測IC!EF25</f>
        <v>0.98470404035049752</v>
      </c>
      <c r="EF25" s="3"/>
    </row>
    <row r="27" spans="1:136" ht="16">
      <c r="ED27" s="4"/>
    </row>
    <row r="28" spans="1:136" ht="16">
      <c r="A28" s="28"/>
      <c r="B28" s="28"/>
      <c r="C28" s="28"/>
      <c r="D28" s="4"/>
      <c r="E28" s="4"/>
      <c r="F28" s="4"/>
      <c r="G28" s="4"/>
      <c r="H28" s="4"/>
      <c r="I28" s="4"/>
      <c r="J28" s="4"/>
      <c r="K28" s="28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</row>
  </sheetData>
  <mergeCells count="2">
    <mergeCell ref="A6:B6"/>
    <mergeCell ref="A10:B10"/>
  </mergeCells>
  <phoneticPr fontId="2" type="noConversion"/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7050-4D7C-416F-A00C-CC7994100444}">
  <dimension ref="A3:EH29"/>
  <sheetViews>
    <sheetView topLeftCell="DC11" zoomScale="59" zoomScaleNormal="59" workbookViewId="0">
      <selection activeCell="EF35" sqref="EF35"/>
    </sheetView>
  </sheetViews>
  <sheetFormatPr baseColWidth="10" defaultColWidth="8.83203125" defaultRowHeight="15"/>
  <cols>
    <col min="2" max="2" width="7.6640625" customWidth="1"/>
    <col min="3" max="3" width="10.83203125" customWidth="1"/>
  </cols>
  <sheetData>
    <row r="3" spans="3:137" ht="16">
      <c r="C3" s="6" t="s">
        <v>140</v>
      </c>
      <c r="D3" s="10">
        <v>964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</row>
    <row r="4" spans="3:137" ht="18">
      <c r="C4" s="38" t="s">
        <v>142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6" t="s">
        <v>9</v>
      </c>
      <c r="K4" s="1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6" t="s">
        <v>15</v>
      </c>
      <c r="Q4" s="16" t="s">
        <v>16</v>
      </c>
      <c r="R4" s="16" t="s">
        <v>17</v>
      </c>
      <c r="S4" s="16" t="s">
        <v>18</v>
      </c>
      <c r="T4" s="16" t="s">
        <v>19</v>
      </c>
      <c r="U4" s="16" t="s">
        <v>20</v>
      </c>
      <c r="V4" s="16" t="s">
        <v>21</v>
      </c>
      <c r="W4" s="16" t="s">
        <v>22</v>
      </c>
      <c r="X4" s="16" t="s">
        <v>23</v>
      </c>
      <c r="Y4" s="16" t="s">
        <v>24</v>
      </c>
      <c r="Z4" s="16" t="s">
        <v>25</v>
      </c>
      <c r="AA4" s="16" t="s">
        <v>26</v>
      </c>
      <c r="AB4" s="16" t="s">
        <v>27</v>
      </c>
      <c r="AC4" s="16" t="s">
        <v>28</v>
      </c>
      <c r="AD4" s="16" t="s">
        <v>29</v>
      </c>
      <c r="AE4" s="16" t="s">
        <v>30</v>
      </c>
      <c r="AF4" s="16" t="s">
        <v>31</v>
      </c>
      <c r="AG4" s="16" t="s">
        <v>32</v>
      </c>
      <c r="AH4" s="16" t="s">
        <v>33</v>
      </c>
      <c r="AI4" s="16" t="s">
        <v>34</v>
      </c>
      <c r="AJ4" s="16" t="s">
        <v>35</v>
      </c>
      <c r="AK4" s="16" t="s">
        <v>36</v>
      </c>
      <c r="AL4" s="16" t="s">
        <v>37</v>
      </c>
      <c r="AM4" s="16" t="s">
        <v>38</v>
      </c>
      <c r="AN4" s="16" t="s">
        <v>39</v>
      </c>
      <c r="AO4" s="16" t="s">
        <v>40</v>
      </c>
      <c r="AP4" s="16" t="s">
        <v>41</v>
      </c>
      <c r="AQ4" s="16" t="s">
        <v>42</v>
      </c>
      <c r="AR4" s="16" t="s">
        <v>43</v>
      </c>
      <c r="AS4" s="16" t="s">
        <v>44</v>
      </c>
      <c r="AT4" s="16" t="s">
        <v>45</v>
      </c>
      <c r="AU4" s="16" t="s">
        <v>46</v>
      </c>
      <c r="AV4" s="16" t="s">
        <v>47</v>
      </c>
      <c r="AW4" s="16" t="s">
        <v>48</v>
      </c>
      <c r="AX4" s="16" t="s">
        <v>49</v>
      </c>
      <c r="AY4" s="16" t="s">
        <v>50</v>
      </c>
      <c r="AZ4" s="16" t="s">
        <v>51</v>
      </c>
      <c r="BA4" s="16" t="s">
        <v>52</v>
      </c>
      <c r="BB4" s="16" t="s">
        <v>53</v>
      </c>
      <c r="BC4" s="16" t="s">
        <v>54</v>
      </c>
      <c r="BD4" s="16" t="s">
        <v>55</v>
      </c>
      <c r="BE4" s="16" t="s">
        <v>56</v>
      </c>
      <c r="BF4" s="16" t="s">
        <v>57</v>
      </c>
      <c r="BG4" s="16" t="s">
        <v>58</v>
      </c>
      <c r="BH4" s="16" t="s">
        <v>59</v>
      </c>
      <c r="BI4" s="16" t="s">
        <v>60</v>
      </c>
      <c r="BJ4" s="16" t="s">
        <v>61</v>
      </c>
      <c r="BK4" s="16" t="s">
        <v>62</v>
      </c>
      <c r="BL4" s="16" t="s">
        <v>63</v>
      </c>
      <c r="BM4" s="16" t="s">
        <v>64</v>
      </c>
      <c r="BN4" s="16" t="s">
        <v>65</v>
      </c>
      <c r="BO4" s="16" t="s">
        <v>66</v>
      </c>
      <c r="BP4" s="16" t="s">
        <v>67</v>
      </c>
      <c r="BQ4" s="16" t="s">
        <v>68</v>
      </c>
      <c r="BR4" s="16" t="s">
        <v>69</v>
      </c>
      <c r="BS4" s="16" t="s">
        <v>70</v>
      </c>
      <c r="BT4" s="16" t="s">
        <v>71</v>
      </c>
      <c r="BU4" s="16" t="s">
        <v>72</v>
      </c>
      <c r="BV4" s="16" t="s">
        <v>73</v>
      </c>
      <c r="BW4" s="16" t="s">
        <v>74</v>
      </c>
      <c r="BX4" s="16" t="s">
        <v>75</v>
      </c>
      <c r="BY4" s="16" t="s">
        <v>76</v>
      </c>
      <c r="BZ4" s="16" t="s">
        <v>77</v>
      </c>
      <c r="CA4" s="16" t="s">
        <v>78</v>
      </c>
      <c r="CB4" s="16" t="s">
        <v>79</v>
      </c>
      <c r="CC4" s="16" t="s">
        <v>80</v>
      </c>
      <c r="CD4" s="16" t="s">
        <v>81</v>
      </c>
      <c r="CE4" s="16" t="s">
        <v>82</v>
      </c>
      <c r="CF4" s="16" t="s">
        <v>83</v>
      </c>
      <c r="CG4" s="16" t="s">
        <v>84</v>
      </c>
      <c r="CH4" s="16" t="s">
        <v>85</v>
      </c>
      <c r="CI4" s="16" t="s">
        <v>86</v>
      </c>
      <c r="CJ4" s="16" t="s">
        <v>87</v>
      </c>
      <c r="CK4" s="16" t="s">
        <v>88</v>
      </c>
      <c r="CL4" s="16" t="s">
        <v>89</v>
      </c>
      <c r="CM4" s="16" t="s">
        <v>90</v>
      </c>
      <c r="CN4" s="16" t="s">
        <v>91</v>
      </c>
      <c r="CO4" s="16" t="s">
        <v>92</v>
      </c>
      <c r="CP4" s="16" t="s">
        <v>93</v>
      </c>
      <c r="CQ4" s="16" t="s">
        <v>94</v>
      </c>
      <c r="CR4" s="16" t="s">
        <v>95</v>
      </c>
      <c r="CS4" s="16" t="s">
        <v>96</v>
      </c>
      <c r="CT4" s="16" t="s">
        <v>97</v>
      </c>
      <c r="CU4" s="16" t="s">
        <v>98</v>
      </c>
      <c r="CV4" s="16" t="s">
        <v>99</v>
      </c>
      <c r="CW4" s="16" t="s">
        <v>100</v>
      </c>
      <c r="CX4" s="16" t="s">
        <v>101</v>
      </c>
      <c r="CY4" s="16" t="s">
        <v>102</v>
      </c>
      <c r="CZ4" s="16" t="s">
        <v>103</v>
      </c>
      <c r="DA4" s="16" t="s">
        <v>104</v>
      </c>
      <c r="DB4" s="16" t="s">
        <v>105</v>
      </c>
      <c r="DC4" s="16" t="s">
        <v>106</v>
      </c>
      <c r="DD4" s="16" t="s">
        <v>107</v>
      </c>
      <c r="DE4" s="16" t="s">
        <v>108</v>
      </c>
      <c r="DF4" s="16" t="s">
        <v>109</v>
      </c>
      <c r="DG4" s="16" t="s">
        <v>110</v>
      </c>
      <c r="DH4" s="16" t="s">
        <v>111</v>
      </c>
      <c r="DI4" s="16" t="s">
        <v>112</v>
      </c>
      <c r="DJ4" s="16" t="s">
        <v>113</v>
      </c>
      <c r="DK4" s="16" t="s">
        <v>114</v>
      </c>
      <c r="DL4" s="16" t="s">
        <v>115</v>
      </c>
      <c r="DM4" s="16" t="s">
        <v>116</v>
      </c>
      <c r="DN4" s="16" t="s">
        <v>117</v>
      </c>
      <c r="DO4" s="16" t="s">
        <v>118</v>
      </c>
      <c r="DP4" s="16" t="s">
        <v>119</v>
      </c>
      <c r="DQ4" s="16" t="s">
        <v>120</v>
      </c>
      <c r="DR4" s="16" t="s">
        <v>121</v>
      </c>
      <c r="DS4" s="16" t="s">
        <v>122</v>
      </c>
      <c r="DT4" s="16" t="s">
        <v>123</v>
      </c>
      <c r="DU4" s="16" t="s">
        <v>124</v>
      </c>
      <c r="DV4" s="16" t="s">
        <v>125</v>
      </c>
      <c r="DW4" s="16" t="s">
        <v>126</v>
      </c>
      <c r="DX4" s="16" t="s">
        <v>127</v>
      </c>
      <c r="DY4" s="16" t="s">
        <v>128</v>
      </c>
      <c r="DZ4" s="16" t="s">
        <v>129</v>
      </c>
      <c r="EA4" s="16" t="s">
        <v>130</v>
      </c>
      <c r="EB4" s="16" t="s">
        <v>131</v>
      </c>
      <c r="EC4" s="16" t="s">
        <v>132</v>
      </c>
      <c r="ED4" s="16" t="s">
        <v>133</v>
      </c>
      <c r="EE4" s="16" t="s">
        <v>134</v>
      </c>
      <c r="EF4" s="16" t="s">
        <v>135</v>
      </c>
      <c r="EG4" s="16" t="s">
        <v>144</v>
      </c>
    </row>
    <row r="5" spans="3:137" ht="16">
      <c r="C5" s="6">
        <v>10</v>
      </c>
      <c r="D5" s="63" cm="1">
        <f t="array" ref="D5">PRODUCT(1 + 預測IC!$C12:C12) -1</f>
        <v>4.686768274486397E-2</v>
      </c>
      <c r="E5" s="63" cm="1">
        <f t="array" ref="E5">PRODUCT(1 + 預測IC!$C12:D12) -1</f>
        <v>6.8464078560415143E-2</v>
      </c>
      <c r="F5" s="63" cm="1">
        <f t="array" ref="F5">PRODUCT(1 + 預測IC!$C12:E12) -1</f>
        <v>1.7149142963823971E-2</v>
      </c>
      <c r="G5" s="63" cm="1">
        <f t="array" ref="G5">PRODUCT(1 + 預測IC!$C12:F12) -1</f>
        <v>-1.9912804791508698E-3</v>
      </c>
      <c r="H5" s="63" cm="1">
        <f t="array" ref="H5">PRODUCT(1 + 預測IC!$C12:G12) -1</f>
        <v>6.588802991664755E-3</v>
      </c>
      <c r="I5" s="63" cm="1">
        <f t="array" ref="I5">PRODUCT(1 + 預測IC!$C12:H12) -1</f>
        <v>1.6251308970442135E-2</v>
      </c>
      <c r="J5" s="63" cm="1">
        <f t="array" ref="J5">PRODUCT(1 + 預測IC!$C12:I12) -1</f>
        <v>5.4967552200613889E-2</v>
      </c>
      <c r="K5" s="63" cm="1">
        <f t="array" ref="K5">PRODUCT(1 + 預測IC!$C12:J12) -1</f>
        <v>0.10115886206322622</v>
      </c>
      <c r="L5" s="63" cm="1">
        <f t="array" ref="L5">PRODUCT(1 + 預測IC!$C12:K12) -1</f>
        <v>0.12183243713119229</v>
      </c>
      <c r="M5" s="63" cm="1">
        <f t="array" ref="M5">PRODUCT(1 + 預測IC!$C12:L12) -1</f>
        <v>0.12039671536429242</v>
      </c>
      <c r="N5" s="63" cm="1">
        <f t="array" ref="N5">PRODUCT(1 + 預測IC!$C12:M12) -1</f>
        <v>0.10297252502044341</v>
      </c>
      <c r="O5" s="63" cm="1">
        <f t="array" ref="O5">PRODUCT(1 + 預測IC!$C12:N12) -1</f>
        <v>0.16076203389093235</v>
      </c>
      <c r="P5" s="63" cm="1">
        <f t="array" ref="P5">PRODUCT(1 + 預測IC!$C12:O12) -1</f>
        <v>0.18177970211089001</v>
      </c>
      <c r="Q5" s="63" cm="1">
        <f t="array" ref="Q5">PRODUCT(1 + 預測IC!$C12:P12) -1</f>
        <v>0.18134708786112808</v>
      </c>
      <c r="R5" s="63" cm="1">
        <f t="array" ref="R5">PRODUCT(1 + 預測IC!$C12:Q12) -1</f>
        <v>0.2230130643296091</v>
      </c>
      <c r="S5" s="63" cm="1">
        <f t="array" ref="S5">PRODUCT(1 + 預測IC!$C12:R12) -1</f>
        <v>0.23878769936205613</v>
      </c>
      <c r="T5" s="63" cm="1">
        <f t="array" ref="T5">PRODUCT(1 + 預測IC!$C12:S12) -1</f>
        <v>0.25248253426134992</v>
      </c>
      <c r="U5" s="63" cm="1">
        <f t="array" ref="U5">PRODUCT(1 + 預測IC!$C12:T12) -1</f>
        <v>0.19904750779540237</v>
      </c>
      <c r="V5" s="63" cm="1">
        <f t="array" ref="V5">PRODUCT(1 + 預測IC!$C12:U12) -1</f>
        <v>0.21844641646553975</v>
      </c>
      <c r="W5" s="63" cm="1">
        <f t="array" ref="W5">PRODUCT(1 + 預測IC!$C12:V12) -1</f>
        <v>0.21088660214347943</v>
      </c>
      <c r="X5" s="63" cm="1">
        <f t="array" ref="X5">PRODUCT(1 + 預測IC!$C12:W12) -1</f>
        <v>0.23423000894249135</v>
      </c>
      <c r="Y5" s="63" cm="1">
        <f t="array" ref="Y5">PRODUCT(1 + 預測IC!$C12:X12) -1</f>
        <v>0.20244904952578646</v>
      </c>
      <c r="Z5" s="63" cm="1">
        <f t="array" ref="Z5">PRODUCT(1 + 預測IC!$C12:Y12) -1</f>
        <v>0.22101530584900053</v>
      </c>
      <c r="AA5" s="63" cm="1">
        <f t="array" ref="AA5">PRODUCT(1 + 預測IC!$C12:Z12) -1</f>
        <v>0.22732295810917269</v>
      </c>
      <c r="AB5" s="63" cm="1">
        <f t="array" ref="AB5">PRODUCT(1 + 預測IC!$C12:AA12) -1</f>
        <v>0.18023545896571402</v>
      </c>
      <c r="AC5" s="63" cm="1">
        <f t="array" ref="AC5">PRODUCT(1 + 預測IC!$C12:AB12) -1</f>
        <v>0.2210766338503356</v>
      </c>
      <c r="AD5" s="63" cm="1">
        <f t="array" ref="AD5">PRODUCT(1 + 預測IC!$C12:AC12) -1</f>
        <v>0.2665439347935592</v>
      </c>
      <c r="AE5" s="63" cm="1">
        <f t="array" ref="AE5">PRODUCT(1 + 預測IC!$C12:AD12) -1</f>
        <v>0.28076823486891067</v>
      </c>
      <c r="AF5" s="63" cm="1">
        <f t="array" ref="AF5">PRODUCT(1 + 預測IC!$C12:AE12) -1</f>
        <v>0.23271224693244319</v>
      </c>
      <c r="AG5" s="63" cm="1">
        <f t="array" ref="AG5">PRODUCT(1 + 預測IC!$C12:AF12) -1</f>
        <v>0.28964075855974203</v>
      </c>
      <c r="AH5" s="63" cm="1">
        <f t="array" ref="AH5">PRODUCT(1 + 預測IC!$C12:AG12) -1</f>
        <v>0.32912754675695943</v>
      </c>
      <c r="AI5" s="63" cm="1">
        <f t="array" ref="AI5">PRODUCT(1 + 預測IC!$C12:AH12) -1</f>
        <v>0.34653494407407326</v>
      </c>
      <c r="AJ5" s="63" cm="1">
        <f t="array" ref="AJ5">PRODUCT(1 + 預測IC!$C12:AI12) -1</f>
        <v>0.37212512051937385</v>
      </c>
      <c r="AK5" s="63" cm="1">
        <f t="array" ref="AK5">PRODUCT(1 + 預測IC!$C12:AJ12) -1</f>
        <v>0.38240263502953198</v>
      </c>
      <c r="AL5" s="63" cm="1">
        <f t="array" ref="AL5">PRODUCT(1 + 預測IC!$C12:AK12) -1</f>
        <v>0.39647450371093473</v>
      </c>
      <c r="AM5" s="63" cm="1">
        <f t="array" ref="AM5">PRODUCT(1 + 預測IC!$C12:AL12) -1</f>
        <v>0.34884687321105834</v>
      </c>
      <c r="AN5" s="63" cm="1">
        <f t="array" ref="AN5">PRODUCT(1 + 預測IC!$C12:AM12) -1</f>
        <v>0.39228561508279491</v>
      </c>
      <c r="AO5" s="63" cm="1">
        <f t="array" ref="AO5">PRODUCT(1 + 預測IC!$C12:AN12) -1</f>
        <v>0.49026196019508395</v>
      </c>
      <c r="AP5" s="63" cm="1">
        <f t="array" ref="AP5">PRODUCT(1 + 預測IC!$C12:AO12) -1</f>
        <v>0.49344904170472459</v>
      </c>
      <c r="AQ5" s="63" cm="1">
        <f t="array" ref="AQ5">PRODUCT(1 + 預測IC!$C12:AP12) -1</f>
        <v>0.44307650529258003</v>
      </c>
      <c r="AR5" s="63" cm="1">
        <f t="array" ref="AR5">PRODUCT(1 + 預測IC!$C12:AQ12) -1</f>
        <v>0.43272096485765399</v>
      </c>
      <c r="AS5" s="63" cm="1">
        <f t="array" ref="AS5">PRODUCT(1 + 預測IC!$C12:AR12) -1</f>
        <v>0.45113259468307443</v>
      </c>
      <c r="AT5" s="63" cm="1">
        <f t="array" ref="AT5">PRODUCT(1 + 預測IC!$C12:AS12) -1</f>
        <v>0.47975782691621016</v>
      </c>
      <c r="AU5" s="63" cm="1">
        <f t="array" ref="AU5">PRODUCT(1 + 預測IC!$C12:AT12) -1</f>
        <v>0.49909667320424855</v>
      </c>
      <c r="AV5" s="63" cm="1">
        <f t="array" ref="AV5">PRODUCT(1 + 預測IC!$C12:AU12) -1</f>
        <v>0.52904060410205567</v>
      </c>
      <c r="AW5" s="63" cm="1">
        <f t="array" ref="AW5">PRODUCT(1 + 預測IC!$C12:AV12) -1</f>
        <v>0.46615717166845694</v>
      </c>
      <c r="AX5" s="63" cm="1">
        <f t="array" ref="AX5">PRODUCT(1 + 預測IC!$C12:AW12) -1</f>
        <v>0.46752003446555923</v>
      </c>
      <c r="AY5" s="63" cm="1">
        <f t="array" ref="AY5">PRODUCT(1 + 預測IC!$C12:AX12) -1</f>
        <v>0.40438664735990049</v>
      </c>
      <c r="AZ5" s="63" cm="1">
        <f t="array" ref="AZ5">PRODUCT(1 + 預測IC!$C12:AY12) -1</f>
        <v>0.43877074272173866</v>
      </c>
      <c r="BA5" s="63" cm="1">
        <f t="array" ref="BA5">PRODUCT(1 + 預測IC!$C12:AZ12) -1</f>
        <v>0.43437067265548479</v>
      </c>
      <c r="BB5" s="63" cm="1">
        <f t="array" ref="BB5">PRODUCT(1 + 預測IC!$C12:BA12) -1</f>
        <v>0.44033391174108005</v>
      </c>
      <c r="BC5" s="63" cm="1">
        <f t="array" ref="BC5">PRODUCT(1 + 預測IC!$C12:BB12) -1</f>
        <v>0.44866681222892502</v>
      </c>
      <c r="BD5" s="63" cm="1">
        <f t="array" ref="BD5">PRODUCT(1 + 預測IC!$C12:BC12) -1</f>
        <v>0.46747858577908064</v>
      </c>
      <c r="BE5" s="63" cm="1">
        <f t="array" ref="BE5">PRODUCT(1 + 預測IC!$C12:BD12) -1</f>
        <v>0.48425395569479046</v>
      </c>
      <c r="BF5" s="63" cm="1">
        <f t="array" ref="BF5">PRODUCT(1 + 預測IC!$C12:BE12) -1</f>
        <v>0.41657413492677775</v>
      </c>
      <c r="BG5" s="63" cm="1">
        <f t="array" ref="BG5">PRODUCT(1 + 預測IC!$C12:BF12) -1</f>
        <v>0.513935004676076</v>
      </c>
      <c r="BH5" s="63" cm="1">
        <f t="array" ref="BH5">PRODUCT(1 + 預測IC!$C12:BG12) -1</f>
        <v>0.44314680433517184</v>
      </c>
      <c r="BI5" s="63" cm="1">
        <f t="array" ref="BI5">PRODUCT(1 + 預測IC!$C12:BH12) -1</f>
        <v>0.459236326273881</v>
      </c>
      <c r="BJ5" s="63" cm="1">
        <f t="array" ref="BJ5">PRODUCT(1 + 預測IC!$C12:BI12) -1</f>
        <v>0.38417331560992318</v>
      </c>
      <c r="BK5" s="63" cm="1">
        <f t="array" ref="BK5">PRODUCT(1 + 預測IC!$C12:BJ12) -1</f>
        <v>0.38527510832275702</v>
      </c>
      <c r="BL5" s="63" cm="1">
        <f t="array" ref="BL5">PRODUCT(1 + 預測IC!$C12:BK12) -1</f>
        <v>0.35521952239191412</v>
      </c>
      <c r="BM5" s="63" cm="1">
        <f t="array" ref="BM5">PRODUCT(1 + 預測IC!$C12:BL12) -1</f>
        <v>0.38870597472451252</v>
      </c>
      <c r="BN5" s="63" cm="1">
        <f t="array" ref="BN5">PRODUCT(1 + 預測IC!$C12:BM12) -1</f>
        <v>0.38603232257600872</v>
      </c>
      <c r="BO5" s="63" cm="1">
        <f t="array" ref="BO5">PRODUCT(1 + 預測IC!$C12:BN12) -1</f>
        <v>0.35900117424450917</v>
      </c>
      <c r="BP5" s="63" cm="1">
        <f t="array" ref="BP5">PRODUCT(1 + 預測IC!$C12:BO12) -1</f>
        <v>0.32605041013518643</v>
      </c>
      <c r="BQ5" s="63" cm="1">
        <f t="array" ref="BQ5">PRODUCT(1 + 預測IC!$C12:BP12) -1</f>
        <v>0.31202501828499929</v>
      </c>
      <c r="BR5" s="63" cm="1">
        <f t="array" ref="BR5">PRODUCT(1 + 預測IC!$C12:BQ12) -1</f>
        <v>0.33197643204352745</v>
      </c>
      <c r="BS5" s="63" cm="1">
        <f t="array" ref="BS5">PRODUCT(1 + 預測IC!$C12:BR12) -1</f>
        <v>0.32996959055349251</v>
      </c>
      <c r="BT5" s="63" cm="1">
        <f t="array" ref="BT5">PRODUCT(1 + 預測IC!$C12:BS12) -1</f>
        <v>0.35350593812305431</v>
      </c>
      <c r="BU5" s="63" cm="1">
        <f t="array" ref="BU5">PRODUCT(1 + 預測IC!$C12:BT12) -1</f>
        <v>0.38231950413804094</v>
      </c>
      <c r="BV5" s="63" cm="1">
        <f t="array" ref="BV5">PRODUCT(1 + 預測IC!$C12:BU12) -1</f>
        <v>0.39643229610059927</v>
      </c>
      <c r="BW5" s="63" cm="1">
        <f t="array" ref="BW5">PRODUCT(1 + 預測IC!$C12:BV12) -1</f>
        <v>0.43863780498913085</v>
      </c>
      <c r="BX5" s="63" cm="1">
        <f t="array" ref="BX5">PRODUCT(1 + 預測IC!$C12:BW12) -1</f>
        <v>0.35881130417198492</v>
      </c>
      <c r="BY5" s="63" cm="1">
        <f t="array" ref="BY5">PRODUCT(1 + 預測IC!$C12:BX12) -1</f>
        <v>0.33709185823496179</v>
      </c>
      <c r="BZ5" s="63" cm="1">
        <f t="array" ref="BZ5">PRODUCT(1 + 預測IC!$C12:BY12) -1</f>
        <v>0.27583167606603931</v>
      </c>
      <c r="CA5" s="63" cm="1">
        <f t="array" ref="CA5">PRODUCT(1 + 預測IC!$C12:BZ12) -1</f>
        <v>0.33324924077374374</v>
      </c>
      <c r="CB5" s="63" cm="1">
        <f t="array" ref="CB5">PRODUCT(1 + 預測IC!$C12:CA12) -1</f>
        <v>0.29265476986836503</v>
      </c>
      <c r="CC5" s="63" cm="1">
        <f t="array" ref="CC5">PRODUCT(1 + 預測IC!$C12:CB12) -1</f>
        <v>0.29480689478454591</v>
      </c>
      <c r="CD5" s="63" cm="1">
        <f t="array" ref="CD5">PRODUCT(1 + 預測IC!$C12:CC12) -1</f>
        <v>0.27393307885295459</v>
      </c>
      <c r="CE5" s="63" cm="1">
        <f t="array" ref="CE5">PRODUCT(1 + 預測IC!$C12:CD12) -1</f>
        <v>0.41525510423354151</v>
      </c>
      <c r="CF5" s="63" cm="1">
        <f t="array" ref="CF5">PRODUCT(1 + 預測IC!$C12:CE12) -1</f>
        <v>0.63321431531350969</v>
      </c>
      <c r="CG5" s="63" cm="1">
        <f t="array" ref="CG5">PRODUCT(1 + 預測IC!$C12:CF12) -1</f>
        <v>0.62655423835969914</v>
      </c>
      <c r="CH5" s="63" cm="1">
        <f t="array" ref="CH5">PRODUCT(1 + 預測IC!$C12:CG12) -1</f>
        <v>0.69374610967338812</v>
      </c>
      <c r="CI5" s="63" cm="1">
        <f t="array" ref="CI5">PRODUCT(1 + 預測IC!$C12:CH12) -1</f>
        <v>0.66586177712870387</v>
      </c>
      <c r="CJ5" s="63" cm="1">
        <f t="array" ref="CJ5">PRODUCT(1 + 預測IC!$C12:CI12) -1</f>
        <v>0.62531220592646775</v>
      </c>
      <c r="CK5" s="63" cm="1">
        <f t="array" ref="CK5">PRODUCT(1 + 預測IC!$C12:CJ12) -1</f>
        <v>0.65394021057886165</v>
      </c>
      <c r="CL5" s="63" cm="1">
        <f t="array" ref="CL5">PRODUCT(1 + 預測IC!$C12:CK12) -1</f>
        <v>0.67377768255742443</v>
      </c>
      <c r="CM5" s="63" cm="1">
        <f t="array" ref="CM5">PRODUCT(1 + 預測IC!$C12:CL12) -1</f>
        <v>0.72923664975125324</v>
      </c>
      <c r="CN5" s="63" cm="1">
        <f t="array" ref="CN5">PRODUCT(1 + 預測IC!$C12:CM12) -1</f>
        <v>0.70436557402126065</v>
      </c>
      <c r="CO5" s="63" cm="1">
        <f t="array" ref="CO5">PRODUCT(1 + 預測IC!$C12:CN12) -1</f>
        <v>0.74797511270940031</v>
      </c>
      <c r="CP5" s="63" cm="1">
        <f t="array" ref="CP5">PRODUCT(1 + 預測IC!$C12:CO12) -1</f>
        <v>0.70122036992020709</v>
      </c>
      <c r="CQ5" s="63" cm="1">
        <f t="array" ref="CQ5">PRODUCT(1 + 預測IC!$C12:CP12) -1</f>
        <v>0.70293013387954484</v>
      </c>
      <c r="CR5" s="63" cm="1">
        <f t="array" ref="CR5">PRODUCT(1 + 預測IC!$C12:CQ12) -1</f>
        <v>0.76637903000206009</v>
      </c>
      <c r="CS5" s="63" cm="1">
        <f t="array" ref="CS5">PRODUCT(1 + 預測IC!$C12:CR12) -1</f>
        <v>0.68133384072920355</v>
      </c>
      <c r="CT5" s="63" cm="1">
        <f t="array" ref="CT5">PRODUCT(1 + 預測IC!$C12:CS12) -1</f>
        <v>0.65577479603813105</v>
      </c>
      <c r="CU5" s="63" cm="1">
        <f t="array" ref="CU5">PRODUCT(1 + 預測IC!$C12:CT12) -1</f>
        <v>0.6541825264910035</v>
      </c>
      <c r="CV5" s="63" cm="1">
        <f t="array" ref="CV5">PRODUCT(1 + 預測IC!$C12:CU12) -1</f>
        <v>0.70717621361687133</v>
      </c>
      <c r="CW5" s="63" cm="1">
        <f t="array" ref="CW5">PRODUCT(1 + 預測IC!$C12:CV12) -1</f>
        <v>0.71455677232396364</v>
      </c>
      <c r="CX5" s="63" cm="1">
        <f t="array" ref="CX5">PRODUCT(1 + 預測IC!$C12:CW12) -1</f>
        <v>0.76557802026208432</v>
      </c>
      <c r="CY5" s="63" cm="1">
        <f t="array" ref="CY5">PRODUCT(1 + 預測IC!$C12:CX12) -1</f>
        <v>0.84776118982601267</v>
      </c>
      <c r="CZ5" s="63" cm="1">
        <f t="array" ref="CZ5">PRODUCT(1 + 預測IC!$C12:CY12) -1</f>
        <v>0.76262932979606446</v>
      </c>
      <c r="DA5" s="63" cm="1">
        <f t="array" ref="DA5">PRODUCT(1 + 預測IC!$C12:CZ12) -1</f>
        <v>0.91873082576786835</v>
      </c>
      <c r="DB5" s="63" cm="1">
        <f t="array" ref="DB5">PRODUCT(1 + 預測IC!$C12:DA12) -1</f>
        <v>0.92526066585543476</v>
      </c>
      <c r="DC5" s="63" cm="1">
        <f t="array" ref="DC5">PRODUCT(1 + 預測IC!$C12:DB12) -1</f>
        <v>1.0965738571354868</v>
      </c>
      <c r="DD5" s="63" cm="1">
        <f t="array" ref="DD5">PRODUCT(1 + 預測IC!$C12:DC12) -1</f>
        <v>1.1658538346727187</v>
      </c>
      <c r="DE5" s="63" cm="1">
        <f t="array" ref="DE5">PRODUCT(1 + 預測IC!$C12:DD12) -1</f>
        <v>1.0811862823472582</v>
      </c>
      <c r="DF5" s="63" cm="1">
        <f t="array" ref="DF5">PRODUCT(1 + 預測IC!$C12:DE12) -1</f>
        <v>1.0808017951587559</v>
      </c>
      <c r="DG5" s="63" cm="1">
        <f t="array" ref="DG5">PRODUCT(1 + 預測IC!$C12:DF12) -1</f>
        <v>1.066583642817593</v>
      </c>
      <c r="DH5" s="63" cm="1">
        <f t="array" ref="DH5">PRODUCT(1 + 預測IC!$C12:DG12) -1</f>
        <v>1.1624934131069038</v>
      </c>
      <c r="DI5" s="63" cm="1">
        <f t="array" ref="DI5">PRODUCT(1 + 預測IC!$C12:DH12) -1</f>
        <v>1.1511140618550706</v>
      </c>
      <c r="DJ5" s="63" cm="1">
        <f t="array" ref="DJ5">PRODUCT(1 + 預測IC!$C12:DI12) -1</f>
        <v>1.0340005868596864</v>
      </c>
      <c r="DK5" s="63" cm="1">
        <f t="array" ref="DK5">PRODUCT(1 + 預測IC!$C12:DJ12) -1</f>
        <v>1.0503999164415032</v>
      </c>
      <c r="DL5" s="63" cm="1">
        <f t="array" ref="DL5">PRODUCT(1 + 預測IC!$C12:DK12) -1</f>
        <v>1.0191017853497963</v>
      </c>
      <c r="DM5" s="63" cm="1">
        <f t="array" ref="DM5">PRODUCT(1 + 預測IC!$C12:DL12) -1</f>
        <v>1.0253390159146396</v>
      </c>
      <c r="DN5" s="63" cm="1">
        <f t="array" ref="DN5">PRODUCT(1 + 預測IC!$C12:DM12) -1</f>
        <v>1.0137646664395574</v>
      </c>
      <c r="DO5" s="63" cm="1">
        <f t="array" ref="DO5">PRODUCT(1 + 預測IC!$C12:DN12) -1</f>
        <v>1.0927613167565546</v>
      </c>
      <c r="DP5" s="63" cm="1">
        <f t="array" ref="DP5">PRODUCT(1 + 預測IC!$C12:DO12) -1</f>
        <v>1.1567097031449243</v>
      </c>
      <c r="DQ5" s="63" cm="1">
        <f t="array" ref="DQ5">PRODUCT(1 + 預測IC!$C12:DP12) -1</f>
        <v>1.226984901769522</v>
      </c>
      <c r="DR5" s="63" cm="1">
        <f t="array" ref="DR5">PRODUCT(1 + 預測IC!$C12:DQ12) -1</f>
        <v>1.1747656900405485</v>
      </c>
      <c r="DS5" s="63" cm="1">
        <f t="array" ref="DS5">PRODUCT(1 + 預測IC!$C12:DR12) -1</f>
        <v>1.2156054915797769</v>
      </c>
      <c r="DT5" s="63" cm="1">
        <f t="array" ref="DT5">PRODUCT(1 + 預測IC!$C12:DS12) -1</f>
        <v>1.3699236372369668</v>
      </c>
      <c r="DU5" s="63" cm="1">
        <f t="array" ref="DU5">PRODUCT(1 + 預測IC!$C12:DT12) -1</f>
        <v>1.2651227587053535</v>
      </c>
      <c r="DV5" s="63" cm="1">
        <f t="array" ref="DV5">PRODUCT(1 + 預測IC!$C12:DU12) -1</f>
        <v>1.2962741948782841</v>
      </c>
      <c r="DW5" s="63" cm="1">
        <f t="array" ref="DW5">PRODUCT(1 + 預測IC!$C12:DV12) -1</f>
        <v>1.4160781305247396</v>
      </c>
      <c r="DX5" s="63" cm="1">
        <f t="array" ref="DX5">PRODUCT(1 + 預測IC!$C12:DW12) -1</f>
        <v>1.5119826645855858</v>
      </c>
      <c r="DY5" s="63" cm="1">
        <f t="array" ref="DY5">PRODUCT(1 + 預測IC!$C12:DX12) -1</f>
        <v>1.387340077265391</v>
      </c>
      <c r="DZ5" s="63" cm="1">
        <f t="array" ref="DZ5">PRODUCT(1 + 預測IC!$C12:DY12) -1</f>
        <v>1.3461700444564717</v>
      </c>
      <c r="EA5" s="63" cm="1">
        <f t="array" ref="EA5">PRODUCT(1 + 預測IC!$C12:DZ12) -1</f>
        <v>1.3350080815204266</v>
      </c>
      <c r="EB5" s="63" cm="1">
        <f t="array" ref="EB5">PRODUCT(1 + 預測IC!$C12:EA12) -1</f>
        <v>1.4844578017592509</v>
      </c>
      <c r="EC5" s="63" cm="1">
        <f t="array" ref="EC5">PRODUCT(1 + 預測IC!$C12:EB12) -1</f>
        <v>1.4988328014587378</v>
      </c>
      <c r="ED5" s="63" cm="1">
        <f t="array" ref="ED5">PRODUCT(1 + 預測IC!$C12:EC12) -1</f>
        <v>1.5654304678047972</v>
      </c>
      <c r="EE5" s="63" cm="1">
        <f t="array" ref="EE5">PRODUCT(1 + 預測IC!$C12:ED12) -1</f>
        <v>1.4201551794125633</v>
      </c>
      <c r="EF5" s="63" cm="1">
        <f t="array" ref="EF5">PRODUCT(1 + 預測IC!$C12:EE12) -1</f>
        <v>1.4843059717664953</v>
      </c>
      <c r="EG5" s="63" cm="1">
        <f t="array" ref="EG5">PRODUCT(1 + 預測IC!$C12:EF12) -1</f>
        <v>1.5817736125916686</v>
      </c>
    </row>
    <row r="6" spans="3:137" ht="16">
      <c r="C6" s="6">
        <v>20</v>
      </c>
      <c r="D6" s="63" cm="1">
        <f t="array" ref="D6">PRODUCT(1 + 預測IC!$C13:C13) -1</f>
        <v>5.4209042671596208E-2</v>
      </c>
      <c r="E6" s="63" cm="1">
        <f t="array" ref="E6">PRODUCT(1 + 預測IC!$C13:D13) -1</f>
        <v>8.3739642131258618E-2</v>
      </c>
      <c r="F6" s="63" cm="1">
        <f t="array" ref="F6">PRODUCT(1 + 預測IC!$C13:E13) -1</f>
        <v>8.0279040507353905E-3</v>
      </c>
      <c r="G6" s="63" cm="1">
        <f t="array" ref="G6">PRODUCT(1 + 預測IC!$C13:F13) -1</f>
        <v>-2.7174603548589804E-2</v>
      </c>
      <c r="H6" s="63" cm="1">
        <f t="array" ref="H6">PRODUCT(1 + 預測IC!$C13:G13) -1</f>
        <v>-4.1677464866278102E-2</v>
      </c>
      <c r="I6" s="63" cm="1">
        <f t="array" ref="I6">PRODUCT(1 + 預測IC!$C13:H13) -1</f>
        <v>-2.5013781728199014E-2</v>
      </c>
      <c r="J6" s="63" cm="1">
        <f t="array" ref="J6">PRODUCT(1 + 預測IC!$C13:I13) -1</f>
        <v>1.1368496054809718E-2</v>
      </c>
      <c r="K6" s="63" cm="1">
        <f t="array" ref="K6">PRODUCT(1 + 預測IC!$C13:J13) -1</f>
        <v>4.8189289140665004E-2</v>
      </c>
      <c r="L6" s="63" cm="1">
        <f t="array" ref="L6">PRODUCT(1 + 預測IC!$C13:K13) -1</f>
        <v>4.6756092770213753E-2</v>
      </c>
      <c r="M6" s="63" cm="1">
        <f t="array" ref="M6">PRODUCT(1 + 預測IC!$C13:L13) -1</f>
        <v>1.3997902550872299E-2</v>
      </c>
      <c r="N6" s="63" cm="1">
        <f t="array" ref="N6">PRODUCT(1 + 預測IC!$C13:M13) -1</f>
        <v>2.1814463832525055E-2</v>
      </c>
      <c r="O6" s="63" cm="1">
        <f t="array" ref="O6">PRODUCT(1 + 預測IC!$C13:N13) -1</f>
        <v>6.6752341495730727E-2</v>
      </c>
      <c r="P6" s="63" cm="1">
        <f t="array" ref="P6">PRODUCT(1 + 預測IC!$C13:O13) -1</f>
        <v>0.10611693347437146</v>
      </c>
      <c r="Q6" s="63" cm="1">
        <f t="array" ref="Q6">PRODUCT(1 + 預測IC!$C13:P13) -1</f>
        <v>0.12469043725607154</v>
      </c>
      <c r="R6" s="63" cm="1">
        <f t="array" ref="R6">PRODUCT(1 + 預測IC!$C13:Q13) -1</f>
        <v>0.20704518426814222</v>
      </c>
      <c r="S6" s="63" cm="1">
        <f t="array" ref="S6">PRODUCT(1 + 預測IC!$C13:R13) -1</f>
        <v>0.22737387969468514</v>
      </c>
      <c r="T6" s="63" cm="1">
        <f t="array" ref="T6">PRODUCT(1 + 預測IC!$C13:S13) -1</f>
        <v>0.2199926949662121</v>
      </c>
      <c r="U6" s="63" cm="1">
        <f t="array" ref="U6">PRODUCT(1 + 預測IC!$C13:T13) -1</f>
        <v>0.15868574806118652</v>
      </c>
      <c r="V6" s="63" cm="1">
        <f t="array" ref="V6">PRODUCT(1 + 預測IC!$C13:U13) -1</f>
        <v>0.15683530811237167</v>
      </c>
      <c r="W6" s="63" cm="1">
        <f t="array" ref="W6">PRODUCT(1 + 預測IC!$C13:V13) -1</f>
        <v>0.18008113625161326</v>
      </c>
      <c r="X6" s="63" cm="1">
        <f t="array" ref="X6">PRODUCT(1 + 預測IC!$C13:W13) -1</f>
        <v>0.21678530354313419</v>
      </c>
      <c r="Y6" s="63" cm="1">
        <f t="array" ref="Y6">PRODUCT(1 + 預測IC!$C13:X13) -1</f>
        <v>0.1519587610221913</v>
      </c>
      <c r="Z6" s="63" cm="1">
        <f t="array" ref="Z6">PRODUCT(1 + 預測IC!$C13:Y13) -1</f>
        <v>0.16799517036109934</v>
      </c>
      <c r="AA6" s="63" cm="1">
        <f t="array" ref="AA6">PRODUCT(1 + 預測IC!$C13:Z13) -1</f>
        <v>0.19203690399450735</v>
      </c>
      <c r="AB6" s="63" cm="1">
        <f t="array" ref="AB6">PRODUCT(1 + 預測IC!$C13:AA13) -1</f>
        <v>0.1547429993440721</v>
      </c>
      <c r="AC6" s="63" cm="1">
        <f t="array" ref="AC6">PRODUCT(1 + 預測IC!$C13:AB13) -1</f>
        <v>0.2087645902866484</v>
      </c>
      <c r="AD6" s="63" cm="1">
        <f t="array" ref="AD6">PRODUCT(1 + 預測IC!$C13:AC13) -1</f>
        <v>0.2345705497248658</v>
      </c>
      <c r="AE6" s="63" cm="1">
        <f t="array" ref="AE6">PRODUCT(1 + 預測IC!$C13:AD13) -1</f>
        <v>0.26116775466617526</v>
      </c>
      <c r="AF6" s="63" cm="1">
        <f t="array" ref="AF6">PRODUCT(1 + 預測IC!$C13:AE13) -1</f>
        <v>0.20279572915394528</v>
      </c>
      <c r="AG6" s="63" cm="1">
        <f t="array" ref="AG6">PRODUCT(1 + 預測IC!$C13:AF13) -1</f>
        <v>0.26526359629484197</v>
      </c>
      <c r="AH6" s="63" cm="1">
        <f t="array" ref="AH6">PRODUCT(1 + 預測IC!$C13:AG13) -1</f>
        <v>0.30534940306004787</v>
      </c>
      <c r="AI6" s="63" cm="1">
        <f t="array" ref="AI6">PRODUCT(1 + 預測IC!$C13:AH13) -1</f>
        <v>0.32015252521474169</v>
      </c>
      <c r="AJ6" s="63" cm="1">
        <f t="array" ref="AJ6">PRODUCT(1 + 預測IC!$C13:AI13) -1</f>
        <v>0.3360835319181843</v>
      </c>
      <c r="AK6" s="63" cm="1">
        <f t="array" ref="AK6">PRODUCT(1 + 預測IC!$C13:AJ13) -1</f>
        <v>0.3113555069572409</v>
      </c>
      <c r="AL6" s="63" cm="1">
        <f t="array" ref="AL6">PRODUCT(1 + 預測IC!$C13:AK13) -1</f>
        <v>0.31570716778280294</v>
      </c>
      <c r="AM6" s="63" cm="1">
        <f t="array" ref="AM6">PRODUCT(1 + 預測IC!$C13:AL13) -1</f>
        <v>0.28603750067013123</v>
      </c>
      <c r="AN6" s="63" cm="1">
        <f t="array" ref="AN6">PRODUCT(1 + 預測IC!$C13:AM13) -1</f>
        <v>0.34489258835177994</v>
      </c>
      <c r="AO6" s="63" cm="1">
        <f t="array" ref="AO6">PRODUCT(1 + 預測IC!$C13:AN13) -1</f>
        <v>0.48655044495026023</v>
      </c>
      <c r="AP6" s="63" cm="1">
        <f t="array" ref="AP6">PRODUCT(1 + 預測IC!$C13:AO13) -1</f>
        <v>0.50991072882496136</v>
      </c>
      <c r="AQ6" s="63" cm="1">
        <f t="array" ref="AQ6">PRODUCT(1 + 預測IC!$C13:AP13) -1</f>
        <v>0.42001333141079744</v>
      </c>
      <c r="AR6" s="63" cm="1">
        <f t="array" ref="AR6">PRODUCT(1 + 預測IC!$C13:AQ13) -1</f>
        <v>0.41497301282570587</v>
      </c>
      <c r="AS6" s="63" cm="1">
        <f t="array" ref="AS6">PRODUCT(1 + 預測IC!$C13:AR13) -1</f>
        <v>0.43530767888000255</v>
      </c>
      <c r="AT6" s="63" cm="1">
        <f t="array" ref="AT6">PRODUCT(1 + 預測IC!$C13:AS13) -1</f>
        <v>0.49240128025621033</v>
      </c>
      <c r="AU6" s="63" cm="1">
        <f t="array" ref="AU6">PRODUCT(1 + 預測IC!$C13:AT13) -1</f>
        <v>0.55278844437329555</v>
      </c>
      <c r="AV6" s="63" cm="1">
        <f t="array" ref="AV6">PRODUCT(1 + 預測IC!$C13:AU13) -1</f>
        <v>0.61872136691362933</v>
      </c>
      <c r="AW6" s="63" cm="1">
        <f t="array" ref="AW6">PRODUCT(1 + 預測IC!$C13:AV13) -1</f>
        <v>0.60415161521181204</v>
      </c>
      <c r="AX6" s="63" cm="1">
        <f t="array" ref="AX6">PRODUCT(1 + 預測IC!$C13:AW13) -1</f>
        <v>0.60939441715562759</v>
      </c>
      <c r="AY6" s="63" cm="1">
        <f t="array" ref="AY6">PRODUCT(1 + 預測IC!$C13:AX13) -1</f>
        <v>0.50422206682553616</v>
      </c>
      <c r="AZ6" s="63" cm="1">
        <f t="array" ref="AZ6">PRODUCT(1 + 預測IC!$C13:AY13) -1</f>
        <v>0.52794010397428015</v>
      </c>
      <c r="BA6" s="63" cm="1">
        <f t="array" ref="BA6">PRODUCT(1 + 預測IC!$C13:AZ13) -1</f>
        <v>0.51419205973806625</v>
      </c>
      <c r="BB6" s="63" cm="1">
        <f t="array" ref="BB6">PRODUCT(1 + 預測IC!$C13:BA13) -1</f>
        <v>0.52614577722910849</v>
      </c>
      <c r="BC6" s="63" cm="1">
        <f t="array" ref="BC6">PRODUCT(1 + 預測IC!$C13:BB13) -1</f>
        <v>0.56589629747638814</v>
      </c>
      <c r="BD6" s="63" cm="1">
        <f t="array" ref="BD6">PRODUCT(1 + 預測IC!$C13:BC13) -1</f>
        <v>0.58629457126435391</v>
      </c>
      <c r="BE6" s="63" cm="1">
        <f t="array" ref="BE6">PRODUCT(1 + 預測IC!$C13:BD13) -1</f>
        <v>0.59518112371163534</v>
      </c>
      <c r="BF6" s="63" cm="1">
        <f t="array" ref="BF6">PRODUCT(1 + 預測IC!$C13:BE13) -1</f>
        <v>0.52172581402345974</v>
      </c>
      <c r="BG6" s="63" cm="1">
        <f t="array" ref="BG6">PRODUCT(1 + 預測IC!$C13:BF13) -1</f>
        <v>0.64944337185277323</v>
      </c>
      <c r="BH6" s="63" cm="1">
        <f t="array" ref="BH6">PRODUCT(1 + 預測IC!$C13:BG13) -1</f>
        <v>0.50363662575201329</v>
      </c>
      <c r="BI6" s="63" cm="1">
        <f t="array" ref="BI6">PRODUCT(1 + 預測IC!$C13:BH13) -1</f>
        <v>0.51412640369380558</v>
      </c>
      <c r="BJ6" s="63" cm="1">
        <f t="array" ref="BJ6">PRODUCT(1 + 預測IC!$C13:BI13) -1</f>
        <v>0.4341985180561434</v>
      </c>
      <c r="BK6" s="63" cm="1">
        <f t="array" ref="BK6">PRODUCT(1 + 預測IC!$C13:BJ13) -1</f>
        <v>0.45951801434196815</v>
      </c>
      <c r="BL6" s="63" cm="1">
        <f t="array" ref="BL6">PRODUCT(1 + 預測IC!$C13:BK13) -1</f>
        <v>0.4326759822277626</v>
      </c>
      <c r="BM6" s="63" cm="1">
        <f t="array" ref="BM6">PRODUCT(1 + 預測IC!$C13:BL13) -1</f>
        <v>0.48563142606872423</v>
      </c>
      <c r="BN6" s="63" cm="1">
        <f t="array" ref="BN6">PRODUCT(1 + 預測IC!$C13:BM13) -1</f>
        <v>0.50799946370226223</v>
      </c>
      <c r="BO6" s="63" cm="1">
        <f t="array" ref="BO6">PRODUCT(1 + 預測IC!$C13:BN13) -1</f>
        <v>0.51418457963877451</v>
      </c>
      <c r="BP6" s="63" cm="1">
        <f t="array" ref="BP6">PRODUCT(1 + 預測IC!$C13:BO13) -1</f>
        <v>0.46613145907576103</v>
      </c>
      <c r="BQ6" s="63" cm="1">
        <f t="array" ref="BQ6">PRODUCT(1 + 預測IC!$C13:BP13) -1</f>
        <v>0.47735021903806785</v>
      </c>
      <c r="BR6" s="63" cm="1">
        <f t="array" ref="BR6">PRODUCT(1 + 預測IC!$C13:BQ13) -1</f>
        <v>0.537654320594247</v>
      </c>
      <c r="BS6" s="63" cm="1">
        <f t="array" ref="BS6">PRODUCT(1 + 預測IC!$C13:BR13) -1</f>
        <v>0.52678098031413878</v>
      </c>
      <c r="BT6" s="63" cm="1">
        <f t="array" ref="BT6">PRODUCT(1 + 預測IC!$C13:BS13) -1</f>
        <v>0.5378627269257592</v>
      </c>
      <c r="BU6" s="63" cm="1">
        <f t="array" ref="BU6">PRODUCT(1 + 預測IC!$C13:BT13) -1</f>
        <v>0.58963913513518151</v>
      </c>
      <c r="BV6" s="63" cm="1">
        <f t="array" ref="BV6">PRODUCT(1 + 預測IC!$C13:BU13) -1</f>
        <v>0.61591109276784395</v>
      </c>
      <c r="BW6" s="63" cm="1">
        <f t="array" ref="BW6">PRODUCT(1 + 預測IC!$C13:BV13) -1</f>
        <v>0.6492697593801553</v>
      </c>
      <c r="BX6" s="63" cm="1">
        <f t="array" ref="BX6">PRODUCT(1 + 預測IC!$C13:BW13) -1</f>
        <v>0.50705297296710494</v>
      </c>
      <c r="BY6" s="63" cm="1">
        <f t="array" ref="BY6">PRODUCT(1 + 預測IC!$C13:BX13) -1</f>
        <v>0.50482640049520433</v>
      </c>
      <c r="BZ6" s="63" cm="1">
        <f t="array" ref="BZ6">PRODUCT(1 + 預測IC!$C13:BY13) -1</f>
        <v>0.45843597388413437</v>
      </c>
      <c r="CA6" s="63" cm="1">
        <f t="array" ref="CA6">PRODUCT(1 + 預測IC!$C13:BZ13) -1</f>
        <v>0.57063034794294909</v>
      </c>
      <c r="CB6" s="63" cm="1">
        <f t="array" ref="CB6">PRODUCT(1 + 預測IC!$C13:CA13) -1</f>
        <v>0.51796465339692599</v>
      </c>
      <c r="CC6" s="63" cm="1">
        <f t="array" ref="CC6">PRODUCT(1 + 預測IC!$C13:CB13) -1</f>
        <v>0.50713872772319113</v>
      </c>
      <c r="CD6" s="63" cm="1">
        <f t="array" ref="CD6">PRODUCT(1 + 預測IC!$C13:CC13) -1</f>
        <v>0.51953465645576813</v>
      </c>
      <c r="CE6" s="63" cm="1">
        <f t="array" ref="CE6">PRODUCT(1 + 預測IC!$C13:CD13) -1</f>
        <v>0.67983322139788438</v>
      </c>
      <c r="CF6" s="63" cm="1">
        <f t="array" ref="CF6">PRODUCT(1 + 預測IC!$C13:CE13) -1</f>
        <v>0.98863332809371296</v>
      </c>
      <c r="CG6" s="63" cm="1">
        <f t="array" ref="CG6">PRODUCT(1 + 預測IC!$C13:CF13) -1</f>
        <v>0.952382648810147</v>
      </c>
      <c r="CH6" s="63" cm="1">
        <f t="array" ref="CH6">PRODUCT(1 + 預測IC!$C13:CG13) -1</f>
        <v>1.0246506234103281</v>
      </c>
      <c r="CI6" s="63" cm="1">
        <f t="array" ref="CI6">PRODUCT(1 + 預測IC!$C13:CH13) -1</f>
        <v>1.0164922814575368</v>
      </c>
      <c r="CJ6" s="63" cm="1">
        <f t="array" ref="CJ6">PRODUCT(1 + 預測IC!$C13:CI13) -1</f>
        <v>1.0005709972095458</v>
      </c>
      <c r="CK6" s="63" cm="1">
        <f t="array" ref="CK6">PRODUCT(1 + 預測IC!$C13:CJ13) -1</f>
        <v>0.99281558309260953</v>
      </c>
      <c r="CL6" s="63" cm="1">
        <f t="array" ref="CL6">PRODUCT(1 + 預測IC!$C13:CK13) -1</f>
        <v>1.0566758949914328</v>
      </c>
      <c r="CM6" s="63" cm="1">
        <f t="array" ref="CM6">PRODUCT(1 + 預測IC!$C13:CL13) -1</f>
        <v>1.1471704390401287</v>
      </c>
      <c r="CN6" s="63" cm="1">
        <f t="array" ref="CN6">PRODUCT(1 + 預測IC!$C13:CM13) -1</f>
        <v>1.1250614463978001</v>
      </c>
      <c r="CO6" s="63" cm="1">
        <f t="array" ref="CO6">PRODUCT(1 + 預測IC!$C13:CN13) -1</f>
        <v>1.1821991762894375</v>
      </c>
      <c r="CP6" s="63" cm="1">
        <f t="array" ref="CP6">PRODUCT(1 + 預測IC!$C13:CO13) -1</f>
        <v>1.1528323212978133</v>
      </c>
      <c r="CQ6" s="63" cm="1">
        <f t="array" ref="CQ6">PRODUCT(1 + 預測IC!$C13:CP13) -1</f>
        <v>1.1085334997932552</v>
      </c>
      <c r="CR6" s="63" cm="1">
        <f t="array" ref="CR6">PRODUCT(1 + 預測IC!$C13:CQ13) -1</f>
        <v>1.1885501634025517</v>
      </c>
      <c r="CS6" s="63" cm="1">
        <f t="array" ref="CS6">PRODUCT(1 + 預測IC!$C13:CR13) -1</f>
        <v>1.0476498840883259</v>
      </c>
      <c r="CT6" s="63" cm="1">
        <f t="array" ref="CT6">PRODUCT(1 + 預測IC!$C13:CS13) -1</f>
        <v>1.0723817276913823</v>
      </c>
      <c r="CU6" s="63" cm="1">
        <f t="array" ref="CU6">PRODUCT(1 + 預測IC!$C13:CT13) -1</f>
        <v>1.0891075047225094</v>
      </c>
      <c r="CV6" s="63" cm="1">
        <f t="array" ref="CV6">PRODUCT(1 + 預測IC!$C13:CU13) -1</f>
        <v>1.1643298221871028</v>
      </c>
      <c r="CW6" s="63" cm="1">
        <f t="array" ref="CW6">PRODUCT(1 + 預測IC!$C13:CV13) -1</f>
        <v>1.2169641223797298</v>
      </c>
      <c r="CX6" s="63" cm="1">
        <f t="array" ref="CX6">PRODUCT(1 + 預測IC!$C13:CW13) -1</f>
        <v>1.2401468340275184</v>
      </c>
      <c r="CY6" s="63" cm="1">
        <f t="array" ref="CY6">PRODUCT(1 + 預測IC!$C13:CX13) -1</f>
        <v>1.2513191083667041</v>
      </c>
      <c r="CZ6" s="63" cm="1">
        <f t="array" ref="CZ6">PRODUCT(1 + 預測IC!$C13:CY13) -1</f>
        <v>1.1050422951137286</v>
      </c>
      <c r="DA6" s="63" cm="1">
        <f t="array" ref="DA6">PRODUCT(1 + 預測IC!$C13:CZ13) -1</f>
        <v>1.2951069963931126</v>
      </c>
      <c r="DB6" s="63" cm="1">
        <f t="array" ref="DB6">PRODUCT(1 + 預測IC!$C13:DA13) -1</f>
        <v>1.2788196985563416</v>
      </c>
      <c r="DC6" s="63" cm="1">
        <f t="array" ref="DC6">PRODUCT(1 + 預測IC!$C13:DB13) -1</f>
        <v>1.5209108414239747</v>
      </c>
      <c r="DD6" s="63" cm="1">
        <f t="array" ref="DD6">PRODUCT(1 + 預測IC!$C13:DC13) -1</f>
        <v>1.5958831970577236</v>
      </c>
      <c r="DE6" s="63" cm="1">
        <f t="array" ref="DE6">PRODUCT(1 + 預測IC!$C13:DD13) -1</f>
        <v>1.4624375287532003</v>
      </c>
      <c r="DF6" s="63" cm="1">
        <f t="array" ref="DF6">PRODUCT(1 + 預測IC!$C13:DE13) -1</f>
        <v>1.4751625511784505</v>
      </c>
      <c r="DG6" s="63" cm="1">
        <f t="array" ref="DG6">PRODUCT(1 + 預測IC!$C13:DF13) -1</f>
        <v>1.4045738933501775</v>
      </c>
      <c r="DH6" s="63" cm="1">
        <f t="array" ref="DH6">PRODUCT(1 + 預測IC!$C13:DG13) -1</f>
        <v>1.519342001743798</v>
      </c>
      <c r="DI6" s="63" cm="1">
        <f t="array" ref="DI6">PRODUCT(1 + 預測IC!$C13:DH13) -1</f>
        <v>1.5520739103846095</v>
      </c>
      <c r="DJ6" s="63" cm="1">
        <f t="array" ref="DJ6">PRODUCT(1 + 預測IC!$C13:DI13) -1</f>
        <v>1.4332456312195045</v>
      </c>
      <c r="DK6" s="63" cm="1">
        <f t="array" ref="DK6">PRODUCT(1 + 預測IC!$C13:DJ13) -1</f>
        <v>1.4339329743682674</v>
      </c>
      <c r="DL6" s="63" cm="1">
        <f t="array" ref="DL6">PRODUCT(1 + 預測IC!$C13:DK13) -1</f>
        <v>1.4632053747328269</v>
      </c>
      <c r="DM6" s="63" cm="1">
        <f t="array" ref="DM6">PRODUCT(1 + 預測IC!$C13:DL13) -1</f>
        <v>1.5300122817137756</v>
      </c>
      <c r="DN6" s="63" cm="1">
        <f t="array" ref="DN6">PRODUCT(1 + 預測IC!$C13:DM13) -1</f>
        <v>1.5131652612388886</v>
      </c>
      <c r="DO6" s="63" cm="1">
        <f t="array" ref="DO6">PRODUCT(1 + 預測IC!$C13:DN13) -1</f>
        <v>1.5504601255040593</v>
      </c>
      <c r="DP6" s="63" cm="1">
        <f t="array" ref="DP6">PRODUCT(1 + 預測IC!$C13:DO13) -1</f>
        <v>1.6470293834162386</v>
      </c>
      <c r="DQ6" s="63" cm="1">
        <f t="array" ref="DQ6">PRODUCT(1 + 預測IC!$C13:DP13) -1</f>
        <v>1.7720701630238875</v>
      </c>
      <c r="DR6" s="63" cm="1">
        <f t="array" ref="DR6">PRODUCT(1 + 預測IC!$C13:DQ13) -1</f>
        <v>1.6988041229211732</v>
      </c>
      <c r="DS6" s="63" cm="1">
        <f t="array" ref="DS6">PRODUCT(1 + 預測IC!$C13:DR13) -1</f>
        <v>1.735969919282899</v>
      </c>
      <c r="DT6" s="63" cm="1">
        <f t="array" ref="DT6">PRODUCT(1 + 預測IC!$C13:DS13) -1</f>
        <v>1.9236488446644899</v>
      </c>
      <c r="DU6" s="63" cm="1">
        <f t="array" ref="DU6">PRODUCT(1 + 預測IC!$C13:DT13) -1</f>
        <v>1.8200747805357484</v>
      </c>
      <c r="DV6" s="63" cm="1">
        <f t="array" ref="DV6">PRODUCT(1 + 預測IC!$C13:DU13) -1</f>
        <v>1.8788688685350006</v>
      </c>
      <c r="DW6" s="63" cm="1">
        <f t="array" ref="DW6">PRODUCT(1 + 預測IC!$C13:DV13) -1</f>
        <v>2.1080848224745101</v>
      </c>
      <c r="DX6" s="63" cm="1">
        <f t="array" ref="DX6">PRODUCT(1 + 預測IC!$C13:DW13) -1</f>
        <v>2.2500838298194039</v>
      </c>
      <c r="DY6" s="63" cm="1">
        <f t="array" ref="DY6">PRODUCT(1 + 預測IC!$C13:DX13) -1</f>
        <v>2.039992172554741</v>
      </c>
      <c r="DZ6" s="63" cm="1">
        <f t="array" ref="DZ6">PRODUCT(1 + 預測IC!$C13:DY13) -1</f>
        <v>1.9326617895713589</v>
      </c>
      <c r="EA6" s="63" cm="1">
        <f t="array" ref="EA6">PRODUCT(1 + 預測IC!$C13:DZ13) -1</f>
        <v>1.8981429943848895</v>
      </c>
      <c r="EB6" s="63" cm="1">
        <f t="array" ref="EB6">PRODUCT(1 + 預測IC!$C13:EA13) -1</f>
        <v>2.1201128280567794</v>
      </c>
      <c r="EC6" s="63" cm="1">
        <f t="array" ref="EC6">PRODUCT(1 + 預測IC!$C13:EB13) -1</f>
        <v>2.1207406141615324</v>
      </c>
      <c r="ED6" s="63" cm="1">
        <f t="array" ref="ED6">PRODUCT(1 + 預測IC!$C13:EC13) -1</f>
        <v>2.2507498986828067</v>
      </c>
      <c r="EE6" s="63" cm="1">
        <f t="array" ref="EE6">PRODUCT(1 + 預測IC!$C13:ED13) -1</f>
        <v>2.0372338393747742</v>
      </c>
      <c r="EF6" s="63" cm="1">
        <f t="array" ref="EF6">PRODUCT(1 + 預測IC!$C13:EE13) -1</f>
        <v>2.1624723057929303</v>
      </c>
      <c r="EG6" s="63" cm="1">
        <f t="array" ref="EG6">PRODUCT(1 + 預測IC!$C13:EF13) -1</f>
        <v>2.375278725412544</v>
      </c>
    </row>
    <row r="7" spans="3:137" ht="16">
      <c r="C7" s="6">
        <v>50</v>
      </c>
      <c r="D7" s="63" cm="1">
        <f t="array" ref="D7">PRODUCT(1 + 預測IC!$C14:C14) -1</f>
        <v>-3.037156627906501E-2</v>
      </c>
      <c r="E7" s="63" cm="1">
        <f t="array" ref="E7">PRODUCT(1 + 預測IC!$C14:D14) -1</f>
        <v>5.0444356867517248E-2</v>
      </c>
      <c r="F7" s="63" cm="1">
        <f t="array" ref="F7">PRODUCT(1 + 預測IC!$C14:E14) -1</f>
        <v>-5.3306192031170596E-2</v>
      </c>
      <c r="G7" s="63" cm="1">
        <f t="array" ref="G7">PRODUCT(1 + 預測IC!$C14:F14) -1</f>
        <v>-9.9177428990235295E-2</v>
      </c>
      <c r="H7" s="63" cm="1">
        <f t="array" ref="H7">PRODUCT(1 + 預測IC!$C14:G14) -1</f>
        <v>-0.13612909563250242</v>
      </c>
      <c r="I7" s="63" cm="1">
        <f t="array" ref="I7">PRODUCT(1 + 預測IC!$C14:H14) -1</f>
        <v>-0.14607074735116221</v>
      </c>
      <c r="J7" s="63" cm="1">
        <f t="array" ref="J7">PRODUCT(1 + 預測IC!$C14:I14) -1</f>
        <v>-0.10867943990192042</v>
      </c>
      <c r="K7" s="63" cm="1">
        <f t="array" ref="K7">PRODUCT(1 + 預測IC!$C14:J14) -1</f>
        <v>-9.2090020428964747E-2</v>
      </c>
      <c r="L7" s="63" cm="1">
        <f t="array" ref="L7">PRODUCT(1 + 預測IC!$C14:K14) -1</f>
        <v>-8.0785486631526071E-2</v>
      </c>
      <c r="M7" s="63" cm="1">
        <f t="array" ref="M7">PRODUCT(1 + 預測IC!$C14:L14) -1</f>
        <v>-7.6329872627427076E-2</v>
      </c>
      <c r="N7" s="63" cm="1">
        <f t="array" ref="N7">PRODUCT(1 + 預測IC!$C14:M14) -1</f>
        <v>-7.1068469531904488E-2</v>
      </c>
      <c r="O7" s="63" cm="1">
        <f t="array" ref="O7">PRODUCT(1 + 預測IC!$C14:N14) -1</f>
        <v>5.7480991872993492E-3</v>
      </c>
      <c r="P7" s="63" cm="1">
        <f t="array" ref="P7">PRODUCT(1 + 預測IC!$C14:O14) -1</f>
        <v>4.3439300741178632E-2</v>
      </c>
      <c r="Q7" s="63" cm="1">
        <f t="array" ref="Q7">PRODUCT(1 + 預測IC!$C14:P14) -1</f>
        <v>9.3294584574009409E-2</v>
      </c>
      <c r="R7" s="63" cm="1">
        <f t="array" ref="R7">PRODUCT(1 + 預測IC!$C14:Q14) -1</f>
        <v>0.15696581572158452</v>
      </c>
      <c r="S7" s="63" cm="1">
        <f t="array" ref="S7">PRODUCT(1 + 預測IC!$C14:R14) -1</f>
        <v>0.1385224069568225</v>
      </c>
      <c r="T7" s="63" cm="1">
        <f t="array" ref="T7">PRODUCT(1 + 預測IC!$C14:S14) -1</f>
        <v>0.11027937068651772</v>
      </c>
      <c r="U7" s="63" cm="1">
        <f t="array" ref="U7">PRODUCT(1 + 預測IC!$C14:T14) -1</f>
        <v>3.2735816756242153E-2</v>
      </c>
      <c r="V7" s="63" cm="1">
        <f t="array" ref="V7">PRODUCT(1 + 預測IC!$C14:U14) -1</f>
        <v>-5.0407604445195098E-3</v>
      </c>
      <c r="W7" s="63" cm="1">
        <f t="array" ref="W7">PRODUCT(1 + 預測IC!$C14:V14) -1</f>
        <v>3.3141343884338204E-2</v>
      </c>
      <c r="X7" s="63" cm="1">
        <f t="array" ref="X7">PRODUCT(1 + 預測IC!$C14:W14) -1</f>
        <v>0.10960223313312412</v>
      </c>
      <c r="Y7" s="63" cm="1">
        <f t="array" ref="Y7">PRODUCT(1 + 預測IC!$C14:X14) -1</f>
        <v>5.0147849710698411E-2</v>
      </c>
      <c r="Z7" s="63" cm="1">
        <f t="array" ref="Z7">PRODUCT(1 + 預測IC!$C14:Y14) -1</f>
        <v>3.2544574831246731E-2</v>
      </c>
      <c r="AA7" s="63" cm="1">
        <f t="array" ref="AA7">PRODUCT(1 + 預測IC!$C14:Z14) -1</f>
        <v>5.4488419783837561E-2</v>
      </c>
      <c r="AB7" s="63" cm="1">
        <f t="array" ref="AB7">PRODUCT(1 + 預測IC!$C14:AA14) -1</f>
        <v>1.2888661496907483E-2</v>
      </c>
      <c r="AC7" s="63" cm="1">
        <f t="array" ref="AC7">PRODUCT(1 + 預測IC!$C14:AB14) -1</f>
        <v>8.1515841447674875E-2</v>
      </c>
      <c r="AD7" s="63" cm="1">
        <f t="array" ref="AD7">PRODUCT(1 + 預測IC!$C14:AC14) -1</f>
        <v>6.8270857961182374E-2</v>
      </c>
      <c r="AE7" s="63" cm="1">
        <f t="array" ref="AE7">PRODUCT(1 + 預測IC!$C14:AD14) -1</f>
        <v>0.11028369909283064</v>
      </c>
      <c r="AF7" s="63" cm="1">
        <f t="array" ref="AF7">PRODUCT(1 + 預測IC!$C14:AE14) -1</f>
        <v>-8.9989014325586592E-3</v>
      </c>
      <c r="AG7" s="63" cm="1">
        <f t="array" ref="AG7">PRODUCT(1 + 預測IC!$C14:AF14) -1</f>
        <v>7.4559347289446354E-2</v>
      </c>
      <c r="AH7" s="63" cm="1">
        <f t="array" ref="AH7">PRODUCT(1 + 預測IC!$C14:AG14) -1</f>
        <v>9.4428830991095891E-2</v>
      </c>
      <c r="AI7" s="63" cm="1">
        <f t="array" ref="AI7">PRODUCT(1 + 預測IC!$C14:AH14) -1</f>
        <v>9.0766572007330071E-2</v>
      </c>
      <c r="AJ7" s="63" cm="1">
        <f t="array" ref="AJ7">PRODUCT(1 + 預測IC!$C14:AI14) -1</f>
        <v>0.16938133762455831</v>
      </c>
      <c r="AK7" s="63" cm="1">
        <f t="array" ref="AK7">PRODUCT(1 + 預測IC!$C14:AJ14) -1</f>
        <v>0.18699109338281006</v>
      </c>
      <c r="AL7" s="63" cm="1">
        <f t="array" ref="AL7">PRODUCT(1 + 預測IC!$C14:AK14) -1</f>
        <v>0.17332946338676369</v>
      </c>
      <c r="AM7" s="63" cm="1">
        <f t="array" ref="AM7">PRODUCT(1 + 預測IC!$C14:AL14) -1</f>
        <v>0.15155300562823792</v>
      </c>
      <c r="AN7" s="63" cm="1">
        <f t="array" ref="AN7">PRODUCT(1 + 預測IC!$C14:AM14) -1</f>
        <v>0.23018481434730331</v>
      </c>
      <c r="AO7" s="63" cm="1">
        <f t="array" ref="AO7">PRODUCT(1 + 預測IC!$C14:AN14) -1</f>
        <v>0.34368226712979588</v>
      </c>
      <c r="AP7" s="63" cm="1">
        <f t="array" ref="AP7">PRODUCT(1 + 預測IC!$C14:AO14) -1</f>
        <v>0.42552018353069743</v>
      </c>
      <c r="AQ7" s="63" cm="1">
        <f t="array" ref="AQ7">PRODUCT(1 + 預測IC!$C14:AP14) -1</f>
        <v>0.325767234553058</v>
      </c>
      <c r="AR7" s="63" cm="1">
        <f t="array" ref="AR7">PRODUCT(1 + 預測IC!$C14:AQ14) -1</f>
        <v>0.32460137337009165</v>
      </c>
      <c r="AS7" s="63" cm="1">
        <f t="array" ref="AS7">PRODUCT(1 + 預測IC!$C14:AR14) -1</f>
        <v>0.37446710442085562</v>
      </c>
      <c r="AT7" s="63" cm="1">
        <f t="array" ref="AT7">PRODUCT(1 + 預測IC!$C14:AS14) -1</f>
        <v>0.48763107159857166</v>
      </c>
      <c r="AU7" s="63" cm="1">
        <f t="array" ref="AU7">PRODUCT(1 + 預測IC!$C14:AT14) -1</f>
        <v>0.54851172706323315</v>
      </c>
      <c r="AV7" s="63" cm="1">
        <f t="array" ref="AV7">PRODUCT(1 + 預測IC!$C14:AU14) -1</f>
        <v>0.62132484501320562</v>
      </c>
      <c r="AW7" s="63" cm="1">
        <f t="array" ref="AW7">PRODUCT(1 + 預測IC!$C14:AV14) -1</f>
        <v>0.58454543731531472</v>
      </c>
      <c r="AX7" s="63" cm="1">
        <f t="array" ref="AX7">PRODUCT(1 + 預測IC!$C14:AW14) -1</f>
        <v>0.56010956297299686</v>
      </c>
      <c r="AY7" s="63" cm="1">
        <f t="array" ref="AY7">PRODUCT(1 + 預測IC!$C14:AX14) -1</f>
        <v>0.34645095407192938</v>
      </c>
      <c r="AZ7" s="63" cm="1">
        <f t="array" ref="AZ7">PRODUCT(1 + 預測IC!$C14:AY14) -1</f>
        <v>0.36673943696823685</v>
      </c>
      <c r="BA7" s="63" cm="1">
        <f t="array" ref="BA7">PRODUCT(1 + 預測IC!$C14:AZ14) -1</f>
        <v>0.29408596342960114</v>
      </c>
      <c r="BB7" s="63" cm="1">
        <f t="array" ref="BB7">PRODUCT(1 + 預測IC!$C14:BA14) -1</f>
        <v>0.32013062240360513</v>
      </c>
      <c r="BC7" s="63" cm="1">
        <f t="array" ref="BC7">PRODUCT(1 + 預測IC!$C14:BB14) -1</f>
        <v>0.45464974175089745</v>
      </c>
      <c r="BD7" s="63" cm="1">
        <f t="array" ref="BD7">PRODUCT(1 + 預測IC!$C14:BC14) -1</f>
        <v>0.44143581474041738</v>
      </c>
      <c r="BE7" s="63" cm="1">
        <f t="array" ref="BE7">PRODUCT(1 + 預測IC!$C14:BD14) -1</f>
        <v>0.50389003100906882</v>
      </c>
      <c r="BF7" s="63" cm="1">
        <f t="array" ref="BF7">PRODUCT(1 + 預測IC!$C14:BE14) -1</f>
        <v>0.46762068731436757</v>
      </c>
      <c r="BG7" s="63" cm="1">
        <f t="array" ref="BG7">PRODUCT(1 + 預測IC!$C14:BF14) -1</f>
        <v>0.52745634816741793</v>
      </c>
      <c r="BH7" s="63" cm="1">
        <f t="array" ref="BH7">PRODUCT(1 + 預測IC!$C14:BG14) -1</f>
        <v>0.33605796238720287</v>
      </c>
      <c r="BI7" s="63" cm="1">
        <f t="array" ref="BI7">PRODUCT(1 + 預測IC!$C14:BH14) -1</f>
        <v>0.33567926455096919</v>
      </c>
      <c r="BJ7" s="63" cm="1">
        <f t="array" ref="BJ7">PRODUCT(1 + 預測IC!$C14:BI14) -1</f>
        <v>0.26620492856362743</v>
      </c>
      <c r="BK7" s="63" cm="1">
        <f t="array" ref="BK7">PRODUCT(1 + 預測IC!$C14:BJ14) -1</f>
        <v>0.2829875617225559</v>
      </c>
      <c r="BL7" s="63" cm="1">
        <f t="array" ref="BL7">PRODUCT(1 + 預測IC!$C14:BK14) -1</f>
        <v>0.2828755244748089</v>
      </c>
      <c r="BM7" s="63" cm="1">
        <f t="array" ref="BM7">PRODUCT(1 + 預測IC!$C14:BL14) -1</f>
        <v>0.3595116434436687</v>
      </c>
      <c r="BN7" s="63" cm="1">
        <f t="array" ref="BN7">PRODUCT(1 + 預測IC!$C14:BM14) -1</f>
        <v>0.40301987327615318</v>
      </c>
      <c r="BO7" s="63" cm="1">
        <f t="array" ref="BO7">PRODUCT(1 + 預測IC!$C14:BN14) -1</f>
        <v>0.46667727891176347</v>
      </c>
      <c r="BP7" s="63" cm="1">
        <f t="array" ref="BP7">PRODUCT(1 + 預測IC!$C14:BO14) -1</f>
        <v>0.41738365525101195</v>
      </c>
      <c r="BQ7" s="63" cm="1">
        <f t="array" ref="BQ7">PRODUCT(1 + 預測IC!$C14:BP14) -1</f>
        <v>0.43555829442688676</v>
      </c>
      <c r="BR7" s="63" cm="1">
        <f t="array" ref="BR7">PRODUCT(1 + 預測IC!$C14:BQ14) -1</f>
        <v>0.4528559432491448</v>
      </c>
      <c r="BS7" s="63" cm="1">
        <f t="array" ref="BS7">PRODUCT(1 + 預測IC!$C14:BR14) -1</f>
        <v>0.41227850556112267</v>
      </c>
      <c r="BT7" s="63" cm="1">
        <f t="array" ref="BT7">PRODUCT(1 + 預測IC!$C14:BS14) -1</f>
        <v>0.35772331160969695</v>
      </c>
      <c r="BU7" s="63" cm="1">
        <f t="array" ref="BU7">PRODUCT(1 + 預測IC!$C14:BT14) -1</f>
        <v>0.33696653550907918</v>
      </c>
      <c r="BV7" s="63" cm="1">
        <f t="array" ref="BV7">PRODUCT(1 + 預測IC!$C14:BU14) -1</f>
        <v>0.32512791695794929</v>
      </c>
      <c r="BW7" s="63" cm="1">
        <f t="array" ref="BW7">PRODUCT(1 + 預測IC!$C14:BV14) -1</f>
        <v>0.36341274665566359</v>
      </c>
      <c r="BX7" s="63" cm="1">
        <f t="array" ref="BX7">PRODUCT(1 + 預測IC!$C14:BW14) -1</f>
        <v>0.20197371291454047</v>
      </c>
      <c r="BY7" s="63" cm="1">
        <f t="array" ref="BY7">PRODUCT(1 + 預測IC!$C14:BX14) -1</f>
        <v>0.20234288017892577</v>
      </c>
      <c r="BZ7" s="63" cm="1">
        <f t="array" ref="BZ7">PRODUCT(1 + 預測IC!$C14:BY14) -1</f>
        <v>0.10567479085420728</v>
      </c>
      <c r="CA7" s="63" cm="1">
        <f t="array" ref="CA7">PRODUCT(1 + 預測IC!$C14:BZ14) -1</f>
        <v>0.22926769451453755</v>
      </c>
      <c r="CB7" s="63" cm="1">
        <f t="array" ref="CB7">PRODUCT(1 + 預測IC!$C14:CA14) -1</f>
        <v>0.19919333324174415</v>
      </c>
      <c r="CC7" s="63" cm="1">
        <f t="array" ref="CC7">PRODUCT(1 + 預測IC!$C14:CB14) -1</f>
        <v>0.22572862347965006</v>
      </c>
      <c r="CD7" s="63" cm="1">
        <f t="array" ref="CD7">PRODUCT(1 + 預測IC!$C14:CC14) -1</f>
        <v>0.26124494566232137</v>
      </c>
      <c r="CE7" s="63" cm="1">
        <f t="array" ref="CE7">PRODUCT(1 + 預測IC!$C14:CD14) -1</f>
        <v>0.38486802565475564</v>
      </c>
      <c r="CF7" s="63" cm="1">
        <f t="array" ref="CF7">PRODUCT(1 + 預測IC!$C14:CE14) -1</f>
        <v>0.62106461067702412</v>
      </c>
      <c r="CG7" s="63" cm="1">
        <f t="array" ref="CG7">PRODUCT(1 + 預測IC!$C14:CF14) -1</f>
        <v>0.65398878456529408</v>
      </c>
      <c r="CH7" s="63" cm="1">
        <f t="array" ref="CH7">PRODUCT(1 + 預測IC!$C14:CG14) -1</f>
        <v>0.74176105419682092</v>
      </c>
      <c r="CI7" s="63" cm="1">
        <f t="array" ref="CI7">PRODUCT(1 + 預測IC!$C14:CH14) -1</f>
        <v>0.65662434785447066</v>
      </c>
      <c r="CJ7" s="63" cm="1">
        <f t="array" ref="CJ7">PRODUCT(1 + 預測IC!$C14:CI14) -1</f>
        <v>0.65028054324514528</v>
      </c>
      <c r="CK7" s="63" cm="1">
        <f t="array" ref="CK7">PRODUCT(1 + 預測IC!$C14:CJ14) -1</f>
        <v>0.59659624603908679</v>
      </c>
      <c r="CL7" s="63" cm="1">
        <f t="array" ref="CL7">PRODUCT(1 + 預測IC!$C14:CK14) -1</f>
        <v>0.61897472080830829</v>
      </c>
      <c r="CM7" s="63" cm="1">
        <f t="array" ref="CM7">PRODUCT(1 + 預測IC!$C14:CL14) -1</f>
        <v>0.82949464549420426</v>
      </c>
      <c r="CN7" s="63" cm="1">
        <f t="array" ref="CN7">PRODUCT(1 + 預測IC!$C14:CM14) -1</f>
        <v>0.88811167290461923</v>
      </c>
      <c r="CO7" s="63" cm="1">
        <f t="array" ref="CO7">PRODUCT(1 + 預測IC!$C14:CN14) -1</f>
        <v>0.9267790634040558</v>
      </c>
      <c r="CP7" s="63" cm="1">
        <f t="array" ref="CP7">PRODUCT(1 + 預測IC!$C14:CO14) -1</f>
        <v>0.78499178510947765</v>
      </c>
      <c r="CQ7" s="63" cm="1">
        <f t="array" ref="CQ7">PRODUCT(1 + 預測IC!$C14:CP14) -1</f>
        <v>0.61781060094308815</v>
      </c>
      <c r="CR7" s="63" cm="1">
        <f t="array" ref="CR7">PRODUCT(1 + 預測IC!$C14:CQ14) -1</f>
        <v>0.70389693696324018</v>
      </c>
      <c r="CS7" s="63" cm="1">
        <f t="array" ref="CS7">PRODUCT(1 + 預測IC!$C14:CR14) -1</f>
        <v>0.59716371613794039</v>
      </c>
      <c r="CT7" s="63" cm="1">
        <f t="array" ref="CT7">PRODUCT(1 + 預測IC!$C14:CS14) -1</f>
        <v>0.69143969089116175</v>
      </c>
      <c r="CU7" s="63" cm="1">
        <f t="array" ref="CU7">PRODUCT(1 + 預測IC!$C14:CT14) -1</f>
        <v>0.7237471641878952</v>
      </c>
      <c r="CV7" s="63" cm="1">
        <f t="array" ref="CV7">PRODUCT(1 + 預測IC!$C14:CU14) -1</f>
        <v>0.64696380841526913</v>
      </c>
      <c r="CW7" s="63" cm="1">
        <f t="array" ref="CW7">PRODUCT(1 + 預測IC!$C14:CV14) -1</f>
        <v>0.71185325012262779</v>
      </c>
      <c r="CX7" s="63" cm="1">
        <f t="array" ref="CX7">PRODUCT(1 + 預測IC!$C14:CW14) -1</f>
        <v>0.72594865300306521</v>
      </c>
      <c r="CY7" s="63" cm="1">
        <f t="array" ref="CY7">PRODUCT(1 + 預測IC!$C14:CX14) -1</f>
        <v>0.76779299483071939</v>
      </c>
      <c r="CZ7" s="63" cm="1">
        <f t="array" ref="CZ7">PRODUCT(1 + 預測IC!$C14:CY14) -1</f>
        <v>0.67915984314085276</v>
      </c>
      <c r="DA7" s="63" cm="1">
        <f t="array" ref="DA7">PRODUCT(1 + 預測IC!$C14:CZ14) -1</f>
        <v>0.9078144759177933</v>
      </c>
      <c r="DB7" s="63" cm="1">
        <f t="array" ref="DB7">PRODUCT(1 + 預測IC!$C14:DA14) -1</f>
        <v>0.86144640121126015</v>
      </c>
      <c r="DC7" s="63" cm="1">
        <f t="array" ref="DC7">PRODUCT(1 + 預測IC!$C14:DB14) -1</f>
        <v>1.056167545987202</v>
      </c>
      <c r="DD7" s="63" cm="1">
        <f t="array" ref="DD7">PRODUCT(1 + 預測IC!$C14:DC14) -1</f>
        <v>1.1127822536003338</v>
      </c>
      <c r="DE7" s="63" cm="1">
        <f t="array" ref="DE7">PRODUCT(1 + 預測IC!$C14:DD14) -1</f>
        <v>0.99890336038383443</v>
      </c>
      <c r="DF7" s="63" cm="1">
        <f t="array" ref="DF7">PRODUCT(1 + 預測IC!$C14:DE14) -1</f>
        <v>1.0096660549631085</v>
      </c>
      <c r="DG7" s="63" cm="1">
        <f t="array" ref="DG7">PRODUCT(1 + 預測IC!$C14:DF14) -1</f>
        <v>0.92974071058208874</v>
      </c>
      <c r="DH7" s="63" cm="1">
        <f t="array" ref="DH7">PRODUCT(1 + 預測IC!$C14:DG14) -1</f>
        <v>1.0177048450428581</v>
      </c>
      <c r="DI7" s="63" cm="1">
        <f t="array" ref="DI7">PRODUCT(1 + 預測IC!$C14:DH14) -1</f>
        <v>1.0273390572821719</v>
      </c>
      <c r="DJ7" s="63" cm="1">
        <f t="array" ref="DJ7">PRODUCT(1 + 預測IC!$C14:DI14) -1</f>
        <v>0.91950084373333296</v>
      </c>
      <c r="DK7" s="63" cm="1">
        <f t="array" ref="DK7">PRODUCT(1 + 預測IC!$C14:DJ14) -1</f>
        <v>0.92146588332816082</v>
      </c>
      <c r="DL7" s="63" cm="1">
        <f t="array" ref="DL7">PRODUCT(1 + 預測IC!$C14:DK14) -1</f>
        <v>0.95666209653197676</v>
      </c>
      <c r="DM7" s="63" cm="1">
        <f t="array" ref="DM7">PRODUCT(1 + 預測IC!$C14:DL14) -1</f>
        <v>0.93851565543723736</v>
      </c>
      <c r="DN7" s="63" cm="1">
        <f t="array" ref="DN7">PRODUCT(1 + 預測IC!$C14:DM14) -1</f>
        <v>0.94918576724701809</v>
      </c>
      <c r="DO7" s="63" cm="1">
        <f t="array" ref="DO7">PRODUCT(1 + 預測IC!$C14:DN14) -1</f>
        <v>1.0268641484362173</v>
      </c>
      <c r="DP7" s="63" cm="1">
        <f t="array" ref="DP7">PRODUCT(1 + 預測IC!$C14:DO14) -1</f>
        <v>1.2348045789661355</v>
      </c>
      <c r="DQ7" s="63" cm="1">
        <f t="array" ref="DQ7">PRODUCT(1 + 預測IC!$C14:DP14) -1</f>
        <v>1.3253861865883025</v>
      </c>
      <c r="DR7" s="63" cm="1">
        <f t="array" ref="DR7">PRODUCT(1 + 預測IC!$C14:DQ14) -1</f>
        <v>1.1175713993244423</v>
      </c>
      <c r="DS7" s="63" cm="1">
        <f t="array" ref="DS7">PRODUCT(1 + 預測IC!$C14:DR14) -1</f>
        <v>1.2290033414912136</v>
      </c>
      <c r="DT7" s="63" cm="1">
        <f t="array" ref="DT7">PRODUCT(1 + 預測IC!$C14:DS14) -1</f>
        <v>1.3539430354086455</v>
      </c>
      <c r="DU7" s="63" cm="1">
        <f t="array" ref="DU7">PRODUCT(1 + 預測IC!$C14:DT14) -1</f>
        <v>1.2493498517666435</v>
      </c>
      <c r="DV7" s="63" cm="1">
        <f t="array" ref="DV7">PRODUCT(1 + 預測IC!$C14:DU14) -1</f>
        <v>1.1483204187484302</v>
      </c>
      <c r="DW7" s="63" cm="1">
        <f t="array" ref="DW7">PRODUCT(1 + 預測IC!$C14:DV14) -1</f>
        <v>1.3809026455672413</v>
      </c>
      <c r="DX7" s="63" cm="1">
        <f t="array" ref="DX7">PRODUCT(1 + 預測IC!$C14:DW14) -1</f>
        <v>1.5994917200040404</v>
      </c>
      <c r="DY7" s="63" cm="1">
        <f t="array" ref="DY7">PRODUCT(1 + 預測IC!$C14:DX14) -1</f>
        <v>1.333924474805289</v>
      </c>
      <c r="DZ7" s="63" cm="1">
        <f t="array" ref="DZ7">PRODUCT(1 + 預測IC!$C14:DY14) -1</f>
        <v>1.2452421599462058</v>
      </c>
      <c r="EA7" s="63" cm="1">
        <f t="array" ref="EA7">PRODUCT(1 + 預測IC!$C14:DZ14) -1</f>
        <v>1.2354970465496833</v>
      </c>
      <c r="EB7" s="63" cm="1">
        <f t="array" ref="EB7">PRODUCT(1 + 預測IC!$C14:EA14) -1</f>
        <v>1.4101011377621422</v>
      </c>
      <c r="EC7" s="63" cm="1">
        <f t="array" ref="EC7">PRODUCT(1 + 預測IC!$C14:EB14) -1</f>
        <v>1.3495846535514007</v>
      </c>
      <c r="ED7" s="63" cm="1">
        <f t="array" ref="ED7">PRODUCT(1 + 預測IC!$C14:EC14) -1</f>
        <v>1.3638686765497283</v>
      </c>
      <c r="EE7" s="63" cm="1">
        <f t="array" ref="EE7">PRODUCT(1 + 預測IC!$C14:ED14) -1</f>
        <v>1.1212655217210932</v>
      </c>
      <c r="EF7" s="63" cm="1">
        <f t="array" ref="EF7">PRODUCT(1 + 預測IC!$C14:EE14) -1</f>
        <v>1.1140548024336168</v>
      </c>
      <c r="EG7" s="63" cm="1">
        <f t="array" ref="EG7">PRODUCT(1 + 預測IC!$C14:EF14) -1</f>
        <v>1.2549192350343534</v>
      </c>
    </row>
    <row r="8" spans="3:137" ht="16">
      <c r="C8" s="6">
        <v>100</v>
      </c>
      <c r="D8" s="63" cm="1">
        <f t="array" ref="D8">PRODUCT(1 + 預測IC!$C15:C15) -1</f>
        <v>-9.650314199451604E-2</v>
      </c>
      <c r="E8" s="63" cm="1">
        <f t="array" ref="E8">PRODUCT(1 + 預測IC!$C15:D15) -1</f>
        <v>-8.2093696582953402E-2</v>
      </c>
      <c r="F8" s="63" cm="1">
        <f t="array" ref="F8">PRODUCT(1 + 預測IC!$C15:E15) -1</f>
        <v>-0.14271084026224512</v>
      </c>
      <c r="G8" s="63" cm="1">
        <f t="array" ref="G8">PRODUCT(1 + 預測IC!$C15:F15) -1</f>
        <v>-0.23578011752735073</v>
      </c>
      <c r="H8" s="63" cm="1">
        <f t="array" ref="H8">PRODUCT(1 + 預測IC!$C15:G15) -1</f>
        <v>-0.27049255312297449</v>
      </c>
      <c r="I8" s="63" cm="1">
        <f t="array" ref="I8">PRODUCT(1 + 預測IC!$C15:H15) -1</f>
        <v>-0.27139986054423715</v>
      </c>
      <c r="J8" s="63" cm="1">
        <f t="array" ref="J8">PRODUCT(1 + 預測IC!$C15:I15) -1</f>
        <v>-0.22882670209332556</v>
      </c>
      <c r="K8" s="63" cm="1">
        <f t="array" ref="K8">PRODUCT(1 + 預測IC!$C15:J15) -1</f>
        <v>-0.19029775417024641</v>
      </c>
      <c r="L8" s="63" cm="1">
        <f t="array" ref="L8">PRODUCT(1 + 預測IC!$C15:K15) -1</f>
        <v>-0.19370689728822299</v>
      </c>
      <c r="M8" s="63" cm="1">
        <f t="array" ref="M8">PRODUCT(1 + 預測IC!$C15:L15) -1</f>
        <v>-0.16745519914537921</v>
      </c>
      <c r="N8" s="63" cm="1">
        <f t="array" ref="N8">PRODUCT(1 + 預測IC!$C15:M15) -1</f>
        <v>-0.14622721368453051</v>
      </c>
      <c r="O8" s="63" cm="1">
        <f t="array" ref="O8">PRODUCT(1 + 預測IC!$C15:N15) -1</f>
        <v>-4.677821238841795E-2</v>
      </c>
      <c r="P8" s="63" cm="1">
        <f t="array" ref="P8">PRODUCT(1 + 預測IC!$C15:O15) -1</f>
        <v>2.0749548188951472E-2</v>
      </c>
      <c r="Q8" s="63" cm="1">
        <f t="array" ref="Q8">PRODUCT(1 + 預測IC!$C15:P15) -1</f>
        <v>7.4832210569115709E-2</v>
      </c>
      <c r="R8" s="63" cm="1">
        <f t="array" ref="R8">PRODUCT(1 + 預測IC!$C15:Q15) -1</f>
        <v>0.18271886944901694</v>
      </c>
      <c r="S8" s="63" cm="1">
        <f t="array" ref="S8">PRODUCT(1 + 預測IC!$C15:R15) -1</f>
        <v>0.12106410130316481</v>
      </c>
      <c r="T8" s="63" cm="1">
        <f t="array" ref="T8">PRODUCT(1 + 預測IC!$C15:S15) -1</f>
        <v>0.21690150610919146</v>
      </c>
      <c r="U8" s="63" cm="1">
        <f t="array" ref="U8">PRODUCT(1 + 預測IC!$C15:T15) -1</f>
        <v>0.13561233345763624</v>
      </c>
      <c r="V8" s="63" cm="1">
        <f t="array" ref="V8">PRODUCT(1 + 預測IC!$C15:U15) -1</f>
        <v>8.2476756241212312E-2</v>
      </c>
      <c r="W8" s="63" cm="1">
        <f t="array" ref="W8">PRODUCT(1 + 預測IC!$C15:V15) -1</f>
        <v>0.17522431932934168</v>
      </c>
      <c r="X8" s="63" cm="1">
        <f t="array" ref="X8">PRODUCT(1 + 預測IC!$C15:W15) -1</f>
        <v>0.29573604476929516</v>
      </c>
      <c r="Y8" s="63" cm="1">
        <f t="array" ref="Y8">PRODUCT(1 + 預測IC!$C15:X15) -1</f>
        <v>0.19410315794115651</v>
      </c>
      <c r="Z8" s="63" cm="1">
        <f t="array" ref="Z8">PRODUCT(1 + 預測IC!$C15:Y15) -1</f>
        <v>0.16521945214776479</v>
      </c>
      <c r="AA8" s="63" cm="1">
        <f t="array" ref="AA8">PRODUCT(1 + 預測IC!$C15:Z15) -1</f>
        <v>0.13765453292706931</v>
      </c>
      <c r="AB8" s="63" cm="1">
        <f t="array" ref="AB8">PRODUCT(1 + 預測IC!$C15:AA15) -1</f>
        <v>7.9329253478146455E-2</v>
      </c>
      <c r="AC8" s="63" cm="1">
        <f t="array" ref="AC8">PRODUCT(1 + 預測IC!$C15:AB15) -1</f>
        <v>0.15140169521720881</v>
      </c>
      <c r="AD8" s="63" cm="1">
        <f t="array" ref="AD8">PRODUCT(1 + 預測IC!$C15:AC15) -1</f>
        <v>0.17037790764813421</v>
      </c>
      <c r="AE8" s="63" cm="1">
        <f t="array" ref="AE8">PRODUCT(1 + 預測IC!$C15:AD15) -1</f>
        <v>0.21683076990392935</v>
      </c>
      <c r="AF8" s="63" cm="1">
        <f t="array" ref="AF8">PRODUCT(1 + 預測IC!$C15:AE15) -1</f>
        <v>9.354960935213219E-2</v>
      </c>
      <c r="AG8" s="63" cm="1">
        <f t="array" ref="AG8">PRODUCT(1 + 預測IC!$C15:AF15) -1</f>
        <v>0.14797778771097803</v>
      </c>
      <c r="AH8" s="63" cm="1">
        <f t="array" ref="AH8">PRODUCT(1 + 預測IC!$C15:AG15) -1</f>
        <v>0.15959931588973353</v>
      </c>
      <c r="AI8" s="63" cm="1">
        <f t="array" ref="AI8">PRODUCT(1 + 預測IC!$C15:AH15) -1</f>
        <v>0.12063170753326857</v>
      </c>
      <c r="AJ8" s="63" cm="1">
        <f t="array" ref="AJ8">PRODUCT(1 + 預測IC!$C15:AI15) -1</f>
        <v>0.17762081620852022</v>
      </c>
      <c r="AK8" s="63" cm="1">
        <f t="array" ref="AK8">PRODUCT(1 + 預測IC!$C15:AJ15) -1</f>
        <v>0.18876683232871838</v>
      </c>
      <c r="AL8" s="63" cm="1">
        <f t="array" ref="AL8">PRODUCT(1 + 預測IC!$C15:AK15) -1</f>
        <v>0.14478327769332777</v>
      </c>
      <c r="AM8" s="63" cm="1">
        <f t="array" ref="AM8">PRODUCT(1 + 預測IC!$C15:AL15) -1</f>
        <v>0.15266140044521337</v>
      </c>
      <c r="AN8" s="63" cm="1">
        <f t="array" ref="AN8">PRODUCT(1 + 預測IC!$C15:AM15) -1</f>
        <v>0.21619911927112478</v>
      </c>
      <c r="AO8" s="63" cm="1">
        <f t="array" ref="AO8">PRODUCT(1 + 預測IC!$C15:AN15) -1</f>
        <v>0.32913769658354641</v>
      </c>
      <c r="AP8" s="63" cm="1">
        <f t="array" ref="AP8">PRODUCT(1 + 預測IC!$C15:AO15) -1</f>
        <v>0.4133649031541704</v>
      </c>
      <c r="AQ8" s="63" cm="1">
        <f t="array" ref="AQ8">PRODUCT(1 + 預測IC!$C15:AP15) -1</f>
        <v>0.29116853036312773</v>
      </c>
      <c r="AR8" s="63" cm="1">
        <f t="array" ref="AR8">PRODUCT(1 + 預測IC!$C15:AQ15) -1</f>
        <v>0.24907960995733869</v>
      </c>
      <c r="AS8" s="63" cm="1">
        <f t="array" ref="AS8">PRODUCT(1 + 預測IC!$C15:AR15) -1</f>
        <v>0.34715391454024247</v>
      </c>
      <c r="AT8" s="63" cm="1">
        <f t="array" ref="AT8">PRODUCT(1 + 預測IC!$C15:AS15) -1</f>
        <v>0.41965932656526173</v>
      </c>
      <c r="AU8" s="63" cm="1">
        <f t="array" ref="AU8">PRODUCT(1 + 預測IC!$C15:AT15) -1</f>
        <v>0.51229918264991081</v>
      </c>
      <c r="AV8" s="63" cm="1">
        <f t="array" ref="AV8">PRODUCT(1 + 預測IC!$C15:AU15) -1</f>
        <v>0.57270534374788262</v>
      </c>
      <c r="AW8" s="63" cm="1">
        <f t="array" ref="AW8">PRODUCT(1 + 預測IC!$C15:AV15) -1</f>
        <v>0.49843147419610911</v>
      </c>
      <c r="AX8" s="63" cm="1">
        <f t="array" ref="AX8">PRODUCT(1 + 預測IC!$C15:AW15) -1</f>
        <v>0.52189682005917226</v>
      </c>
      <c r="AY8" s="63" cm="1">
        <f t="array" ref="AY8">PRODUCT(1 + 預測IC!$C15:AX15) -1</f>
        <v>0.33130362843357974</v>
      </c>
      <c r="AZ8" s="63" cm="1">
        <f t="array" ref="AZ8">PRODUCT(1 + 預測IC!$C15:AY15) -1</f>
        <v>0.36872579656363769</v>
      </c>
      <c r="BA8" s="63" cm="1">
        <f t="array" ref="BA8">PRODUCT(1 + 預測IC!$C15:AZ15) -1</f>
        <v>0.24372926730707101</v>
      </c>
      <c r="BB8" s="63" cm="1">
        <f t="array" ref="BB8">PRODUCT(1 + 預測IC!$C15:BA15) -1</f>
        <v>0.25692960630234585</v>
      </c>
      <c r="BC8" s="63" cm="1">
        <f t="array" ref="BC8">PRODUCT(1 + 預測IC!$C15:BB15) -1</f>
        <v>0.39366984670421168</v>
      </c>
      <c r="BD8" s="63" cm="1">
        <f t="array" ref="BD8">PRODUCT(1 + 預測IC!$C15:BC15) -1</f>
        <v>0.48029359625163504</v>
      </c>
      <c r="BE8" s="63" cm="1">
        <f t="array" ref="BE8">PRODUCT(1 + 預測IC!$C15:BD15) -1</f>
        <v>0.54387194027881214</v>
      </c>
      <c r="BF8" s="63" cm="1">
        <f t="array" ref="BF8">PRODUCT(1 + 預測IC!$C15:BE15) -1</f>
        <v>0.47251863483975654</v>
      </c>
      <c r="BG8" s="63" cm="1">
        <f t="array" ref="BG8">PRODUCT(1 + 預測IC!$C15:BF15) -1</f>
        <v>0.54787902754766771</v>
      </c>
      <c r="BH8" s="63" cm="1">
        <f t="array" ref="BH8">PRODUCT(1 + 預測IC!$C15:BG15) -1</f>
        <v>0.29085183363121936</v>
      </c>
      <c r="BI8" s="63" cm="1">
        <f t="array" ref="BI8">PRODUCT(1 + 預測IC!$C15:BH15) -1</f>
        <v>0.33416835131765366</v>
      </c>
      <c r="BJ8" s="63" cm="1">
        <f t="array" ref="BJ8">PRODUCT(1 + 預測IC!$C15:BI15) -1</f>
        <v>0.24266220140384864</v>
      </c>
      <c r="BK8" s="63" cm="1">
        <f t="array" ref="BK8">PRODUCT(1 + 預測IC!$C15:BJ15) -1</f>
        <v>0.26207146991417885</v>
      </c>
      <c r="BL8" s="63" cm="1">
        <f t="array" ref="BL8">PRODUCT(1 + 預測IC!$C15:BK15) -1</f>
        <v>0.24799133651515448</v>
      </c>
      <c r="BM8" s="63" cm="1">
        <f t="array" ref="BM8">PRODUCT(1 + 預測IC!$C15:BL15) -1</f>
        <v>0.32630051654551995</v>
      </c>
      <c r="BN8" s="63" cm="1">
        <f t="array" ref="BN8">PRODUCT(1 + 預測IC!$C15:BM15) -1</f>
        <v>0.41278443914906382</v>
      </c>
      <c r="BO8" s="63" cm="1">
        <f t="array" ref="BO8">PRODUCT(1 + 預測IC!$C15:BN15) -1</f>
        <v>0.50610455225876994</v>
      </c>
      <c r="BP8" s="63" cm="1">
        <f t="array" ref="BP8">PRODUCT(1 + 預測IC!$C15:BO15) -1</f>
        <v>0.46433353176853709</v>
      </c>
      <c r="BQ8" s="63" cm="1">
        <f t="array" ref="BQ8">PRODUCT(1 + 預測IC!$C15:BP15) -1</f>
        <v>0.4851039617729811</v>
      </c>
      <c r="BR8" s="63" cm="1">
        <f t="array" ref="BR8">PRODUCT(1 + 預測IC!$C15:BQ15) -1</f>
        <v>0.50411764575455398</v>
      </c>
      <c r="BS8" s="63" cm="1">
        <f t="array" ref="BS8">PRODUCT(1 + 預測IC!$C15:BR15) -1</f>
        <v>0.42867497154638068</v>
      </c>
      <c r="BT8" s="63" cm="1">
        <f t="array" ref="BT8">PRODUCT(1 + 預測IC!$C15:BS15) -1</f>
        <v>0.40463926177629017</v>
      </c>
      <c r="BU8" s="63" cm="1">
        <f t="array" ref="BU8">PRODUCT(1 + 預測IC!$C15:BT15) -1</f>
        <v>0.45609634761738049</v>
      </c>
      <c r="BV8" s="63" cm="1">
        <f t="array" ref="BV8">PRODUCT(1 + 預測IC!$C15:BU15) -1</f>
        <v>0.48445589134669831</v>
      </c>
      <c r="BW8" s="63" cm="1">
        <f t="array" ref="BW8">PRODUCT(1 + 預測IC!$C15:BV15) -1</f>
        <v>0.57237863575583803</v>
      </c>
      <c r="BX8" s="63" cm="1">
        <f t="array" ref="BX8">PRODUCT(1 + 預測IC!$C15:BW15) -1</f>
        <v>0.25138407937954765</v>
      </c>
      <c r="BY8" s="63" cm="1">
        <f t="array" ref="BY8">PRODUCT(1 + 預測IC!$C15:BX15) -1</f>
        <v>0.22141414216866662</v>
      </c>
      <c r="BZ8" s="63" cm="1">
        <f t="array" ref="BZ8">PRODUCT(1 + 預測IC!$C15:BY15) -1</f>
        <v>0.10740930960604689</v>
      </c>
      <c r="CA8" s="63" cm="1">
        <f t="array" ref="CA8">PRODUCT(1 + 預測IC!$C15:BZ15) -1</f>
        <v>0.22136889137024718</v>
      </c>
      <c r="CB8" s="63" cm="1">
        <f t="array" ref="CB8">PRODUCT(1 + 預測IC!$C15:CA15) -1</f>
        <v>0.19866117554176399</v>
      </c>
      <c r="CC8" s="63" cm="1">
        <f t="array" ref="CC8">PRODUCT(1 + 預測IC!$C15:CB15) -1</f>
        <v>0.21670928981798543</v>
      </c>
      <c r="CD8" s="63" cm="1">
        <f t="array" ref="CD8">PRODUCT(1 + 預測IC!$C15:CC15) -1</f>
        <v>0.17368822186555399</v>
      </c>
      <c r="CE8" s="63" cm="1">
        <f t="array" ref="CE8">PRODUCT(1 + 預測IC!$C15:CD15) -1</f>
        <v>0.3147093076456271</v>
      </c>
      <c r="CF8" s="63" cm="1">
        <f t="array" ref="CF8">PRODUCT(1 + 預測IC!$C15:CE15) -1</f>
        <v>0.41116705795778685</v>
      </c>
      <c r="CG8" s="63" cm="1">
        <f t="array" ref="CG8">PRODUCT(1 + 預測IC!$C15:CF15) -1</f>
        <v>0.41628510253510131</v>
      </c>
      <c r="CH8" s="63" cm="1">
        <f t="array" ref="CH8">PRODUCT(1 + 預測IC!$C15:CG15) -1</f>
        <v>0.41019666389096443</v>
      </c>
      <c r="CI8" s="63" cm="1">
        <f t="array" ref="CI8">PRODUCT(1 + 預測IC!$C15:CH15) -1</f>
        <v>0.29548758948068432</v>
      </c>
      <c r="CJ8" s="63" cm="1">
        <f t="array" ref="CJ8">PRODUCT(1 + 預測IC!$C15:CI15) -1</f>
        <v>0.20566256763243573</v>
      </c>
      <c r="CK8" s="63" cm="1">
        <f t="array" ref="CK8">PRODUCT(1 + 預測IC!$C15:CJ15) -1</f>
        <v>0.10071644579189054</v>
      </c>
      <c r="CL8" s="63" cm="1">
        <f t="array" ref="CL8">PRODUCT(1 + 預測IC!$C15:CK15) -1</f>
        <v>0.16309695901977861</v>
      </c>
      <c r="CM8" s="63" cm="1">
        <f t="array" ref="CM8">PRODUCT(1 + 預測IC!$C15:CL15) -1</f>
        <v>0.41054686930752871</v>
      </c>
      <c r="CN8" s="63" cm="1">
        <f t="array" ref="CN8">PRODUCT(1 + 預測IC!$C15:CM15) -1</f>
        <v>0.51581755651544592</v>
      </c>
      <c r="CO8" s="63" cm="1">
        <f t="array" ref="CO8">PRODUCT(1 + 預測IC!$C15:CN15) -1</f>
        <v>0.58044309775032565</v>
      </c>
      <c r="CP8" s="63" cm="1">
        <f t="array" ref="CP8">PRODUCT(1 + 預測IC!$C15:CO15) -1</f>
        <v>0.37585627986499315</v>
      </c>
      <c r="CQ8" s="63" cm="1">
        <f t="array" ref="CQ8">PRODUCT(1 + 預測IC!$C15:CP15) -1</f>
        <v>0.1968591008755074</v>
      </c>
      <c r="CR8" s="63" cm="1">
        <f t="array" ref="CR8">PRODUCT(1 + 預測IC!$C15:CQ15) -1</f>
        <v>0.2409948652970022</v>
      </c>
      <c r="CS8" s="63" cm="1">
        <f t="array" ref="CS8">PRODUCT(1 + 預測IC!$C15:CR15) -1</f>
        <v>0.21074646094797522</v>
      </c>
      <c r="CT8" s="63" cm="1">
        <f t="array" ref="CT8">PRODUCT(1 + 預測IC!$C15:CS15) -1</f>
        <v>0.2836154455098161</v>
      </c>
      <c r="CU8" s="63" cm="1">
        <f t="array" ref="CU8">PRODUCT(1 + 預測IC!$C15:CT15) -1</f>
        <v>0.29310723616129009</v>
      </c>
      <c r="CV8" s="63" cm="1">
        <f t="array" ref="CV8">PRODUCT(1 + 預測IC!$C15:CU15) -1</f>
        <v>0.21141045385452406</v>
      </c>
      <c r="CW8" s="63" cm="1">
        <f t="array" ref="CW8">PRODUCT(1 + 預測IC!$C15:CV15) -1</f>
        <v>0.28463354781061567</v>
      </c>
      <c r="CX8" s="63" cm="1">
        <f t="array" ref="CX8">PRODUCT(1 + 預測IC!$C15:CW15) -1</f>
        <v>0.24961772397378734</v>
      </c>
      <c r="CY8" s="63" cm="1">
        <f t="array" ref="CY8">PRODUCT(1 + 預測IC!$C15:CX15) -1</f>
        <v>0.27194700789580528</v>
      </c>
      <c r="CZ8" s="63" cm="1">
        <f t="array" ref="CZ8">PRODUCT(1 + 預測IC!$C15:CY15) -1</f>
        <v>0.20105795312024322</v>
      </c>
      <c r="DA8" s="63" cm="1">
        <f t="array" ref="DA8">PRODUCT(1 + 預測IC!$C15:CZ15) -1</f>
        <v>0.33961685698328425</v>
      </c>
      <c r="DB8" s="63" cm="1">
        <f t="array" ref="DB8">PRODUCT(1 + 預測IC!$C15:DA15) -1</f>
        <v>0.30428334320832939</v>
      </c>
      <c r="DC8" s="63" cm="1">
        <f t="array" ref="DC8">PRODUCT(1 + 預測IC!$C15:DB15) -1</f>
        <v>0.43086174811765265</v>
      </c>
      <c r="DD8" s="63" cm="1">
        <f t="array" ref="DD8">PRODUCT(1 + 預測IC!$C15:DC15) -1</f>
        <v>0.46637732057077641</v>
      </c>
      <c r="DE8" s="63" cm="1">
        <f t="array" ref="DE8">PRODUCT(1 + 預測IC!$C15:DD15) -1</f>
        <v>0.36735812577426463</v>
      </c>
      <c r="DF8" s="63" cm="1">
        <f t="array" ref="DF8">PRODUCT(1 + 預測IC!$C15:DE15) -1</f>
        <v>0.40147195360852317</v>
      </c>
      <c r="DG8" s="63" cm="1">
        <f t="array" ref="DG8">PRODUCT(1 + 預測IC!$C15:DF15) -1</f>
        <v>0.34206172661294576</v>
      </c>
      <c r="DH8" s="63" cm="1">
        <f t="array" ref="DH8">PRODUCT(1 + 預測IC!$C15:DG15) -1</f>
        <v>0.40636994923256164</v>
      </c>
      <c r="DI8" s="63" cm="1">
        <f t="array" ref="DI8">PRODUCT(1 + 預測IC!$C15:DH15) -1</f>
        <v>0.38005815832057177</v>
      </c>
      <c r="DJ8" s="63" cm="1">
        <f t="array" ref="DJ8">PRODUCT(1 + 預測IC!$C15:DI15) -1</f>
        <v>0.36388601716220603</v>
      </c>
      <c r="DK8" s="63" cm="1">
        <f t="array" ref="DK8">PRODUCT(1 + 預測IC!$C15:DJ15) -1</f>
        <v>0.29361477591527141</v>
      </c>
      <c r="DL8" s="63" cm="1">
        <f t="array" ref="DL8">PRODUCT(1 + 預測IC!$C15:DK15) -1</f>
        <v>0.42527220506057506</v>
      </c>
      <c r="DM8" s="63" cm="1">
        <f t="array" ref="DM8">PRODUCT(1 + 預測IC!$C15:DL15) -1</f>
        <v>0.43630072447198009</v>
      </c>
      <c r="DN8" s="63" cm="1">
        <f t="array" ref="DN8">PRODUCT(1 + 預測IC!$C15:DM15) -1</f>
        <v>0.40210449135732262</v>
      </c>
      <c r="DO8" s="63" cm="1">
        <f t="array" ref="DO8">PRODUCT(1 + 預測IC!$C15:DN15) -1</f>
        <v>0.46379217799897043</v>
      </c>
      <c r="DP8" s="63" cm="1">
        <f t="array" ref="DP8">PRODUCT(1 + 預測IC!$C15:DO15) -1</f>
        <v>0.69733350318230114</v>
      </c>
      <c r="DQ8" s="63" cm="1">
        <f t="array" ref="DQ8">PRODUCT(1 + 預測IC!$C15:DP15) -1</f>
        <v>0.73762073568680098</v>
      </c>
      <c r="DR8" s="63" cm="1">
        <f t="array" ref="DR8">PRODUCT(1 + 預測IC!$C15:DQ15) -1</f>
        <v>0.56442822803516313</v>
      </c>
      <c r="DS8" s="63" cm="1">
        <f t="array" ref="DS8">PRODUCT(1 + 預測IC!$C15:DR15) -1</f>
        <v>0.62666995634610623</v>
      </c>
      <c r="DT8" s="63" cm="1">
        <f t="array" ref="DT8">PRODUCT(1 + 預測IC!$C15:DS15) -1</f>
        <v>0.68771911368707705</v>
      </c>
      <c r="DU8" s="63" cm="1">
        <f t="array" ref="DU8">PRODUCT(1 + 預測IC!$C15:DT15) -1</f>
        <v>0.56592717312325846</v>
      </c>
      <c r="DV8" s="63" cm="1">
        <f t="array" ref="DV8">PRODUCT(1 + 預測IC!$C15:DU15) -1</f>
        <v>0.49425354492416229</v>
      </c>
      <c r="DW8" s="63" cm="1">
        <f t="array" ref="DW8">PRODUCT(1 + 預測IC!$C15:DV15) -1</f>
        <v>0.70310290775128514</v>
      </c>
      <c r="DX8" s="63" cm="1">
        <f t="array" ref="DX8">PRODUCT(1 + 預測IC!$C15:DW15) -1</f>
        <v>0.74659781790503144</v>
      </c>
      <c r="DY8" s="63" cm="1">
        <f t="array" ref="DY8">PRODUCT(1 + 預測IC!$C15:DX15) -1</f>
        <v>0.53942293335168889</v>
      </c>
      <c r="DZ8" s="63" cm="1">
        <f t="array" ref="DZ8">PRODUCT(1 + 預測IC!$C15:DY15) -1</f>
        <v>0.37541409698591832</v>
      </c>
      <c r="EA8" s="63" cm="1">
        <f t="array" ref="EA8">PRODUCT(1 + 預測IC!$C15:DZ15) -1</f>
        <v>0.34939092657447279</v>
      </c>
      <c r="EB8" s="63" cm="1">
        <f t="array" ref="EB8">PRODUCT(1 + 預測IC!$C15:EA15) -1</f>
        <v>0.39289487348895658</v>
      </c>
      <c r="EC8" s="63" cm="1">
        <f t="array" ref="EC8">PRODUCT(1 + 預測IC!$C15:EB15) -1</f>
        <v>0.31471658685762094</v>
      </c>
      <c r="ED8" s="63" cm="1">
        <f t="array" ref="ED8">PRODUCT(1 + 預測IC!$C15:EC15) -1</f>
        <v>0.38142070334782829</v>
      </c>
      <c r="EE8" s="63" cm="1">
        <f t="array" ref="EE8">PRODUCT(1 + 預測IC!$C15:ED15) -1</f>
        <v>0.2248269194082313</v>
      </c>
      <c r="EF8" s="63" cm="1">
        <f t="array" ref="EF8">PRODUCT(1 + 預測IC!$C15:EE15) -1</f>
        <v>0.22873499977080924</v>
      </c>
      <c r="EG8" s="63" cm="1">
        <f t="array" ref="EG8">PRODUCT(1 + 預測IC!$C15:EF15) -1</f>
        <v>0.30517252169448783</v>
      </c>
    </row>
    <row r="9" spans="3:137" ht="16">
      <c r="C9" s="6">
        <v>107</v>
      </c>
      <c r="D9" s="63" cm="1">
        <f t="array" ref="D9">PRODUCT(1 + 預測IC!$C16:C16) -1</f>
        <v>-2.738364461037901E-2</v>
      </c>
      <c r="E9" s="63" cm="1">
        <f t="array" ref="E9">PRODUCT(1 + 預測IC!$C16:D16) -1</f>
        <v>-2.8084170244159101E-2</v>
      </c>
      <c r="F9" s="63" cm="1">
        <f t="array" ref="F9">PRODUCT(1 + 預測IC!$C16:E16) -1</f>
        <v>-9.1265091576902657E-2</v>
      </c>
      <c r="G9" s="63" cm="1">
        <f t="array" ref="G9">PRODUCT(1 + 預測IC!$C16:F16) -1</f>
        <v>-0.1815774321207928</v>
      </c>
      <c r="H9" s="63" cm="1">
        <f t="array" ref="H9">PRODUCT(1 + 預測IC!$C16:G16) -1</f>
        <v>-0.24189211866907667</v>
      </c>
      <c r="I9" s="63" cm="1">
        <f t="array" ref="I9">PRODUCT(1 + 預測IC!$C16:H16) -1</f>
        <v>-0.24238439561003222</v>
      </c>
      <c r="J9" s="63" cm="1">
        <f t="array" ref="J9">PRODUCT(1 + 預測IC!$C16:I16) -1</f>
        <v>-0.19879830117874864</v>
      </c>
      <c r="K9" s="63" cm="1">
        <f t="array" ref="K9">PRODUCT(1 + 預測IC!$C16:J16) -1</f>
        <v>-0.16137422908154941</v>
      </c>
      <c r="L9" s="63" cm="1">
        <f t="array" ref="L9">PRODUCT(1 + 預測IC!$C16:K16) -1</f>
        <v>-0.14634177448612717</v>
      </c>
      <c r="M9" s="63" cm="1">
        <f t="array" ref="M9">PRODUCT(1 + 預測IC!$C16:L16) -1</f>
        <v>-0.13790205291336566</v>
      </c>
      <c r="N9" s="63" cm="1">
        <f t="array" ref="N9">PRODUCT(1 + 預測IC!$C16:M16) -1</f>
        <v>-0.10312980229787694</v>
      </c>
      <c r="O9" s="63" cm="1">
        <f t="array" ref="O9">PRODUCT(1 + 預測IC!$C16:N16) -1</f>
        <v>5.0760698057747966E-3</v>
      </c>
      <c r="P9" s="63" cm="1">
        <f t="array" ref="P9">PRODUCT(1 + 預測IC!$C16:O16) -1</f>
        <v>8.6471539853187451E-2</v>
      </c>
      <c r="Q9" s="63" cm="1">
        <f t="array" ref="Q9">PRODUCT(1 + 預測IC!$C16:P16) -1</f>
        <v>0.15381075828352841</v>
      </c>
      <c r="R9" s="63" cm="1">
        <f t="array" ref="R9">PRODUCT(1 + 預測IC!$C16:Q16) -1</f>
        <v>0.26528984593844029</v>
      </c>
      <c r="S9" s="63" cm="1">
        <f t="array" ref="S9">PRODUCT(1 + 預測IC!$C16:R16) -1</f>
        <v>0.20330205857446271</v>
      </c>
      <c r="T9" s="63" cm="1">
        <f t="array" ref="T9">PRODUCT(1 + 預測IC!$C16:S16) -1</f>
        <v>0.3354956727755587</v>
      </c>
      <c r="U9" s="63" cm="1">
        <f t="array" ref="U9">PRODUCT(1 + 預測IC!$C16:T16) -1</f>
        <v>0.24572490880704234</v>
      </c>
      <c r="V9" s="63" cm="1">
        <f t="array" ref="V9">PRODUCT(1 + 預測IC!$C16:U16) -1</f>
        <v>0.18511850373272987</v>
      </c>
      <c r="W9" s="63" cm="1">
        <f t="array" ref="W9">PRODUCT(1 + 預測IC!$C16:V16) -1</f>
        <v>0.30874553367663116</v>
      </c>
      <c r="X9" s="63" cm="1">
        <f t="array" ref="X9">PRODUCT(1 + 預測IC!$C16:W16) -1</f>
        <v>0.45064592576627982</v>
      </c>
      <c r="Y9" s="63" cm="1">
        <f t="array" ref="Y9">PRODUCT(1 + 預測IC!$C16:X16) -1</f>
        <v>0.34376483246499845</v>
      </c>
      <c r="Z9" s="63" cm="1">
        <f t="array" ref="Z9">PRODUCT(1 + 預測IC!$C16:Y16) -1</f>
        <v>0.33800351184206856</v>
      </c>
      <c r="AA9" s="63" cm="1">
        <f t="array" ref="AA9">PRODUCT(1 + 預測IC!$C16:Z16) -1</f>
        <v>0.31114202779171518</v>
      </c>
      <c r="AB9" s="63" cm="1">
        <f t="array" ref="AB9">PRODUCT(1 + 預測IC!$C16:AA16) -1</f>
        <v>0.2541235607578447</v>
      </c>
      <c r="AC9" s="63" cm="1">
        <f t="array" ref="AC9">PRODUCT(1 + 預測IC!$C16:AB16) -1</f>
        <v>0.3481640681804441</v>
      </c>
      <c r="AD9" s="63" cm="1">
        <f t="array" ref="AD9">PRODUCT(1 + 預測IC!$C16:AC16) -1</f>
        <v>0.40968012454727343</v>
      </c>
      <c r="AE9" s="63" cm="1">
        <f t="array" ref="AE9">PRODUCT(1 + 預測IC!$C16:AD16) -1</f>
        <v>0.45875274162664015</v>
      </c>
      <c r="AF9" s="63" cm="1">
        <f t="array" ref="AF9">PRODUCT(1 + 預測IC!$C16:AE16) -1</f>
        <v>0.3179796586904442</v>
      </c>
      <c r="AG9" s="63" cm="1">
        <f t="array" ref="AG9">PRODUCT(1 + 預測IC!$C16:AF16) -1</f>
        <v>0.33776071852566547</v>
      </c>
      <c r="AH9" s="63" cm="1">
        <f t="array" ref="AH9">PRODUCT(1 + 預測IC!$C16:AG16) -1</f>
        <v>0.3555405658575681</v>
      </c>
      <c r="AI9" s="63" cm="1">
        <f t="array" ref="AI9">PRODUCT(1 + 預測IC!$C16:AH16) -1</f>
        <v>0.31248127695764127</v>
      </c>
      <c r="AJ9" s="63" cm="1">
        <f t="array" ref="AJ9">PRODUCT(1 + 預測IC!$C16:AI16) -1</f>
        <v>0.37689528973660558</v>
      </c>
      <c r="AK9" s="63" cm="1">
        <f t="array" ref="AK9">PRODUCT(1 + 預測IC!$C16:AJ16) -1</f>
        <v>0.36722127014639039</v>
      </c>
      <c r="AL9" s="63" cm="1">
        <f t="array" ref="AL9">PRODUCT(1 + 預測IC!$C16:AK16) -1</f>
        <v>0.35630104453781031</v>
      </c>
      <c r="AM9" s="63" cm="1">
        <f t="array" ref="AM9">PRODUCT(1 + 預測IC!$C16:AL16) -1</f>
        <v>0.37593012702602491</v>
      </c>
      <c r="AN9" s="63" cm="1">
        <f t="array" ref="AN9">PRODUCT(1 + 預測IC!$C16:AM16) -1</f>
        <v>0.46684709135642133</v>
      </c>
      <c r="AO9" s="63" cm="1">
        <f t="array" ref="AO9">PRODUCT(1 + 預測IC!$C16:AN16) -1</f>
        <v>0.62300205881481929</v>
      </c>
      <c r="AP9" s="63" cm="1">
        <f t="array" ref="AP9">PRODUCT(1 + 預測IC!$C16:AO16) -1</f>
        <v>0.71842687429119323</v>
      </c>
      <c r="AQ9" s="63" cm="1">
        <f t="array" ref="AQ9">PRODUCT(1 + 預測IC!$C16:AP16) -1</f>
        <v>0.58473606769381403</v>
      </c>
      <c r="AR9" s="63" cm="1">
        <f t="array" ref="AR9">PRODUCT(1 + 預測IC!$C16:AQ16) -1</f>
        <v>0.52377729293521003</v>
      </c>
      <c r="AS9" s="63" cm="1">
        <f t="array" ref="AS9">PRODUCT(1 + 預測IC!$C16:AR16) -1</f>
        <v>0.68117004614809318</v>
      </c>
      <c r="AT9" s="63" cm="1">
        <f t="array" ref="AT9">PRODUCT(1 + 預測IC!$C16:AS16) -1</f>
        <v>0.79056079777094079</v>
      </c>
      <c r="AU9" s="63" cm="1">
        <f t="array" ref="AU9">PRODUCT(1 + 預測IC!$C16:AT16) -1</f>
        <v>0.89775655019759104</v>
      </c>
      <c r="AV9" s="63" cm="1">
        <f t="array" ref="AV9">PRODUCT(1 + 預測IC!$C16:AU16) -1</f>
        <v>0.97713370646987352</v>
      </c>
      <c r="AW9" s="63" cm="1">
        <f t="array" ref="AW9">PRODUCT(1 + 預測IC!$C16:AV16) -1</f>
        <v>0.95919614751292204</v>
      </c>
      <c r="AX9" s="63" cm="1">
        <f t="array" ref="AX9">PRODUCT(1 + 預測IC!$C16:AW16) -1</f>
        <v>1.0361003368937718</v>
      </c>
      <c r="AY9" s="63" cm="1">
        <f t="array" ref="AY9">PRODUCT(1 + 預測IC!$C16:AX16) -1</f>
        <v>0.8308008016227959</v>
      </c>
      <c r="AZ9" s="63" cm="1">
        <f t="array" ref="AZ9">PRODUCT(1 + 預測IC!$C16:AY16) -1</f>
        <v>0.89270491821476727</v>
      </c>
      <c r="BA9" s="63" cm="1">
        <f t="array" ref="BA9">PRODUCT(1 + 預測IC!$C16:AZ16) -1</f>
        <v>0.69414193574390159</v>
      </c>
      <c r="BB9" s="63" cm="1">
        <f t="array" ref="BB9">PRODUCT(1 + 預測IC!$C16:BA16) -1</f>
        <v>0.7107584162119871</v>
      </c>
      <c r="BC9" s="63" cm="1">
        <f t="array" ref="BC9">PRODUCT(1 + 預測IC!$C16:BB16) -1</f>
        <v>0.93739068849079676</v>
      </c>
      <c r="BD9" s="63" cm="1">
        <f t="array" ref="BD9">PRODUCT(1 + 預測IC!$C16:BC16) -1</f>
        <v>1.0654565626352706</v>
      </c>
      <c r="BE9" s="63" cm="1">
        <f t="array" ref="BE9">PRODUCT(1 + 預測IC!$C16:BD16) -1</f>
        <v>1.1396822793372885</v>
      </c>
      <c r="BF9" s="63" cm="1">
        <f t="array" ref="BF9">PRODUCT(1 + 預測IC!$C16:BE16) -1</f>
        <v>1.045238550843286</v>
      </c>
      <c r="BG9" s="63" cm="1">
        <f t="array" ref="BG9">PRODUCT(1 + 預測IC!$C16:BF16) -1</f>
        <v>1.1766820531256643</v>
      </c>
      <c r="BH9" s="63" cm="1">
        <f t="array" ref="BH9">PRODUCT(1 + 預測IC!$C16:BG16) -1</f>
        <v>0.82573654257823281</v>
      </c>
      <c r="BI9" s="63" cm="1">
        <f t="array" ref="BI9">PRODUCT(1 + 預測IC!$C16:BH16) -1</f>
        <v>0.81585477993401256</v>
      </c>
      <c r="BJ9" s="63" cm="1">
        <f t="array" ref="BJ9">PRODUCT(1 + 預測IC!$C16:BI16) -1</f>
        <v>0.72082063944182817</v>
      </c>
      <c r="BK9" s="63" cm="1">
        <f t="array" ref="BK9">PRODUCT(1 + 預測IC!$C16:BJ16) -1</f>
        <v>0.75610402968929535</v>
      </c>
      <c r="BL9" s="63" cm="1">
        <f t="array" ref="BL9">PRODUCT(1 + 預測IC!$C16:BK16) -1</f>
        <v>0.75237590545650024</v>
      </c>
      <c r="BM9" s="63" cm="1">
        <f t="array" ref="BM9">PRODUCT(1 + 預測IC!$C16:BL16) -1</f>
        <v>0.87613494035978778</v>
      </c>
      <c r="BN9" s="63" cm="1">
        <f t="array" ref="BN9">PRODUCT(1 + 預測IC!$C16:BM16) -1</f>
        <v>1.0470642897227651</v>
      </c>
      <c r="BO9" s="63" cm="1">
        <f t="array" ref="BO9">PRODUCT(1 + 預測IC!$C16:BN16) -1</f>
        <v>1.1846228552800513</v>
      </c>
      <c r="BP9" s="63" cm="1">
        <f t="array" ref="BP9">PRODUCT(1 + 預測IC!$C16:BO16) -1</f>
        <v>1.1368006746149835</v>
      </c>
      <c r="BQ9" s="63" cm="1">
        <f t="array" ref="BQ9">PRODUCT(1 + 預測IC!$C16:BP16) -1</f>
        <v>1.1619020951906185</v>
      </c>
      <c r="BR9" s="63" cm="1">
        <f t="array" ref="BR9">PRODUCT(1 + 預測IC!$C16:BQ16) -1</f>
        <v>1.1906823168336644</v>
      </c>
      <c r="BS9" s="63" cm="1">
        <f t="array" ref="BS9">PRODUCT(1 + 預測IC!$C16:BR16) -1</f>
        <v>1.1330742768846238</v>
      </c>
      <c r="BT9" s="63" cm="1">
        <f t="array" ref="BT9">PRODUCT(1 + 預測IC!$C16:BS16) -1</f>
        <v>1.1049356715321261</v>
      </c>
      <c r="BU9" s="63" cm="1">
        <f t="array" ref="BU9">PRODUCT(1 + 預測IC!$C16:BT16) -1</f>
        <v>1.1850623174364134</v>
      </c>
      <c r="BV9" s="63" cm="1">
        <f t="array" ref="BV9">PRODUCT(1 + 預測IC!$C16:BU16) -1</f>
        <v>1.3112826829637831</v>
      </c>
      <c r="BW9" s="63" cm="1">
        <f t="array" ref="BW9">PRODUCT(1 + 預測IC!$C16:BV16) -1</f>
        <v>1.4587020437615204</v>
      </c>
      <c r="BX9" s="63" cm="1">
        <f t="array" ref="BX9">PRODUCT(1 + 預測IC!$C16:BW16) -1</f>
        <v>0.90808822601564554</v>
      </c>
      <c r="BY9" s="63" cm="1">
        <f t="array" ref="BY9">PRODUCT(1 + 預測IC!$C16:BX16) -1</f>
        <v>0.86214475903526377</v>
      </c>
      <c r="BZ9" s="63" cm="1">
        <f t="array" ref="BZ9">PRODUCT(1 + 預測IC!$C16:BY16) -1</f>
        <v>0.64055938708091986</v>
      </c>
      <c r="CA9" s="63" cm="1">
        <f t="array" ref="CA9">PRODUCT(1 + 預測IC!$C16:BZ16) -1</f>
        <v>0.82352416474246515</v>
      </c>
      <c r="CB9" s="63" cm="1">
        <f t="array" ref="CB9">PRODUCT(1 + 預測IC!$C16:CA16) -1</f>
        <v>0.79231253606887053</v>
      </c>
      <c r="CC9" s="63" cm="1">
        <f t="array" ref="CC9">PRODUCT(1 + 預測IC!$C16:CB16) -1</f>
        <v>0.7897530331326259</v>
      </c>
      <c r="CD9" s="63" cm="1">
        <f t="array" ref="CD9">PRODUCT(1 + 預測IC!$C16:CC16) -1</f>
        <v>0.75273528353291019</v>
      </c>
      <c r="CE9" s="63" cm="1">
        <f t="array" ref="CE9">PRODUCT(1 + 預測IC!$C16:CD16) -1</f>
        <v>1.0245341727747506</v>
      </c>
      <c r="CF9" s="63" cm="1">
        <f t="array" ref="CF9">PRODUCT(1 + 預測IC!$C16:CE16) -1</f>
        <v>1.2140593814150571</v>
      </c>
      <c r="CG9" s="63" cm="1">
        <f t="array" ref="CG9">PRODUCT(1 + 預測IC!$C16:CF16) -1</f>
        <v>1.2465973374957464</v>
      </c>
      <c r="CH9" s="63" cm="1">
        <f t="array" ref="CH9">PRODUCT(1 + 預測IC!$C16:CG16) -1</f>
        <v>1.2610834455358182</v>
      </c>
      <c r="CI9" s="63" cm="1">
        <f t="array" ref="CI9">PRODUCT(1 + 預測IC!$C16:CH16) -1</f>
        <v>1.1470146692592187</v>
      </c>
      <c r="CJ9" s="63" cm="1">
        <f t="array" ref="CJ9">PRODUCT(1 + 預測IC!$C16:CI16) -1</f>
        <v>1.0217476354688007</v>
      </c>
      <c r="CK9" s="63" cm="1">
        <f t="array" ref="CK9">PRODUCT(1 + 預測IC!$C16:CJ16) -1</f>
        <v>0.92971050430569191</v>
      </c>
      <c r="CL9" s="63" cm="1">
        <f t="array" ref="CL9">PRODUCT(1 + 預測IC!$C16:CK16) -1</f>
        <v>1.0772812242813168</v>
      </c>
      <c r="CM9" s="63" cm="1">
        <f t="array" ref="CM9">PRODUCT(1 + 預測IC!$C16:CL16) -1</f>
        <v>1.5840093768004642</v>
      </c>
      <c r="CN9" s="63" cm="1">
        <f t="array" ref="CN9">PRODUCT(1 + 預測IC!$C16:CM16) -1</f>
        <v>1.813956826367412</v>
      </c>
      <c r="CO9" s="63" cm="1">
        <f t="array" ref="CO9">PRODUCT(1 + 預測IC!$C16:CN16) -1</f>
        <v>1.9069792467610323</v>
      </c>
      <c r="CP9" s="63" cm="1">
        <f t="array" ref="CP9">PRODUCT(1 + 預測IC!$C16:CO16) -1</f>
        <v>1.410238437998578</v>
      </c>
      <c r="CQ9" s="63" cm="1">
        <f t="array" ref="CQ9">PRODUCT(1 + 預測IC!$C16:CP16) -1</f>
        <v>1.1423369402832901</v>
      </c>
      <c r="CR9" s="63" cm="1">
        <f t="array" ref="CR9">PRODUCT(1 + 預測IC!$C16:CQ16) -1</f>
        <v>1.2299117674745843</v>
      </c>
      <c r="CS9" s="63" cm="1">
        <f t="array" ref="CS9">PRODUCT(1 + 預測IC!$C16:CR16) -1</f>
        <v>1.1736540894405456</v>
      </c>
      <c r="CT9" s="63" cm="1">
        <f t="array" ref="CT9">PRODUCT(1 + 預測IC!$C16:CS16) -1</f>
        <v>1.3148294494775521</v>
      </c>
      <c r="CU9" s="63" cm="1">
        <f t="array" ref="CU9">PRODUCT(1 + 預測IC!$C16:CT16) -1</f>
        <v>1.3265596312781724</v>
      </c>
      <c r="CV9" s="63" cm="1">
        <f t="array" ref="CV9">PRODUCT(1 + 預測IC!$C16:CU16) -1</f>
        <v>1.1773960549889018</v>
      </c>
      <c r="CW9" s="63" cm="1">
        <f t="array" ref="CW9">PRODUCT(1 + 預測IC!$C16:CV16) -1</f>
        <v>1.3068509443341196</v>
      </c>
      <c r="CX9" s="63" cm="1">
        <f t="array" ref="CX9">PRODUCT(1 + 預測IC!$C16:CW16) -1</f>
        <v>1.233785790997171</v>
      </c>
      <c r="CY9" s="63" cm="1">
        <f t="array" ref="CY9">PRODUCT(1 + 預測IC!$C16:CX16) -1</f>
        <v>1.2487226199623542</v>
      </c>
      <c r="CZ9" s="63" cm="1">
        <f t="array" ref="CZ9">PRODUCT(1 + 預測IC!$C16:CY16) -1</f>
        <v>1.1170502271788569</v>
      </c>
      <c r="DA9" s="63" cm="1">
        <f t="array" ref="DA9">PRODUCT(1 + 預測IC!$C16:CZ16) -1</f>
        <v>1.4689427533312744</v>
      </c>
      <c r="DB9" s="63" cm="1">
        <f t="array" ref="DB9">PRODUCT(1 + 預測IC!$C16:DA16) -1</f>
        <v>1.3953564232513367</v>
      </c>
      <c r="DC9" s="63" cm="1">
        <f t="array" ref="DC9">PRODUCT(1 + 預測IC!$C16:DB16) -1</f>
        <v>1.6301427514014728</v>
      </c>
      <c r="DD9" s="63" cm="1">
        <f t="array" ref="DD9">PRODUCT(1 + 預測IC!$C16:DC16) -1</f>
        <v>1.7231386002181184</v>
      </c>
      <c r="DE9" s="63" cm="1">
        <f t="array" ref="DE9">PRODUCT(1 + 預測IC!$C16:DD16) -1</f>
        <v>1.5206157462132852</v>
      </c>
      <c r="DF9" s="63" cm="1">
        <f t="array" ref="DF9">PRODUCT(1 + 預測IC!$C16:DE16) -1</f>
        <v>1.4419898565117619</v>
      </c>
      <c r="DG9" s="63" cm="1">
        <f t="array" ref="DG9">PRODUCT(1 + 預測IC!$C16:DF16) -1</f>
        <v>1.3854665013605199</v>
      </c>
      <c r="DH9" s="63" cm="1">
        <f t="array" ref="DH9">PRODUCT(1 + 預測IC!$C16:DG16) -1</f>
        <v>1.4944272520474335</v>
      </c>
      <c r="DI9" s="63" cm="1">
        <f t="array" ref="DI9">PRODUCT(1 + 預測IC!$C16:DH16) -1</f>
        <v>1.446710496511872</v>
      </c>
      <c r="DJ9" s="63" cm="1">
        <f t="array" ref="DJ9">PRODUCT(1 + 預測IC!$C16:DI16) -1</f>
        <v>1.4143321349162337</v>
      </c>
      <c r="DK9" s="63" cm="1">
        <f t="array" ref="DK9">PRODUCT(1 + 預測IC!$C16:DJ16) -1</f>
        <v>1.3258634178950492</v>
      </c>
      <c r="DL9" s="63" cm="1">
        <f t="array" ref="DL9">PRODUCT(1 + 預測IC!$C16:DK16) -1</f>
        <v>1.6365856448077123</v>
      </c>
      <c r="DM9" s="63" cm="1">
        <f t="array" ref="DM9">PRODUCT(1 + 預測IC!$C16:DL16) -1</f>
        <v>1.6401871472059373</v>
      </c>
      <c r="DN9" s="63" cm="1">
        <f t="array" ref="DN9">PRODUCT(1 + 預測IC!$C16:DM16) -1</f>
        <v>1.5601077634914167</v>
      </c>
      <c r="DO9" s="63" cm="1">
        <f t="array" ref="DO9">PRODUCT(1 + 預測IC!$C16:DN16) -1</f>
        <v>1.6687532413427455</v>
      </c>
      <c r="DP9" s="63" cm="1">
        <f t="array" ref="DP9">PRODUCT(1 + 預測IC!$C16:DO16) -1</f>
        <v>2.1213496292183023</v>
      </c>
      <c r="DQ9" s="63" cm="1">
        <f t="array" ref="DQ9">PRODUCT(1 + 預測IC!$C16:DP16) -1</f>
        <v>2.1832832880590383</v>
      </c>
      <c r="DR9" s="63" cm="1">
        <f t="array" ref="DR9">PRODUCT(1 + 預測IC!$C16:DQ16) -1</f>
        <v>1.9189636319560632</v>
      </c>
      <c r="DS9" s="63" cm="1">
        <f t="array" ref="DS9">PRODUCT(1 + 預測IC!$C16:DR16) -1</f>
        <v>2.0800648883231334</v>
      </c>
      <c r="DT9" s="63" cm="1">
        <f t="array" ref="DT9">PRODUCT(1 + 預測IC!$C16:DS16) -1</f>
        <v>2.1461035515269109</v>
      </c>
      <c r="DU9" s="63" cm="1">
        <f t="array" ref="DU9">PRODUCT(1 + 預測IC!$C16:DT16) -1</f>
        <v>1.8293119263446163</v>
      </c>
      <c r="DV9" s="63" cm="1">
        <f t="array" ref="DV9">PRODUCT(1 + 預測IC!$C16:DU16) -1</f>
        <v>1.6468956224544926</v>
      </c>
      <c r="DW9" s="63" cm="1">
        <f t="array" ref="DW9">PRODUCT(1 + 預測IC!$C16:DV16) -1</f>
        <v>2.009397856211196</v>
      </c>
      <c r="DX9" s="63" cm="1">
        <f t="array" ref="DX9">PRODUCT(1 + 預測IC!$C16:DW16) -1</f>
        <v>2.1325355842504745</v>
      </c>
      <c r="DY9" s="63" cm="1">
        <f t="array" ref="DY9">PRODUCT(1 + 預測IC!$C16:DX16) -1</f>
        <v>1.7400767835282451</v>
      </c>
      <c r="DZ9" s="63" cm="1">
        <f t="array" ref="DZ9">PRODUCT(1 + 預測IC!$C16:DY16) -1</f>
        <v>1.4212569717775438</v>
      </c>
      <c r="EA9" s="63" cm="1">
        <f t="array" ref="EA9">PRODUCT(1 + 預測IC!$C16:DZ16) -1</f>
        <v>1.3455271241952032</v>
      </c>
      <c r="EB9" s="63" cm="1">
        <f t="array" ref="EB9">PRODUCT(1 + 預測IC!$C16:EA16) -1</f>
        <v>1.454972636831311</v>
      </c>
      <c r="EC9" s="63" cm="1">
        <f t="array" ref="EC9">PRODUCT(1 + 預測IC!$C16:EB16) -1</f>
        <v>1.280975361729237</v>
      </c>
      <c r="ED9" s="63" cm="1">
        <f t="array" ref="ED9">PRODUCT(1 + 預測IC!$C16:EC16) -1</f>
        <v>1.3975734670709219</v>
      </c>
      <c r="EE9" s="63" cm="1">
        <f t="array" ref="EE9">PRODUCT(1 + 預測IC!$C16:ED16) -1</f>
        <v>1.1208533356118844</v>
      </c>
      <c r="EF9" s="63" cm="1">
        <f t="array" ref="EF9">PRODUCT(1 + 預測IC!$C16:EE16) -1</f>
        <v>1.1301780391018279</v>
      </c>
      <c r="EG9" s="63" cm="1">
        <f t="array" ref="EG9">PRODUCT(1 + 預測IC!$C16:EF16) -1</f>
        <v>1.2151591630750787</v>
      </c>
    </row>
    <row r="10" spans="3:137" ht="16">
      <c r="C10" s="6">
        <v>120</v>
      </c>
      <c r="D10" s="63" cm="1">
        <f t="array" ref="D10">PRODUCT(1 + 預測IC!$C17:C17) -1</f>
        <v>-4.5056429492109085E-2</v>
      </c>
      <c r="E10" s="63" cm="1">
        <f t="array" ref="E10">PRODUCT(1 + 預測IC!$C17:D17) -1</f>
        <v>-6.1609779192245751E-2</v>
      </c>
      <c r="F10" s="63" cm="1">
        <f t="array" ref="F10">PRODUCT(1 + 預測IC!$C17:E17) -1</f>
        <v>-0.13629611553609033</v>
      </c>
      <c r="G10" s="63" cm="1">
        <f t="array" ref="G10">PRODUCT(1 + 預測IC!$C17:F17) -1</f>
        <v>-0.23375431565615379</v>
      </c>
      <c r="H10" s="63" cm="1">
        <f t="array" ref="H10">PRODUCT(1 + 預測IC!$C17:G17) -1</f>
        <v>-0.29356978379782239</v>
      </c>
      <c r="I10" s="63" cm="1">
        <f t="array" ref="I10">PRODUCT(1 + 預測IC!$C17:H17) -1</f>
        <v>-0.28795870971742554</v>
      </c>
      <c r="J10" s="63" cm="1">
        <f t="array" ref="J10">PRODUCT(1 + 預測IC!$C17:I17) -1</f>
        <v>-0.2069817941837343</v>
      </c>
      <c r="K10" s="63" cm="1">
        <f t="array" ref="K10">PRODUCT(1 + 預測IC!$C17:J17) -1</f>
        <v>-0.17378732478872783</v>
      </c>
      <c r="L10" s="63" cm="1">
        <f t="array" ref="L10">PRODUCT(1 + 預測IC!$C17:K17) -1</f>
        <v>-0.14119737249268982</v>
      </c>
      <c r="M10" s="63" cm="1">
        <f t="array" ref="M10">PRODUCT(1 + 預測IC!$C17:L17) -1</f>
        <v>-0.13651023478296265</v>
      </c>
      <c r="N10" s="63" cm="1">
        <f t="array" ref="N10">PRODUCT(1 + 預測IC!$C17:M17) -1</f>
        <v>-8.0442087140007779E-2</v>
      </c>
      <c r="O10" s="63" cm="1">
        <f t="array" ref="O10">PRODUCT(1 + 預測IC!$C17:N17) -1</f>
        <v>4.457036929503988E-2</v>
      </c>
      <c r="P10" s="63" cm="1">
        <f t="array" ref="P10">PRODUCT(1 + 預測IC!$C17:O17) -1</f>
        <v>0.13076529489609268</v>
      </c>
      <c r="Q10" s="63" cm="1">
        <f t="array" ref="Q10">PRODUCT(1 + 預測IC!$C17:P17) -1</f>
        <v>0.21773878997316154</v>
      </c>
      <c r="R10" s="63" cm="1">
        <f t="array" ref="R10">PRODUCT(1 + 預測IC!$C17:Q17) -1</f>
        <v>0.34734303782677278</v>
      </c>
      <c r="S10" s="63" cm="1">
        <f t="array" ref="S10">PRODUCT(1 + 預測IC!$C17:R17) -1</f>
        <v>0.27720358090334907</v>
      </c>
      <c r="T10" s="63" cm="1">
        <f t="array" ref="T10">PRODUCT(1 + 預測IC!$C17:S17) -1</f>
        <v>0.42926027327192284</v>
      </c>
      <c r="U10" s="63" cm="1">
        <f t="array" ref="U10">PRODUCT(1 + 預測IC!$C17:T17) -1</f>
        <v>0.32749406252325164</v>
      </c>
      <c r="V10" s="63" cm="1">
        <f t="array" ref="V10">PRODUCT(1 + 預測IC!$C17:U17) -1</f>
        <v>0.25807908743090135</v>
      </c>
      <c r="W10" s="63" cm="1">
        <f t="array" ref="W10">PRODUCT(1 + 預測IC!$C17:V17) -1</f>
        <v>0.40446451769985114</v>
      </c>
      <c r="X10" s="63" cm="1">
        <f t="array" ref="X10">PRODUCT(1 + 預測IC!$C17:W17) -1</f>
        <v>0.57791715040928926</v>
      </c>
      <c r="Y10" s="63" cm="1">
        <f t="array" ref="Y10">PRODUCT(1 + 預測IC!$C17:X17) -1</f>
        <v>0.41983199484335687</v>
      </c>
      <c r="Z10" s="63" cm="1">
        <f t="array" ref="Z10">PRODUCT(1 + 預測IC!$C17:Y17) -1</f>
        <v>0.42196245463507931</v>
      </c>
      <c r="AA10" s="63" cm="1">
        <f t="array" ref="AA10">PRODUCT(1 + 預測IC!$C17:Z17) -1</f>
        <v>0.39123599344626725</v>
      </c>
      <c r="AB10" s="63" cm="1">
        <f t="array" ref="AB10">PRODUCT(1 + 預測IC!$C17:AA17) -1</f>
        <v>0.33939490636498482</v>
      </c>
      <c r="AC10" s="63" cm="1">
        <f t="array" ref="AC10">PRODUCT(1 + 預測IC!$C17:AB17) -1</f>
        <v>0.45304532717857038</v>
      </c>
      <c r="AD10" s="63" cm="1">
        <f t="array" ref="AD10">PRODUCT(1 + 預測IC!$C17:AC17) -1</f>
        <v>0.53838077617648983</v>
      </c>
      <c r="AE10" s="63" cm="1">
        <f t="array" ref="AE10">PRODUCT(1 + 預測IC!$C17:AD17) -1</f>
        <v>0.64394419310868356</v>
      </c>
      <c r="AF10" s="63" cm="1">
        <f t="array" ref="AF10">PRODUCT(1 + 預測IC!$C17:AE17) -1</f>
        <v>0.43490284292170722</v>
      </c>
      <c r="AG10" s="63" cm="1">
        <f t="array" ref="AG10">PRODUCT(1 + 預測IC!$C17:AF17) -1</f>
        <v>0.44697215977121574</v>
      </c>
      <c r="AH10" s="63" cm="1">
        <f t="array" ref="AH10">PRODUCT(1 + 預測IC!$C17:AG17) -1</f>
        <v>0.49309233192355184</v>
      </c>
      <c r="AI10" s="63" cm="1">
        <f t="array" ref="AI10">PRODUCT(1 + 預測IC!$C17:AH17) -1</f>
        <v>0.41927751663532975</v>
      </c>
      <c r="AJ10" s="63" cm="1">
        <f t="array" ref="AJ10">PRODUCT(1 + 預測IC!$C17:AI17) -1</f>
        <v>0.46268996379562211</v>
      </c>
      <c r="AK10" s="63" cm="1">
        <f t="array" ref="AK10">PRODUCT(1 + 預測IC!$C17:AJ17) -1</f>
        <v>0.40037552370425078</v>
      </c>
      <c r="AL10" s="63" cm="1">
        <f t="array" ref="AL10">PRODUCT(1 + 預測IC!$C17:AK17) -1</f>
        <v>0.38171452172992715</v>
      </c>
      <c r="AM10" s="63" cm="1">
        <f t="array" ref="AM10">PRODUCT(1 + 預測IC!$C17:AL17) -1</f>
        <v>0.39550919105997417</v>
      </c>
      <c r="AN10" s="63" cm="1">
        <f t="array" ref="AN10">PRODUCT(1 + 預測IC!$C17:AM17) -1</f>
        <v>0.50068783625292723</v>
      </c>
      <c r="AO10" s="63" cm="1">
        <f t="array" ref="AO10">PRODUCT(1 + 預測IC!$C17:AN17) -1</f>
        <v>0.67069643976016757</v>
      </c>
      <c r="AP10" s="63" cm="1">
        <f t="array" ref="AP10">PRODUCT(1 + 預測IC!$C17:AO17) -1</f>
        <v>0.69180123619510314</v>
      </c>
      <c r="AQ10" s="63" cm="1">
        <f t="array" ref="AQ10">PRODUCT(1 + 預測IC!$C17:AP17) -1</f>
        <v>0.56112174727285957</v>
      </c>
      <c r="AR10" s="63" cm="1">
        <f t="array" ref="AR10">PRODUCT(1 + 預測IC!$C17:AQ17) -1</f>
        <v>0.46663151677520687</v>
      </c>
      <c r="AS10" s="63" cm="1">
        <f t="array" ref="AS10">PRODUCT(1 + 預測IC!$C17:AR17) -1</f>
        <v>0.63742023863664121</v>
      </c>
      <c r="AT10" s="63" cm="1">
        <f t="array" ref="AT10">PRODUCT(1 + 預測IC!$C17:AS17) -1</f>
        <v>0.72964557902399818</v>
      </c>
      <c r="AU10" s="63" cm="1">
        <f t="array" ref="AU10">PRODUCT(1 + 預測IC!$C17:AT17) -1</f>
        <v>0.82005035937504211</v>
      </c>
      <c r="AV10" s="63" cm="1">
        <f t="array" ref="AV10">PRODUCT(1 + 預測IC!$C17:AU17) -1</f>
        <v>0.91587279156931189</v>
      </c>
      <c r="AW10" s="63" cm="1">
        <f t="array" ref="AW10">PRODUCT(1 + 預測IC!$C17:AV17) -1</f>
        <v>0.87466550422538081</v>
      </c>
      <c r="AX10" s="63" cm="1">
        <f t="array" ref="AX10">PRODUCT(1 + 預測IC!$C17:AW17) -1</f>
        <v>0.91059154478397808</v>
      </c>
      <c r="AY10" s="63" cm="1">
        <f t="array" ref="AY10">PRODUCT(1 + 預測IC!$C17:AX17) -1</f>
        <v>0.72671514743177901</v>
      </c>
      <c r="AZ10" s="63" cm="1">
        <f t="array" ref="AZ10">PRODUCT(1 + 預測IC!$C17:AY17) -1</f>
        <v>0.77406805990601435</v>
      </c>
      <c r="BA10" s="63" cm="1">
        <f t="array" ref="BA10">PRODUCT(1 + 預測IC!$C17:AZ17) -1</f>
        <v>0.55211294148935863</v>
      </c>
      <c r="BB10" s="63" cm="1">
        <f t="array" ref="BB10">PRODUCT(1 + 預測IC!$C17:BA17) -1</f>
        <v>0.56736272913395935</v>
      </c>
      <c r="BC10" s="63" cm="1">
        <f t="array" ref="BC10">PRODUCT(1 + 預測IC!$C17:BB17) -1</f>
        <v>0.8075944275583955</v>
      </c>
      <c r="BD10" s="63" cm="1">
        <f t="array" ref="BD10">PRODUCT(1 + 預測IC!$C17:BC17) -1</f>
        <v>0.95711244134772233</v>
      </c>
      <c r="BE10" s="63" cm="1">
        <f t="array" ref="BE10">PRODUCT(1 + 預測IC!$C17:BD17) -1</f>
        <v>1.0008665908965391</v>
      </c>
      <c r="BF10" s="63" cm="1">
        <f t="array" ref="BF10">PRODUCT(1 + 預測IC!$C17:BE17) -1</f>
        <v>0.96825769018670482</v>
      </c>
      <c r="BG10" s="63" cm="1">
        <f t="array" ref="BG10">PRODUCT(1 + 預測IC!$C17:BF17) -1</f>
        <v>1.0769005873663327</v>
      </c>
      <c r="BH10" s="63" cm="1">
        <f t="array" ref="BH10">PRODUCT(1 + 預測IC!$C17:BG17) -1</f>
        <v>0.69111302564208277</v>
      </c>
      <c r="BI10" s="63" cm="1">
        <f t="array" ref="BI10">PRODUCT(1 + 預測IC!$C17:BH17) -1</f>
        <v>0.68818505831422772</v>
      </c>
      <c r="BJ10" s="63" cm="1">
        <f t="array" ref="BJ10">PRODUCT(1 + 預測IC!$C17:BI17) -1</f>
        <v>0.52043788816289971</v>
      </c>
      <c r="BK10" s="63" cm="1">
        <f t="array" ref="BK10">PRODUCT(1 + 預測IC!$C17:BJ17) -1</f>
        <v>0.53542646258787352</v>
      </c>
      <c r="BL10" s="63" cm="1">
        <f t="array" ref="BL10">PRODUCT(1 + 預測IC!$C17:BK17) -1</f>
        <v>0.51420233618834965</v>
      </c>
      <c r="BM10" s="63" cm="1">
        <f t="array" ref="BM10">PRODUCT(1 + 預測IC!$C17:BL17) -1</f>
        <v>0.62614929124228746</v>
      </c>
      <c r="BN10" s="63" cm="1">
        <f t="array" ref="BN10">PRODUCT(1 + 預測IC!$C17:BM17) -1</f>
        <v>0.74973301178881657</v>
      </c>
      <c r="BO10" s="63" cm="1">
        <f t="array" ref="BO10">PRODUCT(1 + 預測IC!$C17:BN17) -1</f>
        <v>0.87861269018874411</v>
      </c>
      <c r="BP10" s="63" cm="1">
        <f t="array" ref="BP10">PRODUCT(1 + 預測IC!$C17:BO17) -1</f>
        <v>0.84125444661091153</v>
      </c>
      <c r="BQ10" s="63" cm="1">
        <f t="array" ref="BQ10">PRODUCT(1 + 預測IC!$C17:BP17) -1</f>
        <v>0.89066911480750344</v>
      </c>
      <c r="BR10" s="63" cm="1">
        <f t="array" ref="BR10">PRODUCT(1 + 預測IC!$C17:BQ17) -1</f>
        <v>0.91217833174289442</v>
      </c>
      <c r="BS10" s="63" cm="1">
        <f t="array" ref="BS10">PRODUCT(1 + 預測IC!$C17:BR17) -1</f>
        <v>0.91042305642796983</v>
      </c>
      <c r="BT10" s="63" cm="1">
        <f t="array" ref="BT10">PRODUCT(1 + 預測IC!$C17:BS17) -1</f>
        <v>0.90258369442772701</v>
      </c>
      <c r="BU10" s="63" cm="1">
        <f t="array" ref="BU10">PRODUCT(1 + 預測IC!$C17:BT17) -1</f>
        <v>0.96660101864331116</v>
      </c>
      <c r="BV10" s="63" cm="1">
        <f t="array" ref="BV10">PRODUCT(1 + 預測IC!$C17:BU17) -1</f>
        <v>1.1064810594524177</v>
      </c>
      <c r="BW10" s="63" cm="1">
        <f t="array" ref="BW10">PRODUCT(1 + 預測IC!$C17:BV17) -1</f>
        <v>1.2633020459198865</v>
      </c>
      <c r="BX10" s="63" cm="1">
        <f t="array" ref="BX10">PRODUCT(1 + 預測IC!$C17:BW17) -1</f>
        <v>0.7490026571782995</v>
      </c>
      <c r="BY10" s="63" cm="1">
        <f t="array" ref="BY10">PRODUCT(1 + 預測IC!$C17:BX17) -1</f>
        <v>0.73640817600362651</v>
      </c>
      <c r="BZ10" s="63" cm="1">
        <f t="array" ref="BZ10">PRODUCT(1 + 預測IC!$C17:BY17) -1</f>
        <v>0.56995457424291751</v>
      </c>
      <c r="CA10" s="63" cm="1">
        <f t="array" ref="CA10">PRODUCT(1 + 預測IC!$C17:BZ17) -1</f>
        <v>0.75925680162220277</v>
      </c>
      <c r="CB10" s="63" cm="1">
        <f t="array" ref="CB10">PRODUCT(1 + 預測IC!$C17:CA17) -1</f>
        <v>0.71011225779335385</v>
      </c>
      <c r="CC10" s="63" cm="1">
        <f t="array" ref="CC10">PRODUCT(1 + 預測IC!$C17:CB17) -1</f>
        <v>0.70782872722303081</v>
      </c>
      <c r="CD10" s="63" cm="1">
        <f t="array" ref="CD10">PRODUCT(1 + 預測IC!$C17:CC17) -1</f>
        <v>0.51197348250388419</v>
      </c>
      <c r="CE10" s="63" cm="1">
        <f t="array" ref="CE10">PRODUCT(1 + 預測IC!$C17:CD17) -1</f>
        <v>0.77348402476797085</v>
      </c>
      <c r="CF10" s="63" cm="1">
        <f t="array" ref="CF10">PRODUCT(1 + 預測IC!$C17:CE17) -1</f>
        <v>0.94322076444794845</v>
      </c>
      <c r="CG10" s="63" cm="1">
        <f t="array" ref="CG10">PRODUCT(1 + 預測IC!$C17:CF17) -1</f>
        <v>1.1280664312884943</v>
      </c>
      <c r="CH10" s="63" cm="1">
        <f t="array" ref="CH10">PRODUCT(1 + 預測IC!$C17:CG17) -1</f>
        <v>1.123337342207023</v>
      </c>
      <c r="CI10" s="63" cm="1">
        <f t="array" ref="CI10">PRODUCT(1 + 預測IC!$C17:CH17) -1</f>
        <v>1.0533328801295814</v>
      </c>
      <c r="CJ10" s="63" cm="1">
        <f t="array" ref="CJ10">PRODUCT(1 + 預測IC!$C17:CI17) -1</f>
        <v>0.88402960009370068</v>
      </c>
      <c r="CK10" s="63" cm="1">
        <f t="array" ref="CK10">PRODUCT(1 + 預測IC!$C17:CJ17) -1</f>
        <v>0.78842956443954137</v>
      </c>
      <c r="CL10" s="63" cm="1">
        <f t="array" ref="CL10">PRODUCT(1 + 預測IC!$C17:CK17) -1</f>
        <v>0.95249753998043785</v>
      </c>
      <c r="CM10" s="63" cm="1">
        <f t="array" ref="CM10">PRODUCT(1 + 預測IC!$C17:CL17) -1</f>
        <v>1.5132140223228316</v>
      </c>
      <c r="CN10" s="63" cm="1">
        <f t="array" ref="CN10">PRODUCT(1 + 預測IC!$C17:CM17) -1</f>
        <v>1.8514155857230552</v>
      </c>
      <c r="CO10" s="63" cm="1">
        <f t="array" ref="CO10">PRODUCT(1 + 預測IC!$C17:CN17) -1</f>
        <v>1.927599881709281</v>
      </c>
      <c r="CP10" s="63" cm="1">
        <f t="array" ref="CP10">PRODUCT(1 + 預測IC!$C17:CO17) -1</f>
        <v>1.3346478204925929</v>
      </c>
      <c r="CQ10" s="63" cm="1">
        <f t="array" ref="CQ10">PRODUCT(1 + 預測IC!$C17:CP17) -1</f>
        <v>1.0819890033528723</v>
      </c>
      <c r="CR10" s="63" cm="1">
        <f t="array" ref="CR10">PRODUCT(1 + 預測IC!$C17:CQ17) -1</f>
        <v>1.1675336284112157</v>
      </c>
      <c r="CS10" s="63" cm="1">
        <f t="array" ref="CS10">PRODUCT(1 + 預測IC!$C17:CR17) -1</f>
        <v>1.1176677192381081</v>
      </c>
      <c r="CT10" s="63" cm="1">
        <f t="array" ref="CT10">PRODUCT(1 + 預測IC!$C17:CS17) -1</f>
        <v>1.314695355905378</v>
      </c>
      <c r="CU10" s="63" cm="1">
        <f t="array" ref="CU10">PRODUCT(1 + 預測IC!$C17:CT17) -1</f>
        <v>1.4287173796610806</v>
      </c>
      <c r="CV10" s="63" cm="1">
        <f t="array" ref="CV10">PRODUCT(1 + 預測IC!$C17:CU17) -1</f>
        <v>1.2480006298424646</v>
      </c>
      <c r="CW10" s="63" cm="1">
        <f t="array" ref="CW10">PRODUCT(1 + 預測IC!$C17:CV17) -1</f>
        <v>1.4006196789793464</v>
      </c>
      <c r="CX10" s="63" cm="1">
        <f t="array" ref="CX10">PRODUCT(1 + 預測IC!$C17:CW17) -1</f>
        <v>1.3450313022334308</v>
      </c>
      <c r="CY10" s="63" cm="1">
        <f t="array" ref="CY10">PRODUCT(1 + 預測IC!$C17:CX17) -1</f>
        <v>1.4036393779398582</v>
      </c>
      <c r="CZ10" s="63" cm="1">
        <f t="array" ref="CZ10">PRODUCT(1 + 預測IC!$C17:CY17) -1</f>
        <v>1.2606277579428182</v>
      </c>
      <c r="DA10" s="63" cm="1">
        <f t="array" ref="DA10">PRODUCT(1 + 預測IC!$C17:CZ17) -1</f>
        <v>1.6768843824370863</v>
      </c>
      <c r="DB10" s="63" cm="1">
        <f t="array" ref="DB10">PRODUCT(1 + 預測IC!$C17:DA17) -1</f>
        <v>1.5593802426378183</v>
      </c>
      <c r="DC10" s="63" cm="1">
        <f t="array" ref="DC10">PRODUCT(1 + 預測IC!$C17:DB17) -1</f>
        <v>1.8262509818418917</v>
      </c>
      <c r="DD10" s="63" cm="1">
        <f t="array" ref="DD10">PRODUCT(1 + 預測IC!$C17:DC17) -1</f>
        <v>1.9488070286156196</v>
      </c>
      <c r="DE10" s="63" cm="1">
        <f t="array" ref="DE10">PRODUCT(1 + 預測IC!$C17:DD17) -1</f>
        <v>1.8068792084828043</v>
      </c>
      <c r="DF10" s="63" cm="1">
        <f t="array" ref="DF10">PRODUCT(1 + 預測IC!$C17:DE17) -1</f>
        <v>1.7137443440747422</v>
      </c>
      <c r="DG10" s="63" cm="1">
        <f t="array" ref="DG10">PRODUCT(1 + 預測IC!$C17:DF17) -1</f>
        <v>1.6832652763745615</v>
      </c>
      <c r="DH10" s="63" cm="1">
        <f t="array" ref="DH10">PRODUCT(1 + 預測IC!$C17:DG17) -1</f>
        <v>1.8099448822881401</v>
      </c>
      <c r="DI10" s="63" cm="1">
        <f t="array" ref="DI10">PRODUCT(1 + 預測IC!$C17:DH17) -1</f>
        <v>1.7011251276767121</v>
      </c>
      <c r="DJ10" s="63" cm="1">
        <f t="array" ref="DJ10">PRODUCT(1 + 預測IC!$C17:DI17) -1</f>
        <v>1.6868274124268114</v>
      </c>
      <c r="DK10" s="63" cm="1">
        <f t="array" ref="DK10">PRODUCT(1 + 預測IC!$C17:DJ17) -1</f>
        <v>1.5650169815720356</v>
      </c>
      <c r="DL10" s="63" cm="1">
        <f t="array" ref="DL10">PRODUCT(1 + 預測IC!$C17:DK17) -1</f>
        <v>1.9652530694348211</v>
      </c>
      <c r="DM10" s="63" cm="1">
        <f t="array" ref="DM10">PRODUCT(1 + 預測IC!$C17:DL17) -1</f>
        <v>1.9480832289399084</v>
      </c>
      <c r="DN10" s="63" cm="1">
        <f t="array" ref="DN10">PRODUCT(1 + 預測IC!$C17:DM17) -1</f>
        <v>1.7940372995888856</v>
      </c>
      <c r="DO10" s="63" cm="1">
        <f t="array" ref="DO10">PRODUCT(1 + 預測IC!$C17:DN17) -1</f>
        <v>1.8931949807190787</v>
      </c>
      <c r="DP10" s="63" cm="1">
        <f t="array" ref="DP10">PRODUCT(1 + 預測IC!$C17:DO17) -1</f>
        <v>2.4132841762272954</v>
      </c>
      <c r="DQ10" s="63" cm="1">
        <f t="array" ref="DQ10">PRODUCT(1 + 預測IC!$C17:DP17) -1</f>
        <v>2.3556726860711832</v>
      </c>
      <c r="DR10" s="63" cm="1">
        <f t="array" ref="DR10">PRODUCT(1 + 預測IC!$C17:DQ17) -1</f>
        <v>1.9942584533078951</v>
      </c>
      <c r="DS10" s="63" cm="1">
        <f t="array" ref="DS10">PRODUCT(1 + 預測IC!$C17:DR17) -1</f>
        <v>2.1615920326628877</v>
      </c>
      <c r="DT10" s="63" cm="1">
        <f t="array" ref="DT10">PRODUCT(1 + 預測IC!$C17:DS17) -1</f>
        <v>2.2796904220584016</v>
      </c>
      <c r="DU10" s="63" cm="1">
        <f t="array" ref="DU10">PRODUCT(1 + 預測IC!$C17:DT17) -1</f>
        <v>1.9714644197093625</v>
      </c>
      <c r="DV10" s="63" cm="1">
        <f t="array" ref="DV10">PRODUCT(1 + 預測IC!$C17:DU17) -1</f>
        <v>1.7583191788796548</v>
      </c>
      <c r="DW10" s="63" cm="1">
        <f t="array" ref="DW10">PRODUCT(1 + 預測IC!$C17:DV17) -1</f>
        <v>2.0831537350974978</v>
      </c>
      <c r="DX10" s="63" cm="1">
        <f t="array" ref="DX10">PRODUCT(1 + 預測IC!$C17:DW17) -1</f>
        <v>2.2332462325159219</v>
      </c>
      <c r="DY10" s="63" cm="1">
        <f t="array" ref="DY10">PRODUCT(1 + 預測IC!$C17:DX17) -1</f>
        <v>1.8144148050719267</v>
      </c>
      <c r="DZ10" s="63" cm="1">
        <f t="array" ref="DZ10">PRODUCT(1 + 預測IC!$C17:DY17) -1</f>
        <v>1.5241904414449747</v>
      </c>
      <c r="EA10" s="63" cm="1">
        <f t="array" ref="EA10">PRODUCT(1 + 預測IC!$C17:DZ17) -1</f>
        <v>1.4026625382948463</v>
      </c>
      <c r="EB10" s="63" cm="1">
        <f t="array" ref="EB10">PRODUCT(1 + 預測IC!$C17:EA17) -1</f>
        <v>1.4310570212474145</v>
      </c>
      <c r="EC10" s="63" cm="1">
        <f t="array" ref="EC10">PRODUCT(1 + 預測IC!$C17:EB17) -1</f>
        <v>1.2516912767808717</v>
      </c>
      <c r="ED10" s="63" cm="1">
        <f t="array" ref="ED10">PRODUCT(1 + 預測IC!$C17:EC17) -1</f>
        <v>1.2886757951055063</v>
      </c>
      <c r="EE10" s="63" cm="1">
        <f t="array" ref="EE10">PRODUCT(1 + 預測IC!$C17:ED17) -1</f>
        <v>0.99498274636503004</v>
      </c>
      <c r="EF10" s="63" cm="1">
        <f t="array" ref="EF10">PRODUCT(1 + 預測IC!$C17:EE17) -1</f>
        <v>0.99459667501754478</v>
      </c>
      <c r="EG10" s="63" cm="1">
        <f t="array" ref="EG10">PRODUCT(1 + 預測IC!$C17:EF17) -1</f>
        <v>1.0897584176612569</v>
      </c>
    </row>
    <row r="11" spans="3:137" ht="16">
      <c r="C11" s="6">
        <v>137</v>
      </c>
      <c r="D11" s="63" cm="1">
        <f t="array" ref="D11">PRODUCT(1 + 預測IC!$C18:C18) -1</f>
        <v>-5.3942228163147199E-2</v>
      </c>
      <c r="E11" s="63" cm="1">
        <f t="array" ref="E11">PRODUCT(1 + 預測IC!$C18:D18) -1</f>
        <v>-3.8128714907990635E-2</v>
      </c>
      <c r="F11" s="63" cm="1">
        <f t="array" ref="F11">PRODUCT(1 + 預測IC!$C18:E18) -1</f>
        <v>-8.9530491424488434E-2</v>
      </c>
      <c r="G11" s="63" cm="1">
        <f t="array" ref="G11">PRODUCT(1 + 預測IC!$C18:F18) -1</f>
        <v>-0.21191068086033793</v>
      </c>
      <c r="H11" s="63" cm="1">
        <f t="array" ref="H11">PRODUCT(1 + 預測IC!$C18:G18) -1</f>
        <v>-0.27558376398540896</v>
      </c>
      <c r="I11" s="63" cm="1">
        <f t="array" ref="I11">PRODUCT(1 + 預測IC!$C18:H18) -1</f>
        <v>-0.26933768220947385</v>
      </c>
      <c r="J11" s="63" cm="1">
        <f t="array" ref="J11">PRODUCT(1 + 預測IC!$C18:I18) -1</f>
        <v>-0.17033280646652649</v>
      </c>
      <c r="K11" s="63" cm="1">
        <f t="array" ref="K11">PRODUCT(1 + 預測IC!$C18:J18) -1</f>
        <v>-0.13431569602582771</v>
      </c>
      <c r="L11" s="63" cm="1">
        <f t="array" ref="L11">PRODUCT(1 + 預測IC!$C18:K18) -1</f>
        <v>-0.10697180177340959</v>
      </c>
      <c r="M11" s="63" cm="1">
        <f t="array" ref="M11">PRODUCT(1 + 預測IC!$C18:L18) -1</f>
        <v>-9.5378074935949186E-2</v>
      </c>
      <c r="N11" s="63" cm="1">
        <f t="array" ref="N11">PRODUCT(1 + 預測IC!$C18:M18) -1</f>
        <v>-3.2229762227436898E-2</v>
      </c>
      <c r="O11" s="63" cm="1">
        <f t="array" ref="O11">PRODUCT(1 + 預測IC!$C18:N18) -1</f>
        <v>0.10615405312562198</v>
      </c>
      <c r="P11" s="63" cm="1">
        <f t="array" ref="P11">PRODUCT(1 + 預測IC!$C18:O18) -1</f>
        <v>0.19553104631470775</v>
      </c>
      <c r="Q11" s="63" cm="1">
        <f t="array" ref="Q11">PRODUCT(1 + 預測IC!$C18:P18) -1</f>
        <v>0.26077071297427135</v>
      </c>
      <c r="R11" s="63" cm="1">
        <f t="array" ref="R11">PRODUCT(1 + 預測IC!$C18:Q18) -1</f>
        <v>0.41425236507279428</v>
      </c>
      <c r="S11" s="63" cm="1">
        <f t="array" ref="S11">PRODUCT(1 + 預測IC!$C18:R18) -1</f>
        <v>0.31563085226712384</v>
      </c>
      <c r="T11" s="63" cm="1">
        <f t="array" ref="T11">PRODUCT(1 + 預測IC!$C18:S18) -1</f>
        <v>0.50482544601884216</v>
      </c>
      <c r="U11" s="63" cm="1">
        <f t="array" ref="U11">PRODUCT(1 + 預測IC!$C18:T18) -1</f>
        <v>0.41873982723815462</v>
      </c>
      <c r="V11" s="63" cm="1">
        <f t="array" ref="V11">PRODUCT(1 + 預測IC!$C18:U18) -1</f>
        <v>0.37882283362543867</v>
      </c>
      <c r="W11" s="63" cm="1">
        <f t="array" ref="W11">PRODUCT(1 + 預測IC!$C18:V18) -1</f>
        <v>0.55979874509254501</v>
      </c>
      <c r="X11" s="63" cm="1">
        <f t="array" ref="X11">PRODUCT(1 + 預測IC!$C18:W18) -1</f>
        <v>0.77492187972009341</v>
      </c>
      <c r="Y11" s="63" cm="1">
        <f t="array" ref="Y11">PRODUCT(1 + 預測IC!$C18:X18) -1</f>
        <v>0.5492888252792405</v>
      </c>
      <c r="Z11" s="63" cm="1">
        <f t="array" ref="Z11">PRODUCT(1 + 預測IC!$C18:Y18) -1</f>
        <v>0.58680300699819665</v>
      </c>
      <c r="AA11" s="63" cm="1">
        <f t="array" ref="AA11">PRODUCT(1 + 預測IC!$C18:Z18) -1</f>
        <v>0.55997696571659783</v>
      </c>
      <c r="AB11" s="63" cm="1">
        <f t="array" ref="AB11">PRODUCT(1 + 預測IC!$C18:AA18) -1</f>
        <v>0.49491774388198517</v>
      </c>
      <c r="AC11" s="63" cm="1">
        <f t="array" ref="AC11">PRODUCT(1 + 預測IC!$C18:AB18) -1</f>
        <v>0.62706494061426987</v>
      </c>
      <c r="AD11" s="63" cm="1">
        <f t="array" ref="AD11">PRODUCT(1 + 預測IC!$C18:AC18) -1</f>
        <v>0.66020657757037671</v>
      </c>
      <c r="AE11" s="63" cm="1">
        <f t="array" ref="AE11">PRODUCT(1 + 預測IC!$C18:AD18) -1</f>
        <v>0.82006097107413289</v>
      </c>
      <c r="AF11" s="63" cm="1">
        <f t="array" ref="AF11">PRODUCT(1 + 預測IC!$C18:AE18) -1</f>
        <v>0.55882900054119777</v>
      </c>
      <c r="AG11" s="63" cm="1">
        <f t="array" ref="AG11">PRODUCT(1 + 預測IC!$C18:AF18) -1</f>
        <v>0.55609872409762873</v>
      </c>
      <c r="AH11" s="63" cm="1">
        <f t="array" ref="AH11">PRODUCT(1 + 預測IC!$C18:AG18) -1</f>
        <v>0.58059742885129895</v>
      </c>
      <c r="AI11" s="63" cm="1">
        <f t="array" ref="AI11">PRODUCT(1 + 預測IC!$C18:AH18) -1</f>
        <v>0.51706142539811406</v>
      </c>
      <c r="AJ11" s="63" cm="1">
        <f t="array" ref="AJ11">PRODUCT(1 + 預測IC!$C18:AI18) -1</f>
        <v>0.58814415975204359</v>
      </c>
      <c r="AK11" s="63" cm="1">
        <f t="array" ref="AK11">PRODUCT(1 + 預測IC!$C18:AJ18) -1</f>
        <v>0.51287604268758491</v>
      </c>
      <c r="AL11" s="63" cm="1">
        <f t="array" ref="AL11">PRODUCT(1 + 預測IC!$C18:AK18) -1</f>
        <v>0.55416231990196763</v>
      </c>
      <c r="AM11" s="63" cm="1">
        <f t="array" ref="AM11">PRODUCT(1 + 預測IC!$C18:AL18) -1</f>
        <v>0.55549199133007465</v>
      </c>
      <c r="AN11" s="63" cm="1">
        <f t="array" ref="AN11">PRODUCT(1 + 預測IC!$C18:AM18) -1</f>
        <v>0.6591552747432694</v>
      </c>
      <c r="AO11" s="63" cm="1">
        <f t="array" ref="AO11">PRODUCT(1 + 預測IC!$C18:AN18) -1</f>
        <v>0.79071739488381065</v>
      </c>
      <c r="AP11" s="63" cm="1">
        <f t="array" ref="AP11">PRODUCT(1 + 預測IC!$C18:AO18) -1</f>
        <v>0.80043657616179842</v>
      </c>
      <c r="AQ11" s="63" cm="1">
        <f t="array" ref="AQ11">PRODUCT(1 + 預測IC!$C18:AP18) -1</f>
        <v>0.65950093611372851</v>
      </c>
      <c r="AR11" s="63" cm="1">
        <f t="array" ref="AR11">PRODUCT(1 + 預測IC!$C18:AQ18) -1</f>
        <v>0.53299577693374389</v>
      </c>
      <c r="AS11" s="63" cm="1">
        <f t="array" ref="AS11">PRODUCT(1 + 預測IC!$C18:AR18) -1</f>
        <v>0.74490674600411699</v>
      </c>
      <c r="AT11" s="63" cm="1">
        <f t="array" ref="AT11">PRODUCT(1 + 預測IC!$C18:AS18) -1</f>
        <v>0.89466607479690774</v>
      </c>
      <c r="AU11" s="63" cm="1">
        <f t="array" ref="AU11">PRODUCT(1 + 預測IC!$C18:AT18) -1</f>
        <v>0.97675371368048891</v>
      </c>
      <c r="AV11" s="63" cm="1">
        <f t="array" ref="AV11">PRODUCT(1 + 預測IC!$C18:AU18) -1</f>
        <v>1.1117963158389026</v>
      </c>
      <c r="AW11" s="63" cm="1">
        <f t="array" ref="AW11">PRODUCT(1 + 預測IC!$C18:AV18) -1</f>
        <v>1.0510425631566234</v>
      </c>
      <c r="AX11" s="63" cm="1">
        <f t="array" ref="AX11">PRODUCT(1 + 預測IC!$C18:AW18) -1</f>
        <v>1.1013711158013293</v>
      </c>
      <c r="AY11" s="63" cm="1">
        <f t="array" ref="AY11">PRODUCT(1 + 預測IC!$C18:AX18) -1</f>
        <v>0.87534581405800327</v>
      </c>
      <c r="AZ11" s="63" cm="1">
        <f t="array" ref="AZ11">PRODUCT(1 + 預測IC!$C18:AY18) -1</f>
        <v>0.94057649005689359</v>
      </c>
      <c r="BA11" s="63" cm="1">
        <f t="array" ref="BA11">PRODUCT(1 + 預測IC!$C18:AZ18) -1</f>
        <v>0.65257731386207962</v>
      </c>
      <c r="BB11" s="63" cm="1">
        <f t="array" ref="BB11">PRODUCT(1 + 預測IC!$C18:BA18) -1</f>
        <v>0.65173098669168028</v>
      </c>
      <c r="BC11" s="63" cm="1">
        <f t="array" ref="BC11">PRODUCT(1 + 預測IC!$C18:BB18) -1</f>
        <v>0.927996238589055</v>
      </c>
      <c r="BD11" s="63" cm="1">
        <f t="array" ref="BD11">PRODUCT(1 + 預測IC!$C18:BC18) -1</f>
        <v>1.0884085575936715</v>
      </c>
      <c r="BE11" s="63" cm="1">
        <f t="array" ref="BE11">PRODUCT(1 + 預測IC!$C18:BD18) -1</f>
        <v>1.0382527702804185</v>
      </c>
      <c r="BF11" s="63" cm="1">
        <f t="array" ref="BF11">PRODUCT(1 + 預測IC!$C18:BE18) -1</f>
        <v>0.99294130797466518</v>
      </c>
      <c r="BG11" s="63" cm="1">
        <f t="array" ref="BG11">PRODUCT(1 + 預測IC!$C18:BF18) -1</f>
        <v>1.0843864957633587</v>
      </c>
      <c r="BH11" s="63" cm="1">
        <f t="array" ref="BH11">PRODUCT(1 + 預測IC!$C18:BG18) -1</f>
        <v>0.77857786789150851</v>
      </c>
      <c r="BI11" s="63" cm="1">
        <f t="array" ref="BI11">PRODUCT(1 + 預測IC!$C18:BH18) -1</f>
        <v>0.83196364691122837</v>
      </c>
      <c r="BJ11" s="63" cm="1">
        <f t="array" ref="BJ11">PRODUCT(1 + 預測IC!$C18:BI18) -1</f>
        <v>0.63227959672316025</v>
      </c>
      <c r="BK11" s="63" cm="1">
        <f t="array" ref="BK11">PRODUCT(1 + 預測IC!$C18:BJ18) -1</f>
        <v>0.6225576348968187</v>
      </c>
      <c r="BL11" s="63" cm="1">
        <f t="array" ref="BL11">PRODUCT(1 + 預測IC!$C18:BK18) -1</f>
        <v>0.5402208643403783</v>
      </c>
      <c r="BM11" s="63" cm="1">
        <f t="array" ref="BM11">PRODUCT(1 + 預測IC!$C18:BL18) -1</f>
        <v>0.66522160685958731</v>
      </c>
      <c r="BN11" s="63" cm="1">
        <f t="array" ref="BN11">PRODUCT(1 + 預測IC!$C18:BM18) -1</f>
        <v>0.83636299081009757</v>
      </c>
      <c r="BO11" s="63" cm="1">
        <f t="array" ref="BO11">PRODUCT(1 + 預測IC!$C18:BN18) -1</f>
        <v>0.97998255209892071</v>
      </c>
      <c r="BP11" s="63" cm="1">
        <f t="array" ref="BP11">PRODUCT(1 + 預測IC!$C18:BO18) -1</f>
        <v>0.93993246273565001</v>
      </c>
      <c r="BQ11" s="63" cm="1">
        <f t="array" ref="BQ11">PRODUCT(1 + 預測IC!$C18:BP18) -1</f>
        <v>1.0308329263548446</v>
      </c>
      <c r="BR11" s="63" cm="1">
        <f t="array" ref="BR11">PRODUCT(1 + 預測IC!$C18:BQ18) -1</f>
        <v>1.0347255946378398</v>
      </c>
      <c r="BS11" s="63" cm="1">
        <f t="array" ref="BS11">PRODUCT(1 + 預測IC!$C18:BR18) -1</f>
        <v>1.023029598029634</v>
      </c>
      <c r="BT11" s="63" cm="1">
        <f t="array" ref="BT11">PRODUCT(1 + 預測IC!$C18:BS18) -1</f>
        <v>0.97954012335964835</v>
      </c>
      <c r="BU11" s="63" cm="1">
        <f t="array" ref="BU11">PRODUCT(1 + 預測IC!$C18:BT18) -1</f>
        <v>1.0058663259306715</v>
      </c>
      <c r="BV11" s="63" cm="1">
        <f t="array" ref="BV11">PRODUCT(1 + 預測IC!$C18:BU18) -1</f>
        <v>1.1676944941927454</v>
      </c>
      <c r="BW11" s="63" cm="1">
        <f t="array" ref="BW11">PRODUCT(1 + 預測IC!$C18:BV18) -1</f>
        <v>1.3431116925861732</v>
      </c>
      <c r="BX11" s="63" cm="1">
        <f t="array" ref="BX11">PRODUCT(1 + 預測IC!$C18:BW18) -1</f>
        <v>0.73146597967174931</v>
      </c>
      <c r="BY11" s="63" cm="1">
        <f t="array" ref="BY11">PRODUCT(1 + 預測IC!$C18:BX18) -1</f>
        <v>0.75884378805704622</v>
      </c>
      <c r="BZ11" s="63" cm="1">
        <f t="array" ref="BZ11">PRODUCT(1 + 預測IC!$C18:BY18) -1</f>
        <v>0.6485875969874948</v>
      </c>
      <c r="CA11" s="63" cm="1">
        <f t="array" ref="CA11">PRODUCT(1 + 預測IC!$C18:BZ18) -1</f>
        <v>0.90134902724913202</v>
      </c>
      <c r="CB11" s="63" cm="1">
        <f t="array" ref="CB11">PRODUCT(1 + 預測IC!$C18:CA18) -1</f>
        <v>0.87078190615691309</v>
      </c>
      <c r="CC11" s="63" cm="1">
        <f t="array" ref="CC11">PRODUCT(1 + 預測IC!$C18:CB18) -1</f>
        <v>0.82480303210517891</v>
      </c>
      <c r="CD11" s="63" cm="1">
        <f t="array" ref="CD11">PRODUCT(1 + 預測IC!$C18:CC18) -1</f>
        <v>0.63210736707678739</v>
      </c>
      <c r="CE11" s="63" cm="1">
        <f t="array" ref="CE11">PRODUCT(1 + 預測IC!$C18:CD18) -1</f>
        <v>0.94827401391695787</v>
      </c>
      <c r="CF11" s="63" cm="1">
        <f t="array" ref="CF11">PRODUCT(1 + 預測IC!$C18:CE18) -1</f>
        <v>1.0987984335631618</v>
      </c>
      <c r="CG11" s="63" cm="1">
        <f t="array" ref="CG11">PRODUCT(1 + 預測IC!$C18:CF18) -1</f>
        <v>1.3125791362887216</v>
      </c>
      <c r="CH11" s="63" cm="1">
        <f t="array" ref="CH11">PRODUCT(1 + 預測IC!$C18:CG18) -1</f>
        <v>1.3061007720521736</v>
      </c>
      <c r="CI11" s="63" cm="1">
        <f t="array" ref="CI11">PRODUCT(1 + 預測IC!$C18:CH18) -1</f>
        <v>1.2014830139628097</v>
      </c>
      <c r="CJ11" s="63" cm="1">
        <f t="array" ref="CJ11">PRODUCT(1 + 預測IC!$C18:CI18) -1</f>
        <v>0.94231252368507801</v>
      </c>
      <c r="CK11" s="63" cm="1">
        <f t="array" ref="CK11">PRODUCT(1 + 預測IC!$C18:CJ18) -1</f>
        <v>0.82127988684887865</v>
      </c>
      <c r="CL11" s="63" cm="1">
        <f t="array" ref="CL11">PRODUCT(1 + 預測IC!$C18:CK18) -1</f>
        <v>0.98641129876556799</v>
      </c>
      <c r="CM11" s="63" cm="1">
        <f t="array" ref="CM11">PRODUCT(1 + 預測IC!$C18:CL18) -1</f>
        <v>1.6163194304026773</v>
      </c>
      <c r="CN11" s="63" cm="1">
        <f t="array" ref="CN11">PRODUCT(1 + 預測IC!$C18:CM18) -1</f>
        <v>2.0339776698674692</v>
      </c>
      <c r="CO11" s="63" cm="1">
        <f t="array" ref="CO11">PRODUCT(1 + 預測IC!$C18:CN18) -1</f>
        <v>2.1492598319329463</v>
      </c>
      <c r="CP11" s="63" cm="1">
        <f t="array" ref="CP11">PRODUCT(1 + 預測IC!$C18:CO18) -1</f>
        <v>1.4199735180923101</v>
      </c>
      <c r="CQ11" s="63" cm="1">
        <f t="array" ref="CQ11">PRODUCT(1 + 預測IC!$C18:CP18) -1</f>
        <v>1.1386024232169878</v>
      </c>
      <c r="CR11" s="63" cm="1">
        <f t="array" ref="CR11">PRODUCT(1 + 預測IC!$C18:CQ18) -1</f>
        <v>1.2412051602372669</v>
      </c>
      <c r="CS11" s="63" cm="1">
        <f t="array" ref="CS11">PRODUCT(1 + 預測IC!$C18:CR18) -1</f>
        <v>1.1655794970636242</v>
      </c>
      <c r="CT11" s="63" cm="1">
        <f t="array" ref="CT11">PRODUCT(1 + 預測IC!$C18:CS18) -1</f>
        <v>1.3540220115028911</v>
      </c>
      <c r="CU11" s="63" cm="1">
        <f t="array" ref="CU11">PRODUCT(1 + 預測IC!$C18:CT18) -1</f>
        <v>1.5775388239378949</v>
      </c>
      <c r="CV11" s="63" cm="1">
        <f t="array" ref="CV11">PRODUCT(1 + 預測IC!$C18:CU18) -1</f>
        <v>1.3928615406723863</v>
      </c>
      <c r="CW11" s="63" cm="1">
        <f t="array" ref="CW11">PRODUCT(1 + 預測IC!$C18:CV18) -1</f>
        <v>1.5569978193491787</v>
      </c>
      <c r="CX11" s="63" cm="1">
        <f t="array" ref="CX11">PRODUCT(1 + 預測IC!$C18:CW18) -1</f>
        <v>1.4845625290358559</v>
      </c>
      <c r="CY11" s="63" cm="1">
        <f t="array" ref="CY11">PRODUCT(1 + 預測IC!$C18:CX18) -1</f>
        <v>1.4495830003421326</v>
      </c>
      <c r="CZ11" s="63" cm="1">
        <f t="array" ref="CZ11">PRODUCT(1 + 預測IC!$C18:CY18) -1</f>
        <v>1.2746032633177431</v>
      </c>
      <c r="DA11" s="63" cm="1">
        <f t="array" ref="DA11">PRODUCT(1 + 預測IC!$C18:CZ18) -1</f>
        <v>1.7395556864601911</v>
      </c>
      <c r="DB11" s="63" cm="1">
        <f t="array" ref="DB11">PRODUCT(1 + 預測IC!$C18:DA18) -1</f>
        <v>1.6097529641719275</v>
      </c>
      <c r="DC11" s="63" cm="1">
        <f t="array" ref="DC11">PRODUCT(1 + 預測IC!$C18:DB18) -1</f>
        <v>1.9180032003290908</v>
      </c>
      <c r="DD11" s="63" cm="1">
        <f t="array" ref="DD11">PRODUCT(1 + 預測IC!$C18:DC18) -1</f>
        <v>2.0242441412530607</v>
      </c>
      <c r="DE11" s="63" cm="1">
        <f t="array" ref="DE11">PRODUCT(1 + 預測IC!$C18:DD18) -1</f>
        <v>1.8093071788963733</v>
      </c>
      <c r="DF11" s="63" cm="1">
        <f t="array" ref="DF11">PRODUCT(1 + 預測IC!$C18:DE18) -1</f>
        <v>1.7115395030489906</v>
      </c>
      <c r="DG11" s="63" cm="1">
        <f t="array" ref="DG11">PRODUCT(1 + 預測IC!$C18:DF18) -1</f>
        <v>1.6165196240839865</v>
      </c>
      <c r="DH11" s="63" cm="1">
        <f t="array" ref="DH11">PRODUCT(1 + 預測IC!$C18:DG18) -1</f>
        <v>1.7598276706225322</v>
      </c>
      <c r="DI11" s="63" cm="1">
        <f t="array" ref="DI11">PRODUCT(1 + 預測IC!$C18:DH18) -1</f>
        <v>1.6824475858296295</v>
      </c>
      <c r="DJ11" s="63" cm="1">
        <f t="array" ref="DJ11">PRODUCT(1 + 預測IC!$C18:DI18) -1</f>
        <v>1.6392209375335449</v>
      </c>
      <c r="DK11" s="63" cm="1">
        <f t="array" ref="DK11">PRODUCT(1 + 預測IC!$C18:DJ18) -1</f>
        <v>1.5199174892711094</v>
      </c>
      <c r="DL11" s="63" cm="1">
        <f t="array" ref="DL11">PRODUCT(1 + 預測IC!$C18:DK18) -1</f>
        <v>1.9193587504691161</v>
      </c>
      <c r="DM11" s="63" cm="1">
        <f t="array" ref="DM11">PRODUCT(1 + 預測IC!$C18:DL18) -1</f>
        <v>1.8510150203027047</v>
      </c>
      <c r="DN11" s="63" cm="1">
        <f t="array" ref="DN11">PRODUCT(1 + 預測IC!$C18:DM18) -1</f>
        <v>1.6613993121032578</v>
      </c>
      <c r="DO11" s="63" cm="1">
        <f t="array" ref="DO11">PRODUCT(1 + 預測IC!$C18:DN18) -1</f>
        <v>1.6168952222690653</v>
      </c>
      <c r="DP11" s="63" cm="1">
        <f t="array" ref="DP11">PRODUCT(1 + 預測IC!$C18:DO18) -1</f>
        <v>2.1934501318750232</v>
      </c>
      <c r="DQ11" s="63" cm="1">
        <f t="array" ref="DQ11">PRODUCT(1 + 預測IC!$C18:DP18) -1</f>
        <v>2.1276500931601672</v>
      </c>
      <c r="DR11" s="63" cm="1">
        <f t="array" ref="DR11">PRODUCT(1 + 預測IC!$C18:DQ18) -1</f>
        <v>1.8126104117831634</v>
      </c>
      <c r="DS11" s="63" cm="1">
        <f t="array" ref="DS11">PRODUCT(1 + 預測IC!$C18:DR18) -1</f>
        <v>2.0287332374430167</v>
      </c>
      <c r="DT11" s="63" cm="1">
        <f t="array" ref="DT11">PRODUCT(1 + 預測IC!$C18:DS18) -1</f>
        <v>2.0628912371520958</v>
      </c>
      <c r="DU11" s="63" cm="1">
        <f t="array" ref="DU11">PRODUCT(1 + 預測IC!$C18:DT18) -1</f>
        <v>1.7075425896239276</v>
      </c>
      <c r="DV11" s="63" cm="1">
        <f t="array" ref="DV11">PRODUCT(1 + 預測IC!$C18:DU18) -1</f>
        <v>1.4451947465911728</v>
      </c>
      <c r="DW11" s="63" cm="1">
        <f t="array" ref="DW11">PRODUCT(1 + 預測IC!$C18:DV18) -1</f>
        <v>1.7035066082557773</v>
      </c>
      <c r="DX11" s="63" cm="1">
        <f t="array" ref="DX11">PRODUCT(1 + 預測IC!$C18:DW18) -1</f>
        <v>1.9249472991201695</v>
      </c>
      <c r="DY11" s="63" cm="1">
        <f t="array" ref="DY11">PRODUCT(1 + 預測IC!$C18:DX18) -1</f>
        <v>1.4756666850544669</v>
      </c>
      <c r="DZ11" s="63" cm="1">
        <f t="array" ref="DZ11">PRODUCT(1 + 預測IC!$C18:DY18) -1</f>
        <v>1.2344673397228538</v>
      </c>
      <c r="EA11" s="63" cm="1">
        <f t="array" ref="EA11">PRODUCT(1 + 預測IC!$C18:DZ18) -1</f>
        <v>1.0657285012603483</v>
      </c>
      <c r="EB11" s="63" cm="1">
        <f t="array" ref="EB11">PRODUCT(1 + 預測IC!$C18:EA18) -1</f>
        <v>1.0525872397875493</v>
      </c>
      <c r="EC11" s="63" cm="1">
        <f t="array" ref="EC11">PRODUCT(1 + 預測IC!$C18:EB18) -1</f>
        <v>0.85339865351840305</v>
      </c>
      <c r="ED11" s="63" cm="1">
        <f t="array" ref="ED11">PRODUCT(1 + 預測IC!$C18:EC18) -1</f>
        <v>0.86419071118913315</v>
      </c>
      <c r="EE11" s="63" cm="1">
        <f t="array" ref="EE11">PRODUCT(1 + 預測IC!$C18:ED18) -1</f>
        <v>0.64034347731613694</v>
      </c>
      <c r="EF11" s="63" cm="1">
        <f t="array" ref="EF11">PRODUCT(1 + 預測IC!$C18:EE18) -1</f>
        <v>0.64216637080091044</v>
      </c>
      <c r="EG11" s="63" cm="1">
        <f t="array" ref="EG11">PRODUCT(1 + 預測IC!$C18:EF18) -1</f>
        <v>0.72255865358161953</v>
      </c>
    </row>
    <row r="12" spans="3:137" ht="16">
      <c r="C12" s="6">
        <v>160</v>
      </c>
      <c r="D12" s="63" cm="1">
        <f t="array" ref="D12">PRODUCT(1 + 預測IC!$C19:C19) -1</f>
        <v>-7.7959416087486244E-2</v>
      </c>
      <c r="E12" s="63" cm="1">
        <f t="array" ref="E12">PRODUCT(1 + 預測IC!$C19:D19) -1</f>
        <v>-6.9769599759856415E-2</v>
      </c>
      <c r="F12" s="63" cm="1">
        <f t="array" ref="F12">PRODUCT(1 + 預測IC!$C19:E19) -1</f>
        <v>-0.11107548716558302</v>
      </c>
      <c r="G12" s="63" cm="1">
        <f t="array" ref="G12">PRODUCT(1 + 預測IC!$C19:F19) -1</f>
        <v>-0.14542947003397921</v>
      </c>
      <c r="H12" s="63" cm="1">
        <f t="array" ref="H12">PRODUCT(1 + 預測IC!$C19:G19) -1</f>
        <v>-0.22876042894330051</v>
      </c>
      <c r="I12" s="63" cm="1">
        <f t="array" ref="I12">PRODUCT(1 + 預測IC!$C19:H19) -1</f>
        <v>-0.23806835618028144</v>
      </c>
      <c r="J12" s="63" cm="1">
        <f t="array" ref="J12">PRODUCT(1 + 預測IC!$C19:I19) -1</f>
        <v>-0.13547095897283878</v>
      </c>
      <c r="K12" s="63" cm="1">
        <f t="array" ref="K12">PRODUCT(1 + 預測IC!$C19:J19) -1</f>
        <v>-0.10484105424360723</v>
      </c>
      <c r="L12" s="63" cm="1">
        <f t="array" ref="L12">PRODUCT(1 + 預測IC!$C19:K19) -1</f>
        <v>-5.4227899538832114E-2</v>
      </c>
      <c r="M12" s="63" cm="1">
        <f t="array" ref="M12">PRODUCT(1 + 預測IC!$C19:L19) -1</f>
        <v>-1.209922383607176E-2</v>
      </c>
      <c r="N12" s="63" cm="1">
        <f t="array" ref="N12">PRODUCT(1 + 預測IC!$C19:M19) -1</f>
        <v>7.2656314071434913E-2</v>
      </c>
      <c r="O12" s="63" cm="1">
        <f t="array" ref="O12">PRODUCT(1 + 預測IC!$C19:N19) -1</f>
        <v>0.17493182569015442</v>
      </c>
      <c r="P12" s="63" cm="1">
        <f t="array" ref="P12">PRODUCT(1 + 預測IC!$C19:O19) -1</f>
        <v>0.2832856636088763</v>
      </c>
      <c r="Q12" s="63" cm="1">
        <f t="array" ref="Q12">PRODUCT(1 + 預測IC!$C19:P19) -1</f>
        <v>0.31252560093789872</v>
      </c>
      <c r="R12" s="63" cm="1">
        <f t="array" ref="R12">PRODUCT(1 + 預測IC!$C19:Q19) -1</f>
        <v>0.53626172328747601</v>
      </c>
      <c r="S12" s="63" cm="1">
        <f t="array" ref="S12">PRODUCT(1 + 預測IC!$C19:R19) -1</f>
        <v>0.3975386867036248</v>
      </c>
      <c r="T12" s="63" cm="1">
        <f t="array" ref="T12">PRODUCT(1 + 預測IC!$C19:S19) -1</f>
        <v>0.56900533042708035</v>
      </c>
      <c r="U12" s="63" cm="1">
        <f t="array" ref="U12">PRODUCT(1 + 預測IC!$C19:T19) -1</f>
        <v>0.52640012352267829</v>
      </c>
      <c r="V12" s="63" cm="1">
        <f t="array" ref="V12">PRODUCT(1 + 預測IC!$C19:U19) -1</f>
        <v>0.45895329801595586</v>
      </c>
      <c r="W12" s="63" cm="1">
        <f t="array" ref="W12">PRODUCT(1 + 預測IC!$C19:V19) -1</f>
        <v>0.63210838019537374</v>
      </c>
      <c r="X12" s="63" cm="1">
        <f t="array" ref="X12">PRODUCT(1 + 預測IC!$C19:W19) -1</f>
        <v>0.87140972785797022</v>
      </c>
      <c r="Y12" s="63" cm="1">
        <f t="array" ref="Y12">PRODUCT(1 + 預測IC!$C19:X19) -1</f>
        <v>0.64137015619482751</v>
      </c>
      <c r="Z12" s="63" cm="1">
        <f t="array" ref="Z12">PRODUCT(1 + 預測IC!$C19:Y19) -1</f>
        <v>0.68086858881776502</v>
      </c>
      <c r="AA12" s="63" cm="1">
        <f t="array" ref="AA12">PRODUCT(1 + 預測IC!$C19:Z19) -1</f>
        <v>0.64351424393845957</v>
      </c>
      <c r="AB12" s="63" cm="1">
        <f t="array" ref="AB12">PRODUCT(1 + 預測IC!$C19:AA19) -1</f>
        <v>0.58930222004039412</v>
      </c>
      <c r="AC12" s="63" cm="1">
        <f t="array" ref="AC12">PRODUCT(1 + 預測IC!$C19:AB19) -1</f>
        <v>0.74702763533296079</v>
      </c>
      <c r="AD12" s="63" cm="1">
        <f t="array" ref="AD12">PRODUCT(1 + 預測IC!$C19:AC19) -1</f>
        <v>0.79673552375555445</v>
      </c>
      <c r="AE12" s="63" cm="1">
        <f t="array" ref="AE12">PRODUCT(1 + 預測IC!$C19:AD19) -1</f>
        <v>0.96921023569063136</v>
      </c>
      <c r="AF12" s="63" cm="1">
        <f t="array" ref="AF12">PRODUCT(1 + 預測IC!$C19:AE19) -1</f>
        <v>0.63559439428339526</v>
      </c>
      <c r="AG12" s="63" cm="1">
        <f t="array" ref="AG12">PRODUCT(1 + 預測IC!$C19:AF19) -1</f>
        <v>0.63602385020725394</v>
      </c>
      <c r="AH12" s="63" cm="1">
        <f t="array" ref="AH12">PRODUCT(1 + 預測IC!$C19:AG19) -1</f>
        <v>0.68173815125916515</v>
      </c>
      <c r="AI12" s="63" cm="1">
        <f t="array" ref="AI12">PRODUCT(1 + 預測IC!$C19:AH19) -1</f>
        <v>0.60968250930975088</v>
      </c>
      <c r="AJ12" s="63" cm="1">
        <f t="array" ref="AJ12">PRODUCT(1 + 預測IC!$C19:AI19) -1</f>
        <v>0.74130644896747899</v>
      </c>
      <c r="AK12" s="63" cm="1">
        <f t="array" ref="AK12">PRODUCT(1 + 預測IC!$C19:AJ19) -1</f>
        <v>0.65155030250671619</v>
      </c>
      <c r="AL12" s="63" cm="1">
        <f t="array" ref="AL12">PRODUCT(1 + 預測IC!$C19:AK19) -1</f>
        <v>0.73257335310943028</v>
      </c>
      <c r="AM12" s="63" cm="1">
        <f t="array" ref="AM12">PRODUCT(1 + 預測IC!$C19:AL19) -1</f>
        <v>0.73454201068698799</v>
      </c>
      <c r="AN12" s="63" cm="1">
        <f t="array" ref="AN12">PRODUCT(1 + 預測IC!$C19:AM19) -1</f>
        <v>0.78885299249502405</v>
      </c>
      <c r="AO12" s="63" cm="1">
        <f t="array" ref="AO12">PRODUCT(1 + 預測IC!$C19:AN19) -1</f>
        <v>0.93834438594877967</v>
      </c>
      <c r="AP12" s="63" cm="1">
        <f t="array" ref="AP12">PRODUCT(1 + 預測IC!$C19:AO19) -1</f>
        <v>0.98853374920277481</v>
      </c>
      <c r="AQ12" s="63" cm="1">
        <f t="array" ref="AQ12">PRODUCT(1 + 預測IC!$C19:AP19) -1</f>
        <v>0.81438965548346554</v>
      </c>
      <c r="AR12" s="63" cm="1">
        <f t="array" ref="AR12">PRODUCT(1 + 預測IC!$C19:AQ19) -1</f>
        <v>0.65426476600472561</v>
      </c>
      <c r="AS12" s="63" cm="1">
        <f t="array" ref="AS12">PRODUCT(1 + 預測IC!$C19:AR19) -1</f>
        <v>0.92396473114204958</v>
      </c>
      <c r="AT12" s="63" cm="1">
        <f t="array" ref="AT12">PRODUCT(1 + 預測IC!$C19:AS19) -1</f>
        <v>1.1121226238913633</v>
      </c>
      <c r="AU12" s="63" cm="1">
        <f t="array" ref="AU12">PRODUCT(1 + 預測IC!$C19:AT19) -1</f>
        <v>1.2162396701230134</v>
      </c>
      <c r="AV12" s="63" cm="1">
        <f t="array" ref="AV12">PRODUCT(1 + 預測IC!$C19:AU19) -1</f>
        <v>1.3856240218241678</v>
      </c>
      <c r="AW12" s="63" cm="1">
        <f t="array" ref="AW12">PRODUCT(1 + 預測IC!$C19:AV19) -1</f>
        <v>1.2700092825374947</v>
      </c>
      <c r="AX12" s="63" cm="1">
        <f t="array" ref="AX12">PRODUCT(1 + 預測IC!$C19:AW19) -1</f>
        <v>1.3207579917693537</v>
      </c>
      <c r="AY12" s="63" cm="1">
        <f t="array" ref="AY12">PRODUCT(1 + 預測IC!$C19:AX19) -1</f>
        <v>1.134618314767299</v>
      </c>
      <c r="AZ12" s="63" cm="1">
        <f t="array" ref="AZ12">PRODUCT(1 + 預測IC!$C19:AY19) -1</f>
        <v>1.1976513957852291</v>
      </c>
      <c r="BA12" s="63" cm="1">
        <f t="array" ref="BA12">PRODUCT(1 + 預測IC!$C19:AZ19) -1</f>
        <v>0.78695514207413009</v>
      </c>
      <c r="BB12" s="63" cm="1">
        <f t="array" ref="BB12">PRODUCT(1 + 預測IC!$C19:BA19) -1</f>
        <v>0.72554842294076072</v>
      </c>
      <c r="BC12" s="63" cm="1">
        <f t="array" ref="BC12">PRODUCT(1 + 預測IC!$C19:BB19) -1</f>
        <v>1.0737673916320913</v>
      </c>
      <c r="BD12" s="63" cm="1">
        <f t="array" ref="BD12">PRODUCT(1 + 預測IC!$C19:BC19) -1</f>
        <v>1.206603570471946</v>
      </c>
      <c r="BE12" s="63" cm="1">
        <f t="array" ref="BE12">PRODUCT(1 + 預測IC!$C19:BD19) -1</f>
        <v>1.1994665481461295</v>
      </c>
      <c r="BF12" s="63" cm="1">
        <f t="array" ref="BF12">PRODUCT(1 + 預測IC!$C19:BE19) -1</f>
        <v>1.132623283755684</v>
      </c>
      <c r="BG12" s="63" cm="1">
        <f t="array" ref="BG12">PRODUCT(1 + 預測IC!$C19:BF19) -1</f>
        <v>1.1615650592093831</v>
      </c>
      <c r="BH12" s="63" cm="1">
        <f t="array" ref="BH12">PRODUCT(1 + 預測IC!$C19:BG19) -1</f>
        <v>0.83017821940974312</v>
      </c>
      <c r="BI12" s="63" cm="1">
        <f t="array" ref="BI12">PRODUCT(1 + 預測IC!$C19:BH19) -1</f>
        <v>0.83387188820607783</v>
      </c>
      <c r="BJ12" s="63" cm="1">
        <f t="array" ref="BJ12">PRODUCT(1 + 預測IC!$C19:BI19) -1</f>
        <v>0.59950557546322969</v>
      </c>
      <c r="BK12" s="63" cm="1">
        <f t="array" ref="BK12">PRODUCT(1 + 預測IC!$C19:BJ19) -1</f>
        <v>0.56478462562401055</v>
      </c>
      <c r="BL12" s="63" cm="1">
        <f t="array" ref="BL12">PRODUCT(1 + 預測IC!$C19:BK19) -1</f>
        <v>0.48380776281193238</v>
      </c>
      <c r="BM12" s="63" cm="1">
        <f t="array" ref="BM12">PRODUCT(1 + 預測IC!$C19:BL19) -1</f>
        <v>0.60245994332031594</v>
      </c>
      <c r="BN12" s="63" cm="1">
        <f t="array" ref="BN12">PRODUCT(1 + 預測IC!$C19:BM19) -1</f>
        <v>0.78554195373517732</v>
      </c>
      <c r="BO12" s="63" cm="1">
        <f t="array" ref="BO12">PRODUCT(1 + 預測IC!$C19:BN19) -1</f>
        <v>0.93090874541293522</v>
      </c>
      <c r="BP12" s="63" cm="1">
        <f t="array" ref="BP12">PRODUCT(1 + 預測IC!$C19:BO19) -1</f>
        <v>0.88122846909573327</v>
      </c>
      <c r="BQ12" s="63" cm="1">
        <f t="array" ref="BQ12">PRODUCT(1 + 預測IC!$C19:BP19) -1</f>
        <v>0.95163582031093408</v>
      </c>
      <c r="BR12" s="63" cm="1">
        <f t="array" ref="BR12">PRODUCT(1 + 預測IC!$C19:BQ19) -1</f>
        <v>0.97102345730855211</v>
      </c>
      <c r="BS12" s="63" cm="1">
        <f t="array" ref="BS12">PRODUCT(1 + 預測IC!$C19:BR19) -1</f>
        <v>0.98418052380421561</v>
      </c>
      <c r="BT12" s="63" cm="1">
        <f t="array" ref="BT12">PRODUCT(1 + 預測IC!$C19:BS19) -1</f>
        <v>0.93605156888861663</v>
      </c>
      <c r="BU12" s="63" cm="1">
        <f t="array" ref="BU12">PRODUCT(1 + 預測IC!$C19:BT19) -1</f>
        <v>0.91050794492848519</v>
      </c>
      <c r="BV12" s="63" cm="1">
        <f t="array" ref="BV12">PRODUCT(1 + 預測IC!$C19:BU19) -1</f>
        <v>1.0555847562195826</v>
      </c>
      <c r="BW12" s="63" cm="1">
        <f t="array" ref="BW12">PRODUCT(1 + 預測IC!$C19:BV19) -1</f>
        <v>1.2481010422744703</v>
      </c>
      <c r="BX12" s="63" cm="1">
        <f t="array" ref="BX12">PRODUCT(1 + 預測IC!$C19:BW19) -1</f>
        <v>0.58271642312369543</v>
      </c>
      <c r="BY12" s="63" cm="1">
        <f t="array" ref="BY12">PRODUCT(1 + 預測IC!$C19:BX19) -1</f>
        <v>0.64032554341186376</v>
      </c>
      <c r="BZ12" s="63" cm="1">
        <f t="array" ref="BZ12">PRODUCT(1 + 預測IC!$C19:BY19) -1</f>
        <v>0.59492872628251603</v>
      </c>
      <c r="CA12" s="63" cm="1">
        <f t="array" ref="CA12">PRODUCT(1 + 預測IC!$C19:BZ19) -1</f>
        <v>0.69670973098087563</v>
      </c>
      <c r="CB12" s="63" cm="1">
        <f t="array" ref="CB12">PRODUCT(1 + 預測IC!$C19:CA19) -1</f>
        <v>0.66015294887460496</v>
      </c>
      <c r="CC12" s="63" cm="1">
        <f t="array" ref="CC12">PRODUCT(1 + 預測IC!$C19:CB19) -1</f>
        <v>0.58039726130826064</v>
      </c>
      <c r="CD12" s="63" cm="1">
        <f t="array" ref="CD12">PRODUCT(1 + 預測IC!$C19:CC19) -1</f>
        <v>0.41379690721987061</v>
      </c>
      <c r="CE12" s="63" cm="1">
        <f t="array" ref="CE12">PRODUCT(1 + 預測IC!$C19:CD19) -1</f>
        <v>0.70657417170708103</v>
      </c>
      <c r="CF12" s="63" cm="1">
        <f t="array" ref="CF12">PRODUCT(1 + 預測IC!$C19:CE19) -1</f>
        <v>0.85756308081553234</v>
      </c>
      <c r="CG12" s="63" cm="1">
        <f t="array" ref="CG12">PRODUCT(1 + 預測IC!$C19:CF19) -1</f>
        <v>1.0650500673134844</v>
      </c>
      <c r="CH12" s="63" cm="1">
        <f t="array" ref="CH12">PRODUCT(1 + 預測IC!$C19:CG19) -1</f>
        <v>0.96048929274840478</v>
      </c>
      <c r="CI12" s="63" cm="1">
        <f t="array" ref="CI12">PRODUCT(1 + 預測IC!$C19:CH19) -1</f>
        <v>0.87674690685149481</v>
      </c>
      <c r="CJ12" s="63" cm="1">
        <f t="array" ref="CJ12">PRODUCT(1 + 預測IC!$C19:CI19) -1</f>
        <v>0.56670379061765441</v>
      </c>
      <c r="CK12" s="63" cm="1">
        <f t="array" ref="CK12">PRODUCT(1 + 預測IC!$C19:CJ19) -1</f>
        <v>0.46966137452811285</v>
      </c>
      <c r="CL12" s="63" cm="1">
        <f t="array" ref="CL12">PRODUCT(1 + 預測IC!$C19:CK19) -1</f>
        <v>0.62245871360174032</v>
      </c>
      <c r="CM12" s="63" cm="1">
        <f t="array" ref="CM12">PRODUCT(1 + 預測IC!$C19:CL19) -1</f>
        <v>1.1272895063664494</v>
      </c>
      <c r="CN12" s="63" cm="1">
        <f t="array" ref="CN12">PRODUCT(1 + 預測IC!$C19:CM19) -1</f>
        <v>1.5003047042693369</v>
      </c>
      <c r="CO12" s="63" cm="1">
        <f t="array" ref="CO12">PRODUCT(1 + 預測IC!$C19:CN19) -1</f>
        <v>1.692659782645924</v>
      </c>
      <c r="CP12" s="63" cm="1">
        <f t="array" ref="CP12">PRODUCT(1 + 預測IC!$C19:CO19) -1</f>
        <v>0.95903276469800525</v>
      </c>
      <c r="CQ12" s="63" cm="1">
        <f t="array" ref="CQ12">PRODUCT(1 + 預測IC!$C19:CP19) -1</f>
        <v>0.68983281654544659</v>
      </c>
      <c r="CR12" s="63" cm="1">
        <f t="array" ref="CR12">PRODUCT(1 + 預測IC!$C19:CQ19) -1</f>
        <v>0.68521972815971277</v>
      </c>
      <c r="CS12" s="63" cm="1">
        <f t="array" ref="CS12">PRODUCT(1 + 預測IC!$C19:CR19) -1</f>
        <v>0.64427023278929352</v>
      </c>
      <c r="CT12" s="63" cm="1">
        <f t="array" ref="CT12">PRODUCT(1 + 預測IC!$C19:CS19) -1</f>
        <v>0.74407883502674088</v>
      </c>
      <c r="CU12" s="63" cm="1">
        <f t="array" ref="CU12">PRODUCT(1 + 預測IC!$C19:CT19) -1</f>
        <v>0.95793852585412687</v>
      </c>
      <c r="CV12" s="63" cm="1">
        <f t="array" ref="CV12">PRODUCT(1 + 預測IC!$C19:CU19) -1</f>
        <v>0.79457518948637174</v>
      </c>
      <c r="CW12" s="63" cm="1">
        <f t="array" ref="CW12">PRODUCT(1 + 預測IC!$C19:CV19) -1</f>
        <v>0.93121862094416219</v>
      </c>
      <c r="CX12" s="63" cm="1">
        <f t="array" ref="CX12">PRODUCT(1 + 預測IC!$C19:CW19) -1</f>
        <v>0.86904857349769449</v>
      </c>
      <c r="CY12" s="63" cm="1">
        <f t="array" ref="CY12">PRODUCT(1 + 預測IC!$C19:CX19) -1</f>
        <v>0.87115610260881904</v>
      </c>
      <c r="CZ12" s="63" cm="1">
        <f t="array" ref="CZ12">PRODUCT(1 + 預測IC!$C19:CY19) -1</f>
        <v>0.73427853139102806</v>
      </c>
      <c r="DA12" s="63" cm="1">
        <f t="array" ref="DA12">PRODUCT(1 + 預測IC!$C19:CZ19) -1</f>
        <v>1.0083153519276782</v>
      </c>
      <c r="DB12" s="63" cm="1">
        <f t="array" ref="DB12">PRODUCT(1 + 預測IC!$C19:DA19) -1</f>
        <v>0.89138344649582346</v>
      </c>
      <c r="DC12" s="63" cm="1">
        <f t="array" ref="DC12">PRODUCT(1 + 預測IC!$C19:DB19) -1</f>
        <v>1.1712360341888273</v>
      </c>
      <c r="DD12" s="63" cm="1">
        <f t="array" ref="DD12">PRODUCT(1 + 預測IC!$C19:DC19) -1</f>
        <v>1.0948532534602617</v>
      </c>
      <c r="DE12" s="63" cm="1">
        <f t="array" ref="DE12">PRODUCT(1 + 預測IC!$C19:DD19) -1</f>
        <v>0.96173064143124254</v>
      </c>
      <c r="DF12" s="63" cm="1">
        <f t="array" ref="DF12">PRODUCT(1 + 預測IC!$C19:DE19) -1</f>
        <v>0.8755211408496586</v>
      </c>
      <c r="DG12" s="63" cm="1">
        <f t="array" ref="DG12">PRODUCT(1 + 預測IC!$C19:DF19) -1</f>
        <v>0.74481035803156792</v>
      </c>
      <c r="DH12" s="63" cm="1">
        <f t="array" ref="DH12">PRODUCT(1 + 預測IC!$C19:DG19) -1</f>
        <v>0.86062086310059249</v>
      </c>
      <c r="DI12" s="63" cm="1">
        <f t="array" ref="DI12">PRODUCT(1 + 預測IC!$C19:DH19) -1</f>
        <v>0.86032877701486732</v>
      </c>
      <c r="DJ12" s="63" cm="1">
        <f t="array" ref="DJ12">PRODUCT(1 + 預測IC!$C19:DI19) -1</f>
        <v>0.86714953191385402</v>
      </c>
      <c r="DK12" s="63" cm="1">
        <f t="array" ref="DK12">PRODUCT(1 + 預測IC!$C19:DJ19) -1</f>
        <v>0.77656598467034366</v>
      </c>
      <c r="DL12" s="63" cm="1">
        <f t="array" ref="DL12">PRODUCT(1 + 預測IC!$C19:DK19) -1</f>
        <v>0.99711703650868833</v>
      </c>
      <c r="DM12" s="63" cm="1">
        <f t="array" ref="DM12">PRODUCT(1 + 預測IC!$C19:DL19) -1</f>
        <v>0.95055715853870204</v>
      </c>
      <c r="DN12" s="63" cm="1">
        <f t="array" ref="DN12">PRODUCT(1 + 預測IC!$C19:DM19) -1</f>
        <v>0.79070460082375482</v>
      </c>
      <c r="DO12" s="63" cm="1">
        <f t="array" ref="DO12">PRODUCT(1 + 預測IC!$C19:DN19) -1</f>
        <v>0.78322367305393437</v>
      </c>
      <c r="DP12" s="63" cm="1">
        <f t="array" ref="DP12">PRODUCT(1 + 預測IC!$C19:DO19) -1</f>
        <v>1.2277134861343768</v>
      </c>
      <c r="DQ12" s="63" cm="1">
        <f t="array" ref="DQ12">PRODUCT(1 + 預測IC!$C19:DP19) -1</f>
        <v>1.2882303087737497</v>
      </c>
      <c r="DR12" s="63" cm="1">
        <f t="array" ref="DR12">PRODUCT(1 + 預測IC!$C19:DQ19) -1</f>
        <v>1.0125228590354061</v>
      </c>
      <c r="DS12" s="63" cm="1">
        <f t="array" ref="DS12">PRODUCT(1 + 預測IC!$C19:DR19) -1</f>
        <v>1.1653988315281896</v>
      </c>
      <c r="DT12" s="63" cm="1">
        <f t="array" ref="DT12">PRODUCT(1 + 預測IC!$C19:DS19) -1</f>
        <v>1.1531051834679471</v>
      </c>
      <c r="DU12" s="63" cm="1">
        <f t="array" ref="DU12">PRODUCT(1 + 預測IC!$C19:DT19) -1</f>
        <v>0.86646551871710997</v>
      </c>
      <c r="DV12" s="63" cm="1">
        <f t="array" ref="DV12">PRODUCT(1 + 預測IC!$C19:DU19) -1</f>
        <v>0.59987694578420214</v>
      </c>
      <c r="DW12" s="63" cm="1">
        <f t="array" ref="DW12">PRODUCT(1 + 預測IC!$C19:DV19) -1</f>
        <v>0.79111318794986807</v>
      </c>
      <c r="DX12" s="63" cm="1">
        <f t="array" ref="DX12">PRODUCT(1 + 預測IC!$C19:DW19) -1</f>
        <v>0.89967101673325889</v>
      </c>
      <c r="DY12" s="63" cm="1">
        <f t="array" ref="DY12">PRODUCT(1 + 預測IC!$C19:DX19) -1</f>
        <v>0.63682278149458593</v>
      </c>
      <c r="DZ12" s="63" cm="1">
        <f t="array" ref="DZ12">PRODUCT(1 + 預測IC!$C19:DY19) -1</f>
        <v>0.52206582753402886</v>
      </c>
      <c r="EA12" s="63" cm="1">
        <f t="array" ref="EA12">PRODUCT(1 + 預測IC!$C19:DZ19) -1</f>
        <v>0.35171495853086077</v>
      </c>
      <c r="EB12" s="63" cm="1">
        <f t="array" ref="EB12">PRODUCT(1 + 預測IC!$C19:EA19) -1</f>
        <v>0.3137596764119257</v>
      </c>
      <c r="EC12" s="63" cm="1">
        <f t="array" ref="EC12">PRODUCT(1 + 預測IC!$C19:EB19) -1</f>
        <v>0.17417815235231005</v>
      </c>
      <c r="ED12" s="63" cm="1">
        <f t="array" ref="ED12">PRODUCT(1 + 預測IC!$C19:EC19) -1</f>
        <v>0.16405494899449291</v>
      </c>
      <c r="EE12" s="63" cm="1">
        <f t="array" ref="EE12">PRODUCT(1 + 預測IC!$C19:ED19) -1</f>
        <v>-1.1642053725951729E-2</v>
      </c>
      <c r="EF12" s="63" cm="1">
        <f t="array" ref="EF12">PRODUCT(1 + 預測IC!$C19:EE19) -1</f>
        <v>-1.8863517426954246E-2</v>
      </c>
      <c r="EG12" s="63" cm="1">
        <f t="array" ref="EG12">PRODUCT(1 + 預測IC!$C19:EF19) -1</f>
        <v>-2.2058264998394694E-3</v>
      </c>
    </row>
    <row r="13" spans="3:137" ht="16">
      <c r="C13" s="6">
        <v>192</v>
      </c>
      <c r="D13" s="63" cm="1">
        <f t="array" ref="D13">PRODUCT(1 + 預測IC!$C20:C20) -1</f>
        <v>-0.13932460396499158</v>
      </c>
      <c r="E13" s="63" cm="1">
        <f t="array" ref="E13">PRODUCT(1 + 預測IC!$C20:D20) -1</f>
        <v>-0.13902188870904963</v>
      </c>
      <c r="F13" s="63" cm="1">
        <f t="array" ref="F13">PRODUCT(1 + 預測IC!$C20:E20) -1</f>
        <v>-0.18838723132171753</v>
      </c>
      <c r="G13" s="63" cm="1">
        <f t="array" ref="G13">PRODUCT(1 + 預測IC!$C20:F20) -1</f>
        <v>-0.2624212674952362</v>
      </c>
      <c r="H13" s="63" cm="1">
        <f t="array" ref="H13">PRODUCT(1 + 預測IC!$C20:G20) -1</f>
        <v>-0.34473835335584624</v>
      </c>
      <c r="I13" s="63" cm="1">
        <f t="array" ref="I13">PRODUCT(1 + 預測IC!$C20:H20) -1</f>
        <v>-0.33714844061447524</v>
      </c>
      <c r="J13" s="63" cm="1">
        <f t="array" ref="J13">PRODUCT(1 + 預測IC!$C20:I20) -1</f>
        <v>-0.23231875642819644</v>
      </c>
      <c r="K13" s="63" cm="1">
        <f t="array" ref="K13">PRODUCT(1 + 預測IC!$C20:J20) -1</f>
        <v>-0.18109818111496778</v>
      </c>
      <c r="L13" s="63" cm="1">
        <f t="array" ref="L13">PRODUCT(1 + 預測IC!$C20:K20) -1</f>
        <v>-0.15046741665475216</v>
      </c>
      <c r="M13" s="63" cm="1">
        <f t="array" ref="M13">PRODUCT(1 + 預測IC!$C20:L20) -1</f>
        <v>-6.9159812286135214E-2</v>
      </c>
      <c r="N13" s="63" cm="1">
        <f t="array" ref="N13">PRODUCT(1 + 預測IC!$C20:M20) -1</f>
        <v>2.4048393936960677E-2</v>
      </c>
      <c r="O13" s="63" cm="1">
        <f t="array" ref="O13">PRODUCT(1 + 預測IC!$C20:N20) -1</f>
        <v>0.12842445382828682</v>
      </c>
      <c r="P13" s="63" cm="1">
        <f t="array" ref="P13">PRODUCT(1 + 預測IC!$C20:O20) -1</f>
        <v>0.24025299194758731</v>
      </c>
      <c r="Q13" s="63" cm="1">
        <f t="array" ref="Q13">PRODUCT(1 + 預測IC!$C20:P20) -1</f>
        <v>0.28989845232662859</v>
      </c>
      <c r="R13" s="63" cm="1">
        <f t="array" ref="R13">PRODUCT(1 + 預測IC!$C20:Q20) -1</f>
        <v>0.5798996280703459</v>
      </c>
      <c r="S13" s="63" cm="1">
        <f t="array" ref="S13">PRODUCT(1 + 預測IC!$C20:R20) -1</f>
        <v>0.40729076610316017</v>
      </c>
      <c r="T13" s="63" cm="1">
        <f t="array" ref="T13">PRODUCT(1 + 預測IC!$C20:S20) -1</f>
        <v>0.52348036577689627</v>
      </c>
      <c r="U13" s="63" cm="1">
        <f t="array" ref="U13">PRODUCT(1 + 預測IC!$C20:T20) -1</f>
        <v>0.54734250242390825</v>
      </c>
      <c r="V13" s="63" cm="1">
        <f t="array" ref="V13">PRODUCT(1 + 預測IC!$C20:U20) -1</f>
        <v>0.49745980337278084</v>
      </c>
      <c r="W13" s="63" cm="1">
        <f t="array" ref="W13">PRODUCT(1 + 預測IC!$C20:V20) -1</f>
        <v>0.7015456999452494</v>
      </c>
      <c r="X13" s="63" cm="1">
        <f t="array" ref="X13">PRODUCT(1 + 預測IC!$C20:W20) -1</f>
        <v>0.99605837750361825</v>
      </c>
      <c r="Y13" s="63" cm="1">
        <f t="array" ref="Y13">PRODUCT(1 + 預測IC!$C20:X20) -1</f>
        <v>0.69656516439946126</v>
      </c>
      <c r="Z13" s="63" cm="1">
        <f t="array" ref="Z13">PRODUCT(1 + 預測IC!$C20:Y20) -1</f>
        <v>0.68832705476689093</v>
      </c>
      <c r="AA13" s="63" cm="1">
        <f t="array" ref="AA13">PRODUCT(1 + 預測IC!$C20:Z20) -1</f>
        <v>0.73755419770895303</v>
      </c>
      <c r="AB13" s="63" cm="1">
        <f t="array" ref="AB13">PRODUCT(1 + 預測IC!$C20:AA20) -1</f>
        <v>0.72166742948736751</v>
      </c>
      <c r="AC13" s="63" cm="1">
        <f t="array" ref="AC13">PRODUCT(1 + 預測IC!$C20:AB20) -1</f>
        <v>0.86759568659415676</v>
      </c>
      <c r="AD13" s="63" cm="1">
        <f t="array" ref="AD13">PRODUCT(1 + 預測IC!$C20:AC20) -1</f>
        <v>0.97300903544933415</v>
      </c>
      <c r="AE13" s="63" cm="1">
        <f t="array" ref="AE13">PRODUCT(1 + 預測IC!$C20:AD20) -1</f>
        <v>1.229191273765025</v>
      </c>
      <c r="AF13" s="63" cm="1">
        <f t="array" ref="AF13">PRODUCT(1 + 預測IC!$C20:AE20) -1</f>
        <v>0.83845525104839713</v>
      </c>
      <c r="AG13" s="63" cm="1">
        <f t="array" ref="AG13">PRODUCT(1 + 預測IC!$C20:AF20) -1</f>
        <v>0.82656176653492297</v>
      </c>
      <c r="AH13" s="63" cm="1">
        <f t="array" ref="AH13">PRODUCT(1 + 預測IC!$C20:AG20) -1</f>
        <v>0.87708303761212414</v>
      </c>
      <c r="AI13" s="63" cm="1">
        <f t="array" ref="AI13">PRODUCT(1 + 預測IC!$C20:AH20) -1</f>
        <v>0.70781106668802418</v>
      </c>
      <c r="AJ13" s="63" cm="1">
        <f t="array" ref="AJ13">PRODUCT(1 + 預測IC!$C20:AI20) -1</f>
        <v>0.84128426341636198</v>
      </c>
      <c r="AK13" s="63" cm="1">
        <f t="array" ref="AK13">PRODUCT(1 + 預測IC!$C20:AJ20) -1</f>
        <v>0.72714298831532598</v>
      </c>
      <c r="AL13" s="63" cm="1">
        <f t="array" ref="AL13">PRODUCT(1 + 預測IC!$C20:AK20) -1</f>
        <v>0.8428034694158375</v>
      </c>
      <c r="AM13" s="63" cm="1">
        <f t="array" ref="AM13">PRODUCT(1 + 預測IC!$C20:AL20) -1</f>
        <v>0.85315380796166629</v>
      </c>
      <c r="AN13" s="63" cm="1">
        <f t="array" ref="AN13">PRODUCT(1 + 預測IC!$C20:AM20) -1</f>
        <v>0.91448575071453608</v>
      </c>
      <c r="AO13" s="63" cm="1">
        <f t="array" ref="AO13">PRODUCT(1 + 預測IC!$C20:AN20) -1</f>
        <v>1.0589723608103268</v>
      </c>
      <c r="AP13" s="63" cm="1">
        <f t="array" ref="AP13">PRODUCT(1 + 預測IC!$C20:AO20) -1</f>
        <v>1.1042436120520431</v>
      </c>
      <c r="AQ13" s="63" cm="1">
        <f t="array" ref="AQ13">PRODUCT(1 + 預測IC!$C20:AP20) -1</f>
        <v>0.82705063044272431</v>
      </c>
      <c r="AR13" s="63" cm="1">
        <f t="array" ref="AR13">PRODUCT(1 + 預測IC!$C20:AQ20) -1</f>
        <v>0.87720771107751205</v>
      </c>
      <c r="AS13" s="63" cm="1">
        <f t="array" ref="AS13">PRODUCT(1 + 預測IC!$C20:AR20) -1</f>
        <v>1.2178602537533525</v>
      </c>
      <c r="AT13" s="63" cm="1">
        <f t="array" ref="AT13">PRODUCT(1 + 預測IC!$C20:AS20) -1</f>
        <v>1.4664730946611728</v>
      </c>
      <c r="AU13" s="63" cm="1">
        <f t="array" ref="AU13">PRODUCT(1 + 預測IC!$C20:AT20) -1</f>
        <v>1.4809236025084274</v>
      </c>
      <c r="AV13" s="63" cm="1">
        <f t="array" ref="AV13">PRODUCT(1 + 預測IC!$C20:AU20) -1</f>
        <v>1.6617824819528062</v>
      </c>
      <c r="AW13" s="63" cm="1">
        <f t="array" ref="AW13">PRODUCT(1 + 預測IC!$C20:AV20) -1</f>
        <v>1.5163807139424379</v>
      </c>
      <c r="AX13" s="63" cm="1">
        <f t="array" ref="AX13">PRODUCT(1 + 預測IC!$C20:AW20) -1</f>
        <v>1.533656342384496</v>
      </c>
      <c r="AY13" s="63" cm="1">
        <f t="array" ref="AY13">PRODUCT(1 + 預測IC!$C20:AX20) -1</f>
        <v>1.2530981198391902</v>
      </c>
      <c r="AZ13" s="63" cm="1">
        <f t="array" ref="AZ13">PRODUCT(1 + 預測IC!$C20:AY20) -1</f>
        <v>1.3402360101862572</v>
      </c>
      <c r="BA13" s="63" cm="1">
        <f t="array" ref="BA13">PRODUCT(1 + 預測IC!$C20:AZ20) -1</f>
        <v>0.83988786168026519</v>
      </c>
      <c r="BB13" s="63" cm="1">
        <f t="array" ref="BB13">PRODUCT(1 + 預測IC!$C20:BA20) -1</f>
        <v>0.74045087563181844</v>
      </c>
      <c r="BC13" s="63" cm="1">
        <f t="array" ref="BC13">PRODUCT(1 + 預測IC!$C20:BB20) -1</f>
        <v>1.1428668337888643</v>
      </c>
      <c r="BD13" s="63" cm="1">
        <f t="array" ref="BD13">PRODUCT(1 + 預測IC!$C20:BC20) -1</f>
        <v>1.2941651630463289</v>
      </c>
      <c r="BE13" s="63" cm="1">
        <f t="array" ref="BE13">PRODUCT(1 + 預測IC!$C20:BD20) -1</f>
        <v>1.1715883468852679</v>
      </c>
      <c r="BF13" s="63" cm="1">
        <f t="array" ref="BF13">PRODUCT(1 + 預測IC!$C20:BE20) -1</f>
        <v>1.0880542218051699</v>
      </c>
      <c r="BG13" s="63" cm="1">
        <f t="array" ref="BG13">PRODUCT(1 + 預測IC!$C20:BF20) -1</f>
        <v>1.0999322901581867</v>
      </c>
      <c r="BH13" s="63" cm="1">
        <f t="array" ref="BH13">PRODUCT(1 + 預測IC!$C20:BG20) -1</f>
        <v>0.90240834230757816</v>
      </c>
      <c r="BI13" s="63" cm="1">
        <f t="array" ref="BI13">PRODUCT(1 + 預測IC!$C20:BH20) -1</f>
        <v>0.76618363995468686</v>
      </c>
      <c r="BJ13" s="63" cm="1">
        <f t="array" ref="BJ13">PRODUCT(1 + 預測IC!$C20:BI20) -1</f>
        <v>0.53349730458739031</v>
      </c>
      <c r="BK13" s="63" cm="1">
        <f t="array" ref="BK13">PRODUCT(1 + 預測IC!$C20:BJ20) -1</f>
        <v>0.50032850649165761</v>
      </c>
      <c r="BL13" s="63" cm="1">
        <f t="array" ref="BL13">PRODUCT(1 + 預測IC!$C20:BK20) -1</f>
        <v>0.41145929624725897</v>
      </c>
      <c r="BM13" s="63" cm="1">
        <f t="array" ref="BM13">PRODUCT(1 + 預測IC!$C20:BL20) -1</f>
        <v>0.53325726813518348</v>
      </c>
      <c r="BN13" s="63" cm="1">
        <f t="array" ref="BN13">PRODUCT(1 + 預測IC!$C20:BM20) -1</f>
        <v>0.74318726750308284</v>
      </c>
      <c r="BO13" s="63" cm="1">
        <f t="array" ref="BO13">PRODUCT(1 + 預測IC!$C20:BN20) -1</f>
        <v>0.71069769570398789</v>
      </c>
      <c r="BP13" s="63" cm="1">
        <f t="array" ref="BP13">PRODUCT(1 + 預測IC!$C20:BO20) -1</f>
        <v>0.77649406723139114</v>
      </c>
      <c r="BQ13" s="63" cm="1">
        <f t="array" ref="BQ13">PRODUCT(1 + 預測IC!$C20:BP20) -1</f>
        <v>0.88380766948293799</v>
      </c>
      <c r="BR13" s="63" cm="1">
        <f t="array" ref="BR13">PRODUCT(1 + 預測IC!$C20:BQ20) -1</f>
        <v>0.91291571356237711</v>
      </c>
      <c r="BS13" s="63" cm="1">
        <f t="array" ref="BS13">PRODUCT(1 + 預測IC!$C20:BR20) -1</f>
        <v>0.92860178037301599</v>
      </c>
      <c r="BT13" s="63" cm="1">
        <f t="array" ref="BT13">PRODUCT(1 + 預測IC!$C20:BS20) -1</f>
        <v>0.92450796902474819</v>
      </c>
      <c r="BU13" s="63" cm="1">
        <f t="array" ref="BU13">PRODUCT(1 + 預測IC!$C20:BT20) -1</f>
        <v>0.82353360990293201</v>
      </c>
      <c r="BV13" s="63" cm="1">
        <f t="array" ref="BV13">PRODUCT(1 + 預測IC!$C20:BU20) -1</f>
        <v>1.0036165792192073</v>
      </c>
      <c r="BW13" s="63" cm="1">
        <f t="array" ref="BW13">PRODUCT(1 + 預測IC!$C20:BV20) -1</f>
        <v>1.2358724701744075</v>
      </c>
      <c r="BX13" s="63" cm="1">
        <f t="array" ref="BX13">PRODUCT(1 + 預測IC!$C20:BW20) -1</f>
        <v>0.47110866084350955</v>
      </c>
      <c r="BY13" s="63" cm="1">
        <f t="array" ref="BY13">PRODUCT(1 + 預測IC!$C20:BX20) -1</f>
        <v>0.54887355617578693</v>
      </c>
      <c r="BZ13" s="63" cm="1">
        <f t="array" ref="BZ13">PRODUCT(1 + 預測IC!$C20:BY20) -1</f>
        <v>0.48198780177795175</v>
      </c>
      <c r="CA13" s="63" cm="1">
        <f t="array" ref="CA13">PRODUCT(1 + 預測IC!$C20:BZ20) -1</f>
        <v>0.61576892174105846</v>
      </c>
      <c r="CB13" s="63" cm="1">
        <f t="array" ref="CB13">PRODUCT(1 + 預測IC!$C20:CA20) -1</f>
        <v>0.61254736589023229</v>
      </c>
      <c r="CC13" s="63" cm="1">
        <f t="array" ref="CC13">PRODUCT(1 + 預測IC!$C20:CB20) -1</f>
        <v>0.55086428465994564</v>
      </c>
      <c r="CD13" s="63" cm="1">
        <f t="array" ref="CD13">PRODUCT(1 + 預測IC!$C20:CC20) -1</f>
        <v>0.39356108030616932</v>
      </c>
      <c r="CE13" s="63" cm="1">
        <f t="array" ref="CE13">PRODUCT(1 + 預測IC!$C20:CD20) -1</f>
        <v>0.645833955274288</v>
      </c>
      <c r="CF13" s="63" cm="1">
        <f t="array" ref="CF13">PRODUCT(1 + 預測IC!$C20:CE20) -1</f>
        <v>0.78701058436476323</v>
      </c>
      <c r="CG13" s="63" cm="1">
        <f t="array" ref="CG13">PRODUCT(1 + 預測IC!$C20:CF20) -1</f>
        <v>1.0214816622757015</v>
      </c>
      <c r="CH13" s="63" cm="1">
        <f t="array" ref="CH13">PRODUCT(1 + 預測IC!$C20:CG20) -1</f>
        <v>0.82124806451668797</v>
      </c>
      <c r="CI13" s="63" cm="1">
        <f t="array" ref="CI13">PRODUCT(1 + 預測IC!$C20:CH20) -1</f>
        <v>0.78082504661498131</v>
      </c>
      <c r="CJ13" s="63" cm="1">
        <f t="array" ref="CJ13">PRODUCT(1 + 預測IC!$C20:CI20) -1</f>
        <v>0.54667195750215458</v>
      </c>
      <c r="CK13" s="63" cm="1">
        <f t="array" ref="CK13">PRODUCT(1 + 預測IC!$C20:CJ20) -1</f>
        <v>0.35575027630729328</v>
      </c>
      <c r="CL13" s="63" cm="1">
        <f t="array" ref="CL13">PRODUCT(1 + 預測IC!$C20:CK20) -1</f>
        <v>0.47909426283924472</v>
      </c>
      <c r="CM13" s="63" cm="1">
        <f t="array" ref="CM13">PRODUCT(1 + 預測IC!$C20:CL20) -1</f>
        <v>0.91976807945839534</v>
      </c>
      <c r="CN13" s="63" cm="1">
        <f t="array" ref="CN13">PRODUCT(1 + 預測IC!$C20:CM20) -1</f>
        <v>1.2827024717373701</v>
      </c>
      <c r="CO13" s="63" cm="1">
        <f t="array" ref="CO13">PRODUCT(1 + 預測IC!$C20:CN20) -1</f>
        <v>1.2321191286297197</v>
      </c>
      <c r="CP13" s="63" cm="1">
        <f t="array" ref="CP13">PRODUCT(1 + 預測IC!$C20:CO20) -1</f>
        <v>0.30362155443732264</v>
      </c>
      <c r="CQ13" s="63" cm="1">
        <f t="array" ref="CQ13">PRODUCT(1 + 預測IC!$C20:CP20) -1</f>
        <v>9.9395217230453525E-2</v>
      </c>
      <c r="CR13" s="63" cm="1">
        <f t="array" ref="CR13">PRODUCT(1 + 預測IC!$C20:CQ20) -1</f>
        <v>0.10611401490844785</v>
      </c>
      <c r="CS13" s="63" cm="1">
        <f t="array" ref="CS13">PRODUCT(1 + 預測IC!$C20:CR20) -1</f>
        <v>7.8060139831255926E-2</v>
      </c>
      <c r="CT13" s="63" cm="1">
        <f t="array" ref="CT13">PRODUCT(1 + 預測IC!$C20:CS20) -1</f>
        <v>0.1733221446631823</v>
      </c>
      <c r="CU13" s="63" cm="1">
        <f t="array" ref="CU13">PRODUCT(1 + 預測IC!$C20:CT20) -1</f>
        <v>0.27947733627842619</v>
      </c>
      <c r="CV13" s="63" cm="1">
        <f t="array" ref="CV13">PRODUCT(1 + 預測IC!$C20:CU20) -1</f>
        <v>0.14628259686678002</v>
      </c>
      <c r="CW13" s="63" cm="1">
        <f t="array" ref="CW13">PRODUCT(1 + 預測IC!$C20:CV20) -1</f>
        <v>0.25747654153302779</v>
      </c>
      <c r="CX13" s="63" cm="1">
        <f t="array" ref="CX13">PRODUCT(1 + 預測IC!$C20:CW20) -1</f>
        <v>0.22501302091262287</v>
      </c>
      <c r="CY13" s="63" cm="1">
        <f t="array" ref="CY13">PRODUCT(1 + 預測IC!$C20:CX20) -1</f>
        <v>0.23651116922657578</v>
      </c>
      <c r="CZ13" s="63" cm="1">
        <f t="array" ref="CZ13">PRODUCT(1 + 預測IC!$C20:CY20) -1</f>
        <v>0.10206180008070542</v>
      </c>
      <c r="DA13" s="63" cm="1">
        <f t="array" ref="DA13">PRODUCT(1 + 預測IC!$C20:CZ20) -1</f>
        <v>0.24345710224024653</v>
      </c>
      <c r="DB13" s="63" cm="1">
        <f t="array" ref="DB13">PRODUCT(1 + 預測IC!$C20:DA20) -1</f>
        <v>0.18442783953965081</v>
      </c>
      <c r="DC13" s="63" cm="1">
        <f t="array" ref="DC13">PRODUCT(1 + 預測IC!$C20:DB20) -1</f>
        <v>0.27559096413179751</v>
      </c>
      <c r="DD13" s="63" cm="1">
        <f t="array" ref="DD13">PRODUCT(1 + 預測IC!$C20:DC20) -1</f>
        <v>0.21553086913043784</v>
      </c>
      <c r="DE13" s="63" cm="1">
        <f t="array" ref="DE13">PRODUCT(1 + 預測IC!$C20:DD20) -1</f>
        <v>0.13267662353011489</v>
      </c>
      <c r="DF13" s="63" cm="1">
        <f t="array" ref="DF13">PRODUCT(1 + 預測IC!$C20:DE20) -1</f>
        <v>0.10237767798426756</v>
      </c>
      <c r="DG13" s="63" cm="1">
        <f t="array" ref="DG13">PRODUCT(1 + 預測IC!$C20:DF20) -1</f>
        <v>0.10332475438428368</v>
      </c>
      <c r="DH13" s="63" cm="1">
        <f t="array" ref="DH13">PRODUCT(1 + 預測IC!$C20:DG20) -1</f>
        <v>0.16107808266159762</v>
      </c>
      <c r="DI13" s="63" cm="1">
        <f t="array" ref="DI13">PRODUCT(1 + 預測IC!$C20:DH20) -1</f>
        <v>0.14833477263916284</v>
      </c>
      <c r="DJ13" s="63" cm="1">
        <f t="array" ref="DJ13">PRODUCT(1 + 預測IC!$C20:DI20) -1</f>
        <v>0.13942648753758191</v>
      </c>
      <c r="DK13" s="63" cm="1">
        <f t="array" ref="DK13">PRODUCT(1 + 預測IC!$C20:DJ20) -1</f>
        <v>9.4464779562001278E-2</v>
      </c>
      <c r="DL13" s="63" cm="1">
        <f t="array" ref="DL13">PRODUCT(1 + 預測IC!$C20:DK20) -1</f>
        <v>0.18744392013827205</v>
      </c>
      <c r="DM13" s="63" cm="1">
        <f t="array" ref="DM13">PRODUCT(1 + 預測IC!$C20:DL20) -1</f>
        <v>0.19954037416590076</v>
      </c>
      <c r="DN13" s="63" cm="1">
        <f t="array" ref="DN13">PRODUCT(1 + 預測IC!$C20:DM20) -1</f>
        <v>0.2106764874957221</v>
      </c>
      <c r="DO13" s="63" cm="1">
        <f t="array" ref="DO13">PRODUCT(1 + 預測IC!$C20:DN20) -1</f>
        <v>0.28091897681511635</v>
      </c>
      <c r="DP13" s="63" cm="1">
        <f t="array" ref="DP13">PRODUCT(1 + 預測IC!$C20:DO20) -1</f>
        <v>0.61139781931393822</v>
      </c>
      <c r="DQ13" s="63" cm="1">
        <f t="array" ref="DQ13">PRODUCT(1 + 預測IC!$C20:DP20) -1</f>
        <v>0.62723871615991134</v>
      </c>
      <c r="DR13" s="63" cm="1">
        <f t="array" ref="DR13">PRODUCT(1 + 預測IC!$C20:DQ20) -1</f>
        <v>0.31589988363884025</v>
      </c>
      <c r="DS13" s="63" cm="1">
        <f t="array" ref="DS13">PRODUCT(1 + 預測IC!$C20:DR20) -1</f>
        <v>0.41921468383424365</v>
      </c>
      <c r="DT13" s="63" cm="1">
        <f t="array" ref="DT13">PRODUCT(1 + 預測IC!$C20:DS20) -1</f>
        <v>0.4085837784283739</v>
      </c>
      <c r="DU13" s="63" cm="1">
        <f t="array" ref="DU13">PRODUCT(1 + 預測IC!$C20:DT20) -1</f>
        <v>0.2293066979452596</v>
      </c>
      <c r="DV13" s="63" cm="1">
        <f t="array" ref="DV13">PRODUCT(1 + 預測IC!$C20:DU20) -1</f>
        <v>1.7780991947623281E-2</v>
      </c>
      <c r="DW13" s="63" cm="1">
        <f t="array" ref="DW13">PRODUCT(1 + 預測IC!$C20:DV20) -1</f>
        <v>0.14942635457971032</v>
      </c>
      <c r="DX13" s="63" cm="1">
        <f t="array" ref="DX13">PRODUCT(1 + 預測IC!$C20:DW20) -1</f>
        <v>0.22880597306173112</v>
      </c>
      <c r="DY13" s="63" cm="1">
        <f t="array" ref="DY13">PRODUCT(1 + 預測IC!$C20:DX20) -1</f>
        <v>3.9734108188406392E-2</v>
      </c>
      <c r="DZ13" s="63" cm="1">
        <f t="array" ref="DZ13">PRODUCT(1 + 預測IC!$C20:DY20) -1</f>
        <v>-1.6014988788132678E-2</v>
      </c>
      <c r="EA13" s="63" cm="1">
        <f t="array" ref="EA13">PRODUCT(1 + 預測IC!$C20:DZ20) -1</f>
        <v>-9.9136707673312952E-2</v>
      </c>
      <c r="EB13" s="63" cm="1">
        <f t="array" ref="EB13">PRODUCT(1 + 預測IC!$C20:EA20) -1</f>
        <v>-8.6696933124719822E-2</v>
      </c>
      <c r="EC13" s="63" cm="1">
        <f t="array" ref="EC13">PRODUCT(1 + 預測IC!$C20:EB20) -1</f>
        <v>-0.1837922524855502</v>
      </c>
      <c r="ED13" s="63" cm="1">
        <f t="array" ref="ED13">PRODUCT(1 + 預測IC!$C20:EC20) -1</f>
        <v>-0.15600072033586687</v>
      </c>
      <c r="EE13" s="63" cm="1">
        <f t="array" ref="EE13">PRODUCT(1 + 預測IC!$C20:ED20) -1</f>
        <v>-0.30532011163542239</v>
      </c>
      <c r="EF13" s="63" cm="1">
        <f t="array" ref="EF13">PRODUCT(1 + 預測IC!$C20:EE20) -1</f>
        <v>-0.30652953525508564</v>
      </c>
      <c r="EG13" s="63" cm="1">
        <f t="array" ref="EG13">PRODUCT(1 + 預測IC!$C20:EF20) -1</f>
        <v>-0.29246497184876719</v>
      </c>
    </row>
    <row r="14" spans="3:137" ht="16">
      <c r="C14" s="6">
        <v>241</v>
      </c>
      <c r="D14" s="63" cm="1">
        <f t="array" ref="D14">PRODUCT(1 + 預測IC!$C21:C21) -1</f>
        <v>-0.19764916434148616</v>
      </c>
      <c r="E14" s="63" cm="1">
        <f t="array" ref="E14">PRODUCT(1 + 預測IC!$C21:D21) -1</f>
        <v>-0.19794419628197157</v>
      </c>
      <c r="F14" s="63" cm="1">
        <f t="array" ref="F14">PRODUCT(1 + 預測IC!$C21:E21) -1</f>
        <v>-0.18696391575036519</v>
      </c>
      <c r="G14" s="63" cm="1">
        <f t="array" ref="G14">PRODUCT(1 + 預測IC!$C21:F21) -1</f>
        <v>-0.22850801393185793</v>
      </c>
      <c r="H14" s="63" cm="1">
        <f t="array" ref="H14">PRODUCT(1 + 預測IC!$C21:G21) -1</f>
        <v>-0.23413692594959234</v>
      </c>
      <c r="I14" s="63" cm="1">
        <f t="array" ref="I14">PRODUCT(1 + 預測IC!$C21:H21) -1</f>
        <v>-0.26312030711708079</v>
      </c>
      <c r="J14" s="63" cm="1">
        <f t="array" ref="J14">PRODUCT(1 + 預測IC!$C21:I21) -1</f>
        <v>-0.15461063982482104</v>
      </c>
      <c r="K14" s="63" cm="1">
        <f t="array" ref="K14">PRODUCT(1 + 預測IC!$C21:J21) -1</f>
        <v>-0.10351925850638499</v>
      </c>
      <c r="L14" s="63" cm="1">
        <f t="array" ref="L14">PRODUCT(1 + 預測IC!$C21:K21) -1</f>
        <v>-0.10220116649382738</v>
      </c>
      <c r="M14" s="63" cm="1">
        <f t="array" ref="M14">PRODUCT(1 + 預測IC!$C21:L21) -1</f>
        <v>-3.7309428620048157E-3</v>
      </c>
      <c r="N14" s="63" cm="1">
        <f t="array" ref="N14">PRODUCT(1 + 預測IC!$C21:M21) -1</f>
        <v>-0.19887066475407289</v>
      </c>
      <c r="O14" s="63" cm="1">
        <f t="array" ref="O14">PRODUCT(1 + 預測IC!$C21:N21) -1</f>
        <v>-0.11908826748115842</v>
      </c>
      <c r="P14" s="63" cm="1">
        <f t="array" ref="P14">PRODUCT(1 + 預測IC!$C21:O21) -1</f>
        <v>-2.02858466973872E-2</v>
      </c>
      <c r="Q14" s="63" cm="1">
        <f t="array" ref="Q14">PRODUCT(1 + 預測IC!$C21:P21) -1</f>
        <v>2.4219817246670106E-2</v>
      </c>
      <c r="R14" s="63" cm="1">
        <f t="array" ref="R14">PRODUCT(1 + 預測IC!$C21:Q21) -1</f>
        <v>0.30494151347215359</v>
      </c>
      <c r="S14" s="63" cm="1">
        <f t="array" ref="S14">PRODUCT(1 + 預測IC!$C21:R21) -1</f>
        <v>0.16683210140673421</v>
      </c>
      <c r="T14" s="63" cm="1">
        <f t="array" ref="T14">PRODUCT(1 + 預測IC!$C21:S21) -1</f>
        <v>0.41088609170431711</v>
      </c>
      <c r="U14" s="63" cm="1">
        <f t="array" ref="U14">PRODUCT(1 + 預測IC!$C21:T21) -1</f>
        <v>0.3910767369342607</v>
      </c>
      <c r="V14" s="63" cm="1">
        <f t="array" ref="V14">PRODUCT(1 + 預測IC!$C21:U21) -1</f>
        <v>0.40474356610861695</v>
      </c>
      <c r="W14" s="63" cm="1">
        <f t="array" ref="W14">PRODUCT(1 + 預測IC!$C21:V21) -1</f>
        <v>0.58981921737488618</v>
      </c>
      <c r="X14" s="63" cm="1">
        <f t="array" ref="X14">PRODUCT(1 + 預測IC!$C21:W21) -1</f>
        <v>0.84477082371289791</v>
      </c>
      <c r="Y14" s="63" cm="1">
        <f t="array" ref="Y14">PRODUCT(1 + 預測IC!$C21:X21) -1</f>
        <v>0.46142510856889674</v>
      </c>
      <c r="Z14" s="63" cm="1">
        <f t="array" ref="Z14">PRODUCT(1 + 預測IC!$C21:Y21) -1</f>
        <v>0.4466009086067031</v>
      </c>
      <c r="AA14" s="63" cm="1">
        <f t="array" ref="AA14">PRODUCT(1 + 預測IC!$C21:Z21) -1</f>
        <v>0.50368047596087417</v>
      </c>
      <c r="AB14" s="63" cm="1">
        <f t="array" ref="AB14">PRODUCT(1 + 預測IC!$C21:AA21) -1</f>
        <v>0.53298877758821672</v>
      </c>
      <c r="AC14" s="63" cm="1">
        <f t="array" ref="AC14">PRODUCT(1 + 預測IC!$C21:AB21) -1</f>
        <v>0.72943093405846082</v>
      </c>
      <c r="AD14" s="63" cm="1">
        <f t="array" ref="AD14">PRODUCT(1 + 預測IC!$C21:AC21) -1</f>
        <v>0.85792960635627713</v>
      </c>
      <c r="AE14" s="63" cm="1">
        <f t="array" ref="AE14">PRODUCT(1 + 預測IC!$C21:AD21) -1</f>
        <v>1.0972767666918233</v>
      </c>
      <c r="AF14" s="63" cm="1">
        <f t="array" ref="AF14">PRODUCT(1 + 預測IC!$C21:AE21) -1</f>
        <v>0.59297375274538089</v>
      </c>
      <c r="AG14" s="63" cm="1">
        <f t="array" ref="AG14">PRODUCT(1 + 預測IC!$C21:AF21) -1</f>
        <v>0.53950268094571241</v>
      </c>
      <c r="AH14" s="63" cm="1">
        <f t="array" ref="AH14">PRODUCT(1 + 預測IC!$C21:AG21) -1</f>
        <v>0.60770692612644228</v>
      </c>
      <c r="AI14" s="63" cm="1">
        <f t="array" ref="AI14">PRODUCT(1 + 預測IC!$C21:AH21) -1</f>
        <v>0.43474762440889614</v>
      </c>
      <c r="AJ14" s="63" cm="1">
        <f t="array" ref="AJ14">PRODUCT(1 + 預測IC!$C21:AI21) -1</f>
        <v>0.54894522716653982</v>
      </c>
      <c r="AK14" s="63" cm="1">
        <f t="array" ref="AK14">PRODUCT(1 + 預測IC!$C21:AJ21) -1</f>
        <v>0.43989120879152876</v>
      </c>
      <c r="AL14" s="63" cm="1">
        <f t="array" ref="AL14">PRODUCT(1 + 預測IC!$C21:AK21) -1</f>
        <v>0.59106338557305715</v>
      </c>
      <c r="AM14" s="63" cm="1">
        <f t="array" ref="AM14">PRODUCT(1 + 預測IC!$C21:AL21) -1</f>
        <v>0.55959085738113035</v>
      </c>
      <c r="AN14" s="63" cm="1">
        <f t="array" ref="AN14">PRODUCT(1 + 預測IC!$C21:AM21) -1</f>
        <v>0.66074120700529382</v>
      </c>
      <c r="AO14" s="63" cm="1">
        <f t="array" ref="AO14">PRODUCT(1 + 預測IC!$C21:AN21) -1</f>
        <v>0.84667124268306937</v>
      </c>
      <c r="AP14" s="63" cm="1">
        <f t="array" ref="AP14">PRODUCT(1 + 預測IC!$C21:AO21) -1</f>
        <v>0.93480620503525391</v>
      </c>
      <c r="AQ14" s="63" cm="1">
        <f t="array" ref="AQ14">PRODUCT(1 + 預測IC!$C21:AP21) -1</f>
        <v>0.81409257460296702</v>
      </c>
      <c r="AR14" s="63" cm="1">
        <f t="array" ref="AR14">PRODUCT(1 + 預測IC!$C21:AQ21) -1</f>
        <v>0.85870317984557976</v>
      </c>
      <c r="AS14" s="63" cm="1">
        <f t="array" ref="AS14">PRODUCT(1 + 預測IC!$C21:AR21) -1</f>
        <v>1.2400761328405356</v>
      </c>
      <c r="AT14" s="63" cm="1">
        <f t="array" ref="AT14">PRODUCT(1 + 預測IC!$C21:AS21) -1</f>
        <v>1.3844621858173549</v>
      </c>
      <c r="AU14" s="63" cm="1">
        <f t="array" ref="AU14">PRODUCT(1 + 預測IC!$C21:AT21) -1</f>
        <v>1.3785179331443813</v>
      </c>
      <c r="AV14" s="63" cm="1">
        <f t="array" ref="AV14">PRODUCT(1 + 預測IC!$C21:AU21) -1</f>
        <v>1.4922339990654603</v>
      </c>
      <c r="AW14" s="63" cm="1">
        <f t="array" ref="AW14">PRODUCT(1 + 預測IC!$C21:AV21) -1</f>
        <v>1.353863223339975</v>
      </c>
      <c r="AX14" s="63" cm="1">
        <f t="array" ref="AX14">PRODUCT(1 + 預測IC!$C21:AW21) -1</f>
        <v>1.3769099686675448</v>
      </c>
      <c r="AY14" s="63" cm="1">
        <f t="array" ref="AY14">PRODUCT(1 + 預測IC!$C21:AX21) -1</f>
        <v>1.0366608033289739</v>
      </c>
      <c r="AZ14" s="63" cm="1">
        <f t="array" ref="AZ14">PRODUCT(1 + 預測IC!$C21:AY21) -1</f>
        <v>1.1324272235858706</v>
      </c>
      <c r="BA14" s="63" cm="1">
        <f t="array" ref="BA14">PRODUCT(1 + 預測IC!$C21:AZ21) -1</f>
        <v>0.5888474920583715</v>
      </c>
      <c r="BB14" s="63" cm="1">
        <f t="array" ref="BB14">PRODUCT(1 + 預測IC!$C21:BA21) -1</f>
        <v>0.47598818839137547</v>
      </c>
      <c r="BC14" s="63" cm="1">
        <f t="array" ref="BC14">PRODUCT(1 + 預測IC!$C21:BB21) -1</f>
        <v>0.9106853619018993</v>
      </c>
      <c r="BD14" s="63" cm="1">
        <f t="array" ref="BD14">PRODUCT(1 + 預測IC!$C21:BC21) -1</f>
        <v>0.98390501791170748</v>
      </c>
      <c r="BE14" s="63" cm="1">
        <f t="array" ref="BE14">PRODUCT(1 + 預測IC!$C21:BD21) -1</f>
        <v>0.94075337092680678</v>
      </c>
      <c r="BF14" s="63" cm="1">
        <f t="array" ref="BF14">PRODUCT(1 + 預測IC!$C21:BE21) -1</f>
        <v>0.86198142779973597</v>
      </c>
      <c r="BG14" s="63" cm="1">
        <f t="array" ref="BG14">PRODUCT(1 + 預測IC!$C21:BF21) -1</f>
        <v>0.86864192190108458</v>
      </c>
      <c r="BH14" s="63" cm="1">
        <f t="array" ref="BH14">PRODUCT(1 + 預測IC!$C21:BG21) -1</f>
        <v>0.69619323419602996</v>
      </c>
      <c r="BI14" s="63" cm="1">
        <f t="array" ref="BI14">PRODUCT(1 + 預測IC!$C21:BH21) -1</f>
        <v>0.56673745441545509</v>
      </c>
      <c r="BJ14" s="63" cm="1">
        <f t="array" ref="BJ14">PRODUCT(1 + 預測IC!$C21:BI21) -1</f>
        <v>0.30670667178856048</v>
      </c>
      <c r="BK14" s="63" cm="1">
        <f t="array" ref="BK14">PRODUCT(1 + 預測IC!$C21:BJ21) -1</f>
        <v>0.27589580096263289</v>
      </c>
      <c r="BL14" s="63" cm="1">
        <f t="array" ref="BL14">PRODUCT(1 + 預測IC!$C21:BK21) -1</f>
        <v>0.18856088600998988</v>
      </c>
      <c r="BM14" s="63" cm="1">
        <f t="array" ref="BM14">PRODUCT(1 + 預測IC!$C21:BL21) -1</f>
        <v>0.3581935943380492</v>
      </c>
      <c r="BN14" s="63" cm="1">
        <f t="array" ref="BN14">PRODUCT(1 + 預測IC!$C21:BM21) -1</f>
        <v>0.56887659001738</v>
      </c>
      <c r="BO14" s="63" cm="1">
        <f t="array" ref="BO14">PRODUCT(1 + 預測IC!$C21:BN21) -1</f>
        <v>0.52841406029780602</v>
      </c>
      <c r="BP14" s="63" cm="1">
        <f t="array" ref="BP14">PRODUCT(1 + 預測IC!$C21:BO21) -1</f>
        <v>0.54471977994846399</v>
      </c>
      <c r="BQ14" s="63" cm="1">
        <f t="array" ref="BQ14">PRODUCT(1 + 預測IC!$C21:BP21) -1</f>
        <v>0.70615709934782722</v>
      </c>
      <c r="BR14" s="63" cm="1">
        <f t="array" ref="BR14">PRODUCT(1 + 預測IC!$C21:BQ21) -1</f>
        <v>0.79921471370038577</v>
      </c>
      <c r="BS14" s="63" cm="1">
        <f t="array" ref="BS14">PRODUCT(1 + 預測IC!$C21:BR21) -1</f>
        <v>0.82433761139716366</v>
      </c>
      <c r="BT14" s="63" cm="1">
        <f t="array" ref="BT14">PRODUCT(1 + 預測IC!$C21:BS21) -1</f>
        <v>0.77858348970772928</v>
      </c>
      <c r="BU14" s="63" cm="1">
        <f t="array" ref="BU14">PRODUCT(1 + 預測IC!$C21:BT21) -1</f>
        <v>0.67040872118983019</v>
      </c>
      <c r="BV14" s="63" cm="1">
        <f t="array" ref="BV14">PRODUCT(1 + 預測IC!$C21:BU21) -1</f>
        <v>0.87222907198273325</v>
      </c>
      <c r="BW14" s="63" cm="1">
        <f t="array" ref="BW14">PRODUCT(1 + 預測IC!$C21:BV21) -1</f>
        <v>1.138353329308786</v>
      </c>
      <c r="BX14" s="63" cm="1">
        <f t="array" ref="BX14">PRODUCT(1 + 預測IC!$C21:BW21) -1</f>
        <v>0.27845534660634219</v>
      </c>
      <c r="BY14" s="63" cm="1">
        <f t="array" ref="BY14">PRODUCT(1 + 預測IC!$C21:BX21) -1</f>
        <v>0.37710735664969119</v>
      </c>
      <c r="BZ14" s="63" cm="1">
        <f t="array" ref="BZ14">PRODUCT(1 + 預測IC!$C21:BY21) -1</f>
        <v>0.35656590150874079</v>
      </c>
      <c r="CA14" s="63" cm="1">
        <f t="array" ref="CA14">PRODUCT(1 + 預測IC!$C21:BZ21) -1</f>
        <v>0.48972194789577395</v>
      </c>
      <c r="CB14" s="63" cm="1">
        <f t="array" ref="CB14">PRODUCT(1 + 預測IC!$C21:CA21) -1</f>
        <v>0.45314023361865319</v>
      </c>
      <c r="CC14" s="63" cm="1">
        <f t="array" ref="CC14">PRODUCT(1 + 預測IC!$C21:CB21) -1</f>
        <v>0.29003452679976283</v>
      </c>
      <c r="CD14" s="63" cm="1">
        <f t="array" ref="CD14">PRODUCT(1 + 預測IC!$C21:CC21) -1</f>
        <v>0.22126591071779766</v>
      </c>
      <c r="CE14" s="63" cm="1">
        <f t="array" ref="CE14">PRODUCT(1 + 預測IC!$C21:CD21) -1</f>
        <v>0.57305896249921795</v>
      </c>
      <c r="CF14" s="63" cm="1">
        <f t="array" ref="CF14">PRODUCT(1 + 預測IC!$C21:CE21) -1</f>
        <v>0.66982549951350534</v>
      </c>
      <c r="CG14" s="63" cm="1">
        <f t="array" ref="CG14">PRODUCT(1 + 預測IC!$C21:CF21) -1</f>
        <v>0.88217800327654516</v>
      </c>
      <c r="CH14" s="63" cm="1">
        <f t="array" ref="CH14">PRODUCT(1 + 預測IC!$C21:CG21) -1</f>
        <v>0.61161267709910305</v>
      </c>
      <c r="CI14" s="63" cm="1">
        <f t="array" ref="CI14">PRODUCT(1 + 預測IC!$C21:CH21) -1</f>
        <v>0.35919151981577047</v>
      </c>
      <c r="CJ14" s="63" cm="1">
        <f t="array" ref="CJ14">PRODUCT(1 + 預測IC!$C21:CI21) -1</f>
        <v>0.19161224892348772</v>
      </c>
      <c r="CK14" s="63" cm="1">
        <f t="array" ref="CK14">PRODUCT(1 + 預測IC!$C21:CJ21) -1</f>
        <v>0.1061085148192995</v>
      </c>
      <c r="CL14" s="63" cm="1">
        <f t="array" ref="CL14">PRODUCT(1 + 預測IC!$C21:CK21) -1</f>
        <v>0.24664020636994821</v>
      </c>
      <c r="CM14" s="63" cm="1">
        <f t="array" ref="CM14">PRODUCT(1 + 預測IC!$C21:CL21) -1</f>
        <v>0.69802836831288073</v>
      </c>
      <c r="CN14" s="63" cm="1">
        <f t="array" ref="CN14">PRODUCT(1 + 預測IC!$C21:CM21) -1</f>
        <v>1.0809388397611355</v>
      </c>
      <c r="CO14" s="63" cm="1">
        <f t="array" ref="CO14">PRODUCT(1 + 預測IC!$C21:CN21) -1</f>
        <v>1.0173892770128981</v>
      </c>
      <c r="CP14" s="63" cm="1">
        <f t="array" ref="CP14">PRODUCT(1 + 預測IC!$C21:CO21) -1</f>
        <v>-2.1294354614465383E-2</v>
      </c>
      <c r="CQ14" s="63" cm="1">
        <f t="array" ref="CQ14">PRODUCT(1 + 預測IC!$C21:CP21) -1</f>
        <v>-0.1175082701007174</v>
      </c>
      <c r="CR14" s="63" cm="1">
        <f t="array" ref="CR14">PRODUCT(1 + 預測IC!$C21:CQ21) -1</f>
        <v>-0.11460655634617445</v>
      </c>
      <c r="CS14" s="63" cm="1">
        <f t="array" ref="CS14">PRODUCT(1 + 預測IC!$C21:CR21) -1</f>
        <v>-0.12489109964577683</v>
      </c>
      <c r="CT14" s="63" cm="1">
        <f t="array" ref="CT14">PRODUCT(1 + 預測IC!$C21:CS21) -1</f>
        <v>-6.3942918500140888E-2</v>
      </c>
      <c r="CU14" s="63" cm="1">
        <f t="array" ref="CU14">PRODUCT(1 + 預測IC!$C21:CT21) -1</f>
        <v>1.3087907892130657E-2</v>
      </c>
      <c r="CV14" s="63" cm="1">
        <f t="array" ref="CV14">PRODUCT(1 + 預測IC!$C21:CU21) -1</f>
        <v>-5.0405918060130839E-2</v>
      </c>
      <c r="CW14" s="63" cm="1">
        <f t="array" ref="CW14">PRODUCT(1 + 預測IC!$C21:CV21) -1</f>
        <v>7.4586806551618867E-2</v>
      </c>
      <c r="CX14" s="63" cm="1">
        <f t="array" ref="CX14">PRODUCT(1 + 預測IC!$C21:CW21) -1</f>
        <v>4.1540595869275165E-2</v>
      </c>
      <c r="CY14" s="63" cm="1">
        <f t="array" ref="CY14">PRODUCT(1 + 預測IC!$C21:CX21) -1</f>
        <v>5.5492577877657823E-2</v>
      </c>
      <c r="CZ14" s="63" cm="1">
        <f t="array" ref="CZ14">PRODUCT(1 + 預測IC!$C21:CY21) -1</f>
        <v>-5.2700858838085729E-2</v>
      </c>
      <c r="DA14" s="63" cm="1">
        <f t="array" ref="DA14">PRODUCT(1 + 預測IC!$C21:CZ21) -1</f>
        <v>0.12756390289775532</v>
      </c>
      <c r="DB14" s="63" cm="1">
        <f t="array" ref="DB14">PRODUCT(1 + 預測IC!$C21:DA21) -1</f>
        <v>0.12890824824136282</v>
      </c>
      <c r="DC14" s="63" cm="1">
        <f t="array" ref="DC14">PRODUCT(1 + 預測IC!$C21:DB21) -1</f>
        <v>0.2095814019001685</v>
      </c>
      <c r="DD14" s="63" cm="1">
        <f t="array" ref="DD14">PRODUCT(1 + 預測IC!$C21:DC21) -1</f>
        <v>0.16295654979127927</v>
      </c>
      <c r="DE14" s="63" cm="1">
        <f t="array" ref="DE14">PRODUCT(1 + 預測IC!$C21:DD21) -1</f>
        <v>8.5006484068516741E-2</v>
      </c>
      <c r="DF14" s="63" cm="1">
        <f t="array" ref="DF14">PRODUCT(1 + 預測IC!$C21:DE21) -1</f>
        <v>9.8284911239577388E-2</v>
      </c>
      <c r="DG14" s="63" cm="1">
        <f t="array" ref="DG14">PRODUCT(1 + 預測IC!$C21:DF21) -1</f>
        <v>0.10677307127321689</v>
      </c>
      <c r="DH14" s="63" cm="1">
        <f t="array" ref="DH14">PRODUCT(1 + 預測IC!$C21:DG21) -1</f>
        <v>0.1725259269080659</v>
      </c>
      <c r="DI14" s="63" cm="1">
        <f t="array" ref="DI14">PRODUCT(1 + 預測IC!$C21:DH21) -1</f>
        <v>0.18903136357559247</v>
      </c>
      <c r="DJ14" s="63" cm="1">
        <f t="array" ref="DJ14">PRODUCT(1 + 預測IC!$C21:DI21) -1</f>
        <v>0.22994293439227187</v>
      </c>
      <c r="DK14" s="63" cm="1">
        <f t="array" ref="DK14">PRODUCT(1 + 預測IC!$C21:DJ21) -1</f>
        <v>0.18331418260000998</v>
      </c>
      <c r="DL14" s="63" cm="1">
        <f t="array" ref="DL14">PRODUCT(1 + 預測IC!$C21:DK21) -1</f>
        <v>0.34838971408991082</v>
      </c>
      <c r="DM14" s="63" cm="1">
        <f t="array" ref="DM14">PRODUCT(1 + 預測IC!$C21:DL21) -1</f>
        <v>0.39181892406093555</v>
      </c>
      <c r="DN14" s="63" cm="1">
        <f t="array" ref="DN14">PRODUCT(1 + 預測IC!$C21:DM21) -1</f>
        <v>0.35029523176016752</v>
      </c>
      <c r="DO14" s="63" cm="1">
        <f t="array" ref="DO14">PRODUCT(1 + 預測IC!$C21:DN21) -1</f>
        <v>0.43396057950389966</v>
      </c>
      <c r="DP14" s="63" cm="1">
        <f t="array" ref="DP14">PRODUCT(1 + 預測IC!$C21:DO21) -1</f>
        <v>0.90950034480670938</v>
      </c>
      <c r="DQ14" s="63" cm="1">
        <f t="array" ref="DQ14">PRODUCT(1 + 預測IC!$C21:DP21) -1</f>
        <v>0.95583657632500696</v>
      </c>
      <c r="DR14" s="63" cm="1">
        <f t="array" ref="DR14">PRODUCT(1 + 預測IC!$C21:DQ21) -1</f>
        <v>0.70597181735303582</v>
      </c>
      <c r="DS14" s="63" cm="1">
        <f t="array" ref="DS14">PRODUCT(1 + 預測IC!$C21:DR21) -1</f>
        <v>0.7915618889226872</v>
      </c>
      <c r="DT14" s="63" cm="1">
        <f t="array" ref="DT14">PRODUCT(1 + 預測IC!$C21:DS21) -1</f>
        <v>0.78856622782054475</v>
      </c>
      <c r="DU14" s="63" cm="1">
        <f t="array" ref="DU14">PRODUCT(1 + 預測IC!$C21:DT21) -1</f>
        <v>0.48348905068508774</v>
      </c>
      <c r="DV14" s="63" cm="1">
        <f t="array" ref="DV14">PRODUCT(1 + 預測IC!$C21:DU21) -1</f>
        <v>0.44181740711093509</v>
      </c>
      <c r="DW14" s="63" cm="1">
        <f t="array" ref="DW14">PRODUCT(1 + 預測IC!$C21:DV21) -1</f>
        <v>0.64406975236141606</v>
      </c>
      <c r="DX14" s="63" cm="1">
        <f t="array" ref="DX14">PRODUCT(1 + 預測IC!$C21:DW21) -1</f>
        <v>0.84028490247451848</v>
      </c>
      <c r="DY14" s="63" cm="1">
        <f t="array" ref="DY14">PRODUCT(1 + 預測IC!$C21:DX21) -1</f>
        <v>0.49805408642258664</v>
      </c>
      <c r="DZ14" s="63" cm="1">
        <f t="array" ref="DZ14">PRODUCT(1 + 預測IC!$C21:DY21) -1</f>
        <v>0.46120795479722987</v>
      </c>
      <c r="EA14" s="63" cm="1">
        <f t="array" ref="EA14">PRODUCT(1 + 預測IC!$C21:DZ21) -1</f>
        <v>0.38399178437550163</v>
      </c>
      <c r="EB14" s="63" cm="1">
        <f t="array" ref="EB14">PRODUCT(1 + 預測IC!$C21:EA21) -1</f>
        <v>0.34766075931294527</v>
      </c>
      <c r="EC14" s="63" cm="1">
        <f t="array" ref="EC14">PRODUCT(1 + 預測IC!$C21:EB21) -1</f>
        <v>0.20845338780499589</v>
      </c>
      <c r="ED14" s="63" cm="1">
        <f t="array" ref="ED14">PRODUCT(1 + 預測IC!$C21:EC21) -1</f>
        <v>0.21215725937571861</v>
      </c>
      <c r="EE14" s="63" cm="1">
        <f t="array" ref="EE14">PRODUCT(1 + 預測IC!$C21:ED21) -1</f>
        <v>0.14609607502559707</v>
      </c>
      <c r="EF14" s="63" cm="1">
        <f t="array" ref="EF14">PRODUCT(1 + 預測IC!$C21:EE21) -1</f>
        <v>0.17052006122611463</v>
      </c>
      <c r="EG14" s="63" cm="1">
        <f t="array" ref="EG14">PRODUCT(1 + 預測IC!$C21:EF21) -1</f>
        <v>0.16116572976177723</v>
      </c>
    </row>
    <row r="15" spans="3:137" ht="16">
      <c r="C15" s="6">
        <v>321</v>
      </c>
      <c r="D15" s="63" cm="1">
        <f t="array" ref="D15">PRODUCT(1 + 預測IC!$C22:C22) -1</f>
        <v>6.4235717628454703E-2</v>
      </c>
      <c r="E15" s="63" cm="1">
        <f t="array" ref="E15">PRODUCT(1 + 預測IC!$C22:D22) -1</f>
        <v>1.6684711248089679E-2</v>
      </c>
      <c r="F15" s="63" cm="1">
        <f t="array" ref="F15">PRODUCT(1 + 預測IC!$C22:E22) -1</f>
        <v>3.4329374978651961E-2</v>
      </c>
      <c r="G15" s="63" cm="1">
        <f t="array" ref="G15">PRODUCT(1 + 預測IC!$C22:F22) -1</f>
        <v>-6.6449468770233833E-2</v>
      </c>
      <c r="H15" s="63" cm="1">
        <f t="array" ref="H15">PRODUCT(1 + 預測IC!$C22:G22) -1</f>
        <v>-9.721446245521681E-2</v>
      </c>
      <c r="I15" s="63" cm="1">
        <f t="array" ref="I15">PRODUCT(1 + 預測IC!$C22:H22) -1</f>
        <v>-0.30467958446965748</v>
      </c>
      <c r="J15" s="63" cm="1">
        <f t="array" ref="J15">PRODUCT(1 + 預測IC!$C22:I22) -1</f>
        <v>-0.21881226265035181</v>
      </c>
      <c r="K15" s="63" cm="1">
        <f t="array" ref="K15">PRODUCT(1 + 預測IC!$C22:J22) -1</f>
        <v>-0.17772288971437511</v>
      </c>
      <c r="L15" s="63" cm="1">
        <f t="array" ref="L15">PRODUCT(1 + 預測IC!$C22:K22) -1</f>
        <v>-0.15415907537017615</v>
      </c>
      <c r="M15" s="63" cm="1">
        <f t="array" ref="M15">PRODUCT(1 + 預測IC!$C22:L22) -1</f>
        <v>-9.3651843521325162E-3</v>
      </c>
      <c r="N15" s="63" cm="1">
        <f t="array" ref="N15">PRODUCT(1 + 預測IC!$C22:M22) -1</f>
        <v>-0.23241513757082477</v>
      </c>
      <c r="O15" s="63" cm="1">
        <f t="array" ref="O15">PRODUCT(1 + 預測IC!$C22:N22) -1</f>
        <v>-0.13011110547036331</v>
      </c>
      <c r="P15" s="63" cm="1">
        <f t="array" ref="P15">PRODUCT(1 + 預測IC!$C22:O22) -1</f>
        <v>-5.2991458979769757E-3</v>
      </c>
      <c r="Q15" s="63" cm="1">
        <f t="array" ref="Q15">PRODUCT(1 + 預測IC!$C22:P22) -1</f>
        <v>8.4851462302209191E-2</v>
      </c>
      <c r="R15" s="63" cm="1">
        <f t="array" ref="R15">PRODUCT(1 + 預測IC!$C22:Q22) -1</f>
        <v>0.22292147367823678</v>
      </c>
      <c r="S15" s="63" cm="1">
        <f t="array" ref="S15">PRODUCT(1 + 預測IC!$C22:R22) -1</f>
        <v>0.17812777486029985</v>
      </c>
      <c r="T15" s="63" cm="1">
        <f t="array" ref="T15">PRODUCT(1 + 預測IC!$C22:S22) -1</f>
        <v>0.46919205207264558</v>
      </c>
      <c r="U15" s="63" cm="1">
        <f t="array" ref="U15">PRODUCT(1 + 預測IC!$C22:T22) -1</f>
        <v>0.36392164950428363</v>
      </c>
      <c r="V15" s="63" cm="1">
        <f t="array" ref="V15">PRODUCT(1 + 預測IC!$C22:U22) -1</f>
        <v>0.29233089357609909</v>
      </c>
      <c r="W15" s="63" cm="1">
        <f t="array" ref="W15">PRODUCT(1 + 預測IC!$C22:V22) -1</f>
        <v>0.51929638071990247</v>
      </c>
      <c r="X15" s="63" cm="1">
        <f t="array" ref="X15">PRODUCT(1 + 預測IC!$C22:W22) -1</f>
        <v>0.83452039948071643</v>
      </c>
      <c r="Y15" s="63" cm="1">
        <f t="array" ref="Y15">PRODUCT(1 + 預測IC!$C22:X22) -1</f>
        <v>0.3626774393851524</v>
      </c>
      <c r="Z15" s="63" cm="1">
        <f t="array" ref="Z15">PRODUCT(1 + 預測IC!$C22:Y22) -1</f>
        <v>0.26748988020785802</v>
      </c>
      <c r="AA15" s="63" cm="1">
        <f t="array" ref="AA15">PRODUCT(1 + 預測IC!$C22:Z22) -1</f>
        <v>0.29773994805694293</v>
      </c>
      <c r="AB15" s="63" cm="1">
        <f t="array" ref="AB15">PRODUCT(1 + 預測IC!$C22:AA22) -1</f>
        <v>0.30688644112559693</v>
      </c>
      <c r="AC15" s="63" cm="1">
        <f t="array" ref="AC15">PRODUCT(1 + 預測IC!$C22:AB22) -1</f>
        <v>0.48257930471691868</v>
      </c>
      <c r="AD15" s="63" cm="1">
        <f t="array" ref="AD15">PRODUCT(1 + 預測IC!$C22:AC22) -1</f>
        <v>0.59291342120008772</v>
      </c>
      <c r="AE15" s="63" cm="1">
        <f t="array" ref="AE15">PRODUCT(1 + 預測IC!$C22:AD22) -1</f>
        <v>0.614533698598696</v>
      </c>
      <c r="AF15" s="63" cm="1">
        <f t="array" ref="AF15">PRODUCT(1 + 預測IC!$C22:AE22) -1</f>
        <v>0.19041874933495317</v>
      </c>
      <c r="AG15" s="63" cm="1">
        <f t="array" ref="AG15">PRODUCT(1 + 預測IC!$C22:AF22) -1</f>
        <v>8.7561523156832965E-2</v>
      </c>
      <c r="AH15" s="63" cm="1">
        <f t="array" ref="AH15">PRODUCT(1 + 預測IC!$C22:AG22) -1</f>
        <v>0.14502994907630695</v>
      </c>
      <c r="AI15" s="63" cm="1">
        <f t="array" ref="AI15">PRODUCT(1 + 預測IC!$C22:AH22) -1</f>
        <v>2.3810254952168597E-2</v>
      </c>
      <c r="AJ15" s="63" cm="1">
        <f t="array" ref="AJ15">PRODUCT(1 + 預測IC!$C22:AI22) -1</f>
        <v>0.12019304302732547</v>
      </c>
      <c r="AK15" s="63" cm="1">
        <f t="array" ref="AK15">PRODUCT(1 + 預測IC!$C22:AJ22) -1</f>
        <v>8.4683092346868438E-2</v>
      </c>
      <c r="AL15" s="63" cm="1">
        <f t="array" ref="AL15">PRODUCT(1 + 預測IC!$C22:AK22) -1</f>
        <v>1.0632506361359262E-2</v>
      </c>
      <c r="AM15" s="63" cm="1">
        <f t="array" ref="AM15">PRODUCT(1 + 預測IC!$C22:AL22) -1</f>
        <v>2.0172612914440613E-2</v>
      </c>
      <c r="AN15" s="63" cm="1">
        <f t="array" ref="AN15">PRODUCT(1 + 預測IC!$C22:AM22) -1</f>
        <v>0.10595780928219778</v>
      </c>
      <c r="AO15" s="63" cm="1">
        <f t="array" ref="AO15">PRODUCT(1 + 預測IC!$C22:AN22) -1</f>
        <v>0.22886600799708323</v>
      </c>
      <c r="AP15" s="63" cm="1">
        <f t="array" ref="AP15">PRODUCT(1 + 預測IC!$C22:AO22) -1</f>
        <v>0.32068364836743379</v>
      </c>
      <c r="AQ15" s="63" cm="1">
        <f t="array" ref="AQ15">PRODUCT(1 + 預測IC!$C22:AP22) -1</f>
        <v>0.23809290835904262</v>
      </c>
      <c r="AR15" s="63" cm="1">
        <f t="array" ref="AR15">PRODUCT(1 + 預測IC!$C22:AQ22) -1</f>
        <v>0.25604028312902538</v>
      </c>
      <c r="AS15" s="63" cm="1">
        <f t="array" ref="AS15">PRODUCT(1 + 預測IC!$C22:AR22) -1</f>
        <v>0.55485369966161047</v>
      </c>
      <c r="AT15" s="63" cm="1">
        <f t="array" ref="AT15">PRODUCT(1 + 預測IC!$C22:AS22) -1</f>
        <v>0.68361181695362272</v>
      </c>
      <c r="AU15" s="63" cm="1">
        <f t="array" ref="AU15">PRODUCT(1 + 預測IC!$C22:AT22) -1</f>
        <v>0.69469063990539959</v>
      </c>
      <c r="AV15" s="63" cm="1">
        <f t="array" ref="AV15">PRODUCT(1 + 預測IC!$C22:AU22) -1</f>
        <v>0.78475123157847282</v>
      </c>
      <c r="AW15" s="63" cm="1">
        <f t="array" ref="AW15">PRODUCT(1 + 預測IC!$C22:AV22) -1</f>
        <v>0.67799959084157524</v>
      </c>
      <c r="AX15" s="63" cm="1">
        <f t="array" ref="AX15">PRODUCT(1 + 預測IC!$C22:AW22) -1</f>
        <v>0.62740892808809079</v>
      </c>
      <c r="AY15" s="63" cm="1">
        <f t="array" ref="AY15">PRODUCT(1 + 預測IC!$C22:AX22) -1</f>
        <v>0.34462481958565738</v>
      </c>
      <c r="AZ15" s="63" cm="1">
        <f t="array" ref="AZ15">PRODUCT(1 + 預測IC!$C22:AY22) -1</f>
        <v>0.4410793098989656</v>
      </c>
      <c r="BA15" s="63" cm="1">
        <f t="array" ref="BA15">PRODUCT(1 + 預測IC!$C22:AZ22) -1</f>
        <v>0.21785067993517737</v>
      </c>
      <c r="BB15" s="63" cm="1">
        <f t="array" ref="BB15">PRODUCT(1 + 預測IC!$C22:BA22) -1</f>
        <v>0.16231860684101052</v>
      </c>
      <c r="BC15" s="63" cm="1">
        <f t="array" ref="BC15">PRODUCT(1 + 預測IC!$C22:BB22) -1</f>
        <v>0.59185412597546705</v>
      </c>
      <c r="BD15" s="63" cm="1">
        <f t="array" ref="BD15">PRODUCT(1 + 預測IC!$C22:BC22) -1</f>
        <v>0.3835808061944439</v>
      </c>
      <c r="BE15" s="63" cm="1">
        <f t="array" ref="BE15">PRODUCT(1 + 預測IC!$C22:BD22) -1</f>
        <v>0.40149456627094371</v>
      </c>
      <c r="BF15" s="63" cm="1">
        <f t="array" ref="BF15">PRODUCT(1 + 預測IC!$C22:BE22) -1</f>
        <v>0.30551596221856769</v>
      </c>
      <c r="BG15" s="63" cm="1">
        <f t="array" ref="BG15">PRODUCT(1 + 預測IC!$C22:BF22) -1</f>
        <v>0.32332165595952711</v>
      </c>
      <c r="BH15" s="63" cm="1">
        <f t="array" ref="BH15">PRODUCT(1 + 預測IC!$C22:BG22) -1</f>
        <v>0.37788415199642866</v>
      </c>
      <c r="BI15" s="63" cm="1">
        <f t="array" ref="BI15">PRODUCT(1 + 預測IC!$C22:BH22) -1</f>
        <v>0.2015693486278487</v>
      </c>
      <c r="BJ15" s="63" cm="1">
        <f t="array" ref="BJ15">PRODUCT(1 + 預測IC!$C22:BI22) -1</f>
        <v>6.8088548406584737E-2</v>
      </c>
      <c r="BK15" s="63" cm="1">
        <f t="array" ref="BK15">PRODUCT(1 + 預測IC!$C22:BJ22) -1</f>
        <v>9.3475071806852217E-3</v>
      </c>
      <c r="BL15" s="63" cm="1">
        <f t="array" ref="BL15">PRODUCT(1 + 預測IC!$C22:BK22) -1</f>
        <v>-3.2883225050307052E-2</v>
      </c>
      <c r="BM15" s="63" cm="1">
        <f t="array" ref="BM15">PRODUCT(1 + 預測IC!$C22:BL22) -1</f>
        <v>0.12357725472234038</v>
      </c>
      <c r="BN15" s="63" cm="1">
        <f t="array" ref="BN15">PRODUCT(1 + 預測IC!$C22:BM22) -1</f>
        <v>0.24223204302887469</v>
      </c>
      <c r="BO15" s="63" cm="1">
        <f t="array" ref="BO15">PRODUCT(1 + 預測IC!$C22:BN22) -1</f>
        <v>0.13920392706073526</v>
      </c>
      <c r="BP15" s="63" cm="1">
        <f t="array" ref="BP15">PRODUCT(1 + 預測IC!$C22:BO22) -1</f>
        <v>0.2497213986167599</v>
      </c>
      <c r="BQ15" s="63" cm="1">
        <f t="array" ref="BQ15">PRODUCT(1 + 預測IC!$C22:BP22) -1</f>
        <v>0.343244987022854</v>
      </c>
      <c r="BR15" s="63" cm="1">
        <f t="array" ref="BR15">PRODUCT(1 + 預測IC!$C22:BQ22) -1</f>
        <v>0.38062762584149512</v>
      </c>
      <c r="BS15" s="63" cm="1">
        <f t="array" ref="BS15">PRODUCT(1 + 預測IC!$C22:BR22) -1</f>
        <v>0.40936347006435603</v>
      </c>
      <c r="BT15" s="63" cm="1">
        <f t="array" ref="BT15">PRODUCT(1 + 預測IC!$C22:BS22) -1</f>
        <v>0.38628826867918176</v>
      </c>
      <c r="BU15" s="63" cm="1">
        <f t="array" ref="BU15">PRODUCT(1 + 預測IC!$C22:BT22) -1</f>
        <v>0.50928835100726877</v>
      </c>
      <c r="BV15" s="63" cm="1">
        <f t="array" ref="BV15">PRODUCT(1 + 預測IC!$C22:BU22) -1</f>
        <v>0.83068944310073878</v>
      </c>
      <c r="BW15" s="63" cm="1">
        <f t="array" ref="BW15">PRODUCT(1 + 預測IC!$C22:BV22) -1</f>
        <v>1.1209342196362964</v>
      </c>
      <c r="BX15" s="63" cm="1">
        <f t="array" ref="BX15">PRODUCT(1 + 預測IC!$C22:BW22) -1</f>
        <v>0.21377566598205378</v>
      </c>
      <c r="BY15" s="63" cm="1">
        <f t="array" ref="BY15">PRODUCT(1 + 預測IC!$C22:BX22) -1</f>
        <v>0.35096739302491797</v>
      </c>
      <c r="BZ15" s="63" cm="1">
        <f t="array" ref="BZ15">PRODUCT(1 + 預測IC!$C22:BY22) -1</f>
        <v>0.39467507292370674</v>
      </c>
      <c r="CA15" s="63" cm="1">
        <f t="array" ref="CA15">PRODUCT(1 + 預測IC!$C22:BZ22) -1</f>
        <v>0.46058425913449508</v>
      </c>
      <c r="CB15" s="63" cm="1">
        <f t="array" ref="CB15">PRODUCT(1 + 預測IC!$C22:CA22) -1</f>
        <v>0.42043268322376259</v>
      </c>
      <c r="CC15" s="63" cm="1">
        <f t="array" ref="CC15">PRODUCT(1 + 預測IC!$C22:CB22) -1</f>
        <v>0.20879776122259641</v>
      </c>
      <c r="CD15" s="63" cm="1">
        <f t="array" ref="CD15">PRODUCT(1 + 預測IC!$C22:CC22) -1</f>
        <v>0.23591286680574641</v>
      </c>
      <c r="CE15" s="63" cm="1">
        <f t="array" ref="CE15">PRODUCT(1 + 預測IC!$C22:CD22) -1</f>
        <v>0.64855702832284212</v>
      </c>
      <c r="CF15" s="63" cm="1">
        <f t="array" ref="CF15">PRODUCT(1 + 預測IC!$C22:CE22) -1</f>
        <v>0.75874682018654038</v>
      </c>
      <c r="CG15" s="63" cm="1">
        <f t="array" ref="CG15">PRODUCT(1 + 預測IC!$C22:CF22) -1</f>
        <v>1.0323595802078072</v>
      </c>
      <c r="CH15" s="63" cm="1">
        <f t="array" ref="CH15">PRODUCT(1 + 預測IC!$C22:CG22) -1</f>
        <v>0.61925588746721649</v>
      </c>
      <c r="CI15" s="63" cm="1">
        <f t="array" ref="CI15">PRODUCT(1 + 預測IC!$C22:CH22) -1</f>
        <v>0.37052800643739747</v>
      </c>
      <c r="CJ15" s="63" cm="1">
        <f t="array" ref="CJ15">PRODUCT(1 + 預測IC!$C22:CI22) -1</f>
        <v>5.4690968951396135E-2</v>
      </c>
      <c r="CK15" s="63" cm="1">
        <f t="array" ref="CK15">PRODUCT(1 + 預測IC!$C22:CJ22) -1</f>
        <v>-5.4342461441230561E-2</v>
      </c>
      <c r="CL15" s="63" cm="1">
        <f t="array" ref="CL15">PRODUCT(1 + 預測IC!$C22:CK22) -1</f>
        <v>-2.0144323887629212E-2</v>
      </c>
      <c r="CM15" s="63" cm="1">
        <f t="array" ref="CM15">PRODUCT(1 + 預測IC!$C22:CL22) -1</f>
        <v>0.52265100535925435</v>
      </c>
      <c r="CN15" s="63" cm="1">
        <f t="array" ref="CN15">PRODUCT(1 + 預測IC!$C22:CM22) -1</f>
        <v>0.98212656544259502</v>
      </c>
      <c r="CO15" s="63" cm="1">
        <f t="array" ref="CO15">PRODUCT(1 + 預測IC!$C22:CN22) -1</f>
        <v>0.99906734891759164</v>
      </c>
      <c r="CP15" s="63" cm="1">
        <f t="array" ref="CP15">PRODUCT(1 + 預測IC!$C22:CO22) -1</f>
        <v>-0.30023940497708879</v>
      </c>
      <c r="CQ15" s="63" cm="1">
        <f t="array" ref="CQ15">PRODUCT(1 + 預測IC!$C22:CP22) -1</f>
        <v>-0.42048887793177214</v>
      </c>
      <c r="CR15" s="63" cm="1">
        <f t="array" ref="CR15">PRODUCT(1 + 預測IC!$C22:CQ22) -1</f>
        <v>-0.42763644022812997</v>
      </c>
      <c r="CS15" s="63" cm="1">
        <f t="array" ref="CS15">PRODUCT(1 + 預測IC!$C22:CR22) -1</f>
        <v>-0.41136860575245537</v>
      </c>
      <c r="CT15" s="63" cm="1">
        <f t="array" ref="CT15">PRODUCT(1 + 預測IC!$C22:CS22) -1</f>
        <v>-0.42031708823427749</v>
      </c>
      <c r="CU15" s="63" cm="1">
        <f t="array" ref="CU15">PRODUCT(1 + 預測IC!$C22:CT22) -1</f>
        <v>-0.38656069069518029</v>
      </c>
      <c r="CV15" s="63" cm="1">
        <f t="array" ref="CV15">PRODUCT(1 + 預測IC!$C22:CU22) -1</f>
        <v>-0.45455517460265216</v>
      </c>
      <c r="CW15" s="63" cm="1">
        <f t="array" ref="CW15">PRODUCT(1 + 預測IC!$C22:CV22) -1</f>
        <v>-0.3838559806182178</v>
      </c>
      <c r="CX15" s="63" cm="1">
        <f t="array" ref="CX15">PRODUCT(1 + 預測IC!$C22:CW22) -1</f>
        <v>-0.39217380074900954</v>
      </c>
      <c r="CY15" s="63" cm="1">
        <f t="array" ref="CY15">PRODUCT(1 + 預測IC!$C22:CX22) -1</f>
        <v>-0.36343246341485869</v>
      </c>
      <c r="CZ15" s="63" cm="1">
        <f t="array" ref="CZ15">PRODUCT(1 + 預測IC!$C22:CY22) -1</f>
        <v>-0.42996066251148279</v>
      </c>
      <c r="DA15" s="63" cm="1">
        <f t="array" ref="DA15">PRODUCT(1 + 預測IC!$C22:CZ22) -1</f>
        <v>-0.31213703030517415</v>
      </c>
      <c r="DB15" s="63" cm="1">
        <f t="array" ref="DB15">PRODUCT(1 + 預測IC!$C22:DA22) -1</f>
        <v>-0.31488280998468532</v>
      </c>
      <c r="DC15" s="63" cm="1">
        <f t="array" ref="DC15">PRODUCT(1 + 預測IC!$C22:DB22) -1</f>
        <v>-0.27785796597450185</v>
      </c>
      <c r="DD15" s="63" cm="1">
        <f t="array" ref="DD15">PRODUCT(1 + 預測IC!$C22:DC22) -1</f>
        <v>-0.30637848173699456</v>
      </c>
      <c r="DE15" s="63" cm="1">
        <f t="array" ref="DE15">PRODUCT(1 + 預測IC!$C22:DD22) -1</f>
        <v>-0.31745046919681652</v>
      </c>
      <c r="DF15" s="63" cm="1">
        <f t="array" ref="DF15">PRODUCT(1 + 預測IC!$C22:DE22) -1</f>
        <v>-0.32119886603068126</v>
      </c>
      <c r="DG15" s="63" cm="1">
        <f t="array" ref="DG15">PRODUCT(1 + 預測IC!$C22:DF22) -1</f>
        <v>-0.30963767766148276</v>
      </c>
      <c r="DH15" s="63" cm="1">
        <f t="array" ref="DH15">PRODUCT(1 + 預測IC!$C22:DG22) -1</f>
        <v>-0.26000787589220697</v>
      </c>
      <c r="DI15" s="63" cm="1">
        <f t="array" ref="DI15">PRODUCT(1 + 預測IC!$C22:DH22) -1</f>
        <v>-0.24968842954845738</v>
      </c>
      <c r="DJ15" s="63" cm="1">
        <f t="array" ref="DJ15">PRODUCT(1 + 預測IC!$C22:DI22) -1</f>
        <v>-0.20199787637252964</v>
      </c>
      <c r="DK15" s="63" cm="1">
        <f t="array" ref="DK15">PRODUCT(1 + 預測IC!$C22:DJ22) -1</f>
        <v>-0.24209429573113839</v>
      </c>
      <c r="DL15" s="63" cm="1">
        <f t="array" ref="DL15">PRODUCT(1 + 預測IC!$C22:DK22) -1</f>
        <v>-0.10632707429223776</v>
      </c>
      <c r="DM15" s="63" cm="1">
        <f t="array" ref="DM15">PRODUCT(1 + 預測IC!$C22:DL22) -1</f>
        <v>-8.6951953784417113E-2</v>
      </c>
      <c r="DN15" s="63" cm="1">
        <f t="array" ref="DN15">PRODUCT(1 + 預測IC!$C22:DM22) -1</f>
        <v>-0.14489950768571203</v>
      </c>
      <c r="DO15" s="63" cm="1">
        <f t="array" ref="DO15">PRODUCT(1 + 預測IC!$C22:DN22) -1</f>
        <v>-0.10491216271621062</v>
      </c>
      <c r="DP15" s="63" cm="1">
        <f t="array" ref="DP15">PRODUCT(1 + 預測IC!$C22:DO22) -1</f>
        <v>-3.7139856675447502E-2</v>
      </c>
      <c r="DQ15" s="63" cm="1">
        <f t="array" ref="DQ15">PRODUCT(1 + 預測IC!$C22:DP22) -1</f>
        <v>-3.504821311388151E-2</v>
      </c>
      <c r="DR15" s="63" cm="1">
        <f t="array" ref="DR15">PRODUCT(1 + 預測IC!$C22:DQ22) -1</f>
        <v>-0.1614868143869318</v>
      </c>
      <c r="DS15" s="63" cm="1">
        <f t="array" ref="DS15">PRODUCT(1 + 預測IC!$C22:DR22) -1</f>
        <v>-0.16659550008891733</v>
      </c>
      <c r="DT15" s="63" cm="1">
        <f t="array" ref="DT15">PRODUCT(1 + 預測IC!$C22:DS22) -1</f>
        <v>-0.19688663860262878</v>
      </c>
      <c r="DU15" s="63" cm="1">
        <f t="array" ref="DU15">PRODUCT(1 + 預測IC!$C22:DT22) -1</f>
        <v>-0.21806984272089847</v>
      </c>
      <c r="DV15" s="63" cm="1">
        <f t="array" ref="DV15">PRODUCT(1 + 預測IC!$C22:DU22) -1</f>
        <v>-0.26302722272077139</v>
      </c>
      <c r="DW15" s="63" cm="1">
        <f t="array" ref="DW15">PRODUCT(1 + 預測IC!$C22:DV22) -1</f>
        <v>-0.17038597302727221</v>
      </c>
      <c r="DX15" s="63" cm="1">
        <f t="array" ref="DX15">PRODUCT(1 + 預測IC!$C22:DW22) -1</f>
        <v>-7.9540692944900959E-2</v>
      </c>
      <c r="DY15" s="63" cm="1">
        <f t="array" ref="DY15">PRODUCT(1 + 預測IC!$C22:DX22) -1</f>
        <v>-0.28429006217674702</v>
      </c>
      <c r="DZ15" s="63" cm="1">
        <f t="array" ref="DZ15">PRODUCT(1 + 預測IC!$C22:DY22) -1</f>
        <v>-0.27845908984324297</v>
      </c>
      <c r="EA15" s="63" cm="1">
        <f t="array" ref="EA15">PRODUCT(1 + 預測IC!$C22:DZ22) -1</f>
        <v>-0.35331750244162652</v>
      </c>
      <c r="EB15" s="63" cm="1">
        <f t="array" ref="EB15">PRODUCT(1 + 預測IC!$C22:EA22) -1</f>
        <v>-0.39894007887243166</v>
      </c>
      <c r="EC15" s="63" cm="1">
        <f t="array" ref="EC15">PRODUCT(1 + 預測IC!$C22:EB22) -1</f>
        <v>-0.48484781593143755</v>
      </c>
      <c r="ED15" s="63" cm="1">
        <f t="array" ref="ED15">PRODUCT(1 + 預測IC!$C22:EC22) -1</f>
        <v>-0.47377456740797197</v>
      </c>
      <c r="EE15" s="63" cm="1">
        <f t="array" ref="EE15">PRODUCT(1 + 預測IC!$C22:ED22) -1</f>
        <v>-0.5145115552213535</v>
      </c>
      <c r="EF15" s="63" cm="1">
        <f t="array" ref="EF15">PRODUCT(1 + 預測IC!$C22:EE22) -1</f>
        <v>-0.49138450754222585</v>
      </c>
      <c r="EG15" s="63" cm="1">
        <f t="array" ref="EG15">PRODUCT(1 + 預測IC!$C22:EF22) -1</f>
        <v>-0.50907936583353552</v>
      </c>
    </row>
    <row r="16" spans="3:137" ht="16">
      <c r="C16" s="6">
        <v>482</v>
      </c>
      <c r="D16" s="63" cm="1">
        <f t="array" ref="D16">PRODUCT(1 + 預測IC!$C23:C23) -1</f>
        <v>-3.4987009286289172E-2</v>
      </c>
      <c r="E16" s="63" cm="1">
        <f t="array" ref="E16">PRODUCT(1 + 預測IC!$C23:D23) -1</f>
        <v>-6.3754690864570862E-2</v>
      </c>
      <c r="F16" s="63" cm="1">
        <f t="array" ref="F16">PRODUCT(1 + 預測IC!$C23:E23) -1</f>
        <v>-0.18828017989030843</v>
      </c>
      <c r="G16" s="63" cm="1">
        <f t="array" ref="G16">PRODUCT(1 + 預測IC!$C23:F23) -1</f>
        <v>-0.303272394381774</v>
      </c>
      <c r="H16" s="63" cm="1">
        <f t="array" ref="H16">PRODUCT(1 + 預測IC!$C23:G23) -1</f>
        <v>-0.33965841798123475</v>
      </c>
      <c r="I16" s="63" cm="1">
        <f t="array" ref="I16">PRODUCT(1 + 預測IC!$C23:H23) -1</f>
        <v>-0.51320294842693537</v>
      </c>
      <c r="J16" s="63" cm="1">
        <f t="array" ref="J16">PRODUCT(1 + 預測IC!$C23:I23) -1</f>
        <v>-0.44108297771974392</v>
      </c>
      <c r="K16" s="63" cm="1">
        <f t="array" ref="K16">PRODUCT(1 + 預測IC!$C23:J23) -1</f>
        <v>-0.49594755318752659</v>
      </c>
      <c r="L16" s="63" cm="1">
        <f t="array" ref="L16">PRODUCT(1 + 預測IC!$C23:K23) -1</f>
        <v>-0.52614930948164296</v>
      </c>
      <c r="M16" s="63" cm="1">
        <f t="array" ref="M16">PRODUCT(1 + 預測IC!$C23:L23) -1</f>
        <v>-0.50054074557942618</v>
      </c>
      <c r="N16" s="63" cm="1">
        <f t="array" ref="N16">PRODUCT(1 + 預測IC!$C23:M23) -1</f>
        <v>-0.63407945329359627</v>
      </c>
      <c r="O16" s="63" cm="1">
        <f t="array" ref="O16">PRODUCT(1 + 預測IC!$C23:N23) -1</f>
        <v>-0.5768424403424276</v>
      </c>
      <c r="P16" s="63" cm="1">
        <f t="array" ref="P16">PRODUCT(1 + 預測IC!$C23:O23) -1</f>
        <v>-0.49027947736650268</v>
      </c>
      <c r="Q16" s="63" cm="1">
        <f t="array" ref="Q16">PRODUCT(1 + 預測IC!$C23:P23) -1</f>
        <v>-0.4624071813377757</v>
      </c>
      <c r="R16" s="63" cm="1">
        <f t="array" ref="R16">PRODUCT(1 + 預測IC!$C23:Q23) -1</f>
        <v>-0.30587440226528329</v>
      </c>
      <c r="S16" s="63" cm="1">
        <f t="array" ref="S16">PRODUCT(1 + 預測IC!$C23:R23) -1</f>
        <v>-0.32275122948349344</v>
      </c>
      <c r="T16" s="63" cm="1">
        <f t="array" ref="T16">PRODUCT(1 + 預測IC!$C23:S23) -1</f>
        <v>-0.20809639893765686</v>
      </c>
      <c r="U16" s="63" cm="1">
        <f t="array" ref="U16">PRODUCT(1 + 預測IC!$C23:T23) -1</f>
        <v>-0.20839207135837701</v>
      </c>
      <c r="V16" s="63" cm="1">
        <f t="array" ref="V16">PRODUCT(1 + 預測IC!$C23:U23) -1</f>
        <v>-0.25528834161853486</v>
      </c>
      <c r="W16" s="63" cm="1">
        <f t="array" ref="W16">PRODUCT(1 + 預測IC!$C23:V23) -1</f>
        <v>-8.2159857960288352E-2</v>
      </c>
      <c r="X16" s="63" cm="1">
        <f t="array" ref="X16">PRODUCT(1 + 預測IC!$C23:W23) -1</f>
        <v>0.22221351000747491</v>
      </c>
      <c r="Y16" s="63" cm="1">
        <f t="array" ref="Y16">PRODUCT(1 + 預測IC!$C23:X23) -1</f>
        <v>-1.5576025645306468E-2</v>
      </c>
      <c r="Z16" s="63" cm="1">
        <f t="array" ref="Z16">PRODUCT(1 + 預測IC!$C23:Y23) -1</f>
        <v>-8.246755751535384E-2</v>
      </c>
      <c r="AA16" s="63" cm="1">
        <f t="array" ref="AA16">PRODUCT(1 + 預測IC!$C23:Z23) -1</f>
        <v>-4.480104640522975E-2</v>
      </c>
      <c r="AB16" s="63" cm="1">
        <f t="array" ref="AB16">PRODUCT(1 + 預測IC!$C23:AA23) -1</f>
        <v>-3.8490723228850166E-2</v>
      </c>
      <c r="AC16" s="63" cm="1">
        <f t="array" ref="AC16">PRODUCT(1 + 預測IC!$C23:AB23) -1</f>
        <v>2.3084119205059705E-2</v>
      </c>
      <c r="AD16" s="63" cm="1">
        <f t="array" ref="AD16">PRODUCT(1 + 預測IC!$C23:AC23) -1</f>
        <v>0.10119284532254924</v>
      </c>
      <c r="AE16" s="63" cm="1">
        <f t="array" ref="AE16">PRODUCT(1 + 預測IC!$C23:AD23) -1</f>
        <v>0.18007004237704627</v>
      </c>
      <c r="AF16" s="63" cm="1">
        <f t="array" ref="AF16">PRODUCT(1 + 預測IC!$C23:AE23) -1</f>
        <v>-0.24708625875814239</v>
      </c>
      <c r="AG16" s="63" cm="1">
        <f t="array" ref="AG16">PRODUCT(1 + 預測IC!$C23:AF23) -1</f>
        <v>-0.26613534712110054</v>
      </c>
      <c r="AH16" s="63" cm="1">
        <f t="array" ref="AH16">PRODUCT(1 + 預測IC!$C23:AG23) -1</f>
        <v>-0.19871251724373962</v>
      </c>
      <c r="AI16" s="63" cm="1">
        <f t="array" ref="AI16">PRODUCT(1 + 預測IC!$C23:AH23) -1</f>
        <v>-0.26615815432592682</v>
      </c>
      <c r="AJ16" s="63" cm="1">
        <f t="array" ref="AJ16">PRODUCT(1 + 預測IC!$C23:AI23) -1</f>
        <v>-0.25353173220809644</v>
      </c>
      <c r="AK16" s="63" cm="1">
        <f t="array" ref="AK16">PRODUCT(1 + 預測IC!$C23:AJ23) -1</f>
        <v>-0.2175552460189798</v>
      </c>
      <c r="AL16" s="63" cm="1">
        <f t="array" ref="AL16">PRODUCT(1 + 預測IC!$C23:AK23) -1</f>
        <v>-0.20303484695824769</v>
      </c>
      <c r="AM16" s="63" cm="1">
        <f t="array" ref="AM16">PRODUCT(1 + 預測IC!$C23:AL23) -1</f>
        <v>-0.19182426242994799</v>
      </c>
      <c r="AN16" s="63" cm="1">
        <f t="array" ref="AN16">PRODUCT(1 + 預測IC!$C23:AM23) -1</f>
        <v>-0.18554514992289861</v>
      </c>
      <c r="AO16" s="63" cm="1">
        <f t="array" ref="AO16">PRODUCT(1 + 預測IC!$C23:AN23) -1</f>
        <v>1.1809232213629617E-2</v>
      </c>
      <c r="AP16" s="63" cm="1">
        <f t="array" ref="AP16">PRODUCT(1 + 預測IC!$C23:AO23) -1</f>
        <v>6.4092547144640744E-3</v>
      </c>
      <c r="AQ16" s="63" cm="1">
        <f t="array" ref="AQ16">PRODUCT(1 + 預測IC!$C23:AP23) -1</f>
        <v>9.5503579875078071E-3</v>
      </c>
      <c r="AR16" s="63" cm="1">
        <f t="array" ref="AR16">PRODUCT(1 + 預測IC!$C23:AQ23) -1</f>
        <v>9.982939093622778E-2</v>
      </c>
      <c r="AS16" s="63" cm="1">
        <f t="array" ref="AS16">PRODUCT(1 + 預測IC!$C23:AR23) -1</f>
        <v>0.47019038757975107</v>
      </c>
      <c r="AT16" s="63" cm="1">
        <f t="array" ref="AT16">PRODUCT(1 + 預測IC!$C23:AS23) -1</f>
        <v>0.44856846221479452</v>
      </c>
      <c r="AU16" s="63" cm="1">
        <f t="array" ref="AU16">PRODUCT(1 + 預測IC!$C23:AT23) -1</f>
        <v>0.38855757093413379</v>
      </c>
      <c r="AV16" s="63" cm="1">
        <f t="array" ref="AV16">PRODUCT(1 + 預測IC!$C23:AU23) -1</f>
        <v>0.43458204218246355</v>
      </c>
      <c r="AW16" s="63" cm="1">
        <f t="array" ref="AW16">PRODUCT(1 + 預測IC!$C23:AV23) -1</f>
        <v>0.39493163744292548</v>
      </c>
      <c r="AX16" s="63" cm="1">
        <f t="array" ref="AX16">PRODUCT(1 + 預測IC!$C23:AW23) -1</f>
        <v>0.32235765491094681</v>
      </c>
      <c r="AY16" s="63" cm="1">
        <f t="array" ref="AY16">PRODUCT(1 + 預測IC!$C23:AX23) -1</f>
        <v>0.23000663759290685</v>
      </c>
      <c r="AZ16" s="63" cm="1">
        <f t="array" ref="AZ16">PRODUCT(1 + 預測IC!$C23:AY23) -1</f>
        <v>0.43939556397068658</v>
      </c>
      <c r="BA16" s="63" cm="1">
        <f t="array" ref="BA16">PRODUCT(1 + 預測IC!$C23:AZ23) -1</f>
        <v>0.34762888989651608</v>
      </c>
      <c r="BB16" s="63" cm="1">
        <f t="array" ref="BB16">PRODUCT(1 + 預測IC!$C23:BA23) -1</f>
        <v>0.36062916942693812</v>
      </c>
      <c r="BC16" s="63" cm="1">
        <f t="array" ref="BC16">PRODUCT(1 + 預測IC!$C23:BB23) -1</f>
        <v>1.1318698747720237</v>
      </c>
      <c r="BD16" s="63" cm="1">
        <f t="array" ref="BD16">PRODUCT(1 + 預測IC!$C23:BC23) -1</f>
        <v>0.49054319287955273</v>
      </c>
      <c r="BE16" s="63" cm="1">
        <f t="array" ref="BE16">PRODUCT(1 + 預測IC!$C23:BD23) -1</f>
        <v>0.63189271754527265</v>
      </c>
      <c r="BF16" s="63" cm="1">
        <f t="array" ref="BF16">PRODUCT(1 + 預測IC!$C23:BE23) -1</f>
        <v>0.49068113265571434</v>
      </c>
      <c r="BG16" s="63" cm="1">
        <f t="array" ref="BG16">PRODUCT(1 + 預測IC!$C23:BF23) -1</f>
        <v>0.45662355482334616</v>
      </c>
      <c r="BH16" s="63" cm="1">
        <f t="array" ref="BH16">PRODUCT(1 + 預測IC!$C23:BG23) -1</f>
        <v>0.40080162171718836</v>
      </c>
      <c r="BI16" s="63" cm="1">
        <f t="array" ref="BI16">PRODUCT(1 + 預測IC!$C23:BH23) -1</f>
        <v>0.11576093064123194</v>
      </c>
      <c r="BJ16" s="63" cm="1">
        <f t="array" ref="BJ16">PRODUCT(1 + 預測IC!$C23:BI23) -1</f>
        <v>-9.7474460841201593E-2</v>
      </c>
      <c r="BK16" s="63" cm="1">
        <f t="array" ref="BK16">PRODUCT(1 + 預測IC!$C23:BJ23) -1</f>
        <v>-0.19134010902768983</v>
      </c>
      <c r="BL16" s="63" cm="1">
        <f t="array" ref="BL16">PRODUCT(1 + 預測IC!$C23:BK23) -1</f>
        <v>-0.18754993814298437</v>
      </c>
      <c r="BM16" s="63" cm="1">
        <f t="array" ref="BM16">PRODUCT(1 + 預測IC!$C23:BL23) -1</f>
        <v>-6.6060789904731965E-2</v>
      </c>
      <c r="BN16" s="63" cm="1">
        <f t="array" ref="BN16">PRODUCT(1 + 預測IC!$C23:BM23) -1</f>
        <v>0.11062247127854286</v>
      </c>
      <c r="BO16" s="63" cm="1">
        <f t="array" ref="BO16">PRODUCT(1 + 預測IC!$C23:BN23) -1</f>
        <v>6.7915441906090557E-2</v>
      </c>
      <c r="BP16" s="63" cm="1">
        <f t="array" ref="BP16">PRODUCT(1 + 預測IC!$C23:BO23) -1</f>
        <v>0.24552063620885822</v>
      </c>
      <c r="BQ16" s="63" cm="1">
        <f t="array" ref="BQ16">PRODUCT(1 + 預測IC!$C23:BP23) -1</f>
        <v>0.36791346427266514</v>
      </c>
      <c r="BR16" s="63" cm="1">
        <f t="array" ref="BR16">PRODUCT(1 + 預測IC!$C23:BQ23) -1</f>
        <v>0.43577816995786667</v>
      </c>
      <c r="BS16" s="63" cm="1">
        <f t="array" ref="BS16">PRODUCT(1 + 預測IC!$C23:BR23) -1</f>
        <v>0.4613986571735349</v>
      </c>
      <c r="BT16" s="63" cm="1">
        <f t="array" ref="BT16">PRODUCT(1 + 預測IC!$C23:BS23) -1</f>
        <v>0.35431410258499363</v>
      </c>
      <c r="BU16" s="63" cm="1">
        <f t="array" ref="BU16">PRODUCT(1 + 預測IC!$C23:BT23) -1</f>
        <v>0.64980739506793039</v>
      </c>
      <c r="BV16" s="63" cm="1">
        <f t="array" ref="BV16">PRODUCT(1 + 預測IC!$C23:BU23) -1</f>
        <v>0.989152542741351</v>
      </c>
      <c r="BW16" s="63" cm="1">
        <f t="array" ref="BW16">PRODUCT(1 + 預測IC!$C23:BV23) -1</f>
        <v>1.2148568448636978</v>
      </c>
      <c r="BX16" s="63" cm="1">
        <f t="array" ref="BX16">PRODUCT(1 + 預測IC!$C23:BW23) -1</f>
        <v>-0.11626664030358214</v>
      </c>
      <c r="BY16" s="63" cm="1">
        <f t="array" ref="BY16">PRODUCT(1 + 預測IC!$C23:BX23) -1</f>
        <v>-5.552314888024279E-2</v>
      </c>
      <c r="BZ16" s="63" cm="1">
        <f t="array" ref="BZ16">PRODUCT(1 + 預測IC!$C23:BY23) -1</f>
        <v>-1.7801263970256609E-2</v>
      </c>
      <c r="CA16" s="63" cm="1">
        <f t="array" ref="CA16">PRODUCT(1 + 預測IC!$C23:BZ23) -1</f>
        <v>-1.0268033004050103E-2</v>
      </c>
      <c r="CB16" s="63" cm="1">
        <f t="array" ref="CB16">PRODUCT(1 + 預測IC!$C23:CA23) -1</f>
        <v>-8.5144423198818764E-2</v>
      </c>
      <c r="CC16" s="63" cm="1">
        <f t="array" ref="CC16">PRODUCT(1 + 預測IC!$C23:CB23) -1</f>
        <v>-0.28422999039759678</v>
      </c>
      <c r="CD16" s="63" cm="1">
        <f t="array" ref="CD16">PRODUCT(1 + 預測IC!$C23:CC23) -1</f>
        <v>-0.22442317658300903</v>
      </c>
      <c r="CE16" s="63" cm="1">
        <f t="array" ref="CE16">PRODUCT(1 + 預測IC!$C23:CD23) -1</f>
        <v>-7.5763360478812158E-2</v>
      </c>
      <c r="CF16" s="63" cm="1">
        <f t="array" ref="CF16">PRODUCT(1 + 預測IC!$C23:CE23) -1</f>
        <v>-2.0676729320592724E-2</v>
      </c>
      <c r="CG16" s="63" cm="1">
        <f t="array" ref="CG16">PRODUCT(1 + 預測IC!$C23:CF23) -1</f>
        <v>0.15896370758988998</v>
      </c>
      <c r="CH16" s="63" cm="1">
        <f t="array" ref="CH16">PRODUCT(1 + 預測IC!$C23:CG23) -1</f>
        <v>-0.29679157084882679</v>
      </c>
      <c r="CI16" s="63" cm="1">
        <f t="array" ref="CI16">PRODUCT(1 + 預測IC!$C23:CH23) -1</f>
        <v>-0.41079753166427835</v>
      </c>
      <c r="CJ16" s="63" cm="1">
        <f t="array" ref="CJ16">PRODUCT(1 + 預測IC!$C23:CI23) -1</f>
        <v>-0.44563263922824092</v>
      </c>
      <c r="CK16" s="63" cm="1">
        <f t="array" ref="CK16">PRODUCT(1 + 預測IC!$C23:CJ23) -1</f>
        <v>-0.45665089428153072</v>
      </c>
      <c r="CL16" s="63" cm="1">
        <f t="array" ref="CL16">PRODUCT(1 + 預測IC!$C23:CK23) -1</f>
        <v>-0.40442581115174592</v>
      </c>
      <c r="CM16" s="63" cm="1">
        <f t="array" ref="CM16">PRODUCT(1 + 預測IC!$C23:CL23) -1</f>
        <v>8.462923527283106E-2</v>
      </c>
      <c r="CN16" s="63" cm="1">
        <f t="array" ref="CN16">PRODUCT(1 + 預測IC!$C23:CM23) -1</f>
        <v>0.50409109531478302</v>
      </c>
      <c r="CO16" s="63" cm="1">
        <f t="array" ref="CO16">PRODUCT(1 + 預測IC!$C23:CN23) -1</f>
        <v>0.58381571210637606</v>
      </c>
      <c r="CP16" s="63" cm="1">
        <f t="array" ref="CP16">PRODUCT(1 + 預測IC!$C23:CO23) -1</f>
        <v>-0.85575127152267128</v>
      </c>
      <c r="CQ16" s="63" cm="1">
        <f t="array" ref="CQ16">PRODUCT(1 + 預測IC!$C23:CP23) -1</f>
        <v>-0.89125113927549771</v>
      </c>
      <c r="CR16" s="63" cm="1">
        <f t="array" ref="CR16">PRODUCT(1 + 預測IC!$C23:CQ23) -1</f>
        <v>-0.89224986102703652</v>
      </c>
      <c r="CS16" s="63" cm="1">
        <f t="array" ref="CS16">PRODUCT(1 + 預測IC!$C23:CR23) -1</f>
        <v>-0.8881302672930067</v>
      </c>
      <c r="CT16" s="63" cm="1">
        <f t="array" ref="CT16">PRODUCT(1 + 預測IC!$C23:CS23) -1</f>
        <v>-0.89226656328861087</v>
      </c>
      <c r="CU16" s="63" cm="1">
        <f t="array" ref="CU16">PRODUCT(1 + 預測IC!$C23:CT23) -1</f>
        <v>-0.88734718074108032</v>
      </c>
      <c r="CV16" s="63" cm="1">
        <f t="array" ref="CV16">PRODUCT(1 + 預測IC!$C23:CU23) -1</f>
        <v>-0.88971926561217729</v>
      </c>
      <c r="CW16" s="63" cm="1">
        <f t="array" ref="CW16">PRODUCT(1 + 預測IC!$C23:CV23) -1</f>
        <v>-0.86745893804775609</v>
      </c>
      <c r="CX16" s="63" cm="1">
        <f t="array" ref="CX16">PRODUCT(1 + 預測IC!$C23:CW23) -1</f>
        <v>-0.8589544259476376</v>
      </c>
      <c r="CY16" s="63" cm="1">
        <f t="array" ref="CY16">PRODUCT(1 + 預測IC!$C23:CX23) -1</f>
        <v>-0.86519626800186078</v>
      </c>
      <c r="CZ16" s="63" cm="1">
        <f t="array" ref="CZ16">PRODUCT(1 + 預測IC!$C23:CY23) -1</f>
        <v>-0.88592238677674329</v>
      </c>
      <c r="DA16" s="63" cm="1">
        <f t="array" ref="DA16">PRODUCT(1 + 預測IC!$C23:CZ23) -1</f>
        <v>-0.86698499542558793</v>
      </c>
      <c r="DB16" s="63" cm="1">
        <f t="array" ref="DB16">PRODUCT(1 + 預測IC!$C23:DA23) -1</f>
        <v>-0.87110608441740245</v>
      </c>
      <c r="DC16" s="63" cm="1">
        <f t="array" ref="DC16">PRODUCT(1 + 預測IC!$C23:DB23) -1</f>
        <v>-0.86868970161784875</v>
      </c>
      <c r="DD16" s="63" cm="1">
        <f t="array" ref="DD16">PRODUCT(1 + 預測IC!$C23:DC23) -1</f>
        <v>-0.85303876332762907</v>
      </c>
      <c r="DE16" s="63" cm="1">
        <f t="array" ref="DE16">PRODUCT(1 + 預測IC!$C23:DD23) -1</f>
        <v>-0.85574400024115937</v>
      </c>
      <c r="DF16" s="63" cm="1">
        <f t="array" ref="DF16">PRODUCT(1 + 預測IC!$C23:DE23) -1</f>
        <v>-0.85709931795377414</v>
      </c>
      <c r="DG16" s="63" cm="1">
        <f t="array" ref="DG16">PRODUCT(1 + 預測IC!$C23:DF23) -1</f>
        <v>-0.84824774575166317</v>
      </c>
      <c r="DH16" s="63" cm="1">
        <f t="array" ref="DH16">PRODUCT(1 + 預測IC!$C23:DG23) -1</f>
        <v>-0.83798619345950454</v>
      </c>
      <c r="DI16" s="63" cm="1">
        <f t="array" ref="DI16">PRODUCT(1 + 預測IC!$C23:DH23) -1</f>
        <v>-0.82900844992748413</v>
      </c>
      <c r="DJ16" s="63" cm="1">
        <f t="array" ref="DJ16">PRODUCT(1 + 預測IC!$C23:DI23) -1</f>
        <v>-0.81986389075356025</v>
      </c>
      <c r="DK16" s="63" cm="1">
        <f t="array" ref="DK16">PRODUCT(1 + 預測IC!$C23:DJ23) -1</f>
        <v>-0.83554618162447181</v>
      </c>
      <c r="DL16" s="63" cm="1">
        <f t="array" ref="DL16">PRODUCT(1 + 預測IC!$C23:DK23) -1</f>
        <v>-0.78985544828981502</v>
      </c>
      <c r="DM16" s="63" cm="1">
        <f t="array" ref="DM16">PRODUCT(1 + 預測IC!$C23:DL23) -1</f>
        <v>-0.80175117118632744</v>
      </c>
      <c r="DN16" s="63" cm="1">
        <f t="array" ref="DN16">PRODUCT(1 + 預測IC!$C23:DM23) -1</f>
        <v>-0.80561648905161476</v>
      </c>
      <c r="DO16" s="63" cm="1">
        <f t="array" ref="DO16">PRODUCT(1 + 預測IC!$C23:DN23) -1</f>
        <v>-0.80435354127326786</v>
      </c>
      <c r="DP16" s="63" cm="1">
        <f t="array" ref="DP16">PRODUCT(1 + 預測IC!$C23:DO23) -1</f>
        <v>-0.78007998995862571</v>
      </c>
      <c r="DQ16" s="63" cm="1">
        <f t="array" ref="DQ16">PRODUCT(1 + 預測IC!$C23:DP23) -1</f>
        <v>-0.76972434536014855</v>
      </c>
      <c r="DR16" s="63" cm="1">
        <f t="array" ref="DR16">PRODUCT(1 + 預測IC!$C23:DQ23) -1</f>
        <v>-0.80891979400690228</v>
      </c>
      <c r="DS16" s="63" cm="1">
        <f t="array" ref="DS16">PRODUCT(1 + 預測IC!$C23:DR23) -1</f>
        <v>-0.82609522992469653</v>
      </c>
      <c r="DT16" s="63" cm="1">
        <f t="array" ref="DT16">PRODUCT(1 + 預測IC!$C23:DS23) -1</f>
        <v>-0.84636835095183605</v>
      </c>
      <c r="DU16" s="63" cm="1">
        <f t="array" ref="DU16">PRODUCT(1 + 預測IC!$C23:DT23) -1</f>
        <v>-0.8654117962996013</v>
      </c>
      <c r="DV16" s="63" cm="1">
        <f t="array" ref="DV16">PRODUCT(1 + 預測IC!$C23:DU23) -1</f>
        <v>-0.86079714562618848</v>
      </c>
      <c r="DW16" s="63" cm="1">
        <f t="array" ref="DW16">PRODUCT(1 + 預測IC!$C23:DV23) -1</f>
        <v>-0.82233934916428675</v>
      </c>
      <c r="DX16" s="63" cm="1">
        <f t="array" ref="DX16">PRODUCT(1 + 預測IC!$C23:DW23) -1</f>
        <v>-0.79724864944724216</v>
      </c>
      <c r="DY16" s="63" cm="1">
        <f t="array" ref="DY16">PRODUCT(1 + 預測IC!$C23:DX23) -1</f>
        <v>-0.86080982042969201</v>
      </c>
      <c r="DZ16" s="63" cm="1">
        <f t="array" ref="DZ16">PRODUCT(1 + 預測IC!$C23:DY23) -1</f>
        <v>-0.88445500671463373</v>
      </c>
      <c r="EA16" s="63" cm="1">
        <f t="array" ref="EA16">PRODUCT(1 + 預測IC!$C23:DZ23) -1</f>
        <v>-0.89435616146664443</v>
      </c>
      <c r="EB16" s="63" cm="1">
        <f t="array" ref="EB16">PRODUCT(1 + 預測IC!$C23:EA23) -1</f>
        <v>-0.89683339407630835</v>
      </c>
      <c r="EC16" s="63" cm="1">
        <f t="array" ref="EC16">PRODUCT(1 + 預測IC!$C23:EB23) -1</f>
        <v>-0.91109364926029091</v>
      </c>
      <c r="ED16" s="63" cm="1">
        <f t="array" ref="ED16">PRODUCT(1 + 預測IC!$C23:EC23) -1</f>
        <v>-0.91434622731912618</v>
      </c>
      <c r="EE16" s="63" cm="1">
        <f t="array" ref="EE16">PRODUCT(1 + 預測IC!$C23:ED23) -1</f>
        <v>-0.9221772009705721</v>
      </c>
      <c r="EF16" s="63" cm="1">
        <f t="array" ref="EF16">PRODUCT(1 + 預測IC!$C23:EE23) -1</f>
        <v>-0.91679092349078251</v>
      </c>
      <c r="EG16" s="63" cm="1">
        <f t="array" ref="EG16">PRODUCT(1 + 預測IC!$C23:EF23) -1</f>
        <v>-0.92076684276590071</v>
      </c>
    </row>
    <row r="17" spans="1:138" ht="16">
      <c r="C17" s="6">
        <v>964</v>
      </c>
      <c r="D17" s="63" cm="1">
        <f t="array" ref="D17">PRODUCT(1 + 預測IC!$C24:C24) -1</f>
        <v>0.16299313693108508</v>
      </c>
      <c r="E17" s="63" cm="1">
        <f t="array" ref="E17">PRODUCT(1 + 預測IC!$C24:D24) -1</f>
        <v>4.1984852428694763E-2</v>
      </c>
      <c r="F17" s="63" cm="1">
        <f t="array" ref="F17">PRODUCT(1 + 預測IC!$C24:E24) -1</f>
        <v>-0.25447286049146223</v>
      </c>
      <c r="G17" s="63" cm="1">
        <f t="array" ref="G17">PRODUCT(1 + 預測IC!$C24:F24) -1</f>
        <v>-0.42382646750761388</v>
      </c>
      <c r="H17" s="63" cm="1">
        <f t="array" ref="H17">PRODUCT(1 + 預測IC!$C24:G24) -1</f>
        <v>-0.29374951752696976</v>
      </c>
      <c r="I17" s="63" cm="1">
        <f t="array" ref="I17">PRODUCT(1 + 預測IC!$C24:H24) -1</f>
        <v>-0.54151785941676156</v>
      </c>
      <c r="J17" s="63" cm="1">
        <f t="array" ref="J17">PRODUCT(1 + 預測IC!$C24:I24) -1</f>
        <v>-0.54248614307250764</v>
      </c>
      <c r="K17" s="63" cm="1">
        <f t="array" ref="K17">PRODUCT(1 + 預測IC!$C24:J24) -1</f>
        <v>-0.58822480663632337</v>
      </c>
      <c r="L17" s="63" cm="1">
        <f t="array" ref="L17">PRODUCT(1 + 預測IC!$C24:K24) -1</f>
        <v>-0.56609889154325144</v>
      </c>
      <c r="M17" s="63" cm="1">
        <f t="array" ref="M17">PRODUCT(1 + 預測IC!$C24:L24) -1</f>
        <v>-0.52460785715329694</v>
      </c>
      <c r="N17" s="63" cm="1">
        <f t="array" ref="N17">PRODUCT(1 + 預測IC!$C24:M24) -1</f>
        <v>-0.74472751358764722</v>
      </c>
      <c r="O17" s="63" cm="1">
        <f t="array" ref="O17">PRODUCT(1 + 預測IC!$C24:N24) -1</f>
        <v>-0.70793497463565136</v>
      </c>
      <c r="P17" s="63" cm="1">
        <f t="array" ref="P17">PRODUCT(1 + 預測IC!$C24:O24) -1</f>
        <v>-0.63920938909523217</v>
      </c>
      <c r="Q17" s="63" cm="1">
        <f t="array" ref="Q17">PRODUCT(1 + 預測IC!$C24:P24) -1</f>
        <v>-0.63858295237515716</v>
      </c>
      <c r="R17" s="63" cm="1">
        <f t="array" ref="R17">PRODUCT(1 + 預測IC!$C24:Q24) -1</f>
        <v>-0.63961195571876317</v>
      </c>
      <c r="S17" s="63" cm="1">
        <f t="array" ref="S17">PRODUCT(1 + 預測IC!$C24:R24) -1</f>
        <v>-0.72815835065894241</v>
      </c>
      <c r="T17" s="63" cm="1">
        <f t="array" ref="T17">PRODUCT(1 + 預測IC!$C24:S24) -1</f>
        <v>-0.69013210786855506</v>
      </c>
      <c r="U17" s="63" cm="1">
        <f t="array" ref="U17">PRODUCT(1 + 預測IC!$C24:T24) -1</f>
        <v>-0.65180422476029476</v>
      </c>
      <c r="V17" s="63" cm="1">
        <f t="array" ref="V17">PRODUCT(1 + 預測IC!$C24:U24) -1</f>
        <v>-0.75133817725751462</v>
      </c>
      <c r="W17" s="63" cm="1">
        <f t="array" ref="W17">PRODUCT(1 + 預測IC!$C24:V24) -1</f>
        <v>-0.72680059878225478</v>
      </c>
      <c r="X17" s="63" cm="1">
        <f t="array" ref="X17">PRODUCT(1 + 預測IC!$C24:W24) -1</f>
        <v>-0.5913723810426319</v>
      </c>
      <c r="Y17" s="63" cm="1">
        <f t="array" ref="Y17">PRODUCT(1 + 預測IC!$C24:X24) -1</f>
        <v>-0.59100507529299495</v>
      </c>
      <c r="Z17" s="63" cm="1">
        <f t="array" ref="Z17">PRODUCT(1 + 預測IC!$C24:Y24) -1</f>
        <v>-0.64021431930985828</v>
      </c>
      <c r="AA17" s="63" cm="1">
        <f t="array" ref="AA17">PRODUCT(1 + 預測IC!$C24:Z24) -1</f>
        <v>-0.64899112863685338</v>
      </c>
      <c r="AB17" s="63" cm="1">
        <f t="array" ref="AB17">PRODUCT(1 + 預測IC!$C24:AA24) -1</f>
        <v>-0.64423574179829191</v>
      </c>
      <c r="AC17" s="63" cm="1">
        <f t="array" ref="AC17">PRODUCT(1 + 預測IC!$C24:AB24) -1</f>
        <v>-0.57474088583983218</v>
      </c>
      <c r="AD17" s="63" cm="1">
        <f t="array" ref="AD17">PRODUCT(1 + 預測IC!$C24:AC24) -1</f>
        <v>-0.52142173617798082</v>
      </c>
      <c r="AE17" s="63" cm="1">
        <f t="array" ref="AE17">PRODUCT(1 + 預測IC!$C24:AD24) -1</f>
        <v>-0.47300143711802511</v>
      </c>
      <c r="AF17" s="63" cm="1">
        <f t="array" ref="AF17">PRODUCT(1 + 預測IC!$C24:AE24) -1</f>
        <v>-0.7582436891630131</v>
      </c>
      <c r="AG17" s="63" cm="1">
        <f t="array" ref="AG17">PRODUCT(1 + 預測IC!$C24:AF24) -1</f>
        <v>-0.79830362362210616</v>
      </c>
      <c r="AH17" s="63" cm="1">
        <f t="array" ref="AH17">PRODUCT(1 + 預測IC!$C24:AG24) -1</f>
        <v>-0.77032113210262654</v>
      </c>
      <c r="AI17" s="63" cm="1">
        <f t="array" ref="AI17">PRODUCT(1 + 預測IC!$C24:AH24) -1</f>
        <v>-0.78334331757576625</v>
      </c>
      <c r="AJ17" s="63" cm="1">
        <f t="array" ref="AJ17">PRODUCT(1 + 預測IC!$C24:AI24) -1</f>
        <v>-0.78525170136924571</v>
      </c>
      <c r="AK17" s="63" cm="1">
        <f t="array" ref="AK17">PRODUCT(1 + 預測IC!$C24:AJ24) -1</f>
        <v>-0.80262295839223674</v>
      </c>
      <c r="AL17" s="63" cm="1">
        <f t="array" ref="AL17">PRODUCT(1 + 預測IC!$C24:AK24) -1</f>
        <v>-0.80233854259917203</v>
      </c>
      <c r="AM17" s="63" cm="1">
        <f t="array" ref="AM17">PRODUCT(1 + 預測IC!$C24:AL24) -1</f>
        <v>-0.81956942348006834</v>
      </c>
      <c r="AN17" s="63" cm="1">
        <f t="array" ref="AN17">PRODUCT(1 + 預測IC!$C24:AM24) -1</f>
        <v>-0.82298304033411684</v>
      </c>
      <c r="AO17" s="63" cm="1">
        <f t="array" ref="AO17">PRODUCT(1 + 預測IC!$C24:AN24) -1</f>
        <v>-0.78382875370394978</v>
      </c>
      <c r="AP17" s="63" cm="1">
        <f t="array" ref="AP17">PRODUCT(1 + 預測IC!$C24:AO24) -1</f>
        <v>-0.76954197186203166</v>
      </c>
      <c r="AQ17" s="63" cm="1">
        <f t="array" ref="AQ17">PRODUCT(1 + 預測IC!$C24:AP24) -1</f>
        <v>-0.77480833315321862</v>
      </c>
      <c r="AR17" s="63" cm="1">
        <f t="array" ref="AR17">PRODUCT(1 + 預測IC!$C24:AQ24) -1</f>
        <v>-0.76420699117057422</v>
      </c>
      <c r="AS17" s="63" cm="1">
        <f t="array" ref="AS17">PRODUCT(1 + 預測IC!$C24:AR24) -1</f>
        <v>-0.76193412185218767</v>
      </c>
      <c r="AT17" s="63" cm="1">
        <f t="array" ref="AT17">PRODUCT(1 + 預測IC!$C24:AS24) -1</f>
        <v>-0.76858950993622654</v>
      </c>
      <c r="AU17" s="63" cm="1">
        <f t="array" ref="AU17">PRODUCT(1 + 預測IC!$C24:AT24) -1</f>
        <v>-0.76154092980523602</v>
      </c>
      <c r="AV17" s="63" cm="1">
        <f t="array" ref="AV17">PRODUCT(1 + 預測IC!$C24:AU24) -1</f>
        <v>-0.75102600083023385</v>
      </c>
      <c r="AW17" s="63" cm="1">
        <f t="array" ref="AW17">PRODUCT(1 + 預測IC!$C24:AV24) -1</f>
        <v>-0.77272457090165758</v>
      </c>
      <c r="AX17" s="63" cm="1">
        <f t="array" ref="AX17">PRODUCT(1 + 預測IC!$C24:AW24) -1</f>
        <v>-0.77159102526459034</v>
      </c>
      <c r="AY17" s="63" cm="1">
        <f t="array" ref="AY17">PRODUCT(1 + 預測IC!$C24:AX24) -1</f>
        <v>-0.77805641232192158</v>
      </c>
      <c r="AZ17" s="63" cm="1">
        <f t="array" ref="AZ17">PRODUCT(1 + 預測IC!$C24:AY24) -1</f>
        <v>-0.74074163753050259</v>
      </c>
      <c r="BA17" s="63" cm="1">
        <f t="array" ref="BA17">PRODUCT(1 + 預測IC!$C24:AZ24) -1</f>
        <v>-0.73092428203754145</v>
      </c>
      <c r="BB17" s="63" cm="1">
        <f t="array" ref="BB17">PRODUCT(1 + 預測IC!$C24:BA24) -1</f>
        <v>-0.74539913819581227</v>
      </c>
      <c r="BC17" s="63" cm="1">
        <f t="array" ref="BC17">PRODUCT(1 + 預測IC!$C24:BB24) -1</f>
        <v>-0.56952683799218562</v>
      </c>
      <c r="BD17" s="63" cm="1">
        <f t="array" ref="BD17">PRODUCT(1 + 預測IC!$C24:BC24) -1</f>
        <v>-0.82756176717965335</v>
      </c>
      <c r="BE17" s="63" cm="1">
        <f t="array" ref="BE17">PRODUCT(1 + 預測IC!$C24:BD24) -1</f>
        <v>-0.79555805555289327</v>
      </c>
      <c r="BF17" s="63" cm="1">
        <f t="array" ref="BF17">PRODUCT(1 + 預測IC!$C24:BE24) -1</f>
        <v>-0.81684682478594772</v>
      </c>
      <c r="BG17" s="63" cm="1">
        <f t="array" ref="BG17">PRODUCT(1 + 預測IC!$C24:BF24) -1</f>
        <v>-0.80079320427588685</v>
      </c>
      <c r="BH17" s="63" cm="1">
        <f t="array" ref="BH17">PRODUCT(1 + 預測IC!$C24:BG24) -1</f>
        <v>-0.78266852781285556</v>
      </c>
      <c r="BI17" s="63" cm="1">
        <f t="array" ref="BI17">PRODUCT(1 + 預測IC!$C24:BH24) -1</f>
        <v>-0.86661396882441555</v>
      </c>
      <c r="BJ17" s="63" cm="1">
        <f t="array" ref="BJ17">PRODUCT(1 + 預測IC!$C24:BI24) -1</f>
        <v>-0.8964429677384429</v>
      </c>
      <c r="BK17" s="63" cm="1">
        <f t="array" ref="BK17">PRODUCT(1 + 預測IC!$C24:BJ24) -1</f>
        <v>-0.89678970938109337</v>
      </c>
      <c r="BL17" s="63" cm="1">
        <f t="array" ref="BL17">PRODUCT(1 + 預測IC!$C24:BK24) -1</f>
        <v>-0.89637443793681537</v>
      </c>
      <c r="BM17" s="63" cm="1">
        <f t="array" ref="BM17">PRODUCT(1 + 預測IC!$C24:BL24) -1</f>
        <v>-0.86350810971249348</v>
      </c>
      <c r="BN17" s="63" cm="1">
        <f t="array" ref="BN17">PRODUCT(1 + 預測IC!$C24:BM24) -1</f>
        <v>-0.86194213564580879</v>
      </c>
      <c r="BO17" s="63" cm="1">
        <f t="array" ref="BO17">PRODUCT(1 + 預測IC!$C24:BN24) -1</f>
        <v>-0.87697846776496347</v>
      </c>
      <c r="BP17" s="63" cm="1">
        <f t="array" ref="BP17">PRODUCT(1 + 預測IC!$C24:BO24) -1</f>
        <v>-0.85715850670846416</v>
      </c>
      <c r="BQ17" s="63" cm="1">
        <f t="array" ref="BQ17">PRODUCT(1 + 預測IC!$C24:BP24) -1</f>
        <v>-0.83953883979667709</v>
      </c>
      <c r="BR17" s="63" cm="1">
        <f t="array" ref="BR17">PRODUCT(1 + 預測IC!$C24:BQ24) -1</f>
        <v>-0.8498355736106491</v>
      </c>
      <c r="BS17" s="63" cm="1">
        <f t="array" ref="BS17">PRODUCT(1 + 預測IC!$C24:BR24) -1</f>
        <v>-0.84347517563427221</v>
      </c>
      <c r="BT17" s="63" cm="1">
        <f t="array" ref="BT17">PRODUCT(1 + 預測IC!$C24:BS24) -1</f>
        <v>-0.84367626581288635</v>
      </c>
      <c r="BU17" s="63" cm="1">
        <f t="array" ref="BU17">PRODUCT(1 + 預測IC!$C24:BT24) -1</f>
        <v>-0.80041851588926483</v>
      </c>
      <c r="BV17" s="63" cm="1">
        <f t="array" ref="BV17">PRODUCT(1 + 預測IC!$C24:BU24) -1</f>
        <v>-0.75484874790052681</v>
      </c>
      <c r="BW17" s="63" cm="1">
        <f t="array" ref="BW17">PRODUCT(1 + 預測IC!$C24:BV24) -1</f>
        <v>-0.72843898254314743</v>
      </c>
      <c r="BX17" s="63" cm="1">
        <f t="array" ref="BX17">PRODUCT(1 + 預測IC!$C24:BW24) -1</f>
        <v>-1.0296034286544238</v>
      </c>
      <c r="BY17" s="63" cm="1">
        <f t="array" ref="BY17">PRODUCT(1 + 預測IC!$C24:BX24) -1</f>
        <v>-1.0326808540881642</v>
      </c>
      <c r="BZ17" s="63" cm="1">
        <f t="array" ref="BZ17">PRODUCT(1 + 預測IC!$C24:BY24) -1</f>
        <v>-1.0231923970416594</v>
      </c>
      <c r="CA17" s="63" cm="1">
        <f t="array" ref="CA17">PRODUCT(1 + 預測IC!$C24:BZ24) -1</f>
        <v>-1.0291967439430547</v>
      </c>
      <c r="CB17" s="63" cm="1">
        <f t="array" ref="CB17">PRODUCT(1 + 預測IC!$C24:CA24) -1</f>
        <v>-1.0258326460328249</v>
      </c>
      <c r="CC17" s="63" cm="1">
        <f t="array" ref="CC17">PRODUCT(1 + 預測IC!$C24:CB24) -1</f>
        <v>-1.0312255202197171</v>
      </c>
      <c r="CD17" s="63" cm="1">
        <f t="array" ref="CD17">PRODUCT(1 + 預測IC!$C24:CC24) -1</f>
        <v>-1.0380898635879467</v>
      </c>
      <c r="CE17" s="63" cm="1">
        <f t="array" ref="CE17">PRODUCT(1 + 預測IC!$C24:CD24) -1</f>
        <v>-1.0393236806327752</v>
      </c>
      <c r="CF17" s="63" cm="1">
        <f t="array" ref="CF17">PRODUCT(1 + 預測IC!$C24:CE24) -1</f>
        <v>-1.0458343008616076</v>
      </c>
      <c r="CG17" s="63" cm="1">
        <f t="array" ref="CG17">PRODUCT(1 + 預測IC!$C24:CF24) -1</f>
        <v>-1.0534029809771246</v>
      </c>
      <c r="CH17" s="63" cm="1">
        <f t="array" ref="CH17">PRODUCT(1 + 預測IC!$C24:CG24) -1</f>
        <v>-1.0361101356035187</v>
      </c>
      <c r="CI17" s="63" cm="1">
        <f t="array" ref="CI17">PRODUCT(1 + 預測IC!$C24:CH24) -1</f>
        <v>-1.0284196558813476</v>
      </c>
      <c r="CJ17" s="63" cm="1">
        <f t="array" ref="CJ17">PRODUCT(1 + 預測IC!$C24:CI24) -1</f>
        <v>-1.0267568741865329</v>
      </c>
      <c r="CK17" s="63" cm="1">
        <f t="array" ref="CK17">PRODUCT(1 + 預測IC!$C24:CJ24) -1</f>
        <v>-1.0271076430385504</v>
      </c>
      <c r="CL17" s="63" cm="1">
        <f t="array" ref="CL17">PRODUCT(1 + 預測IC!$C24:CK24) -1</f>
        <v>-1.0296430230420077</v>
      </c>
      <c r="CM17" s="63" cm="1">
        <f t="array" ref="CM17">PRODUCT(1 + 預測IC!$C24:CL24) -1</f>
        <v>-1.0636915932021811</v>
      </c>
      <c r="CN17" s="63" cm="1">
        <f t="array" ref="CN17">PRODUCT(1 + 預測IC!$C24:CM24) -1</f>
        <v>-1.0986956718388583</v>
      </c>
      <c r="CO17" s="63" cm="1">
        <f t="array" ref="CO17">PRODUCT(1 + 預測IC!$C24:CN24) -1</f>
        <v>-1.1093290217774427</v>
      </c>
      <c r="CP17" s="63" cm="1">
        <f t="array" ref="CP17">PRODUCT(1 + 預測IC!$C24:CO24) -1</f>
        <v>-1.0244182851564398</v>
      </c>
      <c r="CQ17" s="63" cm="1">
        <f t="array" ref="CQ17">PRODUCT(1 + 預測IC!$C24:CP24) -1</f>
        <v>-1.0195818202326918</v>
      </c>
      <c r="CR17" s="63" cm="1">
        <f t="array" ref="CR17">PRODUCT(1 + 預測IC!$C24:CQ24) -1</f>
        <v>-1.0218276038542784</v>
      </c>
      <c r="CS17" s="63" cm="1">
        <f t="array" ref="CS17">PRODUCT(1 + 預測IC!$C24:CR24) -1</f>
        <v>-1.0239409067784513</v>
      </c>
      <c r="CT17" s="63" cm="1">
        <f t="array" ref="CT17">PRODUCT(1 + 預測IC!$C24:CS24) -1</f>
        <v>-1.0218844970185466</v>
      </c>
      <c r="CU17" s="63" cm="1">
        <f t="array" ref="CU17">PRODUCT(1 + 預測IC!$C24:CT24) -1</f>
        <v>-1.0239945785148796</v>
      </c>
      <c r="CV17" s="63" cm="1">
        <f t="array" ref="CV17">PRODUCT(1 + 預測IC!$C24:CU24) -1</f>
        <v>-1.0222489405914674</v>
      </c>
      <c r="CW17" s="63" cm="1">
        <f t="array" ref="CW17">PRODUCT(1 + 預測IC!$C24:CV24) -1</f>
        <v>-1.0302914942077268</v>
      </c>
      <c r="CX17" s="63" cm="1">
        <f t="array" ref="CX17">PRODUCT(1 + 預測IC!$C24:CW24) -1</f>
        <v>-1.0302433870072381</v>
      </c>
      <c r="CY17" s="63" cm="1">
        <f t="array" ref="CY17">PRODUCT(1 + 預測IC!$C24:CX24) -1</f>
        <v>-1.031839187150972</v>
      </c>
      <c r="CZ17" s="63" cm="1">
        <f t="array" ref="CZ17">PRODUCT(1 + 預測IC!$C24:CY24) -1</f>
        <v>-1.0216141037653477</v>
      </c>
      <c r="DA17" s="63" cm="1">
        <f t="array" ref="DA17">PRODUCT(1 + 預測IC!$C24:CZ24) -1</f>
        <v>-1.0285865948481907</v>
      </c>
      <c r="DB17" s="63" cm="1">
        <f t="array" ref="DB17">PRODUCT(1 + 預測IC!$C24:DA24) -1</f>
        <v>-1.0292872867108327</v>
      </c>
      <c r="DC17" s="63" cm="1">
        <f t="array" ref="DC17">PRODUCT(1 + 預測IC!$C24:DB24) -1</f>
        <v>-1.0288039918344494</v>
      </c>
      <c r="DD17" s="63" cm="1">
        <f t="array" ref="DD17">PRODUCT(1 + 預測IC!$C24:DC24) -1</f>
        <v>-1.034405031691809</v>
      </c>
      <c r="DE17" s="63" cm="1">
        <f t="array" ref="DE17">PRODUCT(1 + 預測IC!$C24:DD24) -1</f>
        <v>-1.0361011919329459</v>
      </c>
      <c r="DF17" s="63" cm="1">
        <f t="array" ref="DF17">PRODUCT(1 + 預測IC!$C24:DE24) -1</f>
        <v>-1.0297451165318505</v>
      </c>
      <c r="DG17" s="63" cm="1">
        <f t="array" ref="DG17">PRODUCT(1 + 預測IC!$C24:DF24) -1</f>
        <v>-1.0266318446233156</v>
      </c>
      <c r="DH17" s="63" cm="1">
        <f t="array" ref="DH17">PRODUCT(1 + 預測IC!$C24:DG24) -1</f>
        <v>-1.0298155561161737</v>
      </c>
      <c r="DI17" s="63" cm="1">
        <f t="array" ref="DI17">PRODUCT(1 + 預測IC!$C24:DH24) -1</f>
        <v>-1.0327782378993644</v>
      </c>
      <c r="DJ17" s="63" cm="1">
        <f t="array" ref="DJ17">PRODUCT(1 + 預測IC!$C24:DI24) -1</f>
        <v>-1.0374286654445244</v>
      </c>
      <c r="DK17" s="63" cm="1">
        <f t="array" ref="DK17">PRODUCT(1 + 預測IC!$C24:DJ24) -1</f>
        <v>-1.0324697935665641</v>
      </c>
      <c r="DL17" s="63" cm="1">
        <f t="array" ref="DL17">PRODUCT(1 + 預測IC!$C24:DK24) -1</f>
        <v>-1.0434935875496818</v>
      </c>
      <c r="DM17" s="63" cm="1">
        <f t="array" ref="DM17">PRODUCT(1 + 預測IC!$C24:DL24) -1</f>
        <v>-1.0421127227599483</v>
      </c>
      <c r="DN17" s="63" cm="1">
        <f t="array" ref="DN17">PRODUCT(1 + 預測IC!$C24:DM24) -1</f>
        <v>-1.0361563191625447</v>
      </c>
      <c r="DO17" s="63" cm="1">
        <f t="array" ref="DO17">PRODUCT(1 + 預測IC!$C24:DN24) -1</f>
        <v>-1.04459283837513</v>
      </c>
      <c r="DP17" s="63" cm="1">
        <f t="array" ref="DP17">PRODUCT(1 + 預測IC!$C24:DO24) -1</f>
        <v>-1.0497483035997248</v>
      </c>
      <c r="DQ17" s="63" cm="1">
        <f t="array" ref="DQ17">PRODUCT(1 + 預測IC!$C24:DP24) -1</f>
        <v>-1.0554381874945435</v>
      </c>
      <c r="DR17" s="63" cm="1">
        <f t="array" ref="DR17">PRODUCT(1 + 預測IC!$C24:DQ24) -1</f>
        <v>-1.048066164164196</v>
      </c>
      <c r="DS17" s="63" cm="1">
        <f t="array" ref="DS17">PRODUCT(1 + 預測IC!$C24:DR24) -1</f>
        <v>-1.0470800565144927</v>
      </c>
      <c r="DT17" s="63" cm="1">
        <f t="array" ref="DT17">PRODUCT(1 + 預測IC!$C24:DS24) -1</f>
        <v>-1.0439086240553201</v>
      </c>
      <c r="DU17" s="63" cm="1">
        <f t="array" ref="DU17">PRODUCT(1 + 預測IC!$C24:DT24) -1</f>
        <v>-1.0422241633869713</v>
      </c>
      <c r="DV17" s="63" cm="1">
        <f t="array" ref="DV17">PRODUCT(1 + 預測IC!$C24:DU24) -1</f>
        <v>-1.0402126638943996</v>
      </c>
      <c r="DW17" s="63" cm="1">
        <f t="array" ref="DW17">PRODUCT(1 + 預測IC!$C24:DV24) -1</f>
        <v>-1.0465753005207561</v>
      </c>
      <c r="DX17" s="63" cm="1">
        <f t="array" ref="DX17">PRODUCT(1 + 預測IC!$C24:DW24) -1</f>
        <v>-1.0516453521962597</v>
      </c>
      <c r="DY17" s="63" cm="1">
        <f t="array" ref="DY17">PRODUCT(1 + 預測IC!$C24:DX24) -1</f>
        <v>-1.0355530153694816</v>
      </c>
      <c r="DZ17" s="63" cm="1">
        <f t="array" ref="DZ17">PRODUCT(1 + 預測IC!$C24:DY24) -1</f>
        <v>-1.0233297362768512</v>
      </c>
      <c r="EA17" s="63" cm="1">
        <f t="array" ref="EA17">PRODUCT(1 + 預測IC!$C24:DZ24) -1</f>
        <v>-1.0221523035612783</v>
      </c>
      <c r="EB17" s="63" cm="1">
        <f t="array" ref="EB17">PRODUCT(1 + 預測IC!$C24:EA24) -1</f>
        <v>-1.023865804671203</v>
      </c>
      <c r="EC17" s="63" cm="1">
        <f t="array" ref="EC17">PRODUCT(1 + 預測IC!$C24:EB24) -1</f>
        <v>-1.0212589721252783</v>
      </c>
      <c r="ED17" s="63" cm="1">
        <f t="array" ref="ED17">PRODUCT(1 + 預測IC!$C24:EC24) -1</f>
        <v>-1.0209547579610174</v>
      </c>
      <c r="EE17" s="63" cm="1">
        <f t="array" ref="EE17">PRODUCT(1 + 預測IC!$C24:ED24) -1</f>
        <v>-1.0197776695838086</v>
      </c>
      <c r="EF17" s="63" cm="1">
        <f t="array" ref="EF17">PRODUCT(1 + 預測IC!$C24:EE24) -1</f>
        <v>-1.0219033865092415</v>
      </c>
      <c r="EG17" s="63" cm="1">
        <f t="array" ref="EG17">PRODUCT(1 + 預測IC!$C24:EF24) -1</f>
        <v>-1.023376973569593</v>
      </c>
    </row>
    <row r="18" spans="1:138" ht="16">
      <c r="C18" s="64" t="s">
        <v>145</v>
      </c>
      <c r="D18" s="65" cm="1">
        <f t="array" ref="D18">PRODUCT(1 + 預測IC!$C25:C25) -1</f>
        <v>-1.7446770539390366E-2</v>
      </c>
      <c r="E18" s="65" cm="1">
        <f t="array" ref="E18">PRODUCT(1 + 預測IC!$C25:D25) -1</f>
        <v>2.893123339404724E-3</v>
      </c>
      <c r="F18" s="65" cm="1">
        <f t="array" ref="F18">PRODUCT(1 + 預測IC!$C25:E25) -1</f>
        <v>2.6944635852046872E-2</v>
      </c>
      <c r="G18" s="65" cm="1">
        <f t="array" ref="G18">PRODUCT(1 + 預測IC!$C25:F25) -1</f>
        <v>2.0210365301730038E-2</v>
      </c>
      <c r="H18" s="65" cm="1">
        <f t="array" ref="H18">PRODUCT(1 + 預測IC!$C25:G25) -1</f>
        <v>5.269909680859941E-2</v>
      </c>
      <c r="I18" s="65" cm="1">
        <f t="array" ref="I18">PRODUCT(1 + 預測IC!$C25:H25) -1</f>
        <v>8.8857766197530053E-2</v>
      </c>
      <c r="J18" s="65" cm="1">
        <f t="array" ref="J18">PRODUCT(1 + 預測IC!$C25:I25) -1</f>
        <v>7.9869318529145472E-2</v>
      </c>
      <c r="K18" s="65" cm="1">
        <f t="array" ref="K18">PRODUCT(1 + 預測IC!$C25:J25) -1</f>
        <v>9.3738646464063713E-2</v>
      </c>
      <c r="L18" s="65" cm="1">
        <f t="array" ref="L18">PRODUCT(1 + 預測IC!$C25:K25) -1</f>
        <v>3.7937714394164157E-2</v>
      </c>
      <c r="M18" s="65" cm="1">
        <f t="array" ref="M18">PRODUCT(1 + 預測IC!$C25:L25) -1</f>
        <v>3.8844812525307137E-2</v>
      </c>
      <c r="N18" s="65" cm="1">
        <f t="array" ref="N18">PRODUCT(1 + 預測IC!$C25:M25) -1</f>
        <v>6.3142951706360639E-2</v>
      </c>
      <c r="O18" s="65" cm="1">
        <f t="array" ref="O18">PRODUCT(1 + 預測IC!$C25:N25) -1</f>
        <v>7.6952085951054405E-2</v>
      </c>
      <c r="P18" s="65" cm="1">
        <f t="array" ref="P18">PRODUCT(1 + 預測IC!$C25:O25) -1</f>
        <v>8.3257197491512391E-2</v>
      </c>
      <c r="Q18" s="65" cm="1">
        <f t="array" ref="Q18">PRODUCT(1 + 預測IC!$C25:P25) -1</f>
        <v>0.11295275081672607</v>
      </c>
      <c r="R18" s="65" cm="1">
        <f t="array" ref="R18">PRODUCT(1 + 預測IC!$C25:Q25) -1</f>
        <v>0.10882042835093308</v>
      </c>
      <c r="S18" s="65" cm="1">
        <f t="array" ref="S18">PRODUCT(1 + 預測IC!$C25:R25) -1</f>
        <v>0.13551706985268064</v>
      </c>
      <c r="T18" s="65" cm="1">
        <f t="array" ref="T18">PRODUCT(1 + 預測IC!$C25:S25) -1</f>
        <v>0.12167508804368476</v>
      </c>
      <c r="U18" s="65" cm="1">
        <f t="array" ref="U18">PRODUCT(1 + 預測IC!$C25:T25) -1</f>
        <v>7.7088976461827885E-2</v>
      </c>
      <c r="V18" s="65" cm="1">
        <f t="array" ref="V18">PRODUCT(1 + 預測IC!$C25:U25) -1</f>
        <v>-1.7059521199481731E-3</v>
      </c>
      <c r="W18" s="65" cm="1">
        <f t="array" ref="W18">PRODUCT(1 + 預測IC!$C25:V25) -1</f>
        <v>-5.9866792867339091E-2</v>
      </c>
      <c r="X18" s="65" cm="1">
        <f t="array" ref="X18">PRODUCT(1 + 預測IC!$C25:W25) -1</f>
        <v>-5.9140260213613516E-2</v>
      </c>
      <c r="Y18" s="65" cm="1">
        <f t="array" ref="Y18">PRODUCT(1 + 預測IC!$C25:X25) -1</f>
        <v>-1.7185893241652206E-2</v>
      </c>
      <c r="Z18" s="65" cm="1">
        <f t="array" ref="Z18">PRODUCT(1 + 預測IC!$C25:Y25) -1</f>
        <v>-4.4409529547694393E-2</v>
      </c>
      <c r="AA18" s="65" cm="1">
        <f t="array" ref="AA18">PRODUCT(1 + 預測IC!$C25:Z25) -1</f>
        <v>-4.2407561826578566E-2</v>
      </c>
      <c r="AB18" s="65" cm="1">
        <f t="array" ref="AB18">PRODUCT(1 + 預測IC!$C25:AA25) -1</f>
        <v>-6.481575250614946E-2</v>
      </c>
      <c r="AC18" s="65" cm="1">
        <f t="array" ref="AC18">PRODUCT(1 + 預測IC!$C25:AB25) -1</f>
        <v>-3.4768870774049443E-2</v>
      </c>
      <c r="AD18" s="65" cm="1">
        <f t="array" ref="AD18">PRODUCT(1 + 預測IC!$C25:AC25) -1</f>
        <v>2.7817794451217015E-3</v>
      </c>
      <c r="AE18" s="65" cm="1">
        <f t="array" ref="AE18">PRODUCT(1 + 預測IC!$C25:AD25) -1</f>
        <v>-4.0202844765013457E-2</v>
      </c>
      <c r="AF18" s="65" cm="1">
        <f t="array" ref="AF18">PRODUCT(1 + 預測IC!$C25:AE25) -1</f>
        <v>-2.2305320482664204E-2</v>
      </c>
      <c r="AG18" s="65" cm="1">
        <f t="array" ref="AG18">PRODUCT(1 + 預測IC!$C25:AF25) -1</f>
        <v>-7.4152570234460313E-3</v>
      </c>
      <c r="AH18" s="65" cm="1">
        <f t="array" ref="AH18">PRODUCT(1 + 預測IC!$C25:AG25) -1</f>
        <v>2.8334274381314417E-2</v>
      </c>
      <c r="AI18" s="65" cm="1">
        <f t="array" ref="AI18">PRODUCT(1 + 預測IC!$C25:AH25) -1</f>
        <v>3.7953941892352683E-2</v>
      </c>
      <c r="AJ18" s="65" cm="1">
        <f t="array" ref="AJ18">PRODUCT(1 + 預測IC!$C25:AI25) -1</f>
        <v>4.9110131735873752E-2</v>
      </c>
      <c r="AK18" s="65" cm="1">
        <f t="array" ref="AK18">PRODUCT(1 + 預測IC!$C25:AJ25) -1</f>
        <v>6.3123886850196875E-2</v>
      </c>
      <c r="AL18" s="65" cm="1">
        <f t="array" ref="AL18">PRODUCT(1 + 預測IC!$C25:AK25) -1</f>
        <v>5.7454515782098925E-2</v>
      </c>
      <c r="AM18" s="65" cm="1">
        <f t="array" ref="AM18">PRODUCT(1 + 預測IC!$C25:AL25) -1</f>
        <v>5.8917118987427575E-2</v>
      </c>
      <c r="AN18" s="65" cm="1">
        <f t="array" ref="AN18">PRODUCT(1 + 預測IC!$C25:AM25) -1</f>
        <v>8.0938283596681648E-2</v>
      </c>
      <c r="AO18" s="65" cm="1">
        <f t="array" ref="AO18">PRODUCT(1 + 預測IC!$C25:AN25) -1</f>
        <v>0.11500697453770203</v>
      </c>
      <c r="AP18" s="65" cm="1">
        <f t="array" ref="AP18">PRODUCT(1 + 預測IC!$C25:AO25) -1</f>
        <v>0.12196653200545171</v>
      </c>
      <c r="AQ18" s="65" cm="1">
        <f t="array" ref="AQ18">PRODUCT(1 + 預測IC!$C25:AP25) -1</f>
        <v>0.12886130991117528</v>
      </c>
      <c r="AR18" s="65" cm="1">
        <f t="array" ref="AR18">PRODUCT(1 + 預測IC!$C25:AQ25) -1</f>
        <v>0.14799139743631429</v>
      </c>
      <c r="AS18" s="65" cm="1">
        <f t="array" ref="AS18">PRODUCT(1 + 預測IC!$C25:AR25) -1</f>
        <v>0.18780698843660248</v>
      </c>
      <c r="AT18" s="65" cm="1">
        <f t="array" ref="AT18">PRODUCT(1 + 預測IC!$C25:AS25) -1</f>
        <v>0.19148751365039929</v>
      </c>
      <c r="AU18" s="65" cm="1">
        <f t="array" ref="AU18">PRODUCT(1 + 預測IC!$C25:AT25) -1</f>
        <v>0.20945675046088996</v>
      </c>
      <c r="AV18" s="65" cm="1">
        <f t="array" ref="AV18">PRODUCT(1 + 預測IC!$C25:AU25) -1</f>
        <v>0.18617324550329584</v>
      </c>
      <c r="AW18" s="65" cm="1">
        <f t="array" ref="AW18">PRODUCT(1 + 預測IC!$C25:AV25) -1</f>
        <v>0.23209180697664689</v>
      </c>
      <c r="AX18" s="65" cm="1">
        <f t="array" ref="AX18">PRODUCT(1 + 預測IC!$C25:AW25) -1</f>
        <v>0.20516203655681697</v>
      </c>
      <c r="AY18" s="65" cm="1">
        <f t="array" ref="AY18">PRODUCT(1 + 預測IC!$C25:AX25) -1</f>
        <v>0.21453132863303215</v>
      </c>
      <c r="AZ18" s="65" cm="1">
        <f t="array" ref="AZ18">PRODUCT(1 + 預測IC!$C25:AY25) -1</f>
        <v>0.2660241129922889</v>
      </c>
      <c r="BA18" s="65" cm="1">
        <f t="array" ref="BA18">PRODUCT(1 + 預測IC!$C25:AZ25) -1</f>
        <v>0.23271631642995261</v>
      </c>
      <c r="BB18" s="65" cm="1">
        <f t="array" ref="BB18">PRODUCT(1 + 預測IC!$C25:BA25) -1</f>
        <v>0.24451556797958407</v>
      </c>
      <c r="BC18" s="65" cm="1">
        <f t="array" ref="BC18">PRODUCT(1 + 預測IC!$C25:BB25) -1</f>
        <v>0.21433638745422812</v>
      </c>
      <c r="BD18" s="65" cm="1">
        <f t="array" ref="BD18">PRODUCT(1 + 預測IC!$C25:BC25) -1</f>
        <v>0.23882150637103883</v>
      </c>
      <c r="BE18" s="65" cm="1">
        <f t="array" ref="BE18">PRODUCT(1 + 預測IC!$C25:BD25) -1</f>
        <v>0.23447943849994912</v>
      </c>
      <c r="BF18" s="65" cm="1">
        <f t="array" ref="BF18">PRODUCT(1 + 預測IC!$C25:BE25) -1</f>
        <v>0.25935658802508499</v>
      </c>
      <c r="BG18" s="65" cm="1">
        <f t="array" ref="BG18">PRODUCT(1 + 預測IC!$C25:BF25) -1</f>
        <v>0.26008869763716325</v>
      </c>
      <c r="BH18" s="65" cm="1">
        <f t="array" ref="BH18">PRODUCT(1 + 預測IC!$C25:BG25) -1</f>
        <v>0.2535114114609236</v>
      </c>
      <c r="BI18" s="65" cm="1">
        <f t="array" ref="BI18">PRODUCT(1 + 預測IC!$C25:BH25) -1</f>
        <v>0.10826483627727623</v>
      </c>
      <c r="BJ18" s="65" cm="1">
        <f t="array" ref="BJ18">PRODUCT(1 + 預測IC!$C25:BI25) -1</f>
        <v>0.11793469710078752</v>
      </c>
      <c r="BK18" s="65" cm="1">
        <f t="array" ref="BK18">PRODUCT(1 + 預測IC!$C25:BJ25) -1</f>
        <v>9.9625988810205346E-2</v>
      </c>
      <c r="BL18" s="65" cm="1">
        <f t="array" ref="BL18">PRODUCT(1 + 預測IC!$C25:BK25) -1</f>
        <v>0.12254260303831388</v>
      </c>
      <c r="BM18" s="65" cm="1">
        <f t="array" ref="BM18">PRODUCT(1 + 預測IC!$C25:BL25) -1</f>
        <v>0.17302993558173996</v>
      </c>
      <c r="BN18" s="65" cm="1">
        <f t="array" ref="BN18">PRODUCT(1 + 預測IC!$C25:BM25) -1</f>
        <v>0.20112905370185397</v>
      </c>
      <c r="BO18" s="65" cm="1">
        <f t="array" ref="BO18">PRODUCT(1 + 預測IC!$C25:BN25) -1</f>
        <v>0.23745011694095197</v>
      </c>
      <c r="BP18" s="65" cm="1">
        <f t="array" ref="BP18">PRODUCT(1 + 預測IC!$C25:BO25) -1</f>
        <v>0.18334151222801376</v>
      </c>
      <c r="BQ18" s="65" cm="1">
        <f t="array" ref="BQ18">PRODUCT(1 + 預測IC!$C25:BP25) -1</f>
        <v>0.20924423024871497</v>
      </c>
      <c r="BR18" s="65" cm="1">
        <f t="array" ref="BR18">PRODUCT(1 + 預測IC!$C25:BQ25) -1</f>
        <v>0.21967690051673561</v>
      </c>
      <c r="BS18" s="65" cm="1">
        <f t="array" ref="BS18">PRODUCT(1 + 預測IC!$C25:BR25) -1</f>
        <v>0.1962676978767699</v>
      </c>
      <c r="BT18" s="65" cm="1">
        <f t="array" ref="BT18">PRODUCT(1 + 預測IC!$C25:BS25) -1</f>
        <v>0.21987619627534571</v>
      </c>
      <c r="BU18" s="65" cm="1">
        <f t="array" ref="BU18">PRODUCT(1 + 預測IC!$C25:BT25) -1</f>
        <v>0.27805738326883356</v>
      </c>
      <c r="BV18" s="65" cm="1">
        <f t="array" ref="BV18">PRODUCT(1 + 預測IC!$C25:BU25) -1</f>
        <v>0.29269729646247922</v>
      </c>
      <c r="BW18" s="65" cm="1">
        <f t="array" ref="BW18">PRODUCT(1 + 預測IC!$C25:BV25) -1</f>
        <v>0.34857881761669129</v>
      </c>
      <c r="BX18" s="65" cm="1">
        <f t="array" ref="BX18">PRODUCT(1 + 預測IC!$C25:BW25) -1</f>
        <v>0.2909305384219143</v>
      </c>
      <c r="BY18" s="65" cm="1">
        <f t="array" ref="BY18">PRODUCT(1 + 預測IC!$C25:BX25) -1</f>
        <v>0.26793739709811137</v>
      </c>
      <c r="BZ18" s="65" cm="1">
        <f t="array" ref="BZ18">PRODUCT(1 + 預測IC!$C25:BY25) -1</f>
        <v>7.628473289061688E-2</v>
      </c>
      <c r="CA18" s="65" cm="1">
        <f t="array" ref="CA18">PRODUCT(1 + 預測IC!$C25:BZ25) -1</f>
        <v>0.20998513144491437</v>
      </c>
      <c r="CB18" s="65" cm="1">
        <f t="array" ref="CB18">PRODUCT(1 + 預測IC!$C25:CA25) -1</f>
        <v>0.20447092205281336</v>
      </c>
      <c r="CC18" s="65" cm="1">
        <f t="array" ref="CC18">PRODUCT(1 + 預測IC!$C25:CB25) -1</f>
        <v>0.27699361006036605</v>
      </c>
      <c r="CD18" s="65" cm="1">
        <f t="array" ref="CD18">PRODUCT(1 + 預測IC!$C25:CC25) -1</f>
        <v>0.38680488733361829</v>
      </c>
      <c r="CE18" s="65" cm="1">
        <f t="array" ref="CE18">PRODUCT(1 + 預測IC!$C25:CD25) -1</f>
        <v>0.37874965946081551</v>
      </c>
      <c r="CF18" s="65" cm="1">
        <f t="array" ref="CF18">PRODUCT(1 + 預測IC!$C25:CE25) -1</f>
        <v>0.37042015435709108</v>
      </c>
      <c r="CG18" s="65" cm="1">
        <f t="array" ref="CG18">PRODUCT(1 + 預測IC!$C25:CF25) -1</f>
        <v>0.37378086910184649</v>
      </c>
      <c r="CH18" s="65" cm="1">
        <f t="array" ref="CH18">PRODUCT(1 + 預測IC!$C25:CG25) -1</f>
        <v>0.49692143719092186</v>
      </c>
      <c r="CI18" s="65" cm="1">
        <f t="array" ref="CI18">PRODUCT(1 + 預測IC!$C25:CH25) -1</f>
        <v>0.603191980394987</v>
      </c>
      <c r="CJ18" s="65" cm="1">
        <f t="array" ref="CJ18">PRODUCT(1 + 預測IC!$C25:CI25) -1</f>
        <v>0.64675173719730239</v>
      </c>
      <c r="CK18" s="65" cm="1">
        <f t="array" ref="CK18">PRODUCT(1 + 預測IC!$C25:CJ25) -1</f>
        <v>0.73315421285472704</v>
      </c>
      <c r="CL18" s="65" cm="1">
        <f t="array" ref="CL18">PRODUCT(1 + 預測IC!$C25:CK25) -1</f>
        <v>0.7842487445659152</v>
      </c>
      <c r="CM18" s="65" cm="1">
        <f t="array" ref="CM18">PRODUCT(1 + 預測IC!$C25:CL25) -1</f>
        <v>0.90348131155309508</v>
      </c>
      <c r="CN18" s="65" cm="1">
        <f t="array" ref="CN18">PRODUCT(1 + 預測IC!$C25:CM25) -1</f>
        <v>0.8487139113221478</v>
      </c>
      <c r="CO18" s="65" cm="1">
        <f t="array" ref="CO18">PRODUCT(1 + 預測IC!$C25:CN25) -1</f>
        <v>0.92166881344527685</v>
      </c>
      <c r="CP18" s="65" cm="1">
        <f t="array" ref="CP18">PRODUCT(1 + 預測IC!$C25:CO25) -1</f>
        <v>0.86588067898046694</v>
      </c>
      <c r="CQ18" s="65" cm="1">
        <f t="array" ref="CQ18">PRODUCT(1 + 預測IC!$C25:CP25) -1</f>
        <v>0.89197293519067467</v>
      </c>
      <c r="CR18" s="65" cm="1">
        <f t="array" ref="CR18">PRODUCT(1 + 預測IC!$C25:CQ25) -1</f>
        <v>0.83090579105751727</v>
      </c>
      <c r="CS18" s="65" cm="1">
        <f t="array" ref="CS18">PRODUCT(1 + 預測IC!$C25:CR25) -1</f>
        <v>0.83658814745105547</v>
      </c>
      <c r="CT18" s="65" cm="1">
        <f t="array" ref="CT18">PRODUCT(1 + 預測IC!$C25:CS25) -1</f>
        <v>0.88358984642415717</v>
      </c>
      <c r="CU18" s="65" cm="1">
        <f t="array" ref="CU18">PRODUCT(1 + 預測IC!$C25:CT25) -1</f>
        <v>0.9672059526983301</v>
      </c>
      <c r="CV18" s="65" cm="1">
        <f t="array" ref="CV18">PRODUCT(1 + 預測IC!$C25:CU25) -1</f>
        <v>0.90752297284093331</v>
      </c>
      <c r="CW18" s="65" cm="1">
        <f t="array" ref="CW18">PRODUCT(1 + 預測IC!$C25:CV25) -1</f>
        <v>0.90512335385454468</v>
      </c>
      <c r="CX18" s="65" cm="1">
        <f t="array" ref="CX18">PRODUCT(1 + 預測IC!$C25:CW25) -1</f>
        <v>0.90957440110152876</v>
      </c>
      <c r="CY18" s="65" cm="1">
        <f t="array" ref="CY18">PRODUCT(1 + 預測IC!$C25:CX25) -1</f>
        <v>0.78685723504233995</v>
      </c>
      <c r="CZ18" s="65" cm="1">
        <f t="array" ref="CZ18">PRODUCT(1 + 預測IC!$C25:CY25) -1</f>
        <v>0.80992516787144164</v>
      </c>
      <c r="DA18" s="65" cm="1">
        <f t="array" ref="DA18">PRODUCT(1 + 預測IC!$C25:CZ25) -1</f>
        <v>0.58282101623526672</v>
      </c>
      <c r="DB18" s="65" cm="1">
        <f t="array" ref="DB18">PRODUCT(1 + 預測IC!$C25:DA25) -1</f>
        <v>0.60132527488651344</v>
      </c>
      <c r="DC18" s="65" cm="1">
        <f t="array" ref="DC18">PRODUCT(1 + 預測IC!$C25:DB25) -1</f>
        <v>0.61147422419279152</v>
      </c>
      <c r="DD18" s="65" cm="1">
        <f t="array" ref="DD18">PRODUCT(1 + 預測IC!$C25:DC25) -1</f>
        <v>0.42243966588262949</v>
      </c>
      <c r="DE18" s="65" cm="1">
        <f t="array" ref="DE18">PRODUCT(1 + 預測IC!$C25:DD25) -1</f>
        <v>0.37121637307647259</v>
      </c>
      <c r="DF18" s="65" cm="1">
        <f t="array" ref="DF18">PRODUCT(1 + 預測IC!$C25:DE25) -1</f>
        <v>0.5616938276257708</v>
      </c>
      <c r="DG18" s="65" cm="1">
        <f t="array" ref="DG18">PRODUCT(1 + 預測IC!$C25:DF25) -1</f>
        <v>0.48182332962932128</v>
      </c>
      <c r="DH18" s="65" cm="1">
        <f t="array" ref="DH18">PRODUCT(1 + 預測IC!$C25:DG25) -1</f>
        <v>0.59552577817978314</v>
      </c>
      <c r="DI18" s="65" cm="1">
        <f t="array" ref="DI18">PRODUCT(1 + 預測IC!$C25:DH25) -1</f>
        <v>0.62027043996328524</v>
      </c>
      <c r="DJ18" s="65" cm="1">
        <f t="array" ref="DJ18">PRODUCT(1 + 預測IC!$C25:DI25) -1</f>
        <v>0.65789923395288952</v>
      </c>
      <c r="DK18" s="65" cm="1">
        <f t="array" ref="DK18">PRODUCT(1 + 預測IC!$C25:DJ25) -1</f>
        <v>0.62743885630809859</v>
      </c>
      <c r="DL18" s="65" cm="1">
        <f t="array" ref="DL18">PRODUCT(1 + 預測IC!$C25:DK25) -1</f>
        <v>0.72866394865424411</v>
      </c>
      <c r="DM18" s="65" cm="1">
        <f t="array" ref="DM18">PRODUCT(1 + 預測IC!$C25:DL25) -1</f>
        <v>0.76340716304992284</v>
      </c>
      <c r="DN18" s="65" cm="1">
        <f t="array" ref="DN18">PRODUCT(1 + 預測IC!$C25:DM25) -1</f>
        <v>0.78721129009524526</v>
      </c>
      <c r="DO18" s="65" cm="1">
        <f t="array" ref="DO18">PRODUCT(1 + 預測IC!$C25:DN25) -1</f>
        <v>0.73314419395664854</v>
      </c>
      <c r="DP18" s="65" cm="1">
        <f t="array" ref="DP18">PRODUCT(1 + 預測IC!$C25:DO25) -1</f>
        <v>0.7036411650845571</v>
      </c>
      <c r="DQ18" s="65" cm="1">
        <f t="array" ref="DQ18">PRODUCT(1 + 預測IC!$C25:DP25) -1</f>
        <v>0.666521339911188</v>
      </c>
      <c r="DR18" s="65" cm="1">
        <f t="array" ref="DR18">PRODUCT(1 + 預測IC!$C25:DQ25) -1</f>
        <v>0.80941825308633253</v>
      </c>
      <c r="DS18" s="65" cm="1">
        <f t="array" ref="DS18">PRODUCT(1 + 預測IC!$C25:DR25) -1</f>
        <v>0.86027510799998974</v>
      </c>
      <c r="DT18" s="65" cm="1">
        <f t="array" ref="DT18">PRODUCT(1 + 預測IC!$C25:DS25) -1</f>
        <v>0.85599059714061299</v>
      </c>
      <c r="DU18" s="65" cm="1">
        <f t="array" ref="DU18">PRODUCT(1 + 預測IC!$C25:DT25) -1</f>
        <v>0.9645125910761998</v>
      </c>
      <c r="DV18" s="65" cm="1">
        <f t="array" ref="DV18">PRODUCT(1 + 預測IC!$C25:DU25) -1</f>
        <v>1.0974294483812512</v>
      </c>
      <c r="DW18" s="65" cm="1">
        <f t="array" ref="DW18">PRODUCT(1 + 預測IC!$C25:DV25) -1</f>
        <v>1.1079601605760616</v>
      </c>
      <c r="DX18" s="65" cm="1">
        <f t="array" ref="DX18">PRODUCT(1 + 預測IC!$C25:DW25) -1</f>
        <v>1.1868319851241949</v>
      </c>
      <c r="DY18" s="65" cm="1">
        <f t="array" ref="DY18">PRODUCT(1 + 預測IC!$C25:DX25) -1</f>
        <v>1.3707686184169408</v>
      </c>
      <c r="DZ18" s="65" cm="1">
        <f t="array" ref="DZ18">PRODUCT(1 + 預測IC!$C25:DY25) -1</f>
        <v>1.2834475238077694</v>
      </c>
      <c r="EA18" s="65" cm="1">
        <f t="array" ref="EA18">PRODUCT(1 + 預測IC!$C25:DZ25) -1</f>
        <v>1.2905072649494538</v>
      </c>
      <c r="EB18" s="65" cm="1">
        <f t="array" ref="EB18">PRODUCT(1 + 預測IC!$C25:EA25) -1</f>
        <v>1.2860233033025419</v>
      </c>
      <c r="EC18" s="65" cm="1">
        <f t="array" ref="EC18">PRODUCT(1 + 預測IC!$C25:EB25) -1</f>
        <v>1.3465094307246845</v>
      </c>
      <c r="ED18" s="65" cm="1">
        <f t="array" ref="ED18">PRODUCT(1 + 預測IC!$C25:EC25) -1</f>
        <v>1.2884273650883467</v>
      </c>
      <c r="EE18" s="65" cm="1">
        <f t="array" ref="EE18">PRODUCT(1 + 預測IC!$C25:ED25) -1</f>
        <v>1.3664981882262612</v>
      </c>
      <c r="EF18" s="65" cm="1">
        <f t="array" ref="EF18">PRODUCT(1 + 預測IC!$C25:EE25) -1</f>
        <v>1.4163413115117764</v>
      </c>
      <c r="EG18" s="65" cm="1">
        <f t="array" ref="EG18">PRODUCT(1 + 預測IC!$C25:EF25) -1</f>
        <v>1.367344209826507</v>
      </c>
    </row>
    <row r="22" spans="1:138" s="1" customFormat="1" ht="16">
      <c r="C22" s="6" t="s">
        <v>169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Q22" s="1" t="s">
        <v>16</v>
      </c>
      <c r="R22" s="1" t="s">
        <v>17</v>
      </c>
      <c r="S22" s="1" t="s">
        <v>18</v>
      </c>
      <c r="T22" s="1" t="s">
        <v>19</v>
      </c>
      <c r="U22" s="1" t="s">
        <v>20</v>
      </c>
      <c r="V22" s="1" t="s">
        <v>21</v>
      </c>
      <c r="W22" s="1" t="s">
        <v>22</v>
      </c>
      <c r="X22" s="1" t="s">
        <v>23</v>
      </c>
      <c r="Y22" s="1" t="s">
        <v>24</v>
      </c>
      <c r="Z22" s="1" t="s">
        <v>25</v>
      </c>
      <c r="AA22" s="1" t="s">
        <v>26</v>
      </c>
      <c r="AB22" s="1" t="s">
        <v>27</v>
      </c>
      <c r="AC22" s="1" t="s">
        <v>28</v>
      </c>
      <c r="AD22" s="1" t="s">
        <v>29</v>
      </c>
      <c r="AE22" s="1" t="s">
        <v>30</v>
      </c>
      <c r="AF22" s="1" t="s">
        <v>31</v>
      </c>
      <c r="AG22" s="1" t="s">
        <v>32</v>
      </c>
      <c r="AH22" s="1" t="s">
        <v>33</v>
      </c>
      <c r="AI22" s="1" t="s">
        <v>34</v>
      </c>
      <c r="AJ22" s="1" t="s">
        <v>35</v>
      </c>
      <c r="AK22" s="1" t="s">
        <v>36</v>
      </c>
      <c r="AL22" s="1" t="s">
        <v>37</v>
      </c>
      <c r="AM22" s="1" t="s">
        <v>38</v>
      </c>
      <c r="AN22" s="1" t="s">
        <v>39</v>
      </c>
      <c r="AO22" s="1" t="s">
        <v>40</v>
      </c>
      <c r="AP22" s="1" t="s">
        <v>41</v>
      </c>
      <c r="AQ22" s="1" t="s">
        <v>42</v>
      </c>
      <c r="AR22" s="1" t="s">
        <v>43</v>
      </c>
      <c r="AS22" s="1" t="s">
        <v>44</v>
      </c>
      <c r="AT22" s="1" t="s">
        <v>45</v>
      </c>
      <c r="AU22" s="1" t="s">
        <v>46</v>
      </c>
      <c r="AV22" s="1" t="s">
        <v>47</v>
      </c>
      <c r="AW22" s="1" t="s">
        <v>48</v>
      </c>
      <c r="AX22" s="1" t="s">
        <v>49</v>
      </c>
      <c r="AY22" s="1" t="s">
        <v>50</v>
      </c>
      <c r="AZ22" s="1" t="s">
        <v>51</v>
      </c>
      <c r="BA22" s="1" t="s">
        <v>52</v>
      </c>
      <c r="BB22" s="1" t="s">
        <v>53</v>
      </c>
      <c r="BC22" s="1" t="s">
        <v>54</v>
      </c>
      <c r="BD22" s="1" t="s">
        <v>55</v>
      </c>
      <c r="BE22" s="1" t="s">
        <v>56</v>
      </c>
      <c r="BF22" s="1" t="s">
        <v>57</v>
      </c>
      <c r="BG22" s="1" t="s">
        <v>58</v>
      </c>
      <c r="BH22" s="1" t="s">
        <v>59</v>
      </c>
      <c r="BI22" s="1" t="s">
        <v>60</v>
      </c>
      <c r="BJ22" s="1" t="s">
        <v>61</v>
      </c>
      <c r="BK22" s="1" t="s">
        <v>62</v>
      </c>
      <c r="BL22" s="1" t="s">
        <v>63</v>
      </c>
      <c r="BM22" s="1" t="s">
        <v>64</v>
      </c>
      <c r="BN22" s="1" t="s">
        <v>65</v>
      </c>
      <c r="BO22" s="1" t="s">
        <v>66</v>
      </c>
      <c r="BP22" s="1" t="s">
        <v>67</v>
      </c>
      <c r="BQ22" s="1" t="s">
        <v>68</v>
      </c>
      <c r="BR22" s="1" t="s">
        <v>69</v>
      </c>
      <c r="BS22" s="1" t="s">
        <v>70</v>
      </c>
      <c r="BT22" s="1" t="s">
        <v>71</v>
      </c>
      <c r="BU22" s="1" t="s">
        <v>72</v>
      </c>
      <c r="BV22" s="1" t="s">
        <v>73</v>
      </c>
      <c r="BW22" s="1" t="s">
        <v>74</v>
      </c>
      <c r="BX22" s="1" t="s">
        <v>75</v>
      </c>
      <c r="BY22" s="1" t="s">
        <v>76</v>
      </c>
      <c r="BZ22" s="1" t="s">
        <v>77</v>
      </c>
      <c r="CA22" s="1" t="s">
        <v>78</v>
      </c>
      <c r="CB22" s="1" t="s">
        <v>79</v>
      </c>
      <c r="CC22" s="1" t="s">
        <v>80</v>
      </c>
      <c r="CD22" s="1" t="s">
        <v>81</v>
      </c>
      <c r="CE22" s="1" t="s">
        <v>82</v>
      </c>
      <c r="CF22" s="1" t="s">
        <v>83</v>
      </c>
      <c r="CG22" s="1" t="s">
        <v>84</v>
      </c>
      <c r="CH22" s="1" t="s">
        <v>85</v>
      </c>
      <c r="CI22" s="1" t="s">
        <v>86</v>
      </c>
      <c r="CJ22" s="1" t="s">
        <v>87</v>
      </c>
      <c r="CK22" s="1" t="s">
        <v>88</v>
      </c>
      <c r="CL22" s="1" t="s">
        <v>89</v>
      </c>
      <c r="CM22" s="1" t="s">
        <v>90</v>
      </c>
      <c r="CN22" s="1" t="s">
        <v>91</v>
      </c>
      <c r="CO22" s="1" t="s">
        <v>92</v>
      </c>
      <c r="CP22" s="1" t="s">
        <v>93</v>
      </c>
      <c r="CQ22" s="1" t="s">
        <v>94</v>
      </c>
      <c r="CR22" s="1" t="s">
        <v>95</v>
      </c>
      <c r="CS22" s="1" t="s">
        <v>96</v>
      </c>
      <c r="CT22" s="1" t="s">
        <v>97</v>
      </c>
      <c r="CU22" s="1" t="s">
        <v>98</v>
      </c>
      <c r="CV22" s="1" t="s">
        <v>99</v>
      </c>
      <c r="CW22" s="1" t="s">
        <v>100</v>
      </c>
      <c r="CX22" s="1" t="s">
        <v>101</v>
      </c>
      <c r="CY22" s="1" t="s">
        <v>102</v>
      </c>
      <c r="CZ22" s="1" t="s">
        <v>103</v>
      </c>
      <c r="DA22" s="1" t="s">
        <v>104</v>
      </c>
      <c r="DB22" s="1" t="s">
        <v>105</v>
      </c>
      <c r="DC22" s="1" t="s">
        <v>106</v>
      </c>
      <c r="DD22" s="1" t="s">
        <v>107</v>
      </c>
      <c r="DE22" s="1" t="s">
        <v>108</v>
      </c>
      <c r="DF22" s="1" t="s">
        <v>109</v>
      </c>
      <c r="DG22" s="1" t="s">
        <v>110</v>
      </c>
      <c r="DH22" s="1" t="s">
        <v>111</v>
      </c>
      <c r="DI22" s="1" t="s">
        <v>112</v>
      </c>
      <c r="DJ22" s="1" t="s">
        <v>113</v>
      </c>
      <c r="DK22" s="1" t="s">
        <v>114</v>
      </c>
      <c r="DL22" s="1" t="s">
        <v>115</v>
      </c>
      <c r="DM22" s="1" t="s">
        <v>116</v>
      </c>
      <c r="DN22" s="1" t="s">
        <v>117</v>
      </c>
      <c r="DO22" s="1" t="s">
        <v>118</v>
      </c>
      <c r="DP22" s="1" t="s">
        <v>119</v>
      </c>
      <c r="DQ22" s="1" t="s">
        <v>120</v>
      </c>
      <c r="DR22" s="1" t="s">
        <v>121</v>
      </c>
      <c r="DS22" s="1" t="s">
        <v>122</v>
      </c>
      <c r="DT22" s="1" t="s">
        <v>123</v>
      </c>
      <c r="DU22" s="1" t="s">
        <v>124</v>
      </c>
      <c r="DV22" s="1" t="s">
        <v>125</v>
      </c>
      <c r="DW22" s="1" t="s">
        <v>126</v>
      </c>
      <c r="DX22" s="1" t="s">
        <v>127</v>
      </c>
      <c r="DY22" s="1" t="s">
        <v>128</v>
      </c>
      <c r="DZ22" s="1" t="s">
        <v>129</v>
      </c>
      <c r="EA22" s="1" t="s">
        <v>130</v>
      </c>
      <c r="EB22" s="1" t="s">
        <v>131</v>
      </c>
      <c r="EC22" s="1" t="s">
        <v>132</v>
      </c>
      <c r="ED22" s="1" t="s">
        <v>133</v>
      </c>
      <c r="EE22" s="1" t="s">
        <v>134</v>
      </c>
      <c r="EF22" s="1" t="s">
        <v>135</v>
      </c>
      <c r="EG22" s="1" t="s">
        <v>144</v>
      </c>
      <c r="EH22" s="66"/>
    </row>
    <row r="23" spans="1:138" s="1" customFormat="1" ht="16">
      <c r="C23" s="6">
        <v>10</v>
      </c>
      <c r="D23" s="1">
        <v>4.686768274486397E-2</v>
      </c>
      <c r="E23" s="1">
        <v>6.8464078560415143E-2</v>
      </c>
      <c r="F23" s="1">
        <v>1.7149142963823971E-2</v>
      </c>
      <c r="G23" s="1">
        <v>-1.9912804791508698E-3</v>
      </c>
      <c r="H23" s="1">
        <v>6.588802991664755E-3</v>
      </c>
      <c r="I23" s="1">
        <v>1.6251308970442135E-2</v>
      </c>
      <c r="J23" s="1">
        <v>5.4967552200613889E-2</v>
      </c>
      <c r="K23" s="1">
        <v>0.10115886206322622</v>
      </c>
      <c r="L23" s="1">
        <v>0.12183243713119229</v>
      </c>
      <c r="M23" s="1">
        <v>0.12039671536429242</v>
      </c>
      <c r="N23" s="1">
        <v>0.10297252502044341</v>
      </c>
      <c r="O23" s="1">
        <v>0.16076203389093235</v>
      </c>
      <c r="P23" s="1">
        <v>0.18177970211089001</v>
      </c>
      <c r="Q23" s="1">
        <v>0.18134708786112808</v>
      </c>
      <c r="R23" s="1">
        <v>0.2230130643296091</v>
      </c>
      <c r="S23" s="1">
        <v>0.23878769936205613</v>
      </c>
      <c r="T23" s="1">
        <v>0.25248253426134992</v>
      </c>
      <c r="U23" s="1">
        <v>0.19904750779540237</v>
      </c>
      <c r="V23" s="1">
        <v>0.21844641646553975</v>
      </c>
      <c r="W23" s="1">
        <v>0.21088660214347943</v>
      </c>
      <c r="X23" s="1">
        <v>0.23423000894249135</v>
      </c>
      <c r="Y23" s="1">
        <v>0.20244904952578646</v>
      </c>
      <c r="Z23" s="1">
        <v>0.22101530584900053</v>
      </c>
      <c r="AA23" s="1">
        <v>0.22732295810917269</v>
      </c>
      <c r="AB23" s="1">
        <v>0.18023545896571402</v>
      </c>
      <c r="AC23" s="1">
        <v>0.2210766338503356</v>
      </c>
      <c r="AD23" s="1">
        <v>0.2665439347935592</v>
      </c>
      <c r="AE23" s="1">
        <v>0.28076823486891067</v>
      </c>
      <c r="AF23" s="1">
        <v>0.23271224693244319</v>
      </c>
      <c r="AG23" s="1">
        <v>0.28964075855974203</v>
      </c>
      <c r="AH23" s="1">
        <v>0.32912754675695943</v>
      </c>
      <c r="AI23" s="1">
        <v>0.34653494407407326</v>
      </c>
      <c r="AJ23" s="1">
        <v>0.37212512051937385</v>
      </c>
      <c r="AK23" s="1">
        <v>0.38240263502953198</v>
      </c>
      <c r="AL23" s="1">
        <v>0.39647450371093473</v>
      </c>
      <c r="AM23" s="1">
        <v>0.34884687321105834</v>
      </c>
      <c r="AN23" s="1">
        <v>0.39228561508279491</v>
      </c>
      <c r="AO23" s="1">
        <v>0.49026196019508395</v>
      </c>
      <c r="AP23" s="1">
        <v>0.49344904170472459</v>
      </c>
      <c r="AQ23" s="1">
        <v>0.44307650529258003</v>
      </c>
      <c r="AR23" s="1">
        <v>0.43272096485765399</v>
      </c>
      <c r="AS23" s="1">
        <v>0.45113259468307443</v>
      </c>
      <c r="AT23" s="1">
        <v>0.47975782691621016</v>
      </c>
      <c r="AU23" s="1">
        <v>0.49909667320424855</v>
      </c>
      <c r="AV23" s="1">
        <v>0.52904060410205567</v>
      </c>
      <c r="AW23" s="1">
        <v>0.46615717166845694</v>
      </c>
      <c r="AX23" s="1">
        <v>0.46752003446555923</v>
      </c>
      <c r="AY23" s="1">
        <v>0.40438664735990049</v>
      </c>
      <c r="AZ23" s="1">
        <v>0.43877074272173866</v>
      </c>
      <c r="BA23" s="1">
        <v>0.43437067265548479</v>
      </c>
      <c r="BB23" s="1">
        <v>0.44033391174108005</v>
      </c>
      <c r="BC23" s="1">
        <v>0.44866681222892502</v>
      </c>
      <c r="BD23" s="1">
        <v>0.46747858577908064</v>
      </c>
      <c r="BE23" s="1">
        <v>0.48425395569479046</v>
      </c>
      <c r="BF23" s="1">
        <v>0.41657413492677775</v>
      </c>
      <c r="BG23" s="1">
        <v>0.513935004676076</v>
      </c>
      <c r="BH23" s="1">
        <v>0.44314680433517184</v>
      </c>
      <c r="BI23" s="1">
        <v>0.459236326273881</v>
      </c>
      <c r="BJ23" s="1">
        <v>0.38417331560992318</v>
      </c>
      <c r="BK23" s="1">
        <v>0.38527510832275702</v>
      </c>
      <c r="BL23" s="1">
        <v>0.35521952239191412</v>
      </c>
      <c r="BM23" s="1">
        <v>0.38870597472451252</v>
      </c>
      <c r="BN23" s="1">
        <v>0.38603232257600872</v>
      </c>
      <c r="BO23" s="1">
        <v>0.35900117424450917</v>
      </c>
      <c r="BP23" s="1">
        <v>0.32605041013518643</v>
      </c>
      <c r="BQ23" s="1">
        <v>0.31202501828499929</v>
      </c>
      <c r="BR23" s="1">
        <v>0.33197643204352745</v>
      </c>
      <c r="BS23" s="1">
        <v>0.32996959055349251</v>
      </c>
      <c r="BT23" s="1">
        <v>0.35350593812305431</v>
      </c>
      <c r="BU23" s="1">
        <v>0.38231950413804094</v>
      </c>
      <c r="BV23" s="1">
        <v>0.39643229610059927</v>
      </c>
      <c r="BW23" s="1">
        <v>0.43863780498913085</v>
      </c>
      <c r="BX23" s="1">
        <v>0.35881130417198492</v>
      </c>
      <c r="BY23" s="1">
        <v>0.33709185823496179</v>
      </c>
      <c r="BZ23" s="1">
        <v>0.27583167606603931</v>
      </c>
      <c r="CA23" s="1">
        <v>0.33324924077374374</v>
      </c>
      <c r="CB23" s="1">
        <v>0.29265476986836503</v>
      </c>
      <c r="CC23" s="1">
        <v>0.29480689478454591</v>
      </c>
      <c r="CD23" s="1">
        <v>0.27393307885295459</v>
      </c>
      <c r="CE23" s="1">
        <v>0.41525510423354151</v>
      </c>
      <c r="CF23" s="1">
        <v>0.63321431531350969</v>
      </c>
      <c r="CG23" s="1">
        <v>0.62655423835969914</v>
      </c>
      <c r="CH23" s="1">
        <v>0.69374610967338812</v>
      </c>
      <c r="CI23" s="1">
        <v>0.66586177712870387</v>
      </c>
      <c r="CJ23" s="1">
        <v>0.62531220592646775</v>
      </c>
      <c r="CK23" s="1">
        <v>0.65394021057886165</v>
      </c>
      <c r="CL23" s="1">
        <v>0.67377768255742443</v>
      </c>
      <c r="CM23" s="1">
        <v>0.72923664975125324</v>
      </c>
      <c r="CN23" s="1">
        <v>0.70436557402126065</v>
      </c>
      <c r="CO23" s="1">
        <v>0.74797511270940031</v>
      </c>
      <c r="CP23" s="1">
        <v>0.70122036992020709</v>
      </c>
      <c r="CQ23" s="1">
        <v>0.70293013387954484</v>
      </c>
      <c r="CR23" s="1">
        <v>0.76637903000206009</v>
      </c>
      <c r="CS23" s="1">
        <v>0.68133384072920355</v>
      </c>
      <c r="CT23" s="1">
        <v>0.65577479603813105</v>
      </c>
      <c r="CU23" s="1">
        <v>0.6541825264910035</v>
      </c>
      <c r="CV23" s="1">
        <v>0.70717621361687133</v>
      </c>
      <c r="CW23" s="1">
        <v>0.71455677232396364</v>
      </c>
      <c r="CX23" s="1">
        <v>0.76557802026208432</v>
      </c>
      <c r="CY23" s="1">
        <v>0.84776118982601267</v>
      </c>
      <c r="CZ23" s="1">
        <v>0.76262932979606446</v>
      </c>
      <c r="DA23" s="1">
        <v>0.91873082576786835</v>
      </c>
      <c r="DB23" s="1">
        <v>0.92526066585543476</v>
      </c>
      <c r="DC23" s="1">
        <v>1.0965738571354868</v>
      </c>
      <c r="DD23" s="1">
        <v>1.1658538346727187</v>
      </c>
      <c r="DE23" s="1">
        <v>1.0811862823472582</v>
      </c>
      <c r="DF23" s="1">
        <v>1.0808017951587559</v>
      </c>
      <c r="DG23" s="1">
        <v>1.066583642817593</v>
      </c>
      <c r="DH23" s="1">
        <v>1.1624934131069038</v>
      </c>
      <c r="DI23" s="1">
        <v>1.1511140618550706</v>
      </c>
      <c r="DJ23" s="1">
        <v>1.0340005868596864</v>
      </c>
      <c r="DK23" s="1">
        <v>1.0503999164415032</v>
      </c>
      <c r="DL23" s="1">
        <v>1.0191017853497963</v>
      </c>
      <c r="DM23" s="1">
        <v>1.0253390159146396</v>
      </c>
      <c r="DN23" s="1">
        <v>1.0137646664395574</v>
      </c>
      <c r="DO23" s="1">
        <v>1.0927613167565546</v>
      </c>
      <c r="DP23" s="1">
        <v>1.1567097031449243</v>
      </c>
      <c r="DQ23" s="1">
        <v>1.226984901769522</v>
      </c>
      <c r="DR23" s="1">
        <v>1.1747656900405485</v>
      </c>
      <c r="DS23" s="1">
        <v>1.2156054915797769</v>
      </c>
      <c r="DT23" s="1">
        <v>1.3699236372369668</v>
      </c>
      <c r="DU23" s="1">
        <v>1.2651227587053535</v>
      </c>
      <c r="DV23" s="1">
        <v>1.2962741948782841</v>
      </c>
      <c r="DW23" s="1">
        <v>1.4160781305247396</v>
      </c>
      <c r="DX23" s="1">
        <v>1.5119826645855858</v>
      </c>
      <c r="DY23" s="1">
        <v>1.387340077265391</v>
      </c>
      <c r="DZ23" s="1">
        <v>1.3461700444564717</v>
      </c>
      <c r="EA23" s="1">
        <v>1.3350080815204266</v>
      </c>
      <c r="EB23" s="1">
        <v>1.4844578017592509</v>
      </c>
      <c r="EC23" s="1">
        <v>1.4988328014587378</v>
      </c>
      <c r="ED23" s="1">
        <v>1.5654304678047972</v>
      </c>
      <c r="EE23" s="1">
        <v>1.4201551794125633</v>
      </c>
      <c r="EF23" s="1">
        <v>1.4843059717664953</v>
      </c>
      <c r="EG23" s="1">
        <v>1.5817736125916686</v>
      </c>
      <c r="EH23" s="66"/>
    </row>
    <row r="24" spans="1:138" s="1" customFormat="1" ht="16">
      <c r="C24" s="6">
        <v>20</v>
      </c>
      <c r="D24" s="1">
        <v>5.4209042671596208E-2</v>
      </c>
      <c r="E24" s="1">
        <v>8.3739642131258618E-2</v>
      </c>
      <c r="F24" s="1">
        <v>8.0279040507353905E-3</v>
      </c>
      <c r="G24" s="1">
        <v>-2.7174603548589804E-2</v>
      </c>
      <c r="H24" s="1">
        <v>-4.1677464866278102E-2</v>
      </c>
      <c r="I24" s="1">
        <v>-2.5013781728199014E-2</v>
      </c>
      <c r="J24" s="1">
        <v>1.1368496054809718E-2</v>
      </c>
      <c r="K24" s="1">
        <v>4.8189289140665004E-2</v>
      </c>
      <c r="L24" s="1">
        <v>4.6756092770213753E-2</v>
      </c>
      <c r="M24" s="1">
        <v>1.3997902550872299E-2</v>
      </c>
      <c r="N24" s="1">
        <v>2.1814463832525055E-2</v>
      </c>
      <c r="O24" s="1">
        <v>6.6752341495730727E-2</v>
      </c>
      <c r="P24" s="1">
        <v>0.10611693347437146</v>
      </c>
      <c r="Q24" s="1">
        <v>0.12469043725607154</v>
      </c>
      <c r="R24" s="1">
        <v>0.20704518426814222</v>
      </c>
      <c r="S24" s="1">
        <v>0.22737387969468514</v>
      </c>
      <c r="T24" s="1">
        <v>0.2199926949662121</v>
      </c>
      <c r="U24" s="1">
        <v>0.15868574806118652</v>
      </c>
      <c r="V24" s="1">
        <v>0.15683530811237167</v>
      </c>
      <c r="W24" s="1">
        <v>0.18008113625161326</v>
      </c>
      <c r="X24" s="1">
        <v>0.21678530354313419</v>
      </c>
      <c r="Y24" s="1">
        <v>0.1519587610221913</v>
      </c>
      <c r="Z24" s="1">
        <v>0.16799517036109934</v>
      </c>
      <c r="AA24" s="1">
        <v>0.19203690399450735</v>
      </c>
      <c r="AB24" s="1">
        <v>0.1547429993440721</v>
      </c>
      <c r="AC24" s="1">
        <v>0.2087645902866484</v>
      </c>
      <c r="AD24" s="1">
        <v>0.2345705497248658</v>
      </c>
      <c r="AE24" s="1">
        <v>0.26116775466617526</v>
      </c>
      <c r="AF24" s="1">
        <v>0.20279572915394528</v>
      </c>
      <c r="AG24" s="1">
        <v>0.26526359629484197</v>
      </c>
      <c r="AH24" s="1">
        <v>0.30534940306004787</v>
      </c>
      <c r="AI24" s="1">
        <v>0.32015252521474169</v>
      </c>
      <c r="AJ24" s="1">
        <v>0.3360835319181843</v>
      </c>
      <c r="AK24" s="1">
        <v>0.3113555069572409</v>
      </c>
      <c r="AL24" s="1">
        <v>0.31570716778280294</v>
      </c>
      <c r="AM24" s="1">
        <v>0.28603750067013123</v>
      </c>
      <c r="AN24" s="1">
        <v>0.34489258835177994</v>
      </c>
      <c r="AO24" s="1">
        <v>0.48655044495026023</v>
      </c>
      <c r="AP24" s="1">
        <v>0.50991072882496136</v>
      </c>
      <c r="AQ24" s="1">
        <v>0.42001333141079744</v>
      </c>
      <c r="AR24" s="1">
        <v>0.41497301282570587</v>
      </c>
      <c r="AS24" s="1">
        <v>0.43530767888000255</v>
      </c>
      <c r="AT24" s="1">
        <v>0.49240128025621033</v>
      </c>
      <c r="AU24" s="1">
        <v>0.55278844437329555</v>
      </c>
      <c r="AV24" s="1">
        <v>0.61872136691362933</v>
      </c>
      <c r="AW24" s="1">
        <v>0.60415161521181204</v>
      </c>
      <c r="AX24" s="1">
        <v>0.60939441715562759</v>
      </c>
      <c r="AY24" s="1">
        <v>0.50422206682553616</v>
      </c>
      <c r="AZ24" s="1">
        <v>0.52794010397428015</v>
      </c>
      <c r="BA24" s="1">
        <v>0.51419205973806625</v>
      </c>
      <c r="BB24" s="1">
        <v>0.52614577722910849</v>
      </c>
      <c r="BC24" s="1">
        <v>0.56589629747638814</v>
      </c>
      <c r="BD24" s="1">
        <v>0.58629457126435391</v>
      </c>
      <c r="BE24" s="1">
        <v>0.59518112371163534</v>
      </c>
      <c r="BF24" s="1">
        <v>0.52172581402345974</v>
      </c>
      <c r="BG24" s="1">
        <v>0.64944337185277323</v>
      </c>
      <c r="BH24" s="1">
        <v>0.50363662575201329</v>
      </c>
      <c r="BI24" s="1">
        <v>0.51412640369380558</v>
      </c>
      <c r="BJ24" s="1">
        <v>0.4341985180561434</v>
      </c>
      <c r="BK24" s="1">
        <v>0.45951801434196815</v>
      </c>
      <c r="BL24" s="1">
        <v>0.4326759822277626</v>
      </c>
      <c r="BM24" s="1">
        <v>0.48563142606872423</v>
      </c>
      <c r="BN24" s="1">
        <v>0.50799946370226223</v>
      </c>
      <c r="BO24" s="1">
        <v>0.51418457963877451</v>
      </c>
      <c r="BP24" s="1">
        <v>0.46613145907576103</v>
      </c>
      <c r="BQ24" s="1">
        <v>0.47735021903806785</v>
      </c>
      <c r="BR24" s="1">
        <v>0.537654320594247</v>
      </c>
      <c r="BS24" s="1">
        <v>0.52678098031413878</v>
      </c>
      <c r="BT24" s="1">
        <v>0.5378627269257592</v>
      </c>
      <c r="BU24" s="1">
        <v>0.58963913513518151</v>
      </c>
      <c r="BV24" s="1">
        <v>0.61591109276784395</v>
      </c>
      <c r="BW24" s="1">
        <v>0.6492697593801553</v>
      </c>
      <c r="BX24" s="1">
        <v>0.50705297296710494</v>
      </c>
      <c r="BY24" s="1">
        <v>0.50482640049520433</v>
      </c>
      <c r="BZ24" s="1">
        <v>0.45843597388413437</v>
      </c>
      <c r="CA24" s="1">
        <v>0.57063034794294909</v>
      </c>
      <c r="CB24" s="1">
        <v>0.51796465339692599</v>
      </c>
      <c r="CC24" s="1">
        <v>0.50713872772319113</v>
      </c>
      <c r="CD24" s="1">
        <v>0.51953465645576813</v>
      </c>
      <c r="CE24" s="1">
        <v>0.67983322139788438</v>
      </c>
      <c r="CF24" s="1">
        <v>0.98863332809371296</v>
      </c>
      <c r="CG24" s="1">
        <v>0.952382648810147</v>
      </c>
      <c r="CH24" s="1">
        <v>1.0246506234103281</v>
      </c>
      <c r="CI24" s="1">
        <v>1.0164922814575368</v>
      </c>
      <c r="CJ24" s="1">
        <v>1.0005709972095458</v>
      </c>
      <c r="CK24" s="1">
        <v>0.99281558309260953</v>
      </c>
      <c r="CL24" s="1">
        <v>1.0566758949914328</v>
      </c>
      <c r="CM24" s="1">
        <v>1.1471704390401287</v>
      </c>
      <c r="CN24" s="1">
        <v>1.1250614463978001</v>
      </c>
      <c r="CO24" s="1">
        <v>1.1821991762894375</v>
      </c>
      <c r="CP24" s="1">
        <v>1.1528323212978133</v>
      </c>
      <c r="CQ24" s="1">
        <v>1.1085334997932552</v>
      </c>
      <c r="CR24" s="1">
        <v>1.1885501634025517</v>
      </c>
      <c r="CS24" s="1">
        <v>1.0476498840883259</v>
      </c>
      <c r="CT24" s="1">
        <v>1.0723817276913823</v>
      </c>
      <c r="CU24" s="1">
        <v>1.0891075047225094</v>
      </c>
      <c r="CV24" s="1">
        <v>1.1643298221871028</v>
      </c>
      <c r="CW24" s="1">
        <v>1.2169641223797298</v>
      </c>
      <c r="CX24" s="1">
        <v>1.2401468340275184</v>
      </c>
      <c r="CY24" s="1">
        <v>1.2513191083667041</v>
      </c>
      <c r="CZ24" s="1">
        <v>1.1050422951137286</v>
      </c>
      <c r="DA24" s="1">
        <v>1.2951069963931126</v>
      </c>
      <c r="DB24" s="1">
        <v>1.2788196985563416</v>
      </c>
      <c r="DC24" s="1">
        <v>1.5209108414239747</v>
      </c>
      <c r="DD24" s="1">
        <v>1.5958831970577236</v>
      </c>
      <c r="DE24" s="1">
        <v>1.4624375287532003</v>
      </c>
      <c r="DF24" s="1">
        <v>1.4751625511784505</v>
      </c>
      <c r="DG24" s="1">
        <v>1.4045738933501775</v>
      </c>
      <c r="DH24" s="1">
        <v>1.519342001743798</v>
      </c>
      <c r="DI24" s="1">
        <v>1.5520739103846095</v>
      </c>
      <c r="DJ24" s="1">
        <v>1.4332456312195045</v>
      </c>
      <c r="DK24" s="1">
        <v>1.4339329743682674</v>
      </c>
      <c r="DL24" s="1">
        <v>1.4632053747328269</v>
      </c>
      <c r="DM24" s="1">
        <v>1.5300122817137756</v>
      </c>
      <c r="DN24" s="1">
        <v>1.5131652612388886</v>
      </c>
      <c r="DO24" s="1">
        <v>1.5504601255040593</v>
      </c>
      <c r="DP24" s="1">
        <v>1.6470293834162386</v>
      </c>
      <c r="DQ24" s="1">
        <v>1.7720701630238875</v>
      </c>
      <c r="DR24" s="1">
        <v>1.6988041229211732</v>
      </c>
      <c r="DS24" s="1">
        <v>1.735969919282899</v>
      </c>
      <c r="DT24" s="1">
        <v>1.9236488446644899</v>
      </c>
      <c r="DU24" s="1">
        <v>1.8200747805357484</v>
      </c>
      <c r="DV24" s="1">
        <v>1.8788688685350006</v>
      </c>
      <c r="DW24" s="1">
        <v>2.1080848224745101</v>
      </c>
      <c r="DX24" s="1">
        <v>2.2500838298194039</v>
      </c>
      <c r="DY24" s="1">
        <v>2.039992172554741</v>
      </c>
      <c r="DZ24" s="1">
        <v>1.9326617895713589</v>
      </c>
      <c r="EA24" s="1">
        <v>1.8981429943848895</v>
      </c>
      <c r="EB24" s="1">
        <v>2.1201128280567794</v>
      </c>
      <c r="EC24" s="1">
        <v>2.1207406141615324</v>
      </c>
      <c r="ED24" s="1">
        <v>2.2507498986828067</v>
      </c>
      <c r="EE24" s="1">
        <v>2.0372338393747742</v>
      </c>
      <c r="EF24" s="1">
        <v>2.1624723057929303</v>
      </c>
      <c r="EG24" s="1">
        <v>2.375278725412544</v>
      </c>
      <c r="EH24" s="66"/>
    </row>
    <row r="25" spans="1:138" s="1" customFormat="1" ht="16">
      <c r="C25" s="6">
        <v>50</v>
      </c>
      <c r="D25" s="1">
        <v>-3.037156627906501E-2</v>
      </c>
      <c r="E25" s="1">
        <v>5.0444356867517248E-2</v>
      </c>
      <c r="F25" s="1">
        <v>-5.3306192031170596E-2</v>
      </c>
      <c r="G25" s="1">
        <v>-9.9177428990235295E-2</v>
      </c>
      <c r="H25" s="1">
        <v>-0.13612909563250242</v>
      </c>
      <c r="I25" s="1">
        <v>-0.14607074735116221</v>
      </c>
      <c r="J25" s="1">
        <v>-0.10867943990192042</v>
      </c>
      <c r="K25" s="1">
        <v>-9.2090020428964747E-2</v>
      </c>
      <c r="L25" s="1">
        <v>-8.0785486631526071E-2</v>
      </c>
      <c r="M25" s="1">
        <v>-7.6329872627427076E-2</v>
      </c>
      <c r="N25" s="1">
        <v>-7.1068469531904488E-2</v>
      </c>
      <c r="O25" s="1">
        <v>5.7480991872993492E-3</v>
      </c>
      <c r="P25" s="1">
        <v>4.3439300741178632E-2</v>
      </c>
      <c r="Q25" s="1">
        <v>9.3294584574009409E-2</v>
      </c>
      <c r="R25" s="1">
        <v>0.15696581572158452</v>
      </c>
      <c r="S25" s="1">
        <v>0.1385224069568225</v>
      </c>
      <c r="T25" s="1">
        <v>0.11027937068651772</v>
      </c>
      <c r="U25" s="1">
        <v>3.2735816756242153E-2</v>
      </c>
      <c r="V25" s="1">
        <v>-5.0407604445195098E-3</v>
      </c>
      <c r="W25" s="1">
        <v>3.3141343884338204E-2</v>
      </c>
      <c r="X25" s="1">
        <v>0.10960223313312412</v>
      </c>
      <c r="Y25" s="1">
        <v>5.0147849710698411E-2</v>
      </c>
      <c r="Z25" s="1">
        <v>3.2544574831246731E-2</v>
      </c>
      <c r="AA25" s="1">
        <v>5.4488419783837561E-2</v>
      </c>
      <c r="AB25" s="1">
        <v>1.2888661496907483E-2</v>
      </c>
      <c r="AC25" s="1">
        <v>8.1515841447674875E-2</v>
      </c>
      <c r="AD25" s="1">
        <v>6.8270857961182374E-2</v>
      </c>
      <c r="AE25" s="1">
        <v>0.11028369909283064</v>
      </c>
      <c r="AF25" s="1">
        <v>-8.9989014325586592E-3</v>
      </c>
      <c r="AG25" s="1">
        <v>7.4559347289446354E-2</v>
      </c>
      <c r="AH25" s="1">
        <v>9.4428830991095891E-2</v>
      </c>
      <c r="AI25" s="1">
        <v>9.0766572007330071E-2</v>
      </c>
      <c r="AJ25" s="1">
        <v>0.16938133762455831</v>
      </c>
      <c r="AK25" s="1">
        <v>0.18699109338281006</v>
      </c>
      <c r="AL25" s="1">
        <v>0.17332946338676369</v>
      </c>
      <c r="AM25" s="1">
        <v>0.15155300562823792</v>
      </c>
      <c r="AN25" s="1">
        <v>0.23018481434730331</v>
      </c>
      <c r="AO25" s="1">
        <v>0.34368226712979588</v>
      </c>
      <c r="AP25" s="1">
        <v>0.42552018353069743</v>
      </c>
      <c r="AQ25" s="1">
        <v>0.325767234553058</v>
      </c>
      <c r="AR25" s="1">
        <v>0.32460137337009165</v>
      </c>
      <c r="AS25" s="1">
        <v>0.37446710442085562</v>
      </c>
      <c r="AT25" s="1">
        <v>0.48763107159857166</v>
      </c>
      <c r="AU25" s="1">
        <v>0.54851172706323315</v>
      </c>
      <c r="AV25" s="1">
        <v>0.62132484501320562</v>
      </c>
      <c r="AW25" s="1">
        <v>0.58454543731531472</v>
      </c>
      <c r="AX25" s="1">
        <v>0.56010956297299686</v>
      </c>
      <c r="AY25" s="1">
        <v>0.34645095407192938</v>
      </c>
      <c r="AZ25" s="1">
        <v>0.36673943696823685</v>
      </c>
      <c r="BA25" s="1">
        <v>0.29408596342960114</v>
      </c>
      <c r="BB25" s="1">
        <v>0.32013062240360513</v>
      </c>
      <c r="BC25" s="1">
        <v>0.45464974175089745</v>
      </c>
      <c r="BD25" s="1">
        <v>0.44143581474041738</v>
      </c>
      <c r="BE25" s="1">
        <v>0.50389003100906882</v>
      </c>
      <c r="BF25" s="1">
        <v>0.46762068731436757</v>
      </c>
      <c r="BG25" s="1">
        <v>0.52745634816741793</v>
      </c>
      <c r="BH25" s="1">
        <v>0.33605796238720287</v>
      </c>
      <c r="BI25" s="1">
        <v>0.33567926455096919</v>
      </c>
      <c r="BJ25" s="1">
        <v>0.26620492856362743</v>
      </c>
      <c r="BK25" s="1">
        <v>0.2829875617225559</v>
      </c>
      <c r="BL25" s="1">
        <v>0.2828755244748089</v>
      </c>
      <c r="BM25" s="1">
        <v>0.3595116434436687</v>
      </c>
      <c r="BN25" s="1">
        <v>0.40301987327615318</v>
      </c>
      <c r="BO25" s="1">
        <v>0.46667727891176347</v>
      </c>
      <c r="BP25" s="1">
        <v>0.41738365525101195</v>
      </c>
      <c r="BQ25" s="1">
        <v>0.43555829442688676</v>
      </c>
      <c r="BR25" s="1">
        <v>0.4528559432491448</v>
      </c>
      <c r="BS25" s="1">
        <v>0.41227850556112267</v>
      </c>
      <c r="BT25" s="1">
        <v>0.35772331160969695</v>
      </c>
      <c r="BU25" s="1">
        <v>0.33696653550907918</v>
      </c>
      <c r="BV25" s="1">
        <v>0.32512791695794929</v>
      </c>
      <c r="BW25" s="1">
        <v>0.36341274665566359</v>
      </c>
      <c r="BX25" s="1">
        <v>0.20197371291454047</v>
      </c>
      <c r="BY25" s="1">
        <v>0.20234288017892577</v>
      </c>
      <c r="BZ25" s="1">
        <v>0.10567479085420728</v>
      </c>
      <c r="CA25" s="1">
        <v>0.22926769451453755</v>
      </c>
      <c r="CB25" s="1">
        <v>0.19919333324174415</v>
      </c>
      <c r="CC25" s="1">
        <v>0.22572862347965006</v>
      </c>
      <c r="CD25" s="1">
        <v>0.26124494566232137</v>
      </c>
      <c r="CE25" s="1">
        <v>0.38486802565475564</v>
      </c>
      <c r="CF25" s="1">
        <v>0.62106461067702412</v>
      </c>
      <c r="CG25" s="1">
        <v>0.65398878456529408</v>
      </c>
      <c r="CH25" s="1">
        <v>0.74176105419682092</v>
      </c>
      <c r="CI25" s="1">
        <v>0.65662434785447066</v>
      </c>
      <c r="CJ25" s="1">
        <v>0.65028054324514528</v>
      </c>
      <c r="CK25" s="1">
        <v>0.59659624603908679</v>
      </c>
      <c r="CL25" s="1">
        <v>0.61897472080830829</v>
      </c>
      <c r="CM25" s="1">
        <v>0.82949464549420426</v>
      </c>
      <c r="CN25" s="1">
        <v>0.88811167290461923</v>
      </c>
      <c r="CO25" s="1">
        <v>0.9267790634040558</v>
      </c>
      <c r="CP25" s="1">
        <v>0.78499178510947765</v>
      </c>
      <c r="CQ25" s="1">
        <v>0.61781060094308815</v>
      </c>
      <c r="CR25" s="1">
        <v>0.70389693696324018</v>
      </c>
      <c r="CS25" s="1">
        <v>0.59716371613794039</v>
      </c>
      <c r="CT25" s="1">
        <v>0.69143969089116175</v>
      </c>
      <c r="CU25" s="1">
        <v>0.7237471641878952</v>
      </c>
      <c r="CV25" s="1">
        <v>0.64696380841526913</v>
      </c>
      <c r="CW25" s="1">
        <v>0.71185325012262779</v>
      </c>
      <c r="CX25" s="1">
        <v>0.72594865300306521</v>
      </c>
      <c r="CY25" s="1">
        <v>0.76779299483071939</v>
      </c>
      <c r="CZ25" s="1">
        <v>0.67915984314085276</v>
      </c>
      <c r="DA25" s="1">
        <v>0.9078144759177933</v>
      </c>
      <c r="DB25" s="1">
        <v>0.86144640121126015</v>
      </c>
      <c r="DC25" s="1">
        <v>1.056167545987202</v>
      </c>
      <c r="DD25" s="1">
        <v>1.1127822536003338</v>
      </c>
      <c r="DE25" s="1">
        <v>0.99890336038383443</v>
      </c>
      <c r="DF25" s="1">
        <v>1.0096660549631085</v>
      </c>
      <c r="DG25" s="1">
        <v>0.92974071058208874</v>
      </c>
      <c r="DH25" s="1">
        <v>1.0177048450428581</v>
      </c>
      <c r="DI25" s="1">
        <v>1.0273390572821719</v>
      </c>
      <c r="DJ25" s="1">
        <v>0.91950084373333296</v>
      </c>
      <c r="DK25" s="1">
        <v>0.92146588332816082</v>
      </c>
      <c r="DL25" s="1">
        <v>0.95666209653197676</v>
      </c>
      <c r="DM25" s="1">
        <v>0.93851565543723736</v>
      </c>
      <c r="DN25" s="1">
        <v>0.94918576724701809</v>
      </c>
      <c r="DO25" s="1">
        <v>1.0268641484362173</v>
      </c>
      <c r="DP25" s="1">
        <v>1.2348045789661355</v>
      </c>
      <c r="DQ25" s="1">
        <v>1.3253861865883025</v>
      </c>
      <c r="DR25" s="1">
        <v>1.1175713993244423</v>
      </c>
      <c r="DS25" s="1">
        <v>1.2290033414912136</v>
      </c>
      <c r="DT25" s="1">
        <v>1.3539430354086455</v>
      </c>
      <c r="DU25" s="1">
        <v>1.2493498517666435</v>
      </c>
      <c r="DV25" s="1">
        <v>1.1483204187484302</v>
      </c>
      <c r="DW25" s="1">
        <v>1.3809026455672413</v>
      </c>
      <c r="DX25" s="1">
        <v>1.5994917200040404</v>
      </c>
      <c r="DY25" s="1">
        <v>1.333924474805289</v>
      </c>
      <c r="DZ25" s="1">
        <v>1.2452421599462058</v>
      </c>
      <c r="EA25" s="1">
        <v>1.2354970465496833</v>
      </c>
      <c r="EB25" s="1">
        <v>1.4101011377621422</v>
      </c>
      <c r="EC25" s="1">
        <v>1.3495846535514007</v>
      </c>
      <c r="ED25" s="1">
        <v>1.3638686765497283</v>
      </c>
      <c r="EE25" s="1">
        <v>1.1212655217210932</v>
      </c>
      <c r="EF25" s="1">
        <v>1.1140548024336168</v>
      </c>
      <c r="EG25" s="1">
        <v>1.2549192350343534</v>
      </c>
      <c r="EH25" s="66"/>
    </row>
    <row r="26" spans="1:138" s="1" customFormat="1" ht="16">
      <c r="C26" s="6">
        <v>100</v>
      </c>
      <c r="D26" s="1">
        <v>-9.650314199451604E-2</v>
      </c>
      <c r="E26" s="1">
        <v>-8.2093696582953402E-2</v>
      </c>
      <c r="F26" s="1">
        <v>-0.14271084026224512</v>
      </c>
      <c r="G26" s="1">
        <v>-0.23578011752735073</v>
      </c>
      <c r="H26" s="1">
        <v>-0.27049255312297449</v>
      </c>
      <c r="I26" s="1">
        <v>-0.27139986054423715</v>
      </c>
      <c r="J26" s="1">
        <v>-0.22882670209332556</v>
      </c>
      <c r="K26" s="1">
        <v>-0.19029775417024641</v>
      </c>
      <c r="L26" s="1">
        <v>-0.19370689728822299</v>
      </c>
      <c r="M26" s="1">
        <v>-0.16745519914537921</v>
      </c>
      <c r="N26" s="1">
        <v>-0.14622721368453051</v>
      </c>
      <c r="O26" s="1">
        <v>-4.677821238841795E-2</v>
      </c>
      <c r="P26" s="1">
        <v>2.0749548188951472E-2</v>
      </c>
      <c r="Q26" s="1">
        <v>7.4832210569115709E-2</v>
      </c>
      <c r="R26" s="1">
        <v>0.18271886944901694</v>
      </c>
      <c r="S26" s="1">
        <v>0.12106410130316481</v>
      </c>
      <c r="T26" s="1">
        <v>0.21690150610919146</v>
      </c>
      <c r="U26" s="1">
        <v>0.13561233345763624</v>
      </c>
      <c r="V26" s="1">
        <v>8.2476756241212312E-2</v>
      </c>
      <c r="W26" s="1">
        <v>0.17522431932934168</v>
      </c>
      <c r="X26" s="1">
        <v>0.29573604476929516</v>
      </c>
      <c r="Y26" s="1">
        <v>0.19410315794115651</v>
      </c>
      <c r="Z26" s="1">
        <v>0.16521945214776479</v>
      </c>
      <c r="AA26" s="1">
        <v>0.13765453292706931</v>
      </c>
      <c r="AB26" s="1">
        <v>7.9329253478146455E-2</v>
      </c>
      <c r="AC26" s="1">
        <v>0.15140169521720881</v>
      </c>
      <c r="AD26" s="1">
        <v>0.17037790764813421</v>
      </c>
      <c r="AE26" s="1">
        <v>0.21683076990392935</v>
      </c>
      <c r="AF26" s="1">
        <v>9.354960935213219E-2</v>
      </c>
      <c r="AG26" s="1">
        <v>0.14797778771097803</v>
      </c>
      <c r="AH26" s="1">
        <v>0.15959931588973353</v>
      </c>
      <c r="AI26" s="1">
        <v>0.12063170753326857</v>
      </c>
      <c r="AJ26" s="1">
        <v>0.17762081620852022</v>
      </c>
      <c r="AK26" s="1">
        <v>0.18876683232871838</v>
      </c>
      <c r="AL26" s="1">
        <v>0.14478327769332777</v>
      </c>
      <c r="AM26" s="1">
        <v>0.15266140044521337</v>
      </c>
      <c r="AN26" s="1">
        <v>0.21619911927112478</v>
      </c>
      <c r="AO26" s="1">
        <v>0.32913769658354641</v>
      </c>
      <c r="AP26" s="1">
        <v>0.4133649031541704</v>
      </c>
      <c r="AQ26" s="1">
        <v>0.29116853036312773</v>
      </c>
      <c r="AR26" s="1">
        <v>0.24907960995733869</v>
      </c>
      <c r="AS26" s="1">
        <v>0.34715391454024247</v>
      </c>
      <c r="AT26" s="1">
        <v>0.41965932656526173</v>
      </c>
      <c r="AU26" s="1">
        <v>0.51229918264991081</v>
      </c>
      <c r="AV26" s="1">
        <v>0.57270534374788262</v>
      </c>
      <c r="AW26" s="1">
        <v>0.49843147419610911</v>
      </c>
      <c r="AX26" s="1">
        <v>0.52189682005917226</v>
      </c>
      <c r="AY26" s="1">
        <v>0.33130362843357974</v>
      </c>
      <c r="AZ26" s="1">
        <v>0.36872579656363769</v>
      </c>
      <c r="BA26" s="1">
        <v>0.24372926730707101</v>
      </c>
      <c r="BB26" s="1">
        <v>0.25692960630234585</v>
      </c>
      <c r="BC26" s="1">
        <v>0.39366984670421168</v>
      </c>
      <c r="BD26" s="1">
        <v>0.48029359625163504</v>
      </c>
      <c r="BE26" s="1">
        <v>0.54387194027881214</v>
      </c>
      <c r="BF26" s="1">
        <v>0.47251863483975654</v>
      </c>
      <c r="BG26" s="1">
        <v>0.54787902754766771</v>
      </c>
      <c r="BH26" s="1">
        <v>0.29085183363121936</v>
      </c>
      <c r="BI26" s="1">
        <v>0.33416835131765366</v>
      </c>
      <c r="BJ26" s="1">
        <v>0.24266220140384864</v>
      </c>
      <c r="BK26" s="1">
        <v>0.26207146991417885</v>
      </c>
      <c r="BL26" s="1">
        <v>0.24799133651515448</v>
      </c>
      <c r="BM26" s="1">
        <v>0.32630051654551995</v>
      </c>
      <c r="BN26" s="1">
        <v>0.41278443914906382</v>
      </c>
      <c r="BO26" s="1">
        <v>0.50610455225876994</v>
      </c>
      <c r="BP26" s="1">
        <v>0.46433353176853709</v>
      </c>
      <c r="BQ26" s="1">
        <v>0.4851039617729811</v>
      </c>
      <c r="BR26" s="1">
        <v>0.50411764575455398</v>
      </c>
      <c r="BS26" s="1">
        <v>0.42867497154638068</v>
      </c>
      <c r="BT26" s="1">
        <v>0.40463926177629017</v>
      </c>
      <c r="BU26" s="1">
        <v>0.45609634761738049</v>
      </c>
      <c r="BV26" s="1">
        <v>0.48445589134669831</v>
      </c>
      <c r="BW26" s="1">
        <v>0.57237863575583803</v>
      </c>
      <c r="BX26" s="1">
        <v>0.25138407937954765</v>
      </c>
      <c r="BY26" s="1">
        <v>0.22141414216866662</v>
      </c>
      <c r="BZ26" s="1">
        <v>0.10740930960604689</v>
      </c>
      <c r="CA26" s="1">
        <v>0.22136889137024718</v>
      </c>
      <c r="CB26" s="1">
        <v>0.19866117554176399</v>
      </c>
      <c r="CC26" s="1">
        <v>0.21670928981798543</v>
      </c>
      <c r="CD26" s="1">
        <v>0.17368822186555399</v>
      </c>
      <c r="CE26" s="1">
        <v>0.3147093076456271</v>
      </c>
      <c r="CF26" s="1">
        <v>0.41116705795778685</v>
      </c>
      <c r="CG26" s="1">
        <v>0.41628510253510131</v>
      </c>
      <c r="CH26" s="1">
        <v>0.41019666389096443</v>
      </c>
      <c r="CI26" s="1">
        <v>0.29548758948068432</v>
      </c>
      <c r="CJ26" s="1">
        <v>0.20566256763243573</v>
      </c>
      <c r="CK26" s="1">
        <v>0.10071644579189054</v>
      </c>
      <c r="CL26" s="1">
        <v>0.16309695901977861</v>
      </c>
      <c r="CM26" s="1">
        <v>0.41054686930752871</v>
      </c>
      <c r="CN26" s="1">
        <v>0.51581755651544592</v>
      </c>
      <c r="CO26" s="1">
        <v>0.58044309775032565</v>
      </c>
      <c r="CP26" s="1">
        <v>0.37585627986499315</v>
      </c>
      <c r="CQ26" s="1">
        <v>0.1968591008755074</v>
      </c>
      <c r="CR26" s="1">
        <v>0.2409948652970022</v>
      </c>
      <c r="CS26" s="1">
        <v>0.21074646094797522</v>
      </c>
      <c r="CT26" s="1">
        <v>0.2836154455098161</v>
      </c>
      <c r="CU26" s="1">
        <v>0.29310723616129009</v>
      </c>
      <c r="CV26" s="1">
        <v>0.21141045385452406</v>
      </c>
      <c r="CW26" s="1">
        <v>0.28463354781061567</v>
      </c>
      <c r="CX26" s="1">
        <v>0.24961772397378734</v>
      </c>
      <c r="CY26" s="1">
        <v>0.27194700789580528</v>
      </c>
      <c r="CZ26" s="1">
        <v>0.20105795312024322</v>
      </c>
      <c r="DA26" s="1">
        <v>0.33961685698328425</v>
      </c>
      <c r="DB26" s="1">
        <v>0.30428334320832939</v>
      </c>
      <c r="DC26" s="1">
        <v>0.43086174811765265</v>
      </c>
      <c r="DD26" s="1">
        <v>0.46637732057077641</v>
      </c>
      <c r="DE26" s="1">
        <v>0.36735812577426463</v>
      </c>
      <c r="DF26" s="1">
        <v>0.40147195360852317</v>
      </c>
      <c r="DG26" s="1">
        <v>0.34206172661294576</v>
      </c>
      <c r="DH26" s="1">
        <v>0.40636994923256164</v>
      </c>
      <c r="DI26" s="1">
        <v>0.38005815832057177</v>
      </c>
      <c r="DJ26" s="1">
        <v>0.36388601716220603</v>
      </c>
      <c r="DK26" s="1">
        <v>0.29361477591527141</v>
      </c>
      <c r="DL26" s="1">
        <v>0.42527220506057506</v>
      </c>
      <c r="DM26" s="1">
        <v>0.43630072447198009</v>
      </c>
      <c r="DN26" s="1">
        <v>0.40210449135732262</v>
      </c>
      <c r="DO26" s="1">
        <v>0.46379217799897043</v>
      </c>
      <c r="DP26" s="1">
        <v>0.69733350318230114</v>
      </c>
      <c r="DQ26" s="1">
        <v>0.73762073568680098</v>
      </c>
      <c r="DR26" s="1">
        <v>0.56442822803516313</v>
      </c>
      <c r="DS26" s="1">
        <v>0.62666995634610623</v>
      </c>
      <c r="DT26" s="1">
        <v>0.68771911368707705</v>
      </c>
      <c r="DU26" s="1">
        <v>0.56592717312325846</v>
      </c>
      <c r="DV26" s="1">
        <v>0.49425354492416229</v>
      </c>
      <c r="DW26" s="1">
        <v>0.70310290775128514</v>
      </c>
      <c r="DX26" s="1">
        <v>0.74659781790503144</v>
      </c>
      <c r="DY26" s="1">
        <v>0.53942293335168889</v>
      </c>
      <c r="DZ26" s="1">
        <v>0.37541409698591832</v>
      </c>
      <c r="EA26" s="1">
        <v>0.34939092657447279</v>
      </c>
      <c r="EB26" s="1">
        <v>0.39289487348895658</v>
      </c>
      <c r="EC26" s="1">
        <v>0.31471658685762094</v>
      </c>
      <c r="ED26" s="1">
        <v>0.38142070334782829</v>
      </c>
      <c r="EE26" s="1">
        <v>0.2248269194082313</v>
      </c>
      <c r="EF26" s="1">
        <v>0.22873499977080924</v>
      </c>
      <c r="EG26" s="1">
        <v>0.30517252169448783</v>
      </c>
      <c r="EH26" s="66"/>
    </row>
    <row r="27" spans="1:138" ht="16">
      <c r="A27" s="1"/>
      <c r="B27" s="1"/>
      <c r="C27" s="6">
        <v>192</v>
      </c>
      <c r="D27" s="1">
        <v>-0.13932460396499158</v>
      </c>
      <c r="E27" s="1">
        <v>-0.13902188870904963</v>
      </c>
      <c r="F27" s="1">
        <v>-0.18838723132171753</v>
      </c>
      <c r="G27" s="1">
        <v>-0.2624212674952362</v>
      </c>
      <c r="H27" s="1">
        <v>-0.34473835335584624</v>
      </c>
      <c r="I27" s="1">
        <v>-0.33714844061447524</v>
      </c>
      <c r="J27" s="1">
        <v>-0.23231875642819644</v>
      </c>
      <c r="K27" s="1">
        <v>-0.18109818111496778</v>
      </c>
      <c r="L27" s="1">
        <v>-0.15046741665475216</v>
      </c>
      <c r="M27" s="1">
        <v>-6.9159812286135214E-2</v>
      </c>
      <c r="N27" s="1">
        <v>2.4048393936960677E-2</v>
      </c>
      <c r="O27" s="1">
        <v>0.12842445382828682</v>
      </c>
      <c r="P27" s="1">
        <v>0.24025299194758731</v>
      </c>
      <c r="Q27" s="1">
        <v>0.28989845232662859</v>
      </c>
      <c r="R27" s="1">
        <v>0.5798996280703459</v>
      </c>
      <c r="S27" s="1">
        <v>0.40729076610316017</v>
      </c>
      <c r="T27" s="1">
        <v>0.52348036577689627</v>
      </c>
      <c r="U27" s="1">
        <v>0.54734250242390825</v>
      </c>
      <c r="V27" s="1">
        <v>0.49745980337278084</v>
      </c>
      <c r="W27" s="1">
        <v>0.7015456999452494</v>
      </c>
      <c r="X27" s="1">
        <v>0.99605837750361825</v>
      </c>
      <c r="Y27" s="1">
        <v>0.69656516439946126</v>
      </c>
      <c r="Z27" s="1">
        <v>0.68832705476689093</v>
      </c>
      <c r="AA27" s="1">
        <v>0.73755419770895303</v>
      </c>
      <c r="AB27" s="1">
        <v>0.72166742948736751</v>
      </c>
      <c r="AC27" s="1">
        <v>0.86759568659415676</v>
      </c>
      <c r="AD27" s="1">
        <v>0.97300903544933415</v>
      </c>
      <c r="AE27" s="1">
        <v>1.229191273765025</v>
      </c>
      <c r="AF27" s="1">
        <v>0.83845525104839713</v>
      </c>
      <c r="AG27" s="1">
        <v>0.82656176653492297</v>
      </c>
      <c r="AH27" s="1">
        <v>0.87708303761212414</v>
      </c>
      <c r="AI27" s="1">
        <v>0.70781106668802418</v>
      </c>
      <c r="AJ27" s="1">
        <v>0.84128426341636198</v>
      </c>
      <c r="AK27" s="1">
        <v>0.72714298831532598</v>
      </c>
      <c r="AL27" s="1">
        <v>0.8428034694158375</v>
      </c>
      <c r="AM27" s="1">
        <v>0.85315380796166629</v>
      </c>
      <c r="AN27" s="1">
        <v>0.91448575071453608</v>
      </c>
      <c r="AO27" s="1">
        <v>1.0589723608103268</v>
      </c>
      <c r="AP27" s="1">
        <v>1.1042436120520431</v>
      </c>
      <c r="AQ27" s="1">
        <v>0.82705063044272431</v>
      </c>
      <c r="AR27" s="1">
        <v>0.87720771107751205</v>
      </c>
      <c r="AS27" s="1">
        <v>1.2178602537533525</v>
      </c>
      <c r="AT27" s="1">
        <v>1.4664730946611728</v>
      </c>
      <c r="AU27" s="1">
        <v>1.4809236025084274</v>
      </c>
      <c r="AV27" s="1">
        <v>1.6617824819528062</v>
      </c>
      <c r="AW27" s="1">
        <v>1.5163807139424379</v>
      </c>
      <c r="AX27" s="1">
        <v>1.533656342384496</v>
      </c>
      <c r="AY27" s="1">
        <v>1.2530981198391902</v>
      </c>
      <c r="AZ27" s="1">
        <v>1.3402360101862572</v>
      </c>
      <c r="BA27" s="1">
        <v>0.83988786168026519</v>
      </c>
      <c r="BB27" s="1">
        <v>0.74045087563181844</v>
      </c>
      <c r="BC27" s="1">
        <v>1.1428668337888643</v>
      </c>
      <c r="BD27" s="1">
        <v>1.2941651630463289</v>
      </c>
      <c r="BE27" s="1">
        <v>1.1715883468852679</v>
      </c>
      <c r="BF27" s="1">
        <v>1.0880542218051699</v>
      </c>
      <c r="BG27" s="1">
        <v>1.0999322901581867</v>
      </c>
      <c r="BH27" s="1">
        <v>0.90240834230757816</v>
      </c>
      <c r="BI27" s="1">
        <v>0.76618363995468686</v>
      </c>
      <c r="BJ27" s="1">
        <v>0.53349730458739031</v>
      </c>
      <c r="BK27" s="1">
        <v>0.50032850649165761</v>
      </c>
      <c r="BL27" s="1">
        <v>0.41145929624725897</v>
      </c>
      <c r="BM27" s="1">
        <v>0.53325726813518348</v>
      </c>
      <c r="BN27" s="1">
        <v>0.74318726750308284</v>
      </c>
      <c r="BO27" s="1">
        <v>0.71069769570398789</v>
      </c>
      <c r="BP27" s="1">
        <v>0.77649406723139114</v>
      </c>
      <c r="BQ27" s="1">
        <v>0.88380766948293799</v>
      </c>
      <c r="BR27" s="1">
        <v>0.91291571356237711</v>
      </c>
      <c r="BS27" s="1">
        <v>0.92860178037301599</v>
      </c>
      <c r="BT27" s="1">
        <v>0.92450796902474819</v>
      </c>
      <c r="BU27" s="1">
        <v>0.82353360990293201</v>
      </c>
      <c r="BV27" s="1">
        <v>1.0036165792192073</v>
      </c>
      <c r="BW27" s="1">
        <v>1.2358724701744075</v>
      </c>
      <c r="BX27" s="1">
        <v>0.47110866084350955</v>
      </c>
      <c r="BY27" s="1">
        <v>0.54887355617578693</v>
      </c>
      <c r="BZ27" s="1">
        <v>0.48198780177795175</v>
      </c>
      <c r="CA27" s="1">
        <v>0.61576892174105846</v>
      </c>
      <c r="CB27" s="1">
        <v>0.61254736589023229</v>
      </c>
      <c r="CC27" s="1">
        <v>0.55086428465994564</v>
      </c>
      <c r="CD27" s="1">
        <v>0.39356108030616932</v>
      </c>
      <c r="CE27" s="1">
        <v>0.645833955274288</v>
      </c>
      <c r="CF27" s="1">
        <v>0.78701058436476323</v>
      </c>
      <c r="CG27" s="1">
        <v>1.0214816622757015</v>
      </c>
      <c r="CH27" s="1">
        <v>0.82124806451668797</v>
      </c>
      <c r="CI27" s="1">
        <v>0.78082504661498131</v>
      </c>
      <c r="CJ27" s="1">
        <v>0.54667195750215458</v>
      </c>
      <c r="CK27" s="1">
        <v>0.35575027630729328</v>
      </c>
      <c r="CL27" s="1">
        <v>0.47909426283924472</v>
      </c>
      <c r="CM27" s="1">
        <v>0.91976807945839534</v>
      </c>
      <c r="CN27" s="1">
        <v>1.2827024717373701</v>
      </c>
      <c r="CO27" s="1">
        <v>1.2321191286297197</v>
      </c>
      <c r="CP27" s="1">
        <v>0.30362155443732264</v>
      </c>
      <c r="CQ27" s="1">
        <v>9.9395217230453525E-2</v>
      </c>
      <c r="CR27" s="1">
        <v>0.10611401490844785</v>
      </c>
      <c r="CS27" s="1">
        <v>7.8060139831255926E-2</v>
      </c>
      <c r="CT27" s="1">
        <v>0.1733221446631823</v>
      </c>
      <c r="CU27" s="1">
        <v>0.27947733627842619</v>
      </c>
      <c r="CV27" s="1">
        <v>0.14628259686678002</v>
      </c>
      <c r="CW27" s="1">
        <v>0.25747654153302779</v>
      </c>
      <c r="CX27" s="1">
        <v>0.22501302091262287</v>
      </c>
      <c r="CY27" s="1">
        <v>0.23651116922657578</v>
      </c>
      <c r="CZ27" s="1">
        <v>0.10206180008070542</v>
      </c>
      <c r="DA27" s="1">
        <v>0.24345710224024653</v>
      </c>
      <c r="DB27" s="1">
        <v>0.18442783953965081</v>
      </c>
      <c r="DC27" s="1">
        <v>0.27559096413179751</v>
      </c>
      <c r="DD27" s="1">
        <v>0.21553086913043784</v>
      </c>
      <c r="DE27" s="1">
        <v>0.13267662353011489</v>
      </c>
      <c r="DF27" s="1">
        <v>0.10237767798426756</v>
      </c>
      <c r="DG27" s="1">
        <v>0.10332475438428368</v>
      </c>
      <c r="DH27" s="1">
        <v>0.16107808266159762</v>
      </c>
      <c r="DI27" s="1">
        <v>0.14833477263916284</v>
      </c>
      <c r="DJ27" s="1">
        <v>0.13942648753758191</v>
      </c>
      <c r="DK27" s="1">
        <v>9.4464779562001278E-2</v>
      </c>
      <c r="DL27" s="1">
        <v>0.18744392013827205</v>
      </c>
      <c r="DM27" s="1">
        <v>0.19954037416590076</v>
      </c>
      <c r="DN27" s="1">
        <v>0.2106764874957221</v>
      </c>
      <c r="DO27" s="1">
        <v>0.28091897681511635</v>
      </c>
      <c r="DP27" s="1">
        <v>0.61139781931393822</v>
      </c>
      <c r="DQ27" s="1">
        <v>0.62723871615991134</v>
      </c>
      <c r="DR27" s="1">
        <v>0.31589988363884025</v>
      </c>
      <c r="DS27" s="1">
        <v>0.41921468383424365</v>
      </c>
      <c r="DT27" s="1">
        <v>0.4085837784283739</v>
      </c>
      <c r="DU27" s="1">
        <v>0.2293066979452596</v>
      </c>
      <c r="DV27" s="1">
        <v>1.7780991947623281E-2</v>
      </c>
      <c r="DW27" s="1">
        <v>0.14942635457971032</v>
      </c>
      <c r="DX27" s="1">
        <v>0.22880597306173112</v>
      </c>
      <c r="DY27" s="1">
        <v>3.9734108188406392E-2</v>
      </c>
      <c r="DZ27" s="1">
        <v>-1.6014988788132678E-2</v>
      </c>
      <c r="EA27" s="1">
        <v>-9.9136707673312952E-2</v>
      </c>
      <c r="EB27" s="1">
        <v>-8.6696933124719822E-2</v>
      </c>
      <c r="EC27" s="1">
        <v>-0.1837922524855502</v>
      </c>
      <c r="ED27" s="1">
        <v>-0.15600072033586687</v>
      </c>
      <c r="EE27" s="1">
        <v>-0.30532011163542239</v>
      </c>
      <c r="EF27" s="1">
        <v>-0.30652953525508564</v>
      </c>
      <c r="EG27" s="1">
        <v>-0.29246497184876719</v>
      </c>
    </row>
    <row r="28" spans="1:138" ht="16">
      <c r="A28" s="67"/>
      <c r="B28" s="67"/>
      <c r="C28" s="22">
        <v>964</v>
      </c>
      <c r="D28" s="67">
        <v>0.16299313693108508</v>
      </c>
      <c r="E28" s="67">
        <v>4.1984852428694763E-2</v>
      </c>
      <c r="F28" s="67">
        <v>-0.25447286049146223</v>
      </c>
      <c r="G28" s="67">
        <v>-0.42382646750761388</v>
      </c>
      <c r="H28" s="67">
        <v>-0.29374951752696976</v>
      </c>
      <c r="I28" s="67">
        <v>-0.54151785941676156</v>
      </c>
      <c r="J28" s="67">
        <v>-0.54248614307250764</v>
      </c>
      <c r="K28" s="67">
        <v>-0.58822480663632337</v>
      </c>
      <c r="L28" s="67">
        <v>-0.56609889154325144</v>
      </c>
      <c r="M28" s="67">
        <v>-0.52460785715329694</v>
      </c>
      <c r="N28" s="67">
        <v>-0.74472751358764722</v>
      </c>
      <c r="O28" s="67">
        <v>-0.70793497463565136</v>
      </c>
      <c r="P28" s="67">
        <v>-0.63920938909523217</v>
      </c>
      <c r="Q28" s="67">
        <v>-0.63858295237515716</v>
      </c>
      <c r="R28" s="67">
        <v>-0.63961195571876317</v>
      </c>
      <c r="S28" s="67">
        <v>-0.72815835065894241</v>
      </c>
      <c r="T28" s="67">
        <v>-0.69013210786855506</v>
      </c>
      <c r="U28" s="67">
        <v>-0.65180422476029476</v>
      </c>
      <c r="V28" s="67">
        <v>-0.75133817725751462</v>
      </c>
      <c r="W28" s="67">
        <v>-0.72680059878225478</v>
      </c>
      <c r="X28" s="67">
        <v>-0.5913723810426319</v>
      </c>
      <c r="Y28" s="67">
        <v>-0.59100507529299495</v>
      </c>
      <c r="Z28" s="67">
        <v>-0.64021431930985828</v>
      </c>
      <c r="AA28" s="67">
        <v>-0.64899112863685338</v>
      </c>
      <c r="AB28" s="67">
        <v>-0.64423574179829191</v>
      </c>
      <c r="AC28" s="67">
        <v>-0.57474088583983218</v>
      </c>
      <c r="AD28" s="67">
        <v>-0.52142173617798082</v>
      </c>
      <c r="AE28" s="67">
        <v>-0.47300143711802511</v>
      </c>
      <c r="AF28" s="67">
        <v>-0.7582436891630131</v>
      </c>
      <c r="AG28" s="67">
        <v>-0.79830362362210616</v>
      </c>
      <c r="AH28" s="67">
        <v>-0.77032113210262654</v>
      </c>
      <c r="AI28" s="67">
        <v>-0.78334331757576625</v>
      </c>
      <c r="AJ28" s="67">
        <v>-0.78525170136924571</v>
      </c>
      <c r="AK28" s="67">
        <v>-0.80262295839223674</v>
      </c>
      <c r="AL28" s="67">
        <v>-0.80233854259917203</v>
      </c>
      <c r="AM28" s="67">
        <v>-0.81956942348006834</v>
      </c>
      <c r="AN28" s="67">
        <v>-0.82298304033411684</v>
      </c>
      <c r="AO28" s="67">
        <v>-0.78382875370394978</v>
      </c>
      <c r="AP28" s="67">
        <v>-0.76954197186203166</v>
      </c>
      <c r="AQ28" s="67">
        <v>-0.77480833315321862</v>
      </c>
      <c r="AR28" s="67">
        <v>-0.76420699117057422</v>
      </c>
      <c r="AS28" s="67">
        <v>-0.76193412185218767</v>
      </c>
      <c r="AT28" s="67">
        <v>-0.76858950993622654</v>
      </c>
      <c r="AU28" s="67">
        <v>-0.76154092980523602</v>
      </c>
      <c r="AV28" s="67">
        <v>-0.75102600083023385</v>
      </c>
      <c r="AW28" s="67">
        <v>-0.77272457090165758</v>
      </c>
      <c r="AX28" s="67">
        <v>-0.77159102526459034</v>
      </c>
      <c r="AY28" s="67">
        <v>-0.77805641232192158</v>
      </c>
      <c r="AZ28" s="67">
        <v>-0.74074163753050259</v>
      </c>
      <c r="BA28" s="67">
        <v>-0.73092428203754145</v>
      </c>
      <c r="BB28" s="67">
        <v>-0.74539913819581227</v>
      </c>
      <c r="BC28" s="67">
        <v>-0.56952683799218562</v>
      </c>
      <c r="BD28" s="67">
        <v>-0.82756176717965335</v>
      </c>
      <c r="BE28" s="67">
        <v>-0.79555805555289327</v>
      </c>
      <c r="BF28" s="67">
        <v>-0.81684682478594772</v>
      </c>
      <c r="BG28" s="67">
        <v>-0.80079320427588685</v>
      </c>
      <c r="BH28" s="67">
        <v>-0.78266852781285556</v>
      </c>
      <c r="BI28" s="67">
        <v>-0.86661396882441555</v>
      </c>
      <c r="BJ28" s="67">
        <v>-0.8964429677384429</v>
      </c>
      <c r="BK28" s="67">
        <v>-0.89678970938109337</v>
      </c>
      <c r="BL28" s="67">
        <v>-0.89637443793681537</v>
      </c>
      <c r="BM28" s="67">
        <v>-0.86350810971249348</v>
      </c>
      <c r="BN28" s="67">
        <v>-0.86194213564580879</v>
      </c>
      <c r="BO28" s="67">
        <v>-0.87697846776496347</v>
      </c>
      <c r="BP28" s="67">
        <v>-0.85715850670846416</v>
      </c>
      <c r="BQ28" s="67">
        <v>-0.83953883979667709</v>
      </c>
      <c r="BR28" s="67">
        <v>-0.8498355736106491</v>
      </c>
      <c r="BS28" s="67">
        <v>-0.84347517563427221</v>
      </c>
      <c r="BT28" s="67">
        <v>-0.84367626581288635</v>
      </c>
      <c r="BU28" s="67">
        <v>-0.80041851588926483</v>
      </c>
      <c r="BV28" s="67">
        <v>-0.75484874790052681</v>
      </c>
      <c r="BW28" s="67">
        <v>-0.72843898254314743</v>
      </c>
      <c r="BX28" s="67">
        <v>-1.0296034286544238</v>
      </c>
      <c r="BY28" s="67">
        <v>-1.0326808540881642</v>
      </c>
      <c r="BZ28" s="67">
        <v>-1.0231923970416594</v>
      </c>
      <c r="CA28" s="67">
        <v>-1.0291967439430547</v>
      </c>
      <c r="CB28" s="67">
        <v>-1.0258326460328249</v>
      </c>
      <c r="CC28" s="67">
        <v>-1.0312255202197171</v>
      </c>
      <c r="CD28" s="67">
        <v>-1.0380898635879467</v>
      </c>
      <c r="CE28" s="67">
        <v>-1.0393236806327752</v>
      </c>
      <c r="CF28" s="67">
        <v>-1.0458343008616076</v>
      </c>
      <c r="CG28" s="67">
        <v>-1.0534029809771246</v>
      </c>
      <c r="CH28" s="67">
        <v>-1.0361101356035187</v>
      </c>
      <c r="CI28" s="67">
        <v>-1.0284196558813476</v>
      </c>
      <c r="CJ28" s="67">
        <v>-1.0267568741865329</v>
      </c>
      <c r="CK28" s="67">
        <v>-1.0271076430385504</v>
      </c>
      <c r="CL28" s="67">
        <v>-1.0296430230420077</v>
      </c>
      <c r="CM28" s="67">
        <v>-1.0636915932021811</v>
      </c>
      <c r="CN28" s="67">
        <v>-1.0986956718388583</v>
      </c>
      <c r="CO28" s="67">
        <v>-1.1093290217774427</v>
      </c>
      <c r="CP28" s="67">
        <v>-1.0244182851564398</v>
      </c>
      <c r="CQ28" s="67">
        <v>-1.0195818202326918</v>
      </c>
      <c r="CR28" s="67">
        <v>-1.0218276038542784</v>
      </c>
      <c r="CS28" s="67">
        <v>-1.0239409067784513</v>
      </c>
      <c r="CT28" s="67">
        <v>-1.0218844970185466</v>
      </c>
      <c r="CU28" s="67">
        <v>-1.0239945785148796</v>
      </c>
      <c r="CV28" s="67">
        <v>-1.0222489405914674</v>
      </c>
      <c r="CW28" s="67">
        <v>-1.0302914942077268</v>
      </c>
      <c r="CX28" s="67">
        <v>-1.0302433870072381</v>
      </c>
      <c r="CY28" s="67">
        <v>-1.031839187150972</v>
      </c>
      <c r="CZ28" s="67">
        <v>-1.0216141037653477</v>
      </c>
      <c r="DA28" s="67">
        <v>-1.0285865948481907</v>
      </c>
      <c r="DB28" s="67">
        <v>-1.0292872867108327</v>
      </c>
      <c r="DC28" s="67">
        <v>-1.0288039918344494</v>
      </c>
      <c r="DD28" s="67">
        <v>-1.034405031691809</v>
      </c>
      <c r="DE28" s="67">
        <v>-1.0361011919329459</v>
      </c>
      <c r="DF28" s="67">
        <v>-1.0297451165318505</v>
      </c>
      <c r="DG28" s="67">
        <v>-1.0266318446233156</v>
      </c>
      <c r="DH28" s="67">
        <v>-1.0298155561161737</v>
      </c>
      <c r="DI28" s="67">
        <v>-1.0327782378993644</v>
      </c>
      <c r="DJ28" s="67">
        <v>-1.0374286654445244</v>
      </c>
      <c r="DK28" s="67">
        <v>-1.0324697935665641</v>
      </c>
      <c r="DL28" s="67">
        <v>-1.0434935875496818</v>
      </c>
      <c r="DM28" s="67">
        <v>-1.0421127227599483</v>
      </c>
      <c r="DN28" s="67">
        <v>-1.0361563191625447</v>
      </c>
      <c r="DO28" s="67">
        <v>-1.04459283837513</v>
      </c>
      <c r="DP28" s="67">
        <v>-1.0497483035997248</v>
      </c>
      <c r="DQ28" s="67">
        <v>-1.0554381874945435</v>
      </c>
      <c r="DR28" s="67">
        <v>-1.048066164164196</v>
      </c>
      <c r="DS28" s="67">
        <v>-1.0470800565144927</v>
      </c>
      <c r="DT28" s="67">
        <v>-1.0439086240553201</v>
      </c>
      <c r="DU28" s="67">
        <v>-1.0422241633869713</v>
      </c>
      <c r="DV28" s="67">
        <v>-1.0402126638943996</v>
      </c>
      <c r="DW28" s="67">
        <v>-1.0465753005207561</v>
      </c>
      <c r="DX28" s="67">
        <v>-1.0516453521962597</v>
      </c>
      <c r="DY28" s="67">
        <v>-1.0355530153694816</v>
      </c>
      <c r="DZ28" s="67">
        <v>-1.0233297362768512</v>
      </c>
      <c r="EA28" s="67">
        <v>-1.0221523035612783</v>
      </c>
      <c r="EB28" s="67">
        <v>-1.023865804671203</v>
      </c>
      <c r="EC28" s="67">
        <v>-1.0212589721252783</v>
      </c>
      <c r="ED28" s="67">
        <v>-1.0209547579610174</v>
      </c>
      <c r="EE28" s="67">
        <v>-1.0197776695838086</v>
      </c>
      <c r="EF28" s="67">
        <v>-1.0219033865092415</v>
      </c>
      <c r="EG28" s="67">
        <v>-1.023376973569593</v>
      </c>
    </row>
    <row r="29" spans="1:138" s="1" customFormat="1" ht="16">
      <c r="C29" s="6" t="s">
        <v>170</v>
      </c>
      <c r="D29" s="68">
        <v>-1.7446770539390366E-2</v>
      </c>
      <c r="E29" s="68">
        <v>2.893123339404724E-3</v>
      </c>
      <c r="F29" s="68">
        <v>2.6944635852046872E-2</v>
      </c>
      <c r="G29" s="68">
        <v>2.0210365301730038E-2</v>
      </c>
      <c r="H29" s="68">
        <v>5.269909680859941E-2</v>
      </c>
      <c r="I29" s="68">
        <v>8.8857766197530053E-2</v>
      </c>
      <c r="J29" s="68">
        <v>7.9869318529145472E-2</v>
      </c>
      <c r="K29" s="68">
        <v>9.3738646464063713E-2</v>
      </c>
      <c r="L29" s="68">
        <v>3.7937714394164157E-2</v>
      </c>
      <c r="M29" s="68">
        <v>3.8844812525307137E-2</v>
      </c>
      <c r="N29" s="68">
        <v>6.3142951706360639E-2</v>
      </c>
      <c r="O29" s="68">
        <v>7.6952085951054405E-2</v>
      </c>
      <c r="P29" s="68">
        <v>8.3257197491512391E-2</v>
      </c>
      <c r="Q29" s="68">
        <v>0.11295275081672607</v>
      </c>
      <c r="R29" s="68">
        <v>0.10882042835093308</v>
      </c>
      <c r="S29" s="68">
        <v>0.13551706985268064</v>
      </c>
      <c r="T29" s="68">
        <v>0.12167508804368476</v>
      </c>
      <c r="U29" s="68">
        <v>7.7088976461827885E-2</v>
      </c>
      <c r="V29" s="68">
        <v>-1.7059521199481731E-3</v>
      </c>
      <c r="W29" s="68">
        <v>-5.9866792867339091E-2</v>
      </c>
      <c r="X29" s="68">
        <v>-5.9140260213613516E-2</v>
      </c>
      <c r="Y29" s="68">
        <v>-1.7185893241652206E-2</v>
      </c>
      <c r="Z29" s="68">
        <v>-4.4409529547694393E-2</v>
      </c>
      <c r="AA29" s="68">
        <v>-4.2407561826578566E-2</v>
      </c>
      <c r="AB29" s="68">
        <v>-6.481575250614946E-2</v>
      </c>
      <c r="AC29" s="68">
        <v>-3.4768870774049443E-2</v>
      </c>
      <c r="AD29" s="68">
        <v>2.7817794451217015E-3</v>
      </c>
      <c r="AE29" s="68">
        <v>-4.0202844765013457E-2</v>
      </c>
      <c r="AF29" s="68">
        <v>-2.2305320482664204E-2</v>
      </c>
      <c r="AG29" s="68">
        <v>-7.4152570234460313E-3</v>
      </c>
      <c r="AH29" s="68">
        <v>2.8334274381314417E-2</v>
      </c>
      <c r="AI29" s="68">
        <v>3.7953941892352683E-2</v>
      </c>
      <c r="AJ29" s="68">
        <v>4.9110131735873752E-2</v>
      </c>
      <c r="AK29" s="68">
        <v>6.3123886850196875E-2</v>
      </c>
      <c r="AL29" s="68">
        <v>5.7454515782098925E-2</v>
      </c>
      <c r="AM29" s="68">
        <v>5.8917118987427575E-2</v>
      </c>
      <c r="AN29" s="68">
        <v>8.0938283596681648E-2</v>
      </c>
      <c r="AO29" s="68">
        <v>0.11500697453770203</v>
      </c>
      <c r="AP29" s="68">
        <v>0.12196653200545171</v>
      </c>
      <c r="AQ29" s="68">
        <v>0.12886130991117528</v>
      </c>
      <c r="AR29" s="68">
        <v>0.14799139743631429</v>
      </c>
      <c r="AS29" s="68">
        <v>0.18780698843660248</v>
      </c>
      <c r="AT29" s="68">
        <v>0.19148751365039929</v>
      </c>
      <c r="AU29" s="68">
        <v>0.20945675046088996</v>
      </c>
      <c r="AV29" s="68">
        <v>0.18617324550329584</v>
      </c>
      <c r="AW29" s="68">
        <v>0.23209180697664689</v>
      </c>
      <c r="AX29" s="68">
        <v>0.20516203655681697</v>
      </c>
      <c r="AY29" s="68">
        <v>0.21453132863303215</v>
      </c>
      <c r="AZ29" s="68">
        <v>0.2660241129922889</v>
      </c>
      <c r="BA29" s="68">
        <v>0.23271631642995261</v>
      </c>
      <c r="BB29" s="68">
        <v>0.24451556797958407</v>
      </c>
      <c r="BC29" s="68">
        <v>0.21433638745422812</v>
      </c>
      <c r="BD29" s="68">
        <v>0.23882150637103883</v>
      </c>
      <c r="BE29" s="68">
        <v>0.23447943849994912</v>
      </c>
      <c r="BF29" s="68">
        <v>0.25935658802508499</v>
      </c>
      <c r="BG29" s="68">
        <v>0.26008869763716325</v>
      </c>
      <c r="BH29" s="68">
        <v>0.2535114114609236</v>
      </c>
      <c r="BI29" s="68">
        <v>0.10826483627727623</v>
      </c>
      <c r="BJ29" s="68">
        <v>0.11793469710078752</v>
      </c>
      <c r="BK29" s="68">
        <v>9.9625988810205346E-2</v>
      </c>
      <c r="BL29" s="68">
        <v>0.12254260303831388</v>
      </c>
      <c r="BM29" s="68">
        <v>0.17302993558173996</v>
      </c>
      <c r="BN29" s="68">
        <v>0.20112905370185397</v>
      </c>
      <c r="BO29" s="68">
        <v>0.23745011694095197</v>
      </c>
      <c r="BP29" s="68">
        <v>0.18334151222801376</v>
      </c>
      <c r="BQ29" s="68">
        <v>0.20924423024871497</v>
      </c>
      <c r="BR29" s="68">
        <v>0.21967690051673561</v>
      </c>
      <c r="BS29" s="68">
        <v>0.1962676978767699</v>
      </c>
      <c r="BT29" s="68">
        <v>0.21987619627534571</v>
      </c>
      <c r="BU29" s="68">
        <v>0.27805738326883356</v>
      </c>
      <c r="BV29" s="68">
        <v>0.29269729646247922</v>
      </c>
      <c r="BW29" s="68">
        <v>0.34857881761669129</v>
      </c>
      <c r="BX29" s="68">
        <v>0.2909305384219143</v>
      </c>
      <c r="BY29" s="68">
        <v>0.26793739709811137</v>
      </c>
      <c r="BZ29" s="68">
        <v>7.628473289061688E-2</v>
      </c>
      <c r="CA29" s="68">
        <v>0.20998513144491437</v>
      </c>
      <c r="CB29" s="68">
        <v>0.20447092205281336</v>
      </c>
      <c r="CC29" s="68">
        <v>0.27699361006036605</v>
      </c>
      <c r="CD29" s="68">
        <v>0.38680488733361829</v>
      </c>
      <c r="CE29" s="68">
        <v>0.37874965946081551</v>
      </c>
      <c r="CF29" s="68">
        <v>0.37042015435709108</v>
      </c>
      <c r="CG29" s="68">
        <v>0.37378086910184649</v>
      </c>
      <c r="CH29" s="68">
        <v>0.49692143719092186</v>
      </c>
      <c r="CI29" s="68">
        <v>0.603191980394987</v>
      </c>
      <c r="CJ29" s="68">
        <v>0.64675173719730239</v>
      </c>
      <c r="CK29" s="68">
        <v>0.73315421285472704</v>
      </c>
      <c r="CL29" s="68">
        <v>0.7842487445659152</v>
      </c>
      <c r="CM29" s="68">
        <v>0.90348131155309508</v>
      </c>
      <c r="CN29" s="68">
        <v>0.8487139113221478</v>
      </c>
      <c r="CO29" s="68">
        <v>0.92166881344527685</v>
      </c>
      <c r="CP29" s="68">
        <v>0.86588067898046694</v>
      </c>
      <c r="CQ29" s="68">
        <v>0.89197293519067467</v>
      </c>
      <c r="CR29" s="68">
        <v>0.83090579105751727</v>
      </c>
      <c r="CS29" s="68">
        <v>0.83658814745105547</v>
      </c>
      <c r="CT29" s="68">
        <v>0.88358984642415717</v>
      </c>
      <c r="CU29" s="68">
        <v>0.9672059526983301</v>
      </c>
      <c r="CV29" s="68">
        <v>0.90752297284093331</v>
      </c>
      <c r="CW29" s="68">
        <v>0.90512335385454468</v>
      </c>
      <c r="CX29" s="68">
        <v>0.90957440110152876</v>
      </c>
      <c r="CY29" s="68">
        <v>0.78685723504233995</v>
      </c>
      <c r="CZ29" s="68">
        <v>0.80992516787144164</v>
      </c>
      <c r="DA29" s="68">
        <v>0.58282101623526672</v>
      </c>
      <c r="DB29" s="68">
        <v>0.60132527488651344</v>
      </c>
      <c r="DC29" s="68">
        <v>0.61147422419279152</v>
      </c>
      <c r="DD29" s="68">
        <v>0.42243966588262949</v>
      </c>
      <c r="DE29" s="68">
        <v>0.37121637307647259</v>
      </c>
      <c r="DF29" s="68">
        <v>0.5616938276257708</v>
      </c>
      <c r="DG29" s="68">
        <v>0.48182332962932128</v>
      </c>
      <c r="DH29" s="68">
        <v>0.59552577817978314</v>
      </c>
      <c r="DI29" s="68">
        <v>0.62027043996328524</v>
      </c>
      <c r="DJ29" s="68">
        <v>0.65789923395288952</v>
      </c>
      <c r="DK29" s="68">
        <v>0.62743885630809859</v>
      </c>
      <c r="DL29" s="68">
        <v>0.72866394865424411</v>
      </c>
      <c r="DM29" s="68">
        <v>0.76340716304992284</v>
      </c>
      <c r="DN29" s="68">
        <v>0.78721129009524526</v>
      </c>
      <c r="DO29" s="68">
        <v>0.73314419395664854</v>
      </c>
      <c r="DP29" s="68">
        <v>0.7036411650845571</v>
      </c>
      <c r="DQ29" s="68">
        <v>0.666521339911188</v>
      </c>
      <c r="DR29" s="68">
        <v>0.80941825308633253</v>
      </c>
      <c r="DS29" s="68">
        <v>0.86027510799998974</v>
      </c>
      <c r="DT29" s="68">
        <v>0.85599059714061299</v>
      </c>
      <c r="DU29" s="68">
        <v>0.9645125910761998</v>
      </c>
      <c r="DV29" s="68">
        <v>1.0974294483812512</v>
      </c>
      <c r="DW29" s="68">
        <v>1.1079601605760616</v>
      </c>
      <c r="DX29" s="68">
        <v>1.1868319851241949</v>
      </c>
      <c r="DY29" s="68">
        <v>1.3707686184169408</v>
      </c>
      <c r="DZ29" s="68">
        <v>1.2834475238077694</v>
      </c>
      <c r="EA29" s="68">
        <v>1.2905072649494538</v>
      </c>
      <c r="EB29" s="68">
        <v>1.2860233033025419</v>
      </c>
      <c r="EC29" s="68">
        <v>1.3465094307246845</v>
      </c>
      <c r="ED29" s="68">
        <v>1.2884273650883467</v>
      </c>
      <c r="EE29" s="68">
        <v>1.3664981882262612</v>
      </c>
      <c r="EF29" s="68">
        <v>1.4163413115117764</v>
      </c>
      <c r="EG29" s="68">
        <v>1.367344209826507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I28"/>
  <sheetViews>
    <sheetView topLeftCell="DM4" zoomScale="83" zoomScaleNormal="83" workbookViewId="0">
      <selection activeCell="EI12" sqref="EI12:EI24"/>
    </sheetView>
  </sheetViews>
  <sheetFormatPr baseColWidth="10" defaultColWidth="8.83203125" defaultRowHeight="15"/>
  <cols>
    <col min="1" max="1" width="8.33203125" style="27" customWidth="1"/>
    <col min="2" max="3" width="9.33203125" style="27" customWidth="1"/>
    <col min="11" max="11" width="8.1640625" style="27" customWidth="1"/>
    <col min="64" max="64" width="8.33203125" style="27" customWidth="1"/>
    <col min="139" max="139" width="9.5" style="27" customWidth="1"/>
  </cols>
  <sheetData>
    <row r="1" spans="1:139" ht="16">
      <c r="A1" s="15" t="s">
        <v>147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2" spans="1:139" ht="16">
      <c r="A2" s="4"/>
      <c r="B2" s="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18</v>
      </c>
      <c r="T2" s="16" t="s">
        <v>19</v>
      </c>
      <c r="U2" s="16" t="s">
        <v>20</v>
      </c>
      <c r="V2" s="16" t="s">
        <v>21</v>
      </c>
      <c r="W2" s="16" t="s">
        <v>22</v>
      </c>
      <c r="X2" s="16" t="s">
        <v>23</v>
      </c>
      <c r="Y2" s="16" t="s">
        <v>24</v>
      </c>
      <c r="Z2" s="16" t="s">
        <v>25</v>
      </c>
      <c r="AA2" s="16" t="s">
        <v>26</v>
      </c>
      <c r="AB2" s="16" t="s">
        <v>27</v>
      </c>
      <c r="AC2" s="16" t="s">
        <v>28</v>
      </c>
      <c r="AD2" s="16" t="s">
        <v>29</v>
      </c>
      <c r="AE2" s="16" t="s">
        <v>30</v>
      </c>
      <c r="AF2" s="16" t="s">
        <v>31</v>
      </c>
      <c r="AG2" s="16" t="s">
        <v>32</v>
      </c>
      <c r="AH2" s="16" t="s">
        <v>33</v>
      </c>
      <c r="AI2" s="16" t="s">
        <v>34</v>
      </c>
      <c r="AJ2" s="16" t="s">
        <v>35</v>
      </c>
      <c r="AK2" s="16" t="s">
        <v>36</v>
      </c>
      <c r="AL2" s="16" t="s">
        <v>37</v>
      </c>
      <c r="AM2" s="16" t="s">
        <v>38</v>
      </c>
      <c r="AN2" s="16" t="s">
        <v>39</v>
      </c>
      <c r="AO2" s="16" t="s">
        <v>40</v>
      </c>
      <c r="AP2" s="16" t="s">
        <v>41</v>
      </c>
      <c r="AQ2" s="16" t="s">
        <v>42</v>
      </c>
      <c r="AR2" s="16" t="s">
        <v>43</v>
      </c>
      <c r="AS2" s="16" t="s">
        <v>44</v>
      </c>
      <c r="AT2" s="16" t="s">
        <v>45</v>
      </c>
      <c r="AU2" s="16" t="s">
        <v>46</v>
      </c>
      <c r="AV2" s="16" t="s">
        <v>47</v>
      </c>
      <c r="AW2" s="16" t="s">
        <v>48</v>
      </c>
      <c r="AX2" s="16" t="s">
        <v>49</v>
      </c>
      <c r="AY2" s="16" t="s">
        <v>50</v>
      </c>
      <c r="AZ2" s="16" t="s">
        <v>51</v>
      </c>
      <c r="BA2" s="16" t="s">
        <v>52</v>
      </c>
      <c r="BB2" s="16" t="s">
        <v>53</v>
      </c>
      <c r="BC2" s="16" t="s">
        <v>54</v>
      </c>
      <c r="BD2" s="16" t="s">
        <v>55</v>
      </c>
      <c r="BE2" s="16" t="s">
        <v>56</v>
      </c>
      <c r="BF2" s="16" t="s">
        <v>57</v>
      </c>
      <c r="BG2" s="16" t="s">
        <v>58</v>
      </c>
      <c r="BH2" s="16" t="s">
        <v>59</v>
      </c>
      <c r="BI2" s="16" t="s">
        <v>60</v>
      </c>
      <c r="BJ2" s="16" t="s">
        <v>61</v>
      </c>
      <c r="BK2" s="16" t="s">
        <v>62</v>
      </c>
      <c r="BL2" s="16" t="s">
        <v>63</v>
      </c>
      <c r="BM2" s="16" t="s">
        <v>64</v>
      </c>
      <c r="BN2" s="16" t="s">
        <v>65</v>
      </c>
      <c r="BO2" s="16" t="s">
        <v>66</v>
      </c>
      <c r="BP2" s="16" t="s">
        <v>67</v>
      </c>
      <c r="BQ2" s="16" t="s">
        <v>68</v>
      </c>
      <c r="BR2" s="16" t="s">
        <v>69</v>
      </c>
      <c r="BS2" s="16" t="s">
        <v>70</v>
      </c>
      <c r="BT2" s="16" t="s">
        <v>71</v>
      </c>
      <c r="BU2" s="16" t="s">
        <v>72</v>
      </c>
      <c r="BV2" s="16" t="s">
        <v>73</v>
      </c>
      <c r="BW2" s="16" t="s">
        <v>74</v>
      </c>
      <c r="BX2" s="16" t="s">
        <v>75</v>
      </c>
      <c r="BY2" s="16" t="s">
        <v>76</v>
      </c>
      <c r="BZ2" s="16" t="s">
        <v>77</v>
      </c>
      <c r="CA2" s="16" t="s">
        <v>78</v>
      </c>
      <c r="CB2" s="16" t="s">
        <v>79</v>
      </c>
      <c r="CC2" s="16" t="s">
        <v>80</v>
      </c>
      <c r="CD2" s="16" t="s">
        <v>81</v>
      </c>
      <c r="CE2" s="16" t="s">
        <v>82</v>
      </c>
      <c r="CF2" s="16" t="s">
        <v>83</v>
      </c>
      <c r="CG2" s="16" t="s">
        <v>84</v>
      </c>
      <c r="CH2" s="16" t="s">
        <v>85</v>
      </c>
      <c r="CI2" s="16" t="s">
        <v>86</v>
      </c>
      <c r="CJ2" s="16" t="s">
        <v>87</v>
      </c>
      <c r="CK2" s="16" t="s">
        <v>88</v>
      </c>
      <c r="CL2" s="16" t="s">
        <v>89</v>
      </c>
      <c r="CM2" s="16" t="s">
        <v>90</v>
      </c>
      <c r="CN2" s="16" t="s">
        <v>91</v>
      </c>
      <c r="CO2" s="16" t="s">
        <v>92</v>
      </c>
      <c r="CP2" s="16" t="s">
        <v>93</v>
      </c>
      <c r="CQ2" s="16" t="s">
        <v>94</v>
      </c>
      <c r="CR2" s="16" t="s">
        <v>95</v>
      </c>
      <c r="CS2" s="16" t="s">
        <v>96</v>
      </c>
      <c r="CT2" s="16" t="s">
        <v>97</v>
      </c>
      <c r="CU2" s="16" t="s">
        <v>98</v>
      </c>
      <c r="CV2" s="16" t="s">
        <v>99</v>
      </c>
      <c r="CW2" s="16" t="s">
        <v>100</v>
      </c>
      <c r="CX2" s="16" t="s">
        <v>101</v>
      </c>
      <c r="CY2" s="16" t="s">
        <v>102</v>
      </c>
      <c r="CZ2" s="16" t="s">
        <v>103</v>
      </c>
      <c r="DA2" s="16" t="s">
        <v>104</v>
      </c>
      <c r="DB2" s="16" t="s">
        <v>105</v>
      </c>
      <c r="DC2" s="16" t="s">
        <v>106</v>
      </c>
      <c r="DD2" s="16" t="s">
        <v>107</v>
      </c>
      <c r="DE2" s="16" t="s">
        <v>108</v>
      </c>
      <c r="DF2" s="16" t="s">
        <v>109</v>
      </c>
      <c r="DG2" s="16" t="s">
        <v>110</v>
      </c>
      <c r="DH2" s="16" t="s">
        <v>111</v>
      </c>
      <c r="DI2" s="16" t="s">
        <v>112</v>
      </c>
      <c r="DJ2" s="16" t="s">
        <v>113</v>
      </c>
      <c r="DK2" s="16" t="s">
        <v>114</v>
      </c>
      <c r="DL2" s="16" t="s">
        <v>115</v>
      </c>
      <c r="DM2" s="16" t="s">
        <v>116</v>
      </c>
      <c r="DN2" s="16" t="s">
        <v>117</v>
      </c>
      <c r="DO2" s="16" t="s">
        <v>118</v>
      </c>
      <c r="DP2" s="16" t="s">
        <v>119</v>
      </c>
      <c r="DQ2" s="16" t="s">
        <v>120</v>
      </c>
      <c r="DR2" s="16" t="s">
        <v>121</v>
      </c>
      <c r="DS2" s="16" t="s">
        <v>122</v>
      </c>
      <c r="DT2" s="16" t="s">
        <v>123</v>
      </c>
      <c r="DU2" s="16" t="s">
        <v>124</v>
      </c>
      <c r="DV2" s="16" t="s">
        <v>125</v>
      </c>
      <c r="DW2" s="16" t="s">
        <v>126</v>
      </c>
      <c r="DX2" s="16" t="s">
        <v>127</v>
      </c>
      <c r="DY2" s="16" t="s">
        <v>128</v>
      </c>
      <c r="DZ2" s="16" t="s">
        <v>129</v>
      </c>
      <c r="EA2" s="16" t="s">
        <v>130</v>
      </c>
      <c r="EB2" s="16" t="s">
        <v>131</v>
      </c>
      <c r="EC2" s="16" t="s">
        <v>132</v>
      </c>
      <c r="ED2" s="17" t="s">
        <v>133</v>
      </c>
      <c r="EE2" s="17" t="s">
        <v>134</v>
      </c>
      <c r="EF2" s="13" t="s">
        <v>135</v>
      </c>
    </row>
    <row r="3" spans="1:139" ht="16">
      <c r="A3" s="4"/>
      <c r="B3" s="6" t="s">
        <v>136</v>
      </c>
      <c r="C3" s="23">
        <v>7.3912657797336578E-2</v>
      </c>
      <c r="D3" s="23">
        <v>7.563493400812149E-2</v>
      </c>
      <c r="E3" s="23">
        <v>5.3515486419200897E-2</v>
      </c>
      <c r="F3" s="23">
        <v>6.1629988253116608E-2</v>
      </c>
      <c r="G3" s="23">
        <v>5.0796419382095337E-2</v>
      </c>
      <c r="H3" s="23">
        <v>3.5059131681919098E-2</v>
      </c>
      <c r="I3" s="23">
        <v>9.0367138385772705E-2</v>
      </c>
      <c r="J3" s="23">
        <v>6.5266318619251251E-2</v>
      </c>
      <c r="K3" s="23">
        <v>-1.2474538758397101E-2</v>
      </c>
      <c r="L3" s="23">
        <v>7.7547639608383179E-2</v>
      </c>
      <c r="M3" s="23">
        <v>6.4441181719303131E-2</v>
      </c>
      <c r="N3" s="23">
        <v>4.6512190252542503E-2</v>
      </c>
      <c r="O3" s="23">
        <v>6.7610271275043488E-2</v>
      </c>
      <c r="P3" s="23">
        <v>-2.5644939392805099E-2</v>
      </c>
      <c r="Q3" s="23">
        <v>3.3374421298503883E-2</v>
      </c>
      <c r="R3" s="23">
        <v>5.7588163763284683E-2</v>
      </c>
      <c r="S3" s="23">
        <v>-3.4195460379123688E-2</v>
      </c>
      <c r="T3" s="23">
        <v>5.8177851140499108E-2</v>
      </c>
      <c r="U3" s="23">
        <v>3.8116455078125E-2</v>
      </c>
      <c r="V3" s="23">
        <v>-5.5063976906239986E-3</v>
      </c>
      <c r="W3" s="23">
        <v>5.813661590218544E-2</v>
      </c>
      <c r="X3" s="23">
        <v>5.6870419532060623E-2</v>
      </c>
      <c r="Y3" s="23">
        <v>5.9794772416353233E-2</v>
      </c>
      <c r="Z3" s="23">
        <v>1.319171953946352E-2</v>
      </c>
      <c r="AA3" s="23">
        <v>6.6306374967098236E-2</v>
      </c>
      <c r="AB3" s="23">
        <v>5.8820508420467377E-2</v>
      </c>
      <c r="AC3" s="23">
        <v>5.7617776095867157E-2</v>
      </c>
      <c r="AD3" s="23">
        <v>3.6969933658838272E-2</v>
      </c>
      <c r="AE3" s="23">
        <v>7.8433975577354431E-2</v>
      </c>
      <c r="AF3" s="23">
        <v>4.3248169124126427E-2</v>
      </c>
      <c r="AG3" s="23">
        <v>5.5671926587820053E-2</v>
      </c>
      <c r="AH3" s="23">
        <v>1.690743304789066E-2</v>
      </c>
      <c r="AI3" s="23">
        <v>3.7138056010007858E-2</v>
      </c>
      <c r="AJ3" s="23">
        <v>3.9113327860832207E-2</v>
      </c>
      <c r="AK3" s="23">
        <v>4.2720824480056763E-2</v>
      </c>
      <c r="AL3" s="23">
        <v>2.7467237785458561E-2</v>
      </c>
      <c r="AM3" s="23">
        <v>5.331827700138092E-2</v>
      </c>
      <c r="AN3" s="23">
        <v>0.1098324954509735</v>
      </c>
      <c r="AO3" s="23">
        <v>1.9733672961592671E-2</v>
      </c>
      <c r="AP3" s="23">
        <v>3.6758668720722198E-2</v>
      </c>
      <c r="AQ3" s="23">
        <v>5.1327180117368698E-2</v>
      </c>
      <c r="AR3" s="23">
        <v>5.3256317973136902E-2</v>
      </c>
      <c r="AS3" s="23">
        <v>5.4331317543983459E-2</v>
      </c>
      <c r="AT3" s="23">
        <v>4.3143793940544128E-2</v>
      </c>
      <c r="AU3" s="23">
        <v>3.8841631263494492E-2</v>
      </c>
      <c r="AV3" s="23">
        <v>5.5265516042709351E-2</v>
      </c>
      <c r="AW3" s="23">
        <v>5.0267204642295837E-2</v>
      </c>
      <c r="AX3" s="23">
        <v>-6.0497067868709557E-2</v>
      </c>
      <c r="AY3" s="23">
        <v>5.6344892829656601E-2</v>
      </c>
      <c r="AZ3" s="23">
        <v>4.4756263494491577E-2</v>
      </c>
      <c r="BA3" s="23">
        <v>4.9546454101800919E-2</v>
      </c>
      <c r="BB3" s="23">
        <v>6.5231695771217346E-2</v>
      </c>
      <c r="BC3" s="23">
        <v>5.2208933979272842E-2</v>
      </c>
      <c r="BD3" s="23">
        <v>5.0287269055843353E-2</v>
      </c>
      <c r="BE3" s="23">
        <v>5.3227733820676797E-2</v>
      </c>
      <c r="BF3" s="23">
        <v>5.2831601351499557E-2</v>
      </c>
      <c r="BG3" s="23">
        <v>-2.2505151107907299E-2</v>
      </c>
      <c r="BH3" s="23">
        <v>5.3355973213911063E-2</v>
      </c>
      <c r="BI3" s="23">
        <v>-4.2333740741014481E-2</v>
      </c>
      <c r="BJ3" s="23">
        <v>-4.1621774435043328E-2</v>
      </c>
      <c r="BK3" s="23">
        <v>5.2732300013303757E-2</v>
      </c>
      <c r="BL3" s="23">
        <v>5.2711453288793557E-2</v>
      </c>
      <c r="BM3" s="23">
        <v>5.2789580076932907E-2</v>
      </c>
      <c r="BN3" s="23">
        <v>5.7516373693943017E-2</v>
      </c>
      <c r="BO3" s="23">
        <v>-4.2583651840686798E-2</v>
      </c>
      <c r="BP3" s="23">
        <v>3.996393084526062E-2</v>
      </c>
      <c r="BQ3" s="23">
        <v>5.2070382982492447E-2</v>
      </c>
      <c r="BR3" s="23">
        <v>5.0181154161691673E-2</v>
      </c>
      <c r="BS3" s="23">
        <v>5.4154157638549798E-2</v>
      </c>
      <c r="BT3" s="23">
        <v>4.9134161323308938E-2</v>
      </c>
      <c r="BU3" s="23">
        <v>5.5349864065647132E-2</v>
      </c>
      <c r="BV3" s="23">
        <v>5.2839476615190513E-2</v>
      </c>
      <c r="BW3" s="23">
        <v>2.9234826564788818E-2</v>
      </c>
      <c r="BX3" s="23">
        <v>4.7284010797739029E-2</v>
      </c>
      <c r="BY3" s="23">
        <v>-4.2058713734149933E-3</v>
      </c>
      <c r="BZ3" s="23">
        <v>5.3063441067934043E-2</v>
      </c>
      <c r="CA3" s="23">
        <v>3.9631478488445282E-2</v>
      </c>
      <c r="CB3" s="23">
        <v>4.600171372294426E-2</v>
      </c>
      <c r="CC3" s="23">
        <v>5.1699593663215637E-2</v>
      </c>
      <c r="CD3" s="23">
        <v>5.2426740527153022E-2</v>
      </c>
      <c r="CE3" s="23">
        <v>4.7352515161037452E-2</v>
      </c>
      <c r="CF3" s="23">
        <v>2.1231763064861301E-2</v>
      </c>
      <c r="CG3" s="23">
        <v>4.5137140899896622E-2</v>
      </c>
      <c r="CH3" s="23">
        <v>-4.9076564610004432E-2</v>
      </c>
      <c r="CI3" s="23">
        <v>2.026702277362347E-2</v>
      </c>
      <c r="CJ3" s="23">
        <v>5.7584956288337708E-2</v>
      </c>
      <c r="CK3" s="23">
        <v>6.9196119904518127E-2</v>
      </c>
      <c r="CL3" s="23">
        <v>4.2080968618392937E-2</v>
      </c>
      <c r="CM3" s="23">
        <v>4.9845971167087548E-2</v>
      </c>
      <c r="CN3" s="23">
        <v>-4.840879887342453E-2</v>
      </c>
      <c r="CO3" s="23">
        <v>4.8292059451341629E-2</v>
      </c>
      <c r="CP3" s="23">
        <v>3.9594132453203201E-2</v>
      </c>
      <c r="CQ3" s="23">
        <v>4.8842102289199829E-2</v>
      </c>
      <c r="CR3" s="23">
        <v>4.9500271677970893E-2</v>
      </c>
      <c r="CS3" s="23">
        <v>4.7897454351186752E-2</v>
      </c>
      <c r="CT3" s="23">
        <v>2.8369873762130741E-2</v>
      </c>
      <c r="CU3" s="23">
        <v>4.4375255703926093E-2</v>
      </c>
      <c r="CV3" s="23">
        <v>5.0530951470136642E-2</v>
      </c>
      <c r="CW3" s="23">
        <v>4.3176311999559402E-2</v>
      </c>
      <c r="CX3" s="23">
        <v>5.2143923938274377E-2</v>
      </c>
      <c r="CY3" s="23">
        <v>5.0900701433420181E-2</v>
      </c>
      <c r="CZ3" s="23">
        <v>4.2558174580335617E-2</v>
      </c>
      <c r="DA3" s="23">
        <v>4.4029783457517617E-2</v>
      </c>
      <c r="DB3" s="23">
        <v>-4.3919529765844352E-2</v>
      </c>
      <c r="DC3" s="23">
        <v>5.1982991397380829E-2</v>
      </c>
      <c r="DD3" s="23">
        <v>-8.4397029131650925E-3</v>
      </c>
      <c r="DE3" s="23">
        <v>5.2998926490545273E-2</v>
      </c>
      <c r="DF3" s="23">
        <v>4.4837679713964462E-2</v>
      </c>
      <c r="DG3" s="23">
        <v>4.3406125158071518E-2</v>
      </c>
      <c r="DH3" s="23">
        <v>4.7541145235300057E-2</v>
      </c>
      <c r="DI3" s="23">
        <v>4.8345033079385757E-2</v>
      </c>
      <c r="DJ3" s="23">
        <v>5.2155863493680947E-2</v>
      </c>
      <c r="DK3" s="23">
        <v>8.9188195765018463E-2</v>
      </c>
      <c r="DL3" s="23">
        <v>-2.6696257293224331E-2</v>
      </c>
      <c r="DM3" s="23">
        <v>4.845760390162468E-2</v>
      </c>
      <c r="DN3" s="23">
        <v>4.64659184217453E-2</v>
      </c>
      <c r="DO3" s="23">
        <v>-2.9918596148490909E-2</v>
      </c>
      <c r="DP3" s="23">
        <v>4.7435946762561798E-2</v>
      </c>
      <c r="DQ3" s="23">
        <v>3.8500402122735977E-2</v>
      </c>
      <c r="DR3" s="23">
        <v>4.9186587333679199E-2</v>
      </c>
      <c r="DS3" s="23">
        <v>4.7889348119497299E-2</v>
      </c>
      <c r="DT3" s="23">
        <v>3.1652722507715232E-2</v>
      </c>
      <c r="DU3" s="23">
        <v>6.1842098832130432E-2</v>
      </c>
      <c r="DV3" s="23">
        <v>4.6563606709241867E-2</v>
      </c>
      <c r="DW3" s="23">
        <v>3.2814890146255493E-2</v>
      </c>
      <c r="DX3" s="23">
        <v>4.826011136174202E-2</v>
      </c>
      <c r="DY3" s="23">
        <v>-5.6952420622110367E-2</v>
      </c>
      <c r="DZ3" s="23">
        <v>3.3931814134120941E-2</v>
      </c>
      <c r="EA3" s="23">
        <v>4.8233494162559509E-2</v>
      </c>
      <c r="EB3" s="23">
        <v>9.788920171558857E-3</v>
      </c>
      <c r="EC3" s="23">
        <v>3.6156386137008667E-2</v>
      </c>
      <c r="ED3" s="23">
        <v>4.0190532803535461E-2</v>
      </c>
      <c r="EE3" s="24">
        <v>4.7531653195619583E-2</v>
      </c>
      <c r="EF3" s="23">
        <v>5.0330590456724167E-2</v>
      </c>
    </row>
    <row r="4" spans="1:139" ht="16">
      <c r="A4" s="4"/>
      <c r="B4" s="6" t="s">
        <v>137</v>
      </c>
      <c r="C4" s="23">
        <v>1.097527518868446E-2</v>
      </c>
      <c r="D4" s="23">
        <v>-4.8196077346801758E-2</v>
      </c>
      <c r="E4" s="23">
        <v>8.2988262176513672E-2</v>
      </c>
      <c r="F4" s="23">
        <v>3.8252770900726318E-2</v>
      </c>
      <c r="G4" s="23">
        <v>5.0002194941043847E-2</v>
      </c>
      <c r="H4" s="23">
        <v>1.3410039246082309E-2</v>
      </c>
      <c r="I4" s="23">
        <v>-2.6064049452543259E-2</v>
      </c>
      <c r="J4" s="23">
        <v>-3.02179642021656E-2</v>
      </c>
      <c r="K4" s="23">
        <v>-3.3898375928401947E-2</v>
      </c>
      <c r="L4" s="23">
        <v>-3.984282910823822E-2</v>
      </c>
      <c r="M4" s="23">
        <v>-4.3122667819261551E-2</v>
      </c>
      <c r="N4" s="23">
        <v>4.2018979787826538E-2</v>
      </c>
      <c r="O4" s="23">
        <v>-3.4795396029949188E-2</v>
      </c>
      <c r="P4" s="23">
        <v>-4.6467673033475883E-2</v>
      </c>
      <c r="Q4" s="23">
        <v>-6.1648782342672348E-2</v>
      </c>
      <c r="R4" s="23">
        <v>-3.4485667943954468E-2</v>
      </c>
      <c r="S4" s="23">
        <v>-2.5171820074319839E-2</v>
      </c>
      <c r="T4" s="23">
        <v>-3.7345178425312042E-2</v>
      </c>
      <c r="U4" s="23">
        <v>8.309655636548996E-2</v>
      </c>
      <c r="V4" s="23">
        <v>8.9860610663890839E-2</v>
      </c>
      <c r="W4" s="23">
        <v>-2.792869508266449E-2</v>
      </c>
      <c r="X4" s="23">
        <v>8.2243978977203369E-2</v>
      </c>
      <c r="Y4" s="23">
        <v>-7.1789160370826721E-2</v>
      </c>
      <c r="Z4" s="23">
        <v>-3.0311709269881248E-2</v>
      </c>
      <c r="AA4" s="23">
        <v>3.6390047520399087E-2</v>
      </c>
      <c r="AB4" s="23">
        <v>3.8148783147335052E-2</v>
      </c>
      <c r="AC4" s="23">
        <v>-2.473837323486805E-2</v>
      </c>
      <c r="AD4" s="23">
        <v>-9.8738029599189758E-2</v>
      </c>
      <c r="AE4" s="23">
        <v>-4.4849235564470291E-2</v>
      </c>
      <c r="AF4" s="23">
        <v>-4.4075444340705872E-2</v>
      </c>
      <c r="AG4" s="23">
        <v>-2.9871419072151181E-2</v>
      </c>
      <c r="AH4" s="23">
        <v>1.6651395708322528E-2</v>
      </c>
      <c r="AI4" s="23">
        <v>2.7999542653560638E-2</v>
      </c>
      <c r="AJ4" s="23">
        <v>-1.5782922506332401E-2</v>
      </c>
      <c r="AK4" s="23">
        <v>-9.3165159225463867E-2</v>
      </c>
      <c r="AL4" s="23">
        <v>5.6960459798574448E-2</v>
      </c>
      <c r="AM4" s="23">
        <v>-2.980230376124382E-2</v>
      </c>
      <c r="AN4" s="23">
        <v>-3.7541721016168587E-2</v>
      </c>
      <c r="AO4" s="23">
        <v>1.405663043260574E-2</v>
      </c>
      <c r="AP4" s="23">
        <v>2.8084170073270801E-2</v>
      </c>
      <c r="AQ4" s="23">
        <v>-2.095661498606205E-2</v>
      </c>
      <c r="AR4" s="23">
        <v>-3.324919193983078E-2</v>
      </c>
      <c r="AS4" s="23">
        <v>2.9234178364276889E-2</v>
      </c>
      <c r="AT4" s="23">
        <v>-3.8568161427974701E-2</v>
      </c>
      <c r="AU4" s="23">
        <v>-3.052850067615509E-2</v>
      </c>
      <c r="AV4" s="23">
        <v>-3.2747495919466019E-2</v>
      </c>
      <c r="AW4" s="23">
        <v>4.592633992433548E-2</v>
      </c>
      <c r="AX4" s="23">
        <v>-3.4888666123151779E-2</v>
      </c>
      <c r="AY4" s="23">
        <v>-3.4154564142227173E-2</v>
      </c>
      <c r="AZ4" s="23">
        <v>2.5950407609343529E-2</v>
      </c>
      <c r="BA4" s="23">
        <v>-3.119267150759697E-2</v>
      </c>
      <c r="BB4" s="23">
        <v>-8.7475843727588654E-2</v>
      </c>
      <c r="BC4" s="23">
        <v>3.5330057144165039E-2</v>
      </c>
      <c r="BD4" s="23">
        <v>-3.112911619246006E-2</v>
      </c>
      <c r="BE4" s="23">
        <v>-5.4915815591812127E-2</v>
      </c>
      <c r="BF4" s="23">
        <v>-3.1478296965360641E-2</v>
      </c>
      <c r="BG4" s="23">
        <v>-4.006657749414444E-2</v>
      </c>
      <c r="BH4" s="23">
        <v>3.062369488179684E-2</v>
      </c>
      <c r="BI4" s="23">
        <v>-3.1123528257012371E-2</v>
      </c>
      <c r="BJ4" s="23">
        <v>-3.0040133744478229E-2</v>
      </c>
      <c r="BK4" s="23">
        <v>-4.1486956179141998E-2</v>
      </c>
      <c r="BL4" s="23">
        <v>3.9935577660799033E-2</v>
      </c>
      <c r="BM4" s="23">
        <v>1.8027245998382568E-2</v>
      </c>
      <c r="BN4" s="23">
        <v>-0.1043956056237221</v>
      </c>
      <c r="BO4" s="23">
        <v>6.9876932539045811E-3</v>
      </c>
      <c r="BP4" s="23">
        <v>4.6952194534242153E-3</v>
      </c>
      <c r="BQ4" s="23">
        <v>1.519524399191141E-2</v>
      </c>
      <c r="BR4" s="23">
        <v>-7.3001924902200699E-3</v>
      </c>
      <c r="BS4" s="23">
        <v>-4.3473392724990838E-2</v>
      </c>
      <c r="BT4" s="23">
        <v>4.9916800111532211E-2</v>
      </c>
      <c r="BU4" s="23">
        <v>3.4368544816970832E-2</v>
      </c>
      <c r="BV4" s="23">
        <v>-4.2206816375255578E-2</v>
      </c>
      <c r="BW4" s="23">
        <v>4.0576938539743423E-2</v>
      </c>
      <c r="BX4" s="23">
        <v>0.11351513117551799</v>
      </c>
      <c r="BY4" s="23">
        <v>-6.0964066535234451E-2</v>
      </c>
      <c r="BZ4" s="23">
        <v>7.4336347170174122E-3</v>
      </c>
      <c r="CA4" s="23">
        <v>-3.4166339784860611E-2</v>
      </c>
      <c r="CB4" s="23">
        <v>-4.2827509343624108E-2</v>
      </c>
      <c r="CC4" s="23">
        <v>-4.052165150642395E-2</v>
      </c>
      <c r="CD4" s="23">
        <v>-2.6725079864263531E-2</v>
      </c>
      <c r="CE4" s="23">
        <v>-4.8888608813285828E-2</v>
      </c>
      <c r="CF4" s="23">
        <v>4.5108072459697723E-2</v>
      </c>
      <c r="CG4" s="23">
        <v>3.2500136643648148E-2</v>
      </c>
      <c r="CH4" s="23">
        <v>3.3603519201278693E-2</v>
      </c>
      <c r="CI4" s="23">
        <v>-5.9029228985309601E-2</v>
      </c>
      <c r="CJ4" s="23">
        <v>-3.3231545239686973E-2</v>
      </c>
      <c r="CK4" s="23">
        <v>3.3614955842494958E-2</v>
      </c>
      <c r="CL4" s="23">
        <v>-8.7717965245246887E-2</v>
      </c>
      <c r="CM4" s="23">
        <v>-7.8791035339236259E-3</v>
      </c>
      <c r="CN4" s="23">
        <v>-3.1603436917066567E-2</v>
      </c>
      <c r="CO4" s="23">
        <v>-2.4560306221246719E-2</v>
      </c>
      <c r="CP4" s="23">
        <v>-2.426661737263203E-2</v>
      </c>
      <c r="CQ4" s="23">
        <v>9.8067363724112511E-3</v>
      </c>
      <c r="CR4" s="23">
        <v>7.6525658369064331E-2</v>
      </c>
      <c r="CS4" s="23">
        <v>2.158103883266449E-2</v>
      </c>
      <c r="CT4" s="23">
        <v>2.1532453596591949E-2</v>
      </c>
      <c r="CU4" s="23">
        <v>3.4501176327466958E-2</v>
      </c>
      <c r="CV4" s="23">
        <v>-6.2654152512550354E-2</v>
      </c>
      <c r="CW4" s="23">
        <v>-4.558606818318367E-2</v>
      </c>
      <c r="CX4" s="23">
        <v>-6.5642617642879486E-2</v>
      </c>
      <c r="CY4" s="23">
        <v>6.3649572432041168E-2</v>
      </c>
      <c r="CZ4" s="23">
        <v>-7.8583814203739166E-2</v>
      </c>
      <c r="DA4" s="23">
        <v>-2.812452428042889E-2</v>
      </c>
      <c r="DB4" s="23">
        <v>-5.8803975582122803E-2</v>
      </c>
      <c r="DC4" s="23">
        <v>-3.1962350010871887E-2</v>
      </c>
      <c r="DD4" s="23">
        <v>-3.8284681737422943E-2</v>
      </c>
      <c r="DE4" s="23">
        <v>4.8030544072389603E-2</v>
      </c>
      <c r="DF4" s="23">
        <v>-2.9363507404923439E-2</v>
      </c>
      <c r="DG4" s="23">
        <v>6.0822788625955582E-2</v>
      </c>
      <c r="DH4" s="23">
        <v>-2.8199369087815281E-2</v>
      </c>
      <c r="DI4" s="23">
        <v>-2.9792105779051781E-2</v>
      </c>
      <c r="DJ4" s="23">
        <v>-3.0000817030668259E-2</v>
      </c>
      <c r="DK4" s="23">
        <v>1.032026950269938E-2</v>
      </c>
      <c r="DL4" s="23">
        <v>-4.2281743139028549E-2</v>
      </c>
      <c r="DM4" s="23">
        <v>-4.8086602240800858E-2</v>
      </c>
      <c r="DN4" s="23">
        <v>-1.942399330437183E-2</v>
      </c>
      <c r="DO4" s="23">
        <v>-4.04704250395298E-2</v>
      </c>
      <c r="DP4" s="23">
        <v>-3.4404326230287552E-2</v>
      </c>
      <c r="DQ4" s="23">
        <v>-2.7822112664580349E-2</v>
      </c>
      <c r="DR4" s="23">
        <v>-2.84544937312603E-2</v>
      </c>
      <c r="DS4" s="23">
        <v>-6.9464683532714844E-2</v>
      </c>
      <c r="DT4" s="23">
        <v>-2.8235232457518581E-2</v>
      </c>
      <c r="DU4" s="23">
        <v>5.3089391440153122E-2</v>
      </c>
      <c r="DV4" s="23">
        <v>-2.7063906192779541E-2</v>
      </c>
      <c r="DW4" s="23">
        <v>-2.4401027709245678E-2</v>
      </c>
      <c r="DX4" s="23">
        <v>2.726493868976831E-3</v>
      </c>
      <c r="DY4" s="23">
        <v>4.3977614492177963E-2</v>
      </c>
      <c r="DZ4" s="23">
        <v>-2.4560714140534401E-2</v>
      </c>
      <c r="EA4" s="23">
        <v>-4.7766271978616708E-2</v>
      </c>
      <c r="EB4" s="23">
        <v>-4.1742835193872452E-2</v>
      </c>
      <c r="EC4" s="23">
        <v>-2.8310522437095639E-2</v>
      </c>
      <c r="ED4" s="23">
        <v>-2.4022841826081279E-2</v>
      </c>
      <c r="EE4" s="23">
        <v>0.11009947955608369</v>
      </c>
      <c r="EF4" s="23">
        <v>-2.9047638177871701E-2</v>
      </c>
    </row>
    <row r="5" spans="1:139" ht="16">
      <c r="A5" s="4"/>
      <c r="B5" s="22" t="s">
        <v>138</v>
      </c>
      <c r="C5" s="23">
        <v>-2.4425527080893521E-3</v>
      </c>
      <c r="D5" s="23">
        <v>-2.162628248333931E-2</v>
      </c>
      <c r="E5" s="23">
        <v>-5.3863544017076492E-3</v>
      </c>
      <c r="F5" s="23">
        <v>-5.3014284931123257E-3</v>
      </c>
      <c r="G5" s="23">
        <v>3.1814873218536377E-2</v>
      </c>
      <c r="H5" s="23">
        <v>5.7366847991943359E-2</v>
      </c>
      <c r="I5" s="23">
        <v>-6.6244855523109436E-2</v>
      </c>
      <c r="J5" s="23">
        <v>3.624555841088295E-2</v>
      </c>
      <c r="K5" s="23">
        <v>-7.1708038449287406E-3</v>
      </c>
      <c r="L5" s="23">
        <v>-7.9015763476490974E-3</v>
      </c>
      <c r="M5" s="23">
        <v>7.1032247506082058E-3</v>
      </c>
      <c r="N5" s="23">
        <v>-3.7834208458662033E-2</v>
      </c>
      <c r="O5" s="23">
        <v>2.087398245930672E-2</v>
      </c>
      <c r="P5" s="23">
        <v>1.444438705220819E-3</v>
      </c>
      <c r="Q5" s="23">
        <v>3.0378168448805809E-3</v>
      </c>
      <c r="R5" s="23">
        <v>-4.4238022528588772E-3</v>
      </c>
      <c r="S5" s="23">
        <v>3.937915712594986E-2</v>
      </c>
      <c r="T5" s="23">
        <v>8.250849787145853E-4</v>
      </c>
      <c r="U5" s="23">
        <v>3.7100087851285928E-2</v>
      </c>
      <c r="V5" s="23">
        <v>1.865322515368462E-2</v>
      </c>
      <c r="W5" s="23">
        <v>-6.4136604778468609E-3</v>
      </c>
      <c r="X5" s="23">
        <v>-3.691675141453743E-3</v>
      </c>
      <c r="Y5" s="23">
        <v>-3.8559310138225562E-2</v>
      </c>
      <c r="Z5" s="23">
        <v>-8.7653528898954391E-3</v>
      </c>
      <c r="AA5" s="23">
        <v>-1.000822801142931E-2</v>
      </c>
      <c r="AB5" s="23">
        <v>-8.1863868981599808E-3</v>
      </c>
      <c r="AC5" s="23">
        <v>-4.3017767369747162E-2</v>
      </c>
      <c r="AD5" s="23">
        <v>-1.1843433603644369E-2</v>
      </c>
      <c r="AE5" s="23">
        <v>-3.2743070274591453E-2</v>
      </c>
      <c r="AF5" s="23">
        <v>-1.433323509991169E-2</v>
      </c>
      <c r="AG5" s="23">
        <v>-6.071711890399456E-3</v>
      </c>
      <c r="AH5" s="23">
        <v>7.1172383613884449E-3</v>
      </c>
      <c r="AI5" s="23">
        <v>-3.749270923435688E-3</v>
      </c>
      <c r="AJ5" s="23">
        <v>-3.687632037326694E-3</v>
      </c>
      <c r="AK5" s="23">
        <v>-5.2553778514266014E-3</v>
      </c>
      <c r="AL5" s="23">
        <v>-5.0698723644018173E-3</v>
      </c>
      <c r="AM5" s="23">
        <v>-6.5165474079549313E-3</v>
      </c>
      <c r="AN5" s="23">
        <v>-3.1071184203028679E-3</v>
      </c>
      <c r="AO5" s="23">
        <v>1.016197819262743E-2</v>
      </c>
      <c r="AP5" s="23">
        <v>-5.1280106417834759E-3</v>
      </c>
      <c r="AQ5" s="23">
        <v>-1.493195351213217E-2</v>
      </c>
      <c r="AR5" s="23">
        <v>-4.0432393550872803E-2</v>
      </c>
      <c r="AS5" s="23">
        <v>4.4245671480894089E-2</v>
      </c>
      <c r="AT5" s="23">
        <v>-1.627960242331028E-2</v>
      </c>
      <c r="AU5" s="23">
        <v>-1.177760493010283E-2</v>
      </c>
      <c r="AV5" s="23">
        <v>3.3210780471563339E-2</v>
      </c>
      <c r="AW5" s="23">
        <v>-1.15481223911047E-2</v>
      </c>
      <c r="AX5" s="23">
        <v>1.135891675949097E-2</v>
      </c>
      <c r="AY5" s="23">
        <v>-1.387173542752862E-3</v>
      </c>
      <c r="AZ5" s="23">
        <v>2.6015019044280049E-2</v>
      </c>
      <c r="BA5" s="23">
        <v>-2.783761010505259E-4</v>
      </c>
      <c r="BB5" s="23">
        <v>-7.3484578169882298E-3</v>
      </c>
      <c r="BC5" s="23">
        <v>2.1762042306363578E-3</v>
      </c>
      <c r="BD5" s="23">
        <v>-1.547292340546846E-2</v>
      </c>
      <c r="BE5" s="23">
        <v>-6.5566743724048138E-3</v>
      </c>
      <c r="BF5" s="23">
        <v>1.8655456369742751E-4</v>
      </c>
      <c r="BG5" s="23">
        <v>0.1231109201908112</v>
      </c>
      <c r="BH5" s="23">
        <v>1.567914895713329E-2</v>
      </c>
      <c r="BI5" s="23">
        <v>-4.0477633476257317E-2</v>
      </c>
      <c r="BJ5" s="23">
        <v>-2.2815016563981769E-4</v>
      </c>
      <c r="BK5" s="23">
        <v>-7.1884272620081902E-3</v>
      </c>
      <c r="BL5" s="23">
        <v>-1.8430699128657579E-3</v>
      </c>
      <c r="BM5" s="23">
        <v>-3.9120744913816452E-3</v>
      </c>
      <c r="BN5" s="23">
        <v>-3.5538640804588789E-4</v>
      </c>
      <c r="BO5" s="23">
        <v>-3.8149822503328319E-3</v>
      </c>
      <c r="BP5" s="23">
        <v>3.1992118805646903E-2</v>
      </c>
      <c r="BQ5" s="23">
        <v>8.8122236775234342E-4</v>
      </c>
      <c r="BR5" s="23">
        <v>8.2531711086630821E-4</v>
      </c>
      <c r="BS5" s="23">
        <v>1.15978941321373E-2</v>
      </c>
      <c r="BT5" s="23">
        <v>-1.8043554155156019E-4</v>
      </c>
      <c r="BU5" s="23">
        <v>-3.6622094921767712E-3</v>
      </c>
      <c r="BV5" s="23">
        <v>-1.5918856952339411E-3</v>
      </c>
      <c r="BW5" s="23">
        <v>1.1063155718147749E-2</v>
      </c>
      <c r="BX5" s="23">
        <v>-2.2377460263669491E-3</v>
      </c>
      <c r="BY5" s="23">
        <v>-2.6888400316238399E-3</v>
      </c>
      <c r="BZ5" s="23">
        <v>1.959662884473801E-2</v>
      </c>
      <c r="CA5" s="23">
        <v>-1.708961836993694E-2</v>
      </c>
      <c r="CB5" s="23">
        <v>-1.78644172847271E-2</v>
      </c>
      <c r="CC5" s="23">
        <v>-6.2383759766817093E-2</v>
      </c>
      <c r="CD5" s="23">
        <v>-6.3154017552733421E-3</v>
      </c>
      <c r="CE5" s="23">
        <v>4.7826808877289304E-3</v>
      </c>
      <c r="CF5" s="23">
        <v>-4.4821593910455704E-3</v>
      </c>
      <c r="CG5" s="23">
        <v>1.214408688247204E-2</v>
      </c>
      <c r="CH5" s="23">
        <v>5.5632010102272027E-2</v>
      </c>
      <c r="CI5" s="23">
        <v>-6.089337170124054E-3</v>
      </c>
      <c r="CJ5" s="23">
        <v>4.1742203757166862E-3</v>
      </c>
      <c r="CK5" s="23">
        <v>-5.3255923092365258E-2</v>
      </c>
      <c r="CL5" s="23">
        <v>-3.5227751359343529E-3</v>
      </c>
      <c r="CM5" s="23">
        <v>-1.0564735159277919E-2</v>
      </c>
      <c r="CN5" s="23">
        <v>-1.4071955811232331E-3</v>
      </c>
      <c r="CO5" s="23">
        <v>2.154150977730751E-3</v>
      </c>
      <c r="CP5" s="23">
        <v>-4.1955962777137763E-2</v>
      </c>
      <c r="CQ5" s="23">
        <v>-4.3455613777041444E-3</v>
      </c>
      <c r="CR5" s="23">
        <v>5.5619608610868454E-4</v>
      </c>
      <c r="CS5" s="23">
        <v>-4.6609323471784592E-3</v>
      </c>
      <c r="CT5" s="23">
        <v>-5.460372194647789E-4</v>
      </c>
      <c r="CU5" s="23">
        <v>2.285588905215263E-2</v>
      </c>
      <c r="CV5" s="23">
        <v>1.362518593668938E-2</v>
      </c>
      <c r="CW5" s="23">
        <v>-3.469586838036776E-3</v>
      </c>
      <c r="CX5" s="23">
        <v>-1.9505729433149099E-3</v>
      </c>
      <c r="CY5" s="23">
        <v>-2.4859204422682519E-3</v>
      </c>
      <c r="CZ5" s="23">
        <v>-1.0054910089820619E-3</v>
      </c>
      <c r="DA5" s="23">
        <v>1.2646311894059179E-2</v>
      </c>
      <c r="DB5" s="23">
        <v>-3.145966213196516E-3</v>
      </c>
      <c r="DC5" s="23">
        <v>-3.897595452144742E-3</v>
      </c>
      <c r="DD5" s="23">
        <v>-4.6709622256457814E-3</v>
      </c>
      <c r="DE5" s="23">
        <v>2.2379271686077121E-2</v>
      </c>
      <c r="DF5" s="23">
        <v>-2.2962655872106549E-2</v>
      </c>
      <c r="DG5" s="23">
        <v>-5.475522018969059E-3</v>
      </c>
      <c r="DH5" s="23">
        <v>-4.3155676685273647E-3</v>
      </c>
      <c r="DI5" s="23">
        <v>-1.630075462162495E-2</v>
      </c>
      <c r="DJ5" s="23">
        <v>6.7051458172500134E-3</v>
      </c>
      <c r="DK5" s="23">
        <v>-8.2752257585525513E-3</v>
      </c>
      <c r="DL5" s="23">
        <v>3.0191972851753231E-2</v>
      </c>
      <c r="DM5" s="23">
        <v>-5.071351770311594E-4</v>
      </c>
      <c r="DN5" s="23">
        <v>-3.951698075979948E-3</v>
      </c>
      <c r="DO5" s="23">
        <v>2.990380628034472E-3</v>
      </c>
      <c r="DP5" s="23">
        <v>-6.3493386842310429E-3</v>
      </c>
      <c r="DQ5" s="23">
        <v>-4.0843049064278603E-3</v>
      </c>
      <c r="DR5" s="23">
        <v>-2.2978853434324261E-2</v>
      </c>
      <c r="DS5" s="23">
        <v>1.368343830108643E-3</v>
      </c>
      <c r="DT5" s="23">
        <v>-3.4443521872162819E-4</v>
      </c>
      <c r="DU5" s="23">
        <v>-6.7529221996665001E-3</v>
      </c>
      <c r="DV5" s="23">
        <v>-1.2841427698731421E-2</v>
      </c>
      <c r="DW5" s="23">
        <v>-8.8949445635080338E-3</v>
      </c>
      <c r="DX5" s="23">
        <v>-6.7950468510389328E-3</v>
      </c>
      <c r="DY5" s="23">
        <v>-2.9764331411570311E-3</v>
      </c>
      <c r="DZ5" s="23">
        <v>-2.276478568091989E-3</v>
      </c>
      <c r="EA5" s="23">
        <v>-3.2696472480893139E-3</v>
      </c>
      <c r="EB5" s="23">
        <v>-5.5572022683918476E-3</v>
      </c>
      <c r="EC5" s="23">
        <v>-4.4316230341792107E-3</v>
      </c>
      <c r="ED5" s="23">
        <v>-6.1979256570339203E-3</v>
      </c>
      <c r="EE5" s="23">
        <v>-6.2301061116158962E-3</v>
      </c>
      <c r="EF5" s="23">
        <v>-6.0357367619872093E-3</v>
      </c>
    </row>
    <row r="6" spans="1:139" ht="16">
      <c r="A6" s="73" t="s">
        <v>139</v>
      </c>
      <c r="B6" s="74"/>
      <c r="C6" s="25" cm="1">
        <f t="array" ref="C6">MATCH(MAX(ABS(C3:C5)), ABS(C3:C5), 0)</f>
        <v>1</v>
      </c>
      <c r="D6" s="25" cm="1">
        <f t="array" ref="D6">MATCH(MAX(ABS(D3:D5)), ABS(D3:D5), 0)</f>
        <v>1</v>
      </c>
      <c r="E6" s="25" cm="1">
        <f t="array" ref="E6">MATCH(MAX(ABS(E3:E5)), ABS(E3:E5), 0)</f>
        <v>2</v>
      </c>
      <c r="F6" s="25" cm="1">
        <f t="array" ref="F6">MATCH(MAX(ABS(F3:F5)), ABS(F3:F5), 0)</f>
        <v>1</v>
      </c>
      <c r="G6" s="25" cm="1">
        <f t="array" ref="G6">MATCH(MAX(ABS(G3:G5)), ABS(G3:G5), 0)</f>
        <v>1</v>
      </c>
      <c r="H6" s="25" cm="1">
        <f t="array" ref="H6">MATCH(MAX(ABS(H3:H5)), ABS(H3:H5), 0)</f>
        <v>3</v>
      </c>
      <c r="I6" s="25" cm="1">
        <f t="array" ref="I6">MATCH(MAX(ABS(I3:I5)), ABS(I3:I5), 0)</f>
        <v>1</v>
      </c>
      <c r="J6" s="25" cm="1">
        <f t="array" ref="J6">MATCH(MAX(ABS(J3:J5)), ABS(J3:J5), 0)</f>
        <v>1</v>
      </c>
      <c r="K6" s="25" cm="1">
        <f t="array" ref="K6">MATCH(MAX(ABS(K3:K5)), ABS(K3:K5), 0)</f>
        <v>2</v>
      </c>
      <c r="L6" s="25" cm="1">
        <f t="array" ref="L6">MATCH(MAX(ABS(L3:L5)), ABS(L3:L5), 0)</f>
        <v>1</v>
      </c>
      <c r="M6" s="25" cm="1">
        <f t="array" ref="M6">MATCH(MAX(ABS(M3:M5)), ABS(M3:M5), 0)</f>
        <v>1</v>
      </c>
      <c r="N6" s="25" cm="1">
        <f t="array" ref="N6">MATCH(MAX(ABS(N3:N5)), ABS(N3:N5), 0)</f>
        <v>1</v>
      </c>
      <c r="O6" s="25" cm="1">
        <f t="array" ref="O6">MATCH(MAX(ABS(O3:O5)), ABS(O3:O5), 0)</f>
        <v>1</v>
      </c>
      <c r="P6" s="25" cm="1">
        <f t="array" ref="P6">MATCH(MAX(ABS(P3:P5)), ABS(P3:P5), 0)</f>
        <v>2</v>
      </c>
      <c r="Q6" s="25" cm="1">
        <f t="array" ref="Q6">MATCH(MAX(ABS(Q3:Q5)), ABS(Q3:Q5), 0)</f>
        <v>2</v>
      </c>
      <c r="R6" s="25" cm="1">
        <f t="array" ref="R6">MATCH(MAX(ABS(R3:R5)), ABS(R3:R5), 0)</f>
        <v>1</v>
      </c>
      <c r="S6" s="25" cm="1">
        <f t="array" ref="S6">MATCH(MAX(ABS(S3:S5)), ABS(S3:S5), 0)</f>
        <v>3</v>
      </c>
      <c r="T6" s="25" cm="1">
        <f t="array" ref="T6">MATCH(MAX(ABS(T3:T5)), ABS(T3:T5), 0)</f>
        <v>1</v>
      </c>
      <c r="U6" s="25" cm="1">
        <f t="array" ref="U6">MATCH(MAX(ABS(U3:U5)), ABS(U3:U5), 0)</f>
        <v>2</v>
      </c>
      <c r="V6" s="25" cm="1">
        <f t="array" ref="V6">MATCH(MAX(ABS(V3:V5)), ABS(V3:V5), 0)</f>
        <v>2</v>
      </c>
      <c r="W6" s="25" cm="1">
        <f t="array" ref="W6">MATCH(MAX(ABS(W3:W5)), ABS(W3:W5), 0)</f>
        <v>1</v>
      </c>
      <c r="X6" s="25" cm="1">
        <f t="array" ref="X6">MATCH(MAX(ABS(X3:X5)), ABS(X3:X5), 0)</f>
        <v>2</v>
      </c>
      <c r="Y6" s="25" cm="1">
        <f t="array" ref="Y6">MATCH(MAX(ABS(Y3:Y5)), ABS(Y3:Y5), 0)</f>
        <v>2</v>
      </c>
      <c r="Z6" s="25" cm="1">
        <f t="array" ref="Z6">MATCH(MAX(ABS(Z3:Z5)), ABS(Z3:Z5), 0)</f>
        <v>2</v>
      </c>
      <c r="AA6" s="25" cm="1">
        <f t="array" ref="AA6">MATCH(MAX(ABS(AA3:AA5)), ABS(AA3:AA5), 0)</f>
        <v>1</v>
      </c>
      <c r="AB6" s="25" cm="1">
        <f t="array" ref="AB6">MATCH(MAX(ABS(AB3:AB5)), ABS(AB3:AB5), 0)</f>
        <v>1</v>
      </c>
      <c r="AC6" s="25" cm="1">
        <f t="array" ref="AC6">MATCH(MAX(ABS(AC3:AC5)), ABS(AC3:AC5), 0)</f>
        <v>1</v>
      </c>
      <c r="AD6" s="25" cm="1">
        <f t="array" ref="AD6">MATCH(MAX(ABS(AD3:AD5)), ABS(AD3:AD5), 0)</f>
        <v>2</v>
      </c>
      <c r="AE6" s="25" cm="1">
        <f t="array" ref="AE6">MATCH(MAX(ABS(AE3:AE5)), ABS(AE3:AE5), 0)</f>
        <v>1</v>
      </c>
      <c r="AF6" s="25" cm="1">
        <f t="array" ref="AF6">MATCH(MAX(ABS(AF3:AF5)), ABS(AF3:AF5), 0)</f>
        <v>2</v>
      </c>
      <c r="AG6" s="25" cm="1">
        <f t="array" ref="AG6">MATCH(MAX(ABS(AG3:AG5)), ABS(AG3:AG5), 0)</f>
        <v>1</v>
      </c>
      <c r="AH6" s="25" cm="1">
        <f t="array" ref="AH6">MATCH(MAX(ABS(AH3:AH5)), ABS(AH3:AH5), 0)</f>
        <v>1</v>
      </c>
      <c r="AI6" s="25" cm="1">
        <f t="array" ref="AI6">MATCH(MAX(ABS(AI3:AI5)), ABS(AI3:AI5), 0)</f>
        <v>1</v>
      </c>
      <c r="AJ6" s="25" cm="1">
        <f t="array" ref="AJ6">MATCH(MAX(ABS(AJ3:AJ5)), ABS(AJ3:AJ5), 0)</f>
        <v>1</v>
      </c>
      <c r="AK6" s="25" cm="1">
        <f t="array" ref="AK6">MATCH(MAX(ABS(AK3:AK5)), ABS(AK3:AK5), 0)</f>
        <v>2</v>
      </c>
      <c r="AL6" s="25" cm="1">
        <f t="array" ref="AL6">MATCH(MAX(ABS(AL3:AL5)), ABS(AL3:AL5), 0)</f>
        <v>2</v>
      </c>
      <c r="AM6" s="25" cm="1">
        <f t="array" ref="AM6">MATCH(MAX(ABS(AM3:AM5)), ABS(AM3:AM5), 0)</f>
        <v>1</v>
      </c>
      <c r="AN6" s="25" cm="1">
        <f t="array" ref="AN6">MATCH(MAX(ABS(AN3:AN5)), ABS(AN3:AN5), 0)</f>
        <v>1</v>
      </c>
      <c r="AO6" s="25" cm="1">
        <f t="array" ref="AO6">MATCH(MAX(ABS(AO3:AO5)), ABS(AO3:AO5), 0)</f>
        <v>1</v>
      </c>
      <c r="AP6" s="25" cm="1">
        <f t="array" ref="AP6">MATCH(MAX(ABS(AP3:AP5)), ABS(AP3:AP5), 0)</f>
        <v>1</v>
      </c>
      <c r="AQ6" s="25" cm="1">
        <f t="array" ref="AQ6">MATCH(MAX(ABS(AQ3:AQ5)), ABS(AQ3:AQ5), 0)</f>
        <v>1</v>
      </c>
      <c r="AR6" s="25" cm="1">
        <f t="array" ref="AR6">MATCH(MAX(ABS(AR3:AR5)), ABS(AR3:AR5), 0)</f>
        <v>1</v>
      </c>
      <c r="AS6" s="25" cm="1">
        <f t="array" ref="AS6">MATCH(MAX(ABS(AS3:AS5)), ABS(AS3:AS5), 0)</f>
        <v>1</v>
      </c>
      <c r="AT6" s="25" cm="1">
        <f t="array" ref="AT6">MATCH(MAX(ABS(AT3:AT5)), ABS(AT3:AT5), 0)</f>
        <v>1</v>
      </c>
      <c r="AU6" s="25" cm="1">
        <f t="array" ref="AU6">MATCH(MAX(ABS(AU3:AU5)), ABS(AU3:AU5), 0)</f>
        <v>1</v>
      </c>
      <c r="AV6" s="25" cm="1">
        <f t="array" ref="AV6">MATCH(MAX(ABS(AV3:AV5)), ABS(AV3:AV5), 0)</f>
        <v>1</v>
      </c>
      <c r="AW6" s="25" cm="1">
        <f t="array" ref="AW6">MATCH(MAX(ABS(AW3:AW5)), ABS(AW3:AW5), 0)</f>
        <v>1</v>
      </c>
      <c r="AX6" s="25" cm="1">
        <f t="array" ref="AX6">MATCH(MAX(ABS(AX3:AX5)), ABS(AX3:AX5), 0)</f>
        <v>1</v>
      </c>
      <c r="AY6" s="25" cm="1">
        <f t="array" ref="AY6">MATCH(MAX(ABS(AY3:AY5)), ABS(AY3:AY5), 0)</f>
        <v>1</v>
      </c>
      <c r="AZ6" s="25" cm="1">
        <f t="array" ref="AZ6">MATCH(MAX(ABS(AZ3:AZ5)), ABS(AZ3:AZ5), 0)</f>
        <v>1</v>
      </c>
      <c r="BA6" s="25" cm="1">
        <f t="array" ref="BA6">MATCH(MAX(ABS(BA3:BA5)), ABS(BA3:BA5), 0)</f>
        <v>1</v>
      </c>
      <c r="BB6" s="25" cm="1">
        <f t="array" ref="BB6">MATCH(MAX(ABS(BB3:BB5)), ABS(BB3:BB5), 0)</f>
        <v>2</v>
      </c>
      <c r="BC6" s="25" cm="1">
        <f t="array" ref="BC6">MATCH(MAX(ABS(BC3:BC5)), ABS(BC3:BC5), 0)</f>
        <v>1</v>
      </c>
      <c r="BD6" s="25" cm="1">
        <f t="array" ref="BD6">MATCH(MAX(ABS(BD3:BD5)), ABS(BD3:BD5), 0)</f>
        <v>1</v>
      </c>
      <c r="BE6" s="25" cm="1">
        <f t="array" ref="BE6">MATCH(MAX(ABS(BE3:BE5)), ABS(BE3:BE5), 0)</f>
        <v>2</v>
      </c>
      <c r="BF6" s="25" cm="1">
        <f t="array" ref="BF6">MATCH(MAX(ABS(BF3:BF5)), ABS(BF3:BF5), 0)</f>
        <v>1</v>
      </c>
      <c r="BG6" s="25" cm="1">
        <f t="array" ref="BG6">MATCH(MAX(ABS(BG3:BG5)), ABS(BG3:BG5), 0)</f>
        <v>3</v>
      </c>
      <c r="BH6" s="25" cm="1">
        <f t="array" ref="BH6">MATCH(MAX(ABS(BH3:BH5)), ABS(BH3:BH5), 0)</f>
        <v>1</v>
      </c>
      <c r="BI6" s="25" cm="1">
        <f t="array" ref="BI6">MATCH(MAX(ABS(BI3:BI5)), ABS(BI3:BI5), 0)</f>
        <v>1</v>
      </c>
      <c r="BJ6" s="25" cm="1">
        <f t="array" ref="BJ6">MATCH(MAX(ABS(BJ3:BJ5)), ABS(BJ3:BJ5), 0)</f>
        <v>1</v>
      </c>
      <c r="BK6" s="25" cm="1">
        <f t="array" ref="BK6">MATCH(MAX(ABS(BK3:BK5)), ABS(BK3:BK5), 0)</f>
        <v>1</v>
      </c>
      <c r="BL6" s="25" cm="1">
        <f t="array" ref="BL6">MATCH(MAX(ABS(BL3:BL5)), ABS(BL3:BL5), 0)</f>
        <v>1</v>
      </c>
      <c r="BM6" s="25" cm="1">
        <f t="array" ref="BM6">MATCH(MAX(ABS(BM3:BM5)), ABS(BM3:BM5), 0)</f>
        <v>1</v>
      </c>
      <c r="BN6" s="25" cm="1">
        <f t="array" ref="BN6">MATCH(MAX(ABS(BN3:BN5)), ABS(BN3:BN5), 0)</f>
        <v>2</v>
      </c>
      <c r="BO6" s="25" cm="1">
        <f t="array" ref="BO6">MATCH(MAX(ABS(BO3:BO5)), ABS(BO3:BO5), 0)</f>
        <v>1</v>
      </c>
      <c r="BP6" s="25" cm="1">
        <f t="array" ref="BP6">MATCH(MAX(ABS(BP3:BP5)), ABS(BP3:BP5), 0)</f>
        <v>1</v>
      </c>
      <c r="BQ6" s="25" cm="1">
        <f t="array" ref="BQ6">MATCH(MAX(ABS(BQ3:BQ5)), ABS(BQ3:BQ5), 0)</f>
        <v>1</v>
      </c>
      <c r="BR6" s="25" cm="1">
        <f t="array" ref="BR6">MATCH(MAX(ABS(BR3:BR5)), ABS(BR3:BR5), 0)</f>
        <v>1</v>
      </c>
      <c r="BS6" s="25" cm="1">
        <f t="array" ref="BS6">MATCH(MAX(ABS(BS3:BS5)), ABS(BS3:BS5), 0)</f>
        <v>1</v>
      </c>
      <c r="BT6" s="25" cm="1">
        <f t="array" ref="BT6">MATCH(MAX(ABS(BT3:BT5)), ABS(BT3:BT5), 0)</f>
        <v>2</v>
      </c>
      <c r="BU6" s="25" cm="1">
        <f t="array" ref="BU6">MATCH(MAX(ABS(BU3:BU5)), ABS(BU3:BU5), 0)</f>
        <v>1</v>
      </c>
      <c r="BV6" s="25" cm="1">
        <f t="array" ref="BV6">MATCH(MAX(ABS(BV3:BV5)), ABS(BV3:BV5), 0)</f>
        <v>1</v>
      </c>
      <c r="BW6" s="25" cm="1">
        <f t="array" ref="BW6">MATCH(MAX(ABS(BW3:BW5)), ABS(BW3:BW5), 0)</f>
        <v>2</v>
      </c>
      <c r="BX6" s="25" cm="1">
        <f t="array" ref="BX6">MATCH(MAX(ABS(BX3:BX5)), ABS(BX3:BX5), 0)</f>
        <v>2</v>
      </c>
      <c r="BY6" s="25" cm="1">
        <f t="array" ref="BY6">MATCH(MAX(ABS(BY3:BY5)), ABS(BY3:BY5), 0)</f>
        <v>2</v>
      </c>
      <c r="BZ6" s="25" cm="1">
        <f t="array" ref="BZ6">MATCH(MAX(ABS(BZ3:BZ5)), ABS(BZ3:BZ5), 0)</f>
        <v>1</v>
      </c>
      <c r="CA6" s="25" cm="1">
        <f t="array" ref="CA6">MATCH(MAX(ABS(CA3:CA5)), ABS(CA3:CA5), 0)</f>
        <v>1</v>
      </c>
      <c r="CB6" s="25" cm="1">
        <f t="array" ref="CB6">MATCH(MAX(ABS(CB3:CB5)), ABS(CB3:CB5), 0)</f>
        <v>1</v>
      </c>
      <c r="CC6" s="25" cm="1">
        <f t="array" ref="CC6">MATCH(MAX(ABS(CC3:CC5)), ABS(CC3:CC5), 0)</f>
        <v>3</v>
      </c>
      <c r="CD6" s="25" cm="1">
        <f t="array" ref="CD6">MATCH(MAX(ABS(CD3:CD5)), ABS(CD3:CD5), 0)</f>
        <v>1</v>
      </c>
      <c r="CE6" s="25" cm="1">
        <f t="array" ref="CE6">MATCH(MAX(ABS(CE3:CE5)), ABS(CE3:CE5), 0)</f>
        <v>2</v>
      </c>
      <c r="CF6" s="25" cm="1">
        <f t="array" ref="CF6">MATCH(MAX(ABS(CF3:CF5)), ABS(CF3:CF5), 0)</f>
        <v>2</v>
      </c>
      <c r="CG6" s="25" cm="1">
        <f t="array" ref="CG6">MATCH(MAX(ABS(CG3:CG5)), ABS(CG3:CG5), 0)</f>
        <v>1</v>
      </c>
      <c r="CH6" s="25" cm="1">
        <f t="array" ref="CH6">MATCH(MAX(ABS(CH3:CH5)), ABS(CH3:CH5), 0)</f>
        <v>3</v>
      </c>
      <c r="CI6" s="25" cm="1">
        <f t="array" ref="CI6">MATCH(MAX(ABS(CI3:CI5)), ABS(CI3:CI5), 0)</f>
        <v>2</v>
      </c>
      <c r="CJ6" s="25" cm="1">
        <f t="array" ref="CJ6">MATCH(MAX(ABS(CJ3:CJ5)), ABS(CJ3:CJ5), 0)</f>
        <v>1</v>
      </c>
      <c r="CK6" s="25" cm="1">
        <f t="array" ref="CK6">MATCH(MAX(ABS(CK3:CK5)), ABS(CK3:CK5), 0)</f>
        <v>1</v>
      </c>
      <c r="CL6" s="25" cm="1">
        <f t="array" ref="CL6">MATCH(MAX(ABS(CL3:CL5)), ABS(CL3:CL5), 0)</f>
        <v>2</v>
      </c>
      <c r="CM6" s="25" cm="1">
        <f t="array" ref="CM6">MATCH(MAX(ABS(CM3:CM5)), ABS(CM3:CM5), 0)</f>
        <v>1</v>
      </c>
      <c r="CN6" s="25" cm="1">
        <f t="array" ref="CN6">MATCH(MAX(ABS(CN3:CN5)), ABS(CN3:CN5), 0)</f>
        <v>1</v>
      </c>
      <c r="CO6" s="25" cm="1">
        <f t="array" ref="CO6">MATCH(MAX(ABS(CO3:CO5)), ABS(CO3:CO5), 0)</f>
        <v>1</v>
      </c>
      <c r="CP6" s="25" cm="1">
        <f t="array" ref="CP6">MATCH(MAX(ABS(CP3:CP5)), ABS(CP3:CP5), 0)</f>
        <v>3</v>
      </c>
      <c r="CQ6" s="25" cm="1">
        <f t="array" ref="CQ6">MATCH(MAX(ABS(CQ3:CQ5)), ABS(CQ3:CQ5), 0)</f>
        <v>1</v>
      </c>
      <c r="CR6" s="25" cm="1">
        <f t="array" ref="CR6">MATCH(MAX(ABS(CR3:CR5)), ABS(CR3:CR5), 0)</f>
        <v>2</v>
      </c>
      <c r="CS6" s="25" cm="1">
        <f t="array" ref="CS6">MATCH(MAX(ABS(CS3:CS5)), ABS(CS3:CS5), 0)</f>
        <v>1</v>
      </c>
      <c r="CT6" s="25" cm="1">
        <f t="array" ref="CT6">MATCH(MAX(ABS(CT3:CT5)), ABS(CT3:CT5), 0)</f>
        <v>1</v>
      </c>
      <c r="CU6" s="25" cm="1">
        <f t="array" ref="CU6">MATCH(MAX(ABS(CU3:CU5)), ABS(CU3:CU5), 0)</f>
        <v>1</v>
      </c>
      <c r="CV6" s="25" cm="1">
        <f t="array" ref="CV6">MATCH(MAX(ABS(CV3:CV5)), ABS(CV3:CV5), 0)</f>
        <v>2</v>
      </c>
      <c r="CW6" s="25" cm="1">
        <f t="array" ref="CW6">MATCH(MAX(ABS(CW3:CW5)), ABS(CW3:CW5), 0)</f>
        <v>2</v>
      </c>
      <c r="CX6" s="25" cm="1">
        <f t="array" ref="CX6">MATCH(MAX(ABS(CX3:CX5)), ABS(CX3:CX5), 0)</f>
        <v>2</v>
      </c>
      <c r="CY6" s="25" cm="1">
        <f t="array" ref="CY6">MATCH(MAX(ABS(CY3:CY5)), ABS(CY3:CY5), 0)</f>
        <v>2</v>
      </c>
      <c r="CZ6" s="25" cm="1">
        <f t="array" ref="CZ6">MATCH(MAX(ABS(CZ3:CZ5)), ABS(CZ3:CZ5), 0)</f>
        <v>2</v>
      </c>
      <c r="DA6" s="25" cm="1">
        <f t="array" ref="DA6">MATCH(MAX(ABS(DA3:DA5)), ABS(DA3:DA5), 0)</f>
        <v>1</v>
      </c>
      <c r="DB6" s="25" cm="1">
        <f t="array" ref="DB6">MATCH(MAX(ABS(DB3:DB5)), ABS(DB3:DB5), 0)</f>
        <v>2</v>
      </c>
      <c r="DC6" s="25" cm="1">
        <f t="array" ref="DC6">MATCH(MAX(ABS(DC3:DC5)), ABS(DC3:DC5), 0)</f>
        <v>1</v>
      </c>
      <c r="DD6" s="25" cm="1">
        <f t="array" ref="DD6">MATCH(MAX(ABS(DD3:DD5)), ABS(DD3:DD5), 0)</f>
        <v>2</v>
      </c>
      <c r="DE6" s="25" cm="1">
        <f t="array" ref="DE6">MATCH(MAX(ABS(DE3:DE5)), ABS(DE3:DE5), 0)</f>
        <v>1</v>
      </c>
      <c r="DF6" s="25" cm="1">
        <f t="array" ref="DF6">MATCH(MAX(ABS(DF3:DF5)), ABS(DF3:DF5), 0)</f>
        <v>1</v>
      </c>
      <c r="DG6" s="25" cm="1">
        <f t="array" ref="DG6">MATCH(MAX(ABS(DG3:DG5)), ABS(DG3:DG5), 0)</f>
        <v>2</v>
      </c>
      <c r="DH6" s="25" cm="1">
        <f t="array" ref="DH6">MATCH(MAX(ABS(DH3:DH5)), ABS(DH3:DH5), 0)</f>
        <v>1</v>
      </c>
      <c r="DI6" s="25" cm="1">
        <f t="array" ref="DI6">MATCH(MAX(ABS(DI3:DI5)), ABS(DI3:DI5), 0)</f>
        <v>1</v>
      </c>
      <c r="DJ6" s="25" cm="1">
        <f t="array" ref="DJ6">MATCH(MAX(ABS(DJ3:DJ5)), ABS(DJ3:DJ5), 0)</f>
        <v>1</v>
      </c>
      <c r="DK6" s="25" cm="1">
        <f t="array" ref="DK6">MATCH(MAX(ABS(DK3:DK5)), ABS(DK3:DK5), 0)</f>
        <v>1</v>
      </c>
      <c r="DL6" s="25" cm="1">
        <f t="array" ref="DL6">MATCH(MAX(ABS(DL3:DL5)), ABS(DL3:DL5), 0)</f>
        <v>2</v>
      </c>
      <c r="DM6" s="25" cm="1">
        <f t="array" ref="DM6">MATCH(MAX(ABS(DM3:DM5)), ABS(DM3:DM5), 0)</f>
        <v>1</v>
      </c>
      <c r="DN6" s="25" cm="1">
        <f t="array" ref="DN6">MATCH(MAX(ABS(DN3:DN5)), ABS(DN3:DN5), 0)</f>
        <v>1</v>
      </c>
      <c r="DO6" s="25" cm="1">
        <f t="array" ref="DO6">MATCH(MAX(ABS(DO3:DO5)), ABS(DO3:DO5), 0)</f>
        <v>2</v>
      </c>
      <c r="DP6" s="25" cm="1">
        <f t="array" ref="DP6">MATCH(MAX(ABS(DP3:DP5)), ABS(DP3:DP5), 0)</f>
        <v>1</v>
      </c>
      <c r="DQ6" s="25" cm="1">
        <f t="array" ref="DQ6">MATCH(MAX(ABS(DQ3:DQ5)), ABS(DQ3:DQ5), 0)</f>
        <v>1</v>
      </c>
      <c r="DR6" s="25" cm="1">
        <f t="array" ref="DR6">MATCH(MAX(ABS(DR3:DR5)), ABS(DR3:DR5), 0)</f>
        <v>1</v>
      </c>
      <c r="DS6" s="25" cm="1">
        <f t="array" ref="DS6">MATCH(MAX(ABS(DS3:DS5)), ABS(DS3:DS5), 0)</f>
        <v>2</v>
      </c>
      <c r="DT6" s="25" cm="1">
        <f t="array" ref="DT6">MATCH(MAX(ABS(DT3:DT5)), ABS(DT3:DT5), 0)</f>
        <v>1</v>
      </c>
      <c r="DU6" s="25" cm="1">
        <f t="array" ref="DU6">MATCH(MAX(ABS(DU3:DU5)), ABS(DU3:DU5), 0)</f>
        <v>1</v>
      </c>
      <c r="DV6" s="25" cm="1">
        <f t="array" ref="DV6">MATCH(MAX(ABS(DV3:DV5)), ABS(DV3:DV5), 0)</f>
        <v>1</v>
      </c>
      <c r="DW6" s="25" cm="1">
        <f t="array" ref="DW6">MATCH(MAX(ABS(DW3:DW5)), ABS(DW3:DW5), 0)</f>
        <v>1</v>
      </c>
      <c r="DX6" s="25" cm="1">
        <f t="array" ref="DX6">MATCH(MAX(ABS(DX3:DX5)), ABS(DX3:DX5), 0)</f>
        <v>1</v>
      </c>
      <c r="DY6" s="25" cm="1">
        <f t="array" ref="DY6">MATCH(MAX(ABS(DY3:DY5)), ABS(DY3:DY5), 0)</f>
        <v>1</v>
      </c>
      <c r="DZ6" s="25" cm="1">
        <f t="array" ref="DZ6">MATCH(MAX(ABS(DZ3:DZ5)), ABS(DZ3:DZ5), 0)</f>
        <v>1</v>
      </c>
      <c r="EA6" s="25" cm="1">
        <f t="array" ref="EA6">MATCH(MAX(ABS(EA3:EA5)), ABS(EA3:EA5), 0)</f>
        <v>1</v>
      </c>
      <c r="EB6" s="25" cm="1">
        <f t="array" ref="EB6">MATCH(MAX(ABS(EB3:EB5)), ABS(EB3:EB5), 0)</f>
        <v>2</v>
      </c>
      <c r="EC6" s="25" cm="1">
        <f t="array" ref="EC6">MATCH(MAX(ABS(EC3:EC5)), ABS(EC3:EC5), 0)</f>
        <v>1</v>
      </c>
      <c r="ED6" s="25" cm="1">
        <f t="array" ref="ED6">MATCH(MAX(ABS(ED3:ED5)), ABS(ED3:ED5), 0)</f>
        <v>1</v>
      </c>
      <c r="EE6" s="25" cm="1">
        <f t="array" ref="EE6">MATCH(MAX(ABS(EE3:EE5)), ABS(EE3:EE5), 0)</f>
        <v>2</v>
      </c>
      <c r="EF6" s="25" cm="1">
        <f t="array" ref="EF6">MATCH(MAX(ABS(EF3:EF5)), ABS(EF3:EF5), 0)</f>
        <v>1</v>
      </c>
    </row>
    <row r="7" spans="1:139" ht="16">
      <c r="A7" s="4"/>
      <c r="B7" s="20"/>
      <c r="C7" s="25" t="str">
        <f>IF(C6=1,"bm",IF(C6=2,"size",IF(C6=3,"mom")))</f>
        <v>bm</v>
      </c>
      <c r="D7" s="25" t="str">
        <f t="shared" ref="D7:BO7" si="0">IF(D6=1,"bm",IF(D6=2,"size",IF(D6=3,"mom")))</f>
        <v>bm</v>
      </c>
      <c r="E7" s="25" t="str">
        <f t="shared" si="0"/>
        <v>size</v>
      </c>
      <c r="F7" s="25" t="str">
        <f t="shared" si="0"/>
        <v>bm</v>
      </c>
      <c r="G7" s="25" t="str">
        <f t="shared" si="0"/>
        <v>bm</v>
      </c>
      <c r="H7" s="25" t="str">
        <f t="shared" si="0"/>
        <v>mom</v>
      </c>
      <c r="I7" s="25" t="str">
        <f t="shared" si="0"/>
        <v>bm</v>
      </c>
      <c r="J7" s="25" t="str">
        <f t="shared" si="0"/>
        <v>bm</v>
      </c>
      <c r="K7" s="25" t="str">
        <f t="shared" si="0"/>
        <v>size</v>
      </c>
      <c r="L7" s="25" t="str">
        <f t="shared" si="0"/>
        <v>bm</v>
      </c>
      <c r="M7" s="25" t="str">
        <f t="shared" si="0"/>
        <v>bm</v>
      </c>
      <c r="N7" s="25" t="str">
        <f t="shared" si="0"/>
        <v>bm</v>
      </c>
      <c r="O7" s="25" t="str">
        <f t="shared" si="0"/>
        <v>bm</v>
      </c>
      <c r="P7" s="25" t="str">
        <f t="shared" si="0"/>
        <v>size</v>
      </c>
      <c r="Q7" s="25" t="str">
        <f t="shared" si="0"/>
        <v>size</v>
      </c>
      <c r="R7" s="25" t="str">
        <f t="shared" si="0"/>
        <v>bm</v>
      </c>
      <c r="S7" s="25" t="str">
        <f t="shared" si="0"/>
        <v>mom</v>
      </c>
      <c r="T7" s="25" t="str">
        <f t="shared" si="0"/>
        <v>bm</v>
      </c>
      <c r="U7" s="25" t="str">
        <f t="shared" si="0"/>
        <v>size</v>
      </c>
      <c r="V7" s="25" t="str">
        <f t="shared" si="0"/>
        <v>size</v>
      </c>
      <c r="W7" s="25" t="str">
        <f t="shared" si="0"/>
        <v>bm</v>
      </c>
      <c r="X7" s="25" t="str">
        <f t="shared" si="0"/>
        <v>size</v>
      </c>
      <c r="Y7" s="25" t="str">
        <f t="shared" si="0"/>
        <v>size</v>
      </c>
      <c r="Z7" s="25" t="str">
        <f t="shared" si="0"/>
        <v>size</v>
      </c>
      <c r="AA7" s="25" t="str">
        <f t="shared" si="0"/>
        <v>bm</v>
      </c>
      <c r="AB7" s="25" t="str">
        <f t="shared" si="0"/>
        <v>bm</v>
      </c>
      <c r="AC7" s="25" t="str">
        <f t="shared" si="0"/>
        <v>bm</v>
      </c>
      <c r="AD7" s="25" t="str">
        <f t="shared" si="0"/>
        <v>size</v>
      </c>
      <c r="AE7" s="25" t="str">
        <f t="shared" si="0"/>
        <v>bm</v>
      </c>
      <c r="AF7" s="25" t="str">
        <f t="shared" si="0"/>
        <v>size</v>
      </c>
      <c r="AG7" s="25" t="str">
        <f t="shared" si="0"/>
        <v>bm</v>
      </c>
      <c r="AH7" s="25" t="str">
        <f t="shared" si="0"/>
        <v>bm</v>
      </c>
      <c r="AI7" s="25" t="str">
        <f t="shared" si="0"/>
        <v>bm</v>
      </c>
      <c r="AJ7" s="25" t="str">
        <f t="shared" si="0"/>
        <v>bm</v>
      </c>
      <c r="AK7" s="25" t="str">
        <f t="shared" si="0"/>
        <v>size</v>
      </c>
      <c r="AL7" s="25" t="str">
        <f t="shared" si="0"/>
        <v>size</v>
      </c>
      <c r="AM7" s="25" t="str">
        <f t="shared" si="0"/>
        <v>bm</v>
      </c>
      <c r="AN7" s="25" t="str">
        <f t="shared" si="0"/>
        <v>bm</v>
      </c>
      <c r="AO7" s="25" t="str">
        <f t="shared" si="0"/>
        <v>bm</v>
      </c>
      <c r="AP7" s="25" t="str">
        <f t="shared" si="0"/>
        <v>bm</v>
      </c>
      <c r="AQ7" s="25" t="str">
        <f t="shared" si="0"/>
        <v>bm</v>
      </c>
      <c r="AR7" s="25" t="str">
        <f t="shared" si="0"/>
        <v>bm</v>
      </c>
      <c r="AS7" s="25" t="str">
        <f t="shared" si="0"/>
        <v>bm</v>
      </c>
      <c r="AT7" s="25" t="str">
        <f t="shared" si="0"/>
        <v>bm</v>
      </c>
      <c r="AU7" s="25" t="str">
        <f t="shared" si="0"/>
        <v>bm</v>
      </c>
      <c r="AV7" s="25" t="str">
        <f t="shared" si="0"/>
        <v>bm</v>
      </c>
      <c r="AW7" s="25" t="str">
        <f t="shared" si="0"/>
        <v>bm</v>
      </c>
      <c r="AX7" s="25" t="str">
        <f t="shared" si="0"/>
        <v>bm</v>
      </c>
      <c r="AY7" s="25" t="str">
        <f t="shared" si="0"/>
        <v>bm</v>
      </c>
      <c r="AZ7" s="25" t="str">
        <f t="shared" si="0"/>
        <v>bm</v>
      </c>
      <c r="BA7" s="25" t="str">
        <f t="shared" si="0"/>
        <v>bm</v>
      </c>
      <c r="BB7" s="25" t="str">
        <f t="shared" si="0"/>
        <v>size</v>
      </c>
      <c r="BC7" s="25" t="str">
        <f t="shared" si="0"/>
        <v>bm</v>
      </c>
      <c r="BD7" s="25" t="str">
        <f t="shared" si="0"/>
        <v>bm</v>
      </c>
      <c r="BE7" s="25" t="str">
        <f t="shared" si="0"/>
        <v>size</v>
      </c>
      <c r="BF7" s="25" t="str">
        <f t="shared" si="0"/>
        <v>bm</v>
      </c>
      <c r="BG7" s="25" t="str">
        <f t="shared" si="0"/>
        <v>mom</v>
      </c>
      <c r="BH7" s="25" t="str">
        <f t="shared" si="0"/>
        <v>bm</v>
      </c>
      <c r="BI7" s="25" t="str">
        <f t="shared" si="0"/>
        <v>bm</v>
      </c>
      <c r="BJ7" s="25" t="str">
        <f t="shared" si="0"/>
        <v>bm</v>
      </c>
      <c r="BK7" s="25" t="str">
        <f t="shared" si="0"/>
        <v>bm</v>
      </c>
      <c r="BL7" s="25" t="str">
        <f t="shared" si="0"/>
        <v>bm</v>
      </c>
      <c r="BM7" s="25" t="str">
        <f t="shared" si="0"/>
        <v>bm</v>
      </c>
      <c r="BN7" s="25" t="str">
        <f t="shared" si="0"/>
        <v>size</v>
      </c>
      <c r="BO7" s="25" t="str">
        <f t="shared" si="0"/>
        <v>bm</v>
      </c>
      <c r="BP7" s="25" t="str">
        <f t="shared" ref="BP7:EA7" si="1">IF(BP6=1,"bm",IF(BP6=2,"size",IF(BP6=3,"mom")))</f>
        <v>bm</v>
      </c>
      <c r="BQ7" s="25" t="str">
        <f t="shared" si="1"/>
        <v>bm</v>
      </c>
      <c r="BR7" s="25" t="str">
        <f t="shared" si="1"/>
        <v>bm</v>
      </c>
      <c r="BS7" s="25" t="str">
        <f t="shared" si="1"/>
        <v>bm</v>
      </c>
      <c r="BT7" s="25" t="str">
        <f t="shared" si="1"/>
        <v>size</v>
      </c>
      <c r="BU7" s="25" t="str">
        <f t="shared" si="1"/>
        <v>bm</v>
      </c>
      <c r="BV7" s="25" t="str">
        <f t="shared" si="1"/>
        <v>bm</v>
      </c>
      <c r="BW7" s="25" t="str">
        <f t="shared" si="1"/>
        <v>size</v>
      </c>
      <c r="BX7" s="25" t="str">
        <f t="shared" si="1"/>
        <v>size</v>
      </c>
      <c r="BY7" s="25" t="str">
        <f t="shared" si="1"/>
        <v>size</v>
      </c>
      <c r="BZ7" s="25" t="str">
        <f t="shared" si="1"/>
        <v>bm</v>
      </c>
      <c r="CA7" s="25" t="str">
        <f t="shared" si="1"/>
        <v>bm</v>
      </c>
      <c r="CB7" s="25" t="str">
        <f t="shared" si="1"/>
        <v>bm</v>
      </c>
      <c r="CC7" s="25" t="str">
        <f t="shared" si="1"/>
        <v>mom</v>
      </c>
      <c r="CD7" s="25" t="str">
        <f t="shared" si="1"/>
        <v>bm</v>
      </c>
      <c r="CE7" s="25" t="str">
        <f t="shared" si="1"/>
        <v>size</v>
      </c>
      <c r="CF7" s="25" t="str">
        <f t="shared" si="1"/>
        <v>size</v>
      </c>
      <c r="CG7" s="25" t="str">
        <f t="shared" si="1"/>
        <v>bm</v>
      </c>
      <c r="CH7" s="25" t="str">
        <f t="shared" si="1"/>
        <v>mom</v>
      </c>
      <c r="CI7" s="25" t="str">
        <f t="shared" si="1"/>
        <v>size</v>
      </c>
      <c r="CJ7" s="25" t="str">
        <f t="shared" si="1"/>
        <v>bm</v>
      </c>
      <c r="CK7" s="25" t="str">
        <f t="shared" si="1"/>
        <v>bm</v>
      </c>
      <c r="CL7" s="25" t="str">
        <f t="shared" si="1"/>
        <v>size</v>
      </c>
      <c r="CM7" s="25" t="str">
        <f t="shared" si="1"/>
        <v>bm</v>
      </c>
      <c r="CN7" s="25" t="str">
        <f t="shared" si="1"/>
        <v>bm</v>
      </c>
      <c r="CO7" s="25" t="str">
        <f t="shared" si="1"/>
        <v>bm</v>
      </c>
      <c r="CP7" s="25" t="str">
        <f t="shared" si="1"/>
        <v>mom</v>
      </c>
      <c r="CQ7" s="25" t="str">
        <f t="shared" si="1"/>
        <v>bm</v>
      </c>
      <c r="CR7" s="25" t="str">
        <f t="shared" si="1"/>
        <v>size</v>
      </c>
      <c r="CS7" s="25" t="str">
        <f t="shared" si="1"/>
        <v>bm</v>
      </c>
      <c r="CT7" s="25" t="str">
        <f t="shared" si="1"/>
        <v>bm</v>
      </c>
      <c r="CU7" s="25" t="str">
        <f t="shared" si="1"/>
        <v>bm</v>
      </c>
      <c r="CV7" s="25" t="str">
        <f t="shared" si="1"/>
        <v>size</v>
      </c>
      <c r="CW7" s="25" t="str">
        <f t="shared" si="1"/>
        <v>size</v>
      </c>
      <c r="CX7" s="25" t="str">
        <f t="shared" si="1"/>
        <v>size</v>
      </c>
      <c r="CY7" s="25" t="str">
        <f t="shared" si="1"/>
        <v>size</v>
      </c>
      <c r="CZ7" s="25" t="str">
        <f t="shared" si="1"/>
        <v>size</v>
      </c>
      <c r="DA7" s="25" t="str">
        <f t="shared" si="1"/>
        <v>bm</v>
      </c>
      <c r="DB7" s="25" t="str">
        <f t="shared" si="1"/>
        <v>size</v>
      </c>
      <c r="DC7" s="25" t="str">
        <f t="shared" si="1"/>
        <v>bm</v>
      </c>
      <c r="DD7" s="25" t="str">
        <f t="shared" si="1"/>
        <v>size</v>
      </c>
      <c r="DE7" s="25" t="str">
        <f t="shared" si="1"/>
        <v>bm</v>
      </c>
      <c r="DF7" s="25" t="str">
        <f t="shared" si="1"/>
        <v>bm</v>
      </c>
      <c r="DG7" s="25" t="str">
        <f t="shared" si="1"/>
        <v>size</v>
      </c>
      <c r="DH7" s="25" t="str">
        <f t="shared" si="1"/>
        <v>bm</v>
      </c>
      <c r="DI7" s="25" t="str">
        <f t="shared" si="1"/>
        <v>bm</v>
      </c>
      <c r="DJ7" s="25" t="str">
        <f t="shared" si="1"/>
        <v>bm</v>
      </c>
      <c r="DK7" s="25" t="str">
        <f t="shared" si="1"/>
        <v>bm</v>
      </c>
      <c r="DL7" s="25" t="str">
        <f t="shared" si="1"/>
        <v>size</v>
      </c>
      <c r="DM7" s="25" t="str">
        <f t="shared" si="1"/>
        <v>bm</v>
      </c>
      <c r="DN7" s="25" t="str">
        <f t="shared" si="1"/>
        <v>bm</v>
      </c>
      <c r="DO7" s="25" t="str">
        <f t="shared" si="1"/>
        <v>size</v>
      </c>
      <c r="DP7" s="25" t="str">
        <f t="shared" si="1"/>
        <v>bm</v>
      </c>
      <c r="DQ7" s="25" t="str">
        <f t="shared" si="1"/>
        <v>bm</v>
      </c>
      <c r="DR7" s="25" t="str">
        <f t="shared" si="1"/>
        <v>bm</v>
      </c>
      <c r="DS7" s="25" t="str">
        <f t="shared" si="1"/>
        <v>size</v>
      </c>
      <c r="DT7" s="25" t="str">
        <f t="shared" si="1"/>
        <v>bm</v>
      </c>
      <c r="DU7" s="25" t="str">
        <f t="shared" si="1"/>
        <v>bm</v>
      </c>
      <c r="DV7" s="25" t="str">
        <f t="shared" si="1"/>
        <v>bm</v>
      </c>
      <c r="DW7" s="25" t="str">
        <f t="shared" si="1"/>
        <v>bm</v>
      </c>
      <c r="DX7" s="25" t="str">
        <f t="shared" si="1"/>
        <v>bm</v>
      </c>
      <c r="DY7" s="25" t="str">
        <f t="shared" si="1"/>
        <v>bm</v>
      </c>
      <c r="DZ7" s="25" t="str">
        <f t="shared" si="1"/>
        <v>bm</v>
      </c>
      <c r="EA7" s="25" t="str">
        <f t="shared" si="1"/>
        <v>bm</v>
      </c>
      <c r="EB7" s="25" t="str">
        <f t="shared" ref="EB7:EF7" si="2">IF(EB6=1,"bm",IF(EB6=2,"size",IF(EB6=3,"mom")))</f>
        <v>size</v>
      </c>
      <c r="EC7" s="25" t="str">
        <f t="shared" si="2"/>
        <v>bm</v>
      </c>
      <c r="ED7" s="25" t="str">
        <f t="shared" si="2"/>
        <v>bm</v>
      </c>
      <c r="EE7" s="25" t="str">
        <f t="shared" si="2"/>
        <v>size</v>
      </c>
      <c r="EF7" s="25" t="str">
        <f t="shared" si="2"/>
        <v>bm</v>
      </c>
    </row>
    <row r="8" spans="1:139" ht="16">
      <c r="A8" s="4"/>
      <c r="B8" s="21"/>
      <c r="C8" s="25">
        <f>IF(C6=1,C3,IF(C6=2,C4,IF(C6=3,C5)))</f>
        <v>7.3912657797336578E-2</v>
      </c>
      <c r="D8" s="25">
        <f t="shared" ref="D8:BO8" si="3">IF(D6=1,D3,IF(D6=2,D4,IF(D6=3,D5)))</f>
        <v>7.563493400812149E-2</v>
      </c>
      <c r="E8" s="25">
        <f t="shared" si="3"/>
        <v>8.2988262176513672E-2</v>
      </c>
      <c r="F8" s="25">
        <f t="shared" si="3"/>
        <v>6.1629988253116608E-2</v>
      </c>
      <c r="G8" s="25">
        <f t="shared" si="3"/>
        <v>5.0796419382095337E-2</v>
      </c>
      <c r="H8" s="25">
        <f t="shared" si="3"/>
        <v>5.7366847991943359E-2</v>
      </c>
      <c r="I8" s="25">
        <f t="shared" si="3"/>
        <v>9.0367138385772705E-2</v>
      </c>
      <c r="J8" s="25">
        <f t="shared" si="3"/>
        <v>6.5266318619251251E-2</v>
      </c>
      <c r="K8" s="25">
        <f t="shared" si="3"/>
        <v>-3.3898375928401947E-2</v>
      </c>
      <c r="L8" s="25">
        <f t="shared" si="3"/>
        <v>7.7547639608383179E-2</v>
      </c>
      <c r="M8" s="25">
        <f t="shared" si="3"/>
        <v>6.4441181719303131E-2</v>
      </c>
      <c r="N8" s="25">
        <f t="shared" si="3"/>
        <v>4.6512190252542503E-2</v>
      </c>
      <c r="O8" s="25">
        <f t="shared" si="3"/>
        <v>6.7610271275043488E-2</v>
      </c>
      <c r="P8" s="25">
        <f t="shared" si="3"/>
        <v>-4.6467673033475883E-2</v>
      </c>
      <c r="Q8" s="25">
        <f t="shared" si="3"/>
        <v>-6.1648782342672348E-2</v>
      </c>
      <c r="R8" s="25">
        <f t="shared" si="3"/>
        <v>5.7588163763284683E-2</v>
      </c>
      <c r="S8" s="25">
        <f t="shared" si="3"/>
        <v>3.937915712594986E-2</v>
      </c>
      <c r="T8" s="25">
        <f t="shared" si="3"/>
        <v>5.8177851140499108E-2</v>
      </c>
      <c r="U8" s="25">
        <f t="shared" si="3"/>
        <v>8.309655636548996E-2</v>
      </c>
      <c r="V8" s="25">
        <f t="shared" si="3"/>
        <v>8.9860610663890839E-2</v>
      </c>
      <c r="W8" s="25">
        <f t="shared" si="3"/>
        <v>5.813661590218544E-2</v>
      </c>
      <c r="X8" s="25">
        <f t="shared" si="3"/>
        <v>8.2243978977203369E-2</v>
      </c>
      <c r="Y8" s="25">
        <f t="shared" si="3"/>
        <v>-7.1789160370826721E-2</v>
      </c>
      <c r="Z8" s="25">
        <f t="shared" si="3"/>
        <v>-3.0311709269881248E-2</v>
      </c>
      <c r="AA8" s="25">
        <f t="shared" si="3"/>
        <v>6.6306374967098236E-2</v>
      </c>
      <c r="AB8" s="25">
        <f t="shared" si="3"/>
        <v>5.8820508420467377E-2</v>
      </c>
      <c r="AC8" s="25">
        <f t="shared" si="3"/>
        <v>5.7617776095867157E-2</v>
      </c>
      <c r="AD8" s="25">
        <f t="shared" si="3"/>
        <v>-9.8738029599189758E-2</v>
      </c>
      <c r="AE8" s="25">
        <f t="shared" si="3"/>
        <v>7.8433975577354431E-2</v>
      </c>
      <c r="AF8" s="25">
        <f t="shared" si="3"/>
        <v>-4.4075444340705872E-2</v>
      </c>
      <c r="AG8" s="25">
        <f t="shared" si="3"/>
        <v>5.5671926587820053E-2</v>
      </c>
      <c r="AH8" s="25">
        <f t="shared" si="3"/>
        <v>1.690743304789066E-2</v>
      </c>
      <c r="AI8" s="25">
        <f t="shared" si="3"/>
        <v>3.7138056010007858E-2</v>
      </c>
      <c r="AJ8" s="25">
        <f t="shared" si="3"/>
        <v>3.9113327860832207E-2</v>
      </c>
      <c r="AK8" s="25">
        <f t="shared" si="3"/>
        <v>-9.3165159225463867E-2</v>
      </c>
      <c r="AL8" s="25">
        <f t="shared" si="3"/>
        <v>5.6960459798574448E-2</v>
      </c>
      <c r="AM8" s="25">
        <f t="shared" si="3"/>
        <v>5.331827700138092E-2</v>
      </c>
      <c r="AN8" s="25">
        <f t="shared" si="3"/>
        <v>0.1098324954509735</v>
      </c>
      <c r="AO8" s="25">
        <f t="shared" si="3"/>
        <v>1.9733672961592671E-2</v>
      </c>
      <c r="AP8" s="25">
        <f t="shared" si="3"/>
        <v>3.6758668720722198E-2</v>
      </c>
      <c r="AQ8" s="25">
        <f t="shared" si="3"/>
        <v>5.1327180117368698E-2</v>
      </c>
      <c r="AR8" s="25">
        <f t="shared" si="3"/>
        <v>5.3256317973136902E-2</v>
      </c>
      <c r="AS8" s="25">
        <f t="shared" si="3"/>
        <v>5.4331317543983459E-2</v>
      </c>
      <c r="AT8" s="25">
        <f t="shared" si="3"/>
        <v>4.3143793940544128E-2</v>
      </c>
      <c r="AU8" s="25">
        <f t="shared" si="3"/>
        <v>3.8841631263494492E-2</v>
      </c>
      <c r="AV8" s="25">
        <f t="shared" si="3"/>
        <v>5.5265516042709351E-2</v>
      </c>
      <c r="AW8" s="25">
        <f t="shared" si="3"/>
        <v>5.0267204642295837E-2</v>
      </c>
      <c r="AX8" s="25">
        <f t="shared" si="3"/>
        <v>-6.0497067868709557E-2</v>
      </c>
      <c r="AY8" s="25">
        <f t="shared" si="3"/>
        <v>5.6344892829656601E-2</v>
      </c>
      <c r="AZ8" s="25">
        <f t="shared" si="3"/>
        <v>4.4756263494491577E-2</v>
      </c>
      <c r="BA8" s="25">
        <f t="shared" si="3"/>
        <v>4.9546454101800919E-2</v>
      </c>
      <c r="BB8" s="25">
        <f t="shared" si="3"/>
        <v>-8.7475843727588654E-2</v>
      </c>
      <c r="BC8" s="25">
        <f t="shared" si="3"/>
        <v>5.2208933979272842E-2</v>
      </c>
      <c r="BD8" s="25">
        <f t="shared" si="3"/>
        <v>5.0287269055843353E-2</v>
      </c>
      <c r="BE8" s="25">
        <f t="shared" si="3"/>
        <v>-5.4915815591812127E-2</v>
      </c>
      <c r="BF8" s="25">
        <f t="shared" si="3"/>
        <v>5.2831601351499557E-2</v>
      </c>
      <c r="BG8" s="25">
        <f t="shared" si="3"/>
        <v>0.1231109201908112</v>
      </c>
      <c r="BH8" s="25">
        <f t="shared" si="3"/>
        <v>5.3355973213911063E-2</v>
      </c>
      <c r="BI8" s="25">
        <f t="shared" si="3"/>
        <v>-4.2333740741014481E-2</v>
      </c>
      <c r="BJ8" s="25">
        <f t="shared" si="3"/>
        <v>-4.1621774435043328E-2</v>
      </c>
      <c r="BK8" s="25">
        <f t="shared" si="3"/>
        <v>5.2732300013303757E-2</v>
      </c>
      <c r="BL8" s="25">
        <f t="shared" si="3"/>
        <v>5.2711453288793557E-2</v>
      </c>
      <c r="BM8" s="25">
        <f t="shared" si="3"/>
        <v>5.2789580076932907E-2</v>
      </c>
      <c r="BN8" s="25">
        <f t="shared" si="3"/>
        <v>-0.1043956056237221</v>
      </c>
      <c r="BO8" s="25">
        <f t="shared" si="3"/>
        <v>-4.2583651840686798E-2</v>
      </c>
      <c r="BP8" s="25">
        <f t="shared" ref="BP8:EA8" si="4">IF(BP6=1,BP3,IF(BP6=2,BP4,IF(BP6=3,BP5)))</f>
        <v>3.996393084526062E-2</v>
      </c>
      <c r="BQ8" s="25">
        <f t="shared" si="4"/>
        <v>5.2070382982492447E-2</v>
      </c>
      <c r="BR8" s="25">
        <f t="shared" si="4"/>
        <v>5.0181154161691673E-2</v>
      </c>
      <c r="BS8" s="25">
        <f t="shared" si="4"/>
        <v>5.4154157638549798E-2</v>
      </c>
      <c r="BT8" s="25">
        <f t="shared" si="4"/>
        <v>4.9916800111532211E-2</v>
      </c>
      <c r="BU8" s="25">
        <f t="shared" si="4"/>
        <v>5.5349864065647132E-2</v>
      </c>
      <c r="BV8" s="25">
        <f t="shared" si="4"/>
        <v>5.2839476615190513E-2</v>
      </c>
      <c r="BW8" s="25">
        <f t="shared" si="4"/>
        <v>4.0576938539743423E-2</v>
      </c>
      <c r="BX8" s="25">
        <f t="shared" si="4"/>
        <v>0.11351513117551799</v>
      </c>
      <c r="BY8" s="25">
        <f t="shared" si="4"/>
        <v>-6.0964066535234451E-2</v>
      </c>
      <c r="BZ8" s="25">
        <f t="shared" si="4"/>
        <v>5.3063441067934043E-2</v>
      </c>
      <c r="CA8" s="25">
        <f t="shared" si="4"/>
        <v>3.9631478488445282E-2</v>
      </c>
      <c r="CB8" s="25">
        <f t="shared" si="4"/>
        <v>4.600171372294426E-2</v>
      </c>
      <c r="CC8" s="25">
        <f t="shared" si="4"/>
        <v>-6.2383759766817093E-2</v>
      </c>
      <c r="CD8" s="25">
        <f t="shared" si="4"/>
        <v>5.2426740527153022E-2</v>
      </c>
      <c r="CE8" s="25">
        <f t="shared" si="4"/>
        <v>-4.8888608813285828E-2</v>
      </c>
      <c r="CF8" s="25">
        <f t="shared" si="4"/>
        <v>4.5108072459697723E-2</v>
      </c>
      <c r="CG8" s="25">
        <f t="shared" si="4"/>
        <v>4.5137140899896622E-2</v>
      </c>
      <c r="CH8" s="25">
        <f t="shared" si="4"/>
        <v>5.5632010102272027E-2</v>
      </c>
      <c r="CI8" s="25">
        <f t="shared" si="4"/>
        <v>-5.9029228985309601E-2</v>
      </c>
      <c r="CJ8" s="25">
        <f t="shared" si="4"/>
        <v>5.7584956288337708E-2</v>
      </c>
      <c r="CK8" s="25">
        <f t="shared" si="4"/>
        <v>6.9196119904518127E-2</v>
      </c>
      <c r="CL8" s="25">
        <f t="shared" si="4"/>
        <v>-8.7717965245246887E-2</v>
      </c>
      <c r="CM8" s="25">
        <f t="shared" si="4"/>
        <v>4.9845971167087548E-2</v>
      </c>
      <c r="CN8" s="25">
        <f t="shared" si="4"/>
        <v>-4.840879887342453E-2</v>
      </c>
      <c r="CO8" s="25">
        <f t="shared" si="4"/>
        <v>4.8292059451341629E-2</v>
      </c>
      <c r="CP8" s="25">
        <f t="shared" si="4"/>
        <v>-4.1955962777137763E-2</v>
      </c>
      <c r="CQ8" s="25">
        <f t="shared" si="4"/>
        <v>4.8842102289199829E-2</v>
      </c>
      <c r="CR8" s="25">
        <f t="shared" si="4"/>
        <v>7.6525658369064331E-2</v>
      </c>
      <c r="CS8" s="25">
        <f t="shared" si="4"/>
        <v>4.7897454351186752E-2</v>
      </c>
      <c r="CT8" s="25">
        <f t="shared" si="4"/>
        <v>2.8369873762130741E-2</v>
      </c>
      <c r="CU8" s="25">
        <f t="shared" si="4"/>
        <v>4.4375255703926093E-2</v>
      </c>
      <c r="CV8" s="25">
        <f t="shared" si="4"/>
        <v>-6.2654152512550354E-2</v>
      </c>
      <c r="CW8" s="25">
        <f t="shared" si="4"/>
        <v>-4.558606818318367E-2</v>
      </c>
      <c r="CX8" s="25">
        <f t="shared" si="4"/>
        <v>-6.5642617642879486E-2</v>
      </c>
      <c r="CY8" s="25">
        <f t="shared" si="4"/>
        <v>6.3649572432041168E-2</v>
      </c>
      <c r="CZ8" s="25">
        <f t="shared" si="4"/>
        <v>-7.8583814203739166E-2</v>
      </c>
      <c r="DA8" s="25">
        <f t="shared" si="4"/>
        <v>4.4029783457517617E-2</v>
      </c>
      <c r="DB8" s="25">
        <f t="shared" si="4"/>
        <v>-5.8803975582122803E-2</v>
      </c>
      <c r="DC8" s="25">
        <f t="shared" si="4"/>
        <v>5.1982991397380829E-2</v>
      </c>
      <c r="DD8" s="25">
        <f t="shared" si="4"/>
        <v>-3.8284681737422943E-2</v>
      </c>
      <c r="DE8" s="25">
        <f t="shared" si="4"/>
        <v>5.2998926490545273E-2</v>
      </c>
      <c r="DF8" s="25">
        <f t="shared" si="4"/>
        <v>4.4837679713964462E-2</v>
      </c>
      <c r="DG8" s="25">
        <f t="shared" si="4"/>
        <v>6.0822788625955582E-2</v>
      </c>
      <c r="DH8" s="25">
        <f t="shared" si="4"/>
        <v>4.7541145235300057E-2</v>
      </c>
      <c r="DI8" s="25">
        <f t="shared" si="4"/>
        <v>4.8345033079385757E-2</v>
      </c>
      <c r="DJ8" s="25">
        <f t="shared" si="4"/>
        <v>5.2155863493680947E-2</v>
      </c>
      <c r="DK8" s="25">
        <f t="shared" si="4"/>
        <v>8.9188195765018463E-2</v>
      </c>
      <c r="DL8" s="25">
        <f t="shared" si="4"/>
        <v>-4.2281743139028549E-2</v>
      </c>
      <c r="DM8" s="25">
        <f t="shared" si="4"/>
        <v>4.845760390162468E-2</v>
      </c>
      <c r="DN8" s="25">
        <f t="shared" si="4"/>
        <v>4.64659184217453E-2</v>
      </c>
      <c r="DO8" s="25">
        <f t="shared" si="4"/>
        <v>-4.04704250395298E-2</v>
      </c>
      <c r="DP8" s="25">
        <f t="shared" si="4"/>
        <v>4.7435946762561798E-2</v>
      </c>
      <c r="DQ8" s="25">
        <f t="shared" si="4"/>
        <v>3.8500402122735977E-2</v>
      </c>
      <c r="DR8" s="25">
        <f t="shared" si="4"/>
        <v>4.9186587333679199E-2</v>
      </c>
      <c r="DS8" s="25">
        <f t="shared" si="4"/>
        <v>-6.9464683532714844E-2</v>
      </c>
      <c r="DT8" s="25">
        <f t="shared" si="4"/>
        <v>3.1652722507715232E-2</v>
      </c>
      <c r="DU8" s="25">
        <f t="shared" si="4"/>
        <v>6.1842098832130432E-2</v>
      </c>
      <c r="DV8" s="25">
        <f t="shared" si="4"/>
        <v>4.6563606709241867E-2</v>
      </c>
      <c r="DW8" s="25">
        <f t="shared" si="4"/>
        <v>3.2814890146255493E-2</v>
      </c>
      <c r="DX8" s="25">
        <f t="shared" si="4"/>
        <v>4.826011136174202E-2</v>
      </c>
      <c r="DY8" s="25">
        <f t="shared" si="4"/>
        <v>-5.6952420622110367E-2</v>
      </c>
      <c r="DZ8" s="25">
        <f t="shared" si="4"/>
        <v>3.3931814134120941E-2</v>
      </c>
      <c r="EA8" s="25">
        <f t="shared" si="4"/>
        <v>4.8233494162559509E-2</v>
      </c>
      <c r="EB8" s="25">
        <f t="shared" ref="EB8:EF8" si="5">IF(EB6=1,EB3,IF(EB6=2,EB4,IF(EB6=3,EB5)))</f>
        <v>-4.1742835193872452E-2</v>
      </c>
      <c r="EC8" s="25">
        <f t="shared" si="5"/>
        <v>3.6156386137008667E-2</v>
      </c>
      <c r="ED8" s="25">
        <f t="shared" si="5"/>
        <v>4.0190532803535461E-2</v>
      </c>
      <c r="EE8" s="25">
        <f t="shared" si="5"/>
        <v>0.11009947955608369</v>
      </c>
      <c r="EF8" s="25">
        <f t="shared" si="5"/>
        <v>5.0330590456724167E-2</v>
      </c>
    </row>
    <row r="9" spans="1:139" ht="16">
      <c r="A9" s="28"/>
      <c r="B9" s="28"/>
      <c r="C9" s="28"/>
      <c r="D9" s="4"/>
      <c r="E9" s="4"/>
      <c r="F9" s="4"/>
      <c r="G9" s="4"/>
      <c r="H9" s="4"/>
      <c r="I9" s="4"/>
      <c r="J9" s="4"/>
      <c r="K9" s="2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</row>
    <row r="10" spans="1:139" ht="16">
      <c r="A10" s="73" t="s">
        <v>140</v>
      </c>
      <c r="B10" s="74"/>
      <c r="C10" s="10" t="s">
        <v>141</v>
      </c>
      <c r="D10" s="10">
        <v>964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</row>
    <row r="11" spans="1:139" ht="18">
      <c r="A11" s="6" t="s">
        <v>142</v>
      </c>
      <c r="B11" s="6" t="s">
        <v>143</v>
      </c>
      <c r="C11" s="13" t="s">
        <v>3</v>
      </c>
      <c r="D11" s="13" t="s">
        <v>4</v>
      </c>
      <c r="E11" s="13" t="s">
        <v>5</v>
      </c>
      <c r="F11" s="13" t="s">
        <v>6</v>
      </c>
      <c r="G11" s="13" t="s">
        <v>7</v>
      </c>
      <c r="H11" s="13" t="s">
        <v>8</v>
      </c>
      <c r="I11" s="13" t="s">
        <v>9</v>
      </c>
      <c r="J11" s="13" t="s">
        <v>10</v>
      </c>
      <c r="K11" s="13" t="s">
        <v>11</v>
      </c>
      <c r="L11" s="13" t="s">
        <v>12</v>
      </c>
      <c r="M11" s="13" t="s">
        <v>13</v>
      </c>
      <c r="N11" s="13" t="s">
        <v>14</v>
      </c>
      <c r="O11" s="13" t="s">
        <v>15</v>
      </c>
      <c r="P11" s="13" t="s">
        <v>16</v>
      </c>
      <c r="Q11" s="13" t="s">
        <v>17</v>
      </c>
      <c r="R11" s="13" t="s">
        <v>18</v>
      </c>
      <c r="S11" s="13" t="s">
        <v>19</v>
      </c>
      <c r="T11" s="13" t="s">
        <v>20</v>
      </c>
      <c r="U11" s="13" t="s">
        <v>21</v>
      </c>
      <c r="V11" s="13" t="s">
        <v>22</v>
      </c>
      <c r="W11" s="13" t="s">
        <v>23</v>
      </c>
      <c r="X11" s="13" t="s">
        <v>24</v>
      </c>
      <c r="Y11" s="13" t="s">
        <v>25</v>
      </c>
      <c r="Z11" s="13" t="s">
        <v>26</v>
      </c>
      <c r="AA11" s="13" t="s">
        <v>27</v>
      </c>
      <c r="AB11" s="13" t="s">
        <v>28</v>
      </c>
      <c r="AC11" s="13" t="s">
        <v>29</v>
      </c>
      <c r="AD11" s="13" t="s">
        <v>30</v>
      </c>
      <c r="AE11" s="13" t="s">
        <v>31</v>
      </c>
      <c r="AF11" s="13" t="s">
        <v>32</v>
      </c>
      <c r="AG11" s="13" t="s">
        <v>33</v>
      </c>
      <c r="AH11" s="13" t="s">
        <v>34</v>
      </c>
      <c r="AI11" s="13" t="s">
        <v>35</v>
      </c>
      <c r="AJ11" s="13" t="s">
        <v>36</v>
      </c>
      <c r="AK11" s="13" t="s">
        <v>37</v>
      </c>
      <c r="AL11" s="13" t="s">
        <v>38</v>
      </c>
      <c r="AM11" s="13" t="s">
        <v>39</v>
      </c>
      <c r="AN11" s="13" t="s">
        <v>40</v>
      </c>
      <c r="AO11" s="13" t="s">
        <v>41</v>
      </c>
      <c r="AP11" s="13" t="s">
        <v>42</v>
      </c>
      <c r="AQ11" s="13" t="s">
        <v>43</v>
      </c>
      <c r="AR11" s="13" t="s">
        <v>44</v>
      </c>
      <c r="AS11" s="13" t="s">
        <v>45</v>
      </c>
      <c r="AT11" s="13" t="s">
        <v>46</v>
      </c>
      <c r="AU11" s="13" t="s">
        <v>47</v>
      </c>
      <c r="AV11" s="13" t="s">
        <v>48</v>
      </c>
      <c r="AW11" s="13" t="s">
        <v>49</v>
      </c>
      <c r="AX11" s="13" t="s">
        <v>50</v>
      </c>
      <c r="AY11" s="13" t="s">
        <v>51</v>
      </c>
      <c r="AZ11" s="13" t="s">
        <v>52</v>
      </c>
      <c r="BA11" s="13" t="s">
        <v>53</v>
      </c>
      <c r="BB11" s="13" t="s">
        <v>54</v>
      </c>
      <c r="BC11" s="13" t="s">
        <v>55</v>
      </c>
      <c r="BD11" s="13" t="s">
        <v>56</v>
      </c>
      <c r="BE11" s="13" t="s">
        <v>57</v>
      </c>
      <c r="BF11" s="13" t="s">
        <v>58</v>
      </c>
      <c r="BG11" s="13" t="s">
        <v>59</v>
      </c>
      <c r="BH11" s="13" t="s">
        <v>60</v>
      </c>
      <c r="BI11" s="13" t="s">
        <v>61</v>
      </c>
      <c r="BJ11" s="13" t="s">
        <v>62</v>
      </c>
      <c r="BK11" s="13" t="s">
        <v>63</v>
      </c>
      <c r="BL11" s="13" t="s">
        <v>64</v>
      </c>
      <c r="BM11" s="13" t="s">
        <v>65</v>
      </c>
      <c r="BN11" s="13" t="s">
        <v>66</v>
      </c>
      <c r="BO11" s="13" t="s">
        <v>67</v>
      </c>
      <c r="BP11" s="13" t="s">
        <v>68</v>
      </c>
      <c r="BQ11" s="13" t="s">
        <v>69</v>
      </c>
      <c r="BR11" s="13" t="s">
        <v>70</v>
      </c>
      <c r="BS11" s="13" t="s">
        <v>71</v>
      </c>
      <c r="BT11" s="13" t="s">
        <v>72</v>
      </c>
      <c r="BU11" s="13" t="s">
        <v>73</v>
      </c>
      <c r="BV11" s="13" t="s">
        <v>74</v>
      </c>
      <c r="BW11" s="13" t="s">
        <v>75</v>
      </c>
      <c r="BX11" s="13" t="s">
        <v>76</v>
      </c>
      <c r="BY11" s="13" t="s">
        <v>77</v>
      </c>
      <c r="BZ11" s="13" t="s">
        <v>78</v>
      </c>
      <c r="CA11" s="13" t="s">
        <v>79</v>
      </c>
      <c r="CB11" s="13" t="s">
        <v>80</v>
      </c>
      <c r="CC11" s="13" t="s">
        <v>81</v>
      </c>
      <c r="CD11" s="13" t="s">
        <v>82</v>
      </c>
      <c r="CE11" s="13" t="s">
        <v>83</v>
      </c>
      <c r="CF11" s="13" t="s">
        <v>84</v>
      </c>
      <c r="CG11" s="13" t="s">
        <v>85</v>
      </c>
      <c r="CH11" s="13" t="s">
        <v>86</v>
      </c>
      <c r="CI11" s="13" t="s">
        <v>87</v>
      </c>
      <c r="CJ11" s="13" t="s">
        <v>88</v>
      </c>
      <c r="CK11" s="13" t="s">
        <v>89</v>
      </c>
      <c r="CL11" s="13" t="s">
        <v>90</v>
      </c>
      <c r="CM11" s="13" t="s">
        <v>91</v>
      </c>
      <c r="CN11" s="13" t="s">
        <v>92</v>
      </c>
      <c r="CO11" s="13" t="s">
        <v>93</v>
      </c>
      <c r="CP11" s="13" t="s">
        <v>94</v>
      </c>
      <c r="CQ11" s="13" t="s">
        <v>95</v>
      </c>
      <c r="CR11" s="13" t="s">
        <v>96</v>
      </c>
      <c r="CS11" s="13" t="s">
        <v>97</v>
      </c>
      <c r="CT11" s="13" t="s">
        <v>98</v>
      </c>
      <c r="CU11" s="13" t="s">
        <v>99</v>
      </c>
      <c r="CV11" s="13" t="s">
        <v>100</v>
      </c>
      <c r="CW11" s="13" t="s">
        <v>101</v>
      </c>
      <c r="CX11" s="13" t="s">
        <v>102</v>
      </c>
      <c r="CY11" s="13" t="s">
        <v>103</v>
      </c>
      <c r="CZ11" s="13" t="s">
        <v>104</v>
      </c>
      <c r="DA11" s="13" t="s">
        <v>105</v>
      </c>
      <c r="DB11" s="13" t="s">
        <v>106</v>
      </c>
      <c r="DC11" s="13" t="s">
        <v>107</v>
      </c>
      <c r="DD11" s="13" t="s">
        <v>108</v>
      </c>
      <c r="DE11" s="13" t="s">
        <v>109</v>
      </c>
      <c r="DF11" s="13" t="s">
        <v>110</v>
      </c>
      <c r="DG11" s="13" t="s">
        <v>111</v>
      </c>
      <c r="DH11" s="13" t="s">
        <v>112</v>
      </c>
      <c r="DI11" s="13" t="s">
        <v>113</v>
      </c>
      <c r="DJ11" s="13" t="s">
        <v>114</v>
      </c>
      <c r="DK11" s="13" t="s">
        <v>115</v>
      </c>
      <c r="DL11" s="13" t="s">
        <v>116</v>
      </c>
      <c r="DM11" s="13" t="s">
        <v>117</v>
      </c>
      <c r="DN11" s="13" t="s">
        <v>118</v>
      </c>
      <c r="DO11" s="13" t="s">
        <v>119</v>
      </c>
      <c r="DP11" s="13" t="s">
        <v>120</v>
      </c>
      <c r="DQ11" s="13" t="s">
        <v>121</v>
      </c>
      <c r="DR11" s="13" t="s">
        <v>122</v>
      </c>
      <c r="DS11" s="13" t="s">
        <v>123</v>
      </c>
      <c r="DT11" s="13" t="s">
        <v>124</v>
      </c>
      <c r="DU11" s="13" t="s">
        <v>125</v>
      </c>
      <c r="DV11" s="13" t="s">
        <v>126</v>
      </c>
      <c r="DW11" s="13" t="s">
        <v>127</v>
      </c>
      <c r="DX11" s="13" t="s">
        <v>128</v>
      </c>
      <c r="DY11" s="13" t="s">
        <v>129</v>
      </c>
      <c r="DZ11" s="13" t="s">
        <v>130</v>
      </c>
      <c r="EA11" s="13" t="s">
        <v>131</v>
      </c>
      <c r="EB11" s="13" t="s">
        <v>132</v>
      </c>
      <c r="EC11" s="13" t="s">
        <v>133</v>
      </c>
      <c r="ED11" s="13" t="s">
        <v>134</v>
      </c>
      <c r="EE11" s="13" t="s">
        <v>135</v>
      </c>
      <c r="EF11" s="13" t="s">
        <v>144</v>
      </c>
      <c r="EG11" s="38" t="s">
        <v>164</v>
      </c>
      <c r="EH11" s="38" t="s">
        <v>165</v>
      </c>
      <c r="EI11" s="38" t="s">
        <v>166</v>
      </c>
    </row>
    <row r="12" spans="1:139" ht="16">
      <c r="A12" s="6">
        <v>10</v>
      </c>
      <c r="B12" s="6">
        <v>96</v>
      </c>
      <c r="C12" s="11">
        <v>4.6867682744863907E-2</v>
      </c>
      <c r="D12" s="11">
        <v>2.0629537210400919E-2</v>
      </c>
      <c r="E12" s="11">
        <v>-4.802682338720253E-2</v>
      </c>
      <c r="F12" s="11">
        <v>-1.88177157454043E-2</v>
      </c>
      <c r="G12" s="11">
        <v>8.59720291315174E-3</v>
      </c>
      <c r="H12" s="11">
        <v>9.5992583565995809E-3</v>
      </c>
      <c r="I12" s="11">
        <v>3.8097115239531458E-2</v>
      </c>
      <c r="J12" s="11">
        <v>4.3784578744871523E-2</v>
      </c>
      <c r="K12" s="11">
        <v>1.8774380137331209E-2</v>
      </c>
      <c r="L12" s="12">
        <v>-1.279800547193503E-3</v>
      </c>
      <c r="M12" s="12">
        <v>-1.555180420016113E-2</v>
      </c>
      <c r="N12" s="12">
        <v>5.2394332188299843E-2</v>
      </c>
      <c r="O12" s="14">
        <v>1.810678468652642E-2</v>
      </c>
      <c r="P12" s="1">
        <v>-3.6607013048987891E-4</v>
      </c>
      <c r="Q12" s="1">
        <v>3.5269885452478403E-2</v>
      </c>
      <c r="R12" s="1">
        <v>1.289817377469633E-2</v>
      </c>
      <c r="S12" s="1">
        <v>1.105502977333921E-2</v>
      </c>
      <c r="T12" s="1">
        <v>-4.2663290708050298E-2</v>
      </c>
      <c r="U12" s="1">
        <v>1.6178598882878859E-2</v>
      </c>
      <c r="V12" s="1">
        <v>-6.2044700693444643E-3</v>
      </c>
      <c r="W12" s="1">
        <v>1.9277946223610089E-2</v>
      </c>
      <c r="X12" s="1">
        <v>-2.574962461327239E-2</v>
      </c>
      <c r="Y12" s="1">
        <v>1.544036841356077E-2</v>
      </c>
      <c r="Z12" s="1">
        <v>5.1659076098035227E-3</v>
      </c>
      <c r="AA12" s="1">
        <v>-3.8366021618305018E-2</v>
      </c>
      <c r="AB12" s="1">
        <v>3.4604260170603751E-2</v>
      </c>
      <c r="AC12" s="1">
        <v>3.7235419696677492E-2</v>
      </c>
      <c r="AD12" s="1">
        <v>1.123079877814899E-2</v>
      </c>
      <c r="AE12" s="1">
        <v>-3.7521220957971363E-2</v>
      </c>
      <c r="AF12" s="1">
        <v>4.6181508919833553E-2</v>
      </c>
      <c r="AG12" s="1">
        <v>3.0618440007522639E-2</v>
      </c>
      <c r="AH12" s="1">
        <v>1.3096859936119341E-2</v>
      </c>
      <c r="AI12" s="1">
        <v>1.9004465170339341E-2</v>
      </c>
      <c r="AJ12" s="1">
        <v>7.4902167130851093E-3</v>
      </c>
      <c r="AK12" s="1">
        <v>1.017928375194547E-2</v>
      </c>
      <c r="AL12" s="1">
        <v>-3.4105621243576391E-2</v>
      </c>
      <c r="AM12" s="1">
        <v>3.2204353759093952E-2</v>
      </c>
      <c r="AN12" s="1">
        <v>7.0370866473731905E-2</v>
      </c>
      <c r="AO12" s="1">
        <v>2.13860488609894E-3</v>
      </c>
      <c r="AP12" s="1">
        <v>-3.3728995771188847E-2</v>
      </c>
      <c r="AQ12" s="1">
        <v>-7.1760162381872376E-3</v>
      </c>
      <c r="AR12" s="1">
        <v>1.285081343613181E-2</v>
      </c>
      <c r="AS12" s="1">
        <v>1.9726131394207671E-2</v>
      </c>
      <c r="AT12" s="1">
        <v>1.3068926506940861E-2</v>
      </c>
      <c r="AU12" s="1">
        <v>1.9974649689404891E-2</v>
      </c>
      <c r="AV12" s="1">
        <v>-4.112607099176907E-2</v>
      </c>
      <c r="AW12" s="1">
        <v>9.295475433588607E-4</v>
      </c>
      <c r="AX12" s="1">
        <v>-4.3020460111572283E-2</v>
      </c>
      <c r="AY12" s="1">
        <v>2.448335394421234E-2</v>
      </c>
      <c r="AZ12" s="1">
        <v>-3.0582148605065619E-3</v>
      </c>
      <c r="BA12" s="1">
        <v>4.1573905541135263E-3</v>
      </c>
      <c r="BB12" s="1">
        <v>5.7853949142751861E-3</v>
      </c>
      <c r="BC12" s="1">
        <v>1.2985576387445449E-2</v>
      </c>
      <c r="BD12" s="1">
        <v>1.143142399369595E-2</v>
      </c>
      <c r="BE12" s="1">
        <v>-4.5598544985067067E-2</v>
      </c>
      <c r="BF12" s="1">
        <v>6.8729809015135521E-2</v>
      </c>
      <c r="BG12" s="1">
        <v>-4.6757753881283733E-2</v>
      </c>
      <c r="BH12" s="1">
        <v>1.114891561300402E-2</v>
      </c>
      <c r="BI12" s="1">
        <v>-5.1439927386970313E-2</v>
      </c>
      <c r="BJ12" s="1">
        <v>7.9599331991781624E-4</v>
      </c>
      <c r="BK12" s="1">
        <v>-2.169647440444759E-2</v>
      </c>
      <c r="BL12" s="1">
        <v>2.4709245830148639E-2</v>
      </c>
      <c r="BM12" s="1">
        <v>-1.9252831032387019E-3</v>
      </c>
      <c r="BN12" s="1">
        <v>-1.9502538210119671E-2</v>
      </c>
      <c r="BO12" s="1">
        <v>-2.4246310256236889E-2</v>
      </c>
      <c r="BP12" s="1">
        <v>-1.0576816494296939E-2</v>
      </c>
      <c r="BQ12" s="1">
        <v>1.520658027131792E-2</v>
      </c>
      <c r="BR12" s="1">
        <v>-1.506664413690911E-3</v>
      </c>
      <c r="BS12" s="1">
        <v>1.7696906558417349E-2</v>
      </c>
      <c r="BT12" s="1">
        <v>2.1288097232098721E-2</v>
      </c>
      <c r="BU12" s="1">
        <v>1.020950071261458E-2</v>
      </c>
      <c r="BV12" s="1">
        <v>3.0223813217716548E-2</v>
      </c>
      <c r="BW12" s="1">
        <v>-5.548755950963561E-2</v>
      </c>
      <c r="BX12" s="1">
        <v>-1.5984151640729919E-2</v>
      </c>
      <c r="BY12" s="1">
        <v>-4.5815986232830307E-2</v>
      </c>
      <c r="BZ12" s="1">
        <v>4.5004028183990963E-2</v>
      </c>
      <c r="CA12" s="1">
        <v>-3.044777350243975E-2</v>
      </c>
      <c r="CB12" s="1">
        <v>1.6648876145019531E-3</v>
      </c>
      <c r="CC12" s="1">
        <v>-1.612118070707726E-2</v>
      </c>
      <c r="CD12" s="1">
        <v>0.1109336335844525</v>
      </c>
      <c r="CE12" s="1">
        <v>0.15400701288974189</v>
      </c>
      <c r="CF12" s="1">
        <v>-4.0778952837748463E-3</v>
      </c>
      <c r="CG12" s="1">
        <v>4.130933339268713E-2</v>
      </c>
      <c r="CH12" s="1">
        <v>-1.6463112378785821E-2</v>
      </c>
      <c r="CI12" s="1">
        <v>-2.434149805161382E-2</v>
      </c>
      <c r="CJ12" s="1">
        <v>1.7613849541033368E-2</v>
      </c>
      <c r="CK12" s="1">
        <v>1.199406837785265E-2</v>
      </c>
      <c r="CL12" s="1">
        <v>3.3134010431475597E-2</v>
      </c>
      <c r="CM12" s="1">
        <v>-1.438269061297669E-2</v>
      </c>
      <c r="CN12" s="1">
        <v>2.5586962886869249E-2</v>
      </c>
      <c r="CO12" s="1">
        <v>-2.6747945350733469E-2</v>
      </c>
      <c r="CP12" s="1">
        <v>1.0050220356918669E-3</v>
      </c>
      <c r="CQ12" s="1">
        <v>3.7258660740219933E-2</v>
      </c>
      <c r="CR12" s="1">
        <v>-4.814662528730166E-2</v>
      </c>
      <c r="CS12" s="1">
        <v>-1.5201647687045549E-2</v>
      </c>
      <c r="CT12" s="1">
        <v>-9.6164620390248173E-4</v>
      </c>
      <c r="CU12" s="1">
        <v>3.2036178763345129E-2</v>
      </c>
      <c r="CV12" s="1">
        <v>4.3232553547918467E-3</v>
      </c>
      <c r="CW12" s="1">
        <v>2.975768942836746E-2</v>
      </c>
      <c r="CX12" s="1">
        <v>4.6547458464468637E-2</v>
      </c>
      <c r="CY12" s="1">
        <v>-4.6072977665454977E-2</v>
      </c>
      <c r="CZ12" s="1">
        <v>8.8561726128694895E-2</v>
      </c>
      <c r="DA12" s="1">
        <v>3.4032079955525099E-3</v>
      </c>
      <c r="DB12" s="1">
        <v>8.8981816498044985E-2</v>
      </c>
      <c r="DC12" s="1">
        <v>3.3044377283177648E-2</v>
      </c>
      <c r="DD12" s="1">
        <v>-3.9091997331507103E-2</v>
      </c>
      <c r="DE12" s="1">
        <v>-1.847442450316206E-4</v>
      </c>
      <c r="DF12" s="1">
        <v>-6.8330161835898516E-3</v>
      </c>
      <c r="DG12" s="1">
        <v>4.6409817779524638E-2</v>
      </c>
      <c r="DH12" s="1">
        <v>-5.262143774803156E-3</v>
      </c>
      <c r="DI12" s="1">
        <v>-5.4443172992132458E-2</v>
      </c>
      <c r="DJ12" s="1">
        <v>8.0625982547704537E-3</v>
      </c>
      <c r="DK12" s="1">
        <v>-1.526440322238466E-2</v>
      </c>
      <c r="DL12" s="1">
        <v>3.089111509929313E-3</v>
      </c>
      <c r="DM12" s="1">
        <v>-5.7147713958668224E-3</v>
      </c>
      <c r="DN12" s="1">
        <v>3.9228342632839662E-2</v>
      </c>
      <c r="DO12" s="1">
        <v>3.055694210149083E-2</v>
      </c>
      <c r="DP12" s="1">
        <v>3.2584449600297112E-2</v>
      </c>
      <c r="DQ12" s="1">
        <v>-2.3448390551494561E-2</v>
      </c>
      <c r="DR12" s="1">
        <v>1.8778943279386909E-2</v>
      </c>
      <c r="DS12" s="1">
        <v>6.9650552069699723E-2</v>
      </c>
      <c r="DT12" s="1">
        <v>-4.4221204803796148E-2</v>
      </c>
      <c r="DU12" s="1">
        <v>1.3752648086382459E-2</v>
      </c>
      <c r="DV12" s="1">
        <v>5.2173183809525743E-2</v>
      </c>
      <c r="DW12" s="1">
        <v>3.9694301624267903E-2</v>
      </c>
      <c r="DX12" s="1">
        <v>-4.9619206803227477E-2</v>
      </c>
      <c r="DY12" s="1">
        <v>-1.72451479372299E-2</v>
      </c>
      <c r="DZ12" s="1">
        <v>-4.7575251258613243E-3</v>
      </c>
      <c r="EA12" s="1">
        <v>6.4003941323197033E-2</v>
      </c>
      <c r="EB12" s="1">
        <v>5.7859705603806079E-3</v>
      </c>
      <c r="EC12" s="1">
        <v>2.6651509579665299E-2</v>
      </c>
      <c r="ED12" s="1">
        <v>-5.6628035807395623E-2</v>
      </c>
      <c r="EE12" s="1">
        <v>2.6506892161147658E-2</v>
      </c>
      <c r="EF12" s="1">
        <v>3.9233348038795662E-2</v>
      </c>
      <c r="EG12" s="62">
        <f t="shared" ref="EG12:EG25" si="6">AVERAGE(C12:EF12)</f>
        <v>7.6958558069954728E-3</v>
      </c>
      <c r="EH12" s="62">
        <f t="shared" ref="EH12:EH25" si="7">STDEV(C12:EF12)</f>
        <v>3.4905317770074509E-2</v>
      </c>
      <c r="EI12" s="75">
        <f t="shared" ref="EI12:EI25" si="8">EG12/EH12</f>
        <v>0.22047803310913805</v>
      </c>
    </row>
    <row r="13" spans="1:139" ht="16">
      <c r="A13" s="6">
        <v>20</v>
      </c>
      <c r="B13" s="6">
        <v>48</v>
      </c>
      <c r="C13" s="9">
        <v>5.420904267159625E-2</v>
      </c>
      <c r="D13" s="9">
        <v>2.8012090832407702E-2</v>
      </c>
      <c r="E13" s="9">
        <v>-6.9861556352806456E-2</v>
      </c>
      <c r="F13" s="9">
        <v>-3.4922155882654508E-2</v>
      </c>
      <c r="G13" s="9">
        <v>-1.490797975730339E-2</v>
      </c>
      <c r="H13" s="9">
        <v>1.7388387027498991E-2</v>
      </c>
      <c r="I13" s="9">
        <v>3.731568416166707E-2</v>
      </c>
      <c r="J13" s="9">
        <v>3.6406901371248572E-2</v>
      </c>
      <c r="K13" s="9">
        <v>-1.3673068264474649E-3</v>
      </c>
      <c r="L13" s="2">
        <v>-3.1294960158911242E-2</v>
      </c>
      <c r="M13" s="2">
        <v>7.7086562624922028E-3</v>
      </c>
      <c r="N13" s="2">
        <v>4.3978510046390272E-2</v>
      </c>
      <c r="O13" s="1">
        <v>3.6901341058643518E-2</v>
      </c>
      <c r="P13" s="1">
        <v>1.679162773809062E-2</v>
      </c>
      <c r="Q13" s="1">
        <v>7.3224368487557437E-2</v>
      </c>
      <c r="R13" s="1">
        <v>1.6841702109824989E-2</v>
      </c>
      <c r="S13" s="1">
        <v>-6.0138030070422746E-3</v>
      </c>
      <c r="T13" s="1">
        <v>-5.025189671871233E-2</v>
      </c>
      <c r="U13" s="1">
        <v>-1.5970162331858111E-3</v>
      </c>
      <c r="V13" s="1">
        <v>2.009432801387449E-2</v>
      </c>
      <c r="W13" s="1">
        <v>3.1103087884369909E-2</v>
      </c>
      <c r="X13" s="1">
        <v>-5.327689472594363E-2</v>
      </c>
      <c r="Y13" s="1">
        <v>1.392099255764867E-2</v>
      </c>
      <c r="Z13" s="1">
        <v>2.0583761169128259E-2</v>
      </c>
      <c r="AA13" s="1">
        <v>-3.1285864158620849E-2</v>
      </c>
      <c r="AB13" s="1">
        <v>4.6782349815727153E-2</v>
      </c>
      <c r="AC13" s="1">
        <v>2.1349036566415101E-2</v>
      </c>
      <c r="AD13" s="1">
        <v>2.1543689785275402E-2</v>
      </c>
      <c r="AE13" s="1">
        <v>-4.6284108752590758E-2</v>
      </c>
      <c r="AF13" s="1">
        <v>5.1935557823136913E-2</v>
      </c>
      <c r="AG13" s="1">
        <v>3.1681783055002889E-2</v>
      </c>
      <c r="AH13" s="1">
        <v>1.134035233784291E-2</v>
      </c>
      <c r="AI13" s="1">
        <v>1.206755007407281E-2</v>
      </c>
      <c r="AJ13" s="1">
        <v>-1.8507843536879679E-2</v>
      </c>
      <c r="AK13" s="1">
        <v>3.3184447714405541E-3</v>
      </c>
      <c r="AL13" s="1">
        <v>-2.255035758653683E-2</v>
      </c>
      <c r="AM13" s="1">
        <v>4.5764674553409511E-2</v>
      </c>
      <c r="AN13" s="1">
        <v>0.10533023813603409</v>
      </c>
      <c r="AO13" s="1">
        <v>1.5714423922884631E-2</v>
      </c>
      <c r="AP13" s="1">
        <v>-5.9538220172873163E-2</v>
      </c>
      <c r="AQ13" s="1">
        <v>-3.5494868066371921E-3</v>
      </c>
      <c r="AR13" s="1">
        <v>1.4371062818850731E-2</v>
      </c>
      <c r="AS13" s="1">
        <v>3.9777952989674729E-2</v>
      </c>
      <c r="AT13" s="1">
        <v>4.0463087854439729E-2</v>
      </c>
      <c r="AU13" s="1">
        <v>4.2460982227971428E-2</v>
      </c>
      <c r="AV13" s="1">
        <v>-9.000778021233561E-3</v>
      </c>
      <c r="AW13" s="1">
        <v>3.2682708380548479E-3</v>
      </c>
      <c r="AX13" s="1">
        <v>-6.5349021476021063E-2</v>
      </c>
      <c r="AY13" s="1">
        <v>1.5767643403076691E-2</v>
      </c>
      <c r="AZ13" s="1">
        <v>-8.9977638524273464E-3</v>
      </c>
      <c r="BA13" s="1">
        <v>7.8944526317949112E-3</v>
      </c>
      <c r="BB13" s="1">
        <v>2.6046345532896049E-2</v>
      </c>
      <c r="BC13" s="1">
        <v>1.302658025364759E-2</v>
      </c>
      <c r="BD13" s="1">
        <v>5.6020821153025258E-3</v>
      </c>
      <c r="BE13" s="1">
        <v>-4.6048256587478499E-2</v>
      </c>
      <c r="BF13" s="1">
        <v>8.3929415307496771E-2</v>
      </c>
      <c r="BG13" s="1">
        <v>-8.8397545856320814E-2</v>
      </c>
      <c r="BH13" s="1">
        <v>6.9762719011622898E-3</v>
      </c>
      <c r="BI13" s="1">
        <v>-5.2788119566948392E-2</v>
      </c>
      <c r="BJ13" s="1">
        <v>1.765410852616266E-2</v>
      </c>
      <c r="BK13" s="1">
        <v>-1.8391024879749449E-2</v>
      </c>
      <c r="BL13" s="1">
        <v>3.6962610176948373E-2</v>
      </c>
      <c r="BM13" s="1">
        <v>1.505624964647417E-2</v>
      </c>
      <c r="BN13" s="1">
        <v>4.1015372255685661E-3</v>
      </c>
      <c r="BO13" s="1">
        <v>-3.1735312331920007E-2</v>
      </c>
      <c r="BP13" s="1">
        <v>7.6519468243173693E-3</v>
      </c>
      <c r="BQ13" s="1">
        <v>4.0819096771410428E-2</v>
      </c>
      <c r="BR13" s="1">
        <v>-7.0713814766287129E-3</v>
      </c>
      <c r="BS13" s="1">
        <v>7.2582425079335874E-3</v>
      </c>
      <c r="BT13" s="1">
        <v>3.3667769757919193E-2</v>
      </c>
      <c r="BU13" s="1">
        <v>1.6526994744897359E-2</v>
      </c>
      <c r="BV13" s="1">
        <v>2.0643875001298689E-2</v>
      </c>
      <c r="BW13" s="1">
        <v>-8.6230154651292246E-2</v>
      </c>
      <c r="BX13" s="1">
        <v>-1.477434776242115E-3</v>
      </c>
      <c r="BY13" s="1">
        <v>-3.0827759664373209E-2</v>
      </c>
      <c r="BZ13" s="1">
        <v>7.692787072442861E-2</v>
      </c>
      <c r="CA13" s="1">
        <v>-3.3531565600396843E-2</v>
      </c>
      <c r="CB13" s="1">
        <v>-7.1318694078340711E-3</v>
      </c>
      <c r="CC13" s="1">
        <v>8.2248093719304062E-3</v>
      </c>
      <c r="CD13" s="1">
        <v>0.1054918782280385</v>
      </c>
      <c r="CE13" s="1">
        <v>0.18382783645560871</v>
      </c>
      <c r="CF13" s="1">
        <v>-1.8228940836627482E-2</v>
      </c>
      <c r="CG13" s="1">
        <v>3.7015271900835547E-2</v>
      </c>
      <c r="CH13" s="1">
        <v>-4.0295060582103241E-3</v>
      </c>
      <c r="CI13" s="1">
        <v>-7.895534435908208E-3</v>
      </c>
      <c r="CJ13" s="1">
        <v>-3.876600294492813E-3</v>
      </c>
      <c r="CK13" s="1">
        <v>3.2045269236463961E-2</v>
      </c>
      <c r="CL13" s="1">
        <v>4.4000391247388533E-2</v>
      </c>
      <c r="CM13" s="1">
        <v>-1.0296803756394969E-2</v>
      </c>
      <c r="CN13" s="1">
        <v>2.6887565998852329E-2</v>
      </c>
      <c r="CO13" s="1">
        <v>-1.345745856322739E-2</v>
      </c>
      <c r="CP13" s="1">
        <v>-2.0576995740129469E-2</v>
      </c>
      <c r="CQ13" s="1">
        <v>3.7948964821826262E-2</v>
      </c>
      <c r="CR13" s="1">
        <v>-6.4380648737412241E-2</v>
      </c>
      <c r="CS13" s="1">
        <v>1.2078160331627031E-2</v>
      </c>
      <c r="CT13" s="1">
        <v>8.0707993163786768E-3</v>
      </c>
      <c r="CU13" s="1">
        <v>3.6006915534289197E-2</v>
      </c>
      <c r="CV13" s="1">
        <v>2.431898301869664E-2</v>
      </c>
      <c r="CW13" s="1">
        <v>1.0456962931318739E-2</v>
      </c>
      <c r="CX13" s="1">
        <v>4.9872955511131058E-3</v>
      </c>
      <c r="CY13" s="1">
        <v>-6.4973824772045274E-2</v>
      </c>
      <c r="CZ13" s="1">
        <v>9.0290205436995882E-2</v>
      </c>
      <c r="DA13" s="1">
        <v>-7.0965309514403824E-3</v>
      </c>
      <c r="DB13" s="1">
        <v>0.1062353213029536</v>
      </c>
      <c r="DC13" s="1">
        <v>2.9740185333726261E-2</v>
      </c>
      <c r="DD13" s="1">
        <v>-5.1406653602818438E-2</v>
      </c>
      <c r="DE13" s="1">
        <v>5.1676528954192752E-3</v>
      </c>
      <c r="DF13" s="1">
        <v>-2.8518796793634778E-2</v>
      </c>
      <c r="DG13" s="1">
        <v>4.7729083606459478E-2</v>
      </c>
      <c r="DH13" s="1">
        <v>1.2992245045791989E-2</v>
      </c>
      <c r="DI13" s="1">
        <v>-4.6561456814233543E-2</v>
      </c>
      <c r="DJ13" s="1">
        <v>2.8247996829593169E-4</v>
      </c>
      <c r="DK13" s="1">
        <v>1.202678983884406E-2</v>
      </c>
      <c r="DL13" s="1">
        <v>2.7121939431540568E-2</v>
      </c>
      <c r="DM13" s="1">
        <v>-6.6588690484439203E-3</v>
      </c>
      <c r="DN13" s="1">
        <v>1.4839797780264639E-2</v>
      </c>
      <c r="DO13" s="1">
        <v>3.7863465084792783E-2</v>
      </c>
      <c r="DP13" s="1">
        <v>4.7238153226040899E-2</v>
      </c>
      <c r="DQ13" s="1">
        <v>-2.6430081417128711E-2</v>
      </c>
      <c r="DR13" s="1">
        <v>1.377120927231194E-2</v>
      </c>
      <c r="DS13" s="1">
        <v>6.8596852640390879E-2</v>
      </c>
      <c r="DT13" s="1">
        <v>-3.542630104766481E-2</v>
      </c>
      <c r="DU13" s="1">
        <v>2.0848414519023192E-2</v>
      </c>
      <c r="DV13" s="1">
        <v>7.9620144024188558E-2</v>
      </c>
      <c r="DW13" s="1">
        <v>4.5686979428007042E-2</v>
      </c>
      <c r="DX13" s="1">
        <v>-6.4641919490531136E-2</v>
      </c>
      <c r="DY13" s="1">
        <v>-3.5306137940869793E-2</v>
      </c>
      <c r="DZ13" s="1">
        <v>-1.177046576227069E-2</v>
      </c>
      <c r="EA13" s="1">
        <v>7.659036634905636E-2</v>
      </c>
      <c r="EB13" s="1">
        <v>2.012062189251651E-4</v>
      </c>
      <c r="EC13" s="1">
        <v>4.1659753435228923E-2</v>
      </c>
      <c r="ED13" s="1">
        <v>-6.5682093659234955E-2</v>
      </c>
      <c r="EE13" s="1">
        <v>4.1234383995911589E-2</v>
      </c>
      <c r="EF13" s="1">
        <v>6.7291156741452265E-2</v>
      </c>
      <c r="EG13" s="62">
        <f t="shared" si="6"/>
        <v>9.9787228581094435E-3</v>
      </c>
      <c r="EH13" s="62">
        <f t="shared" si="7"/>
        <v>4.1984817761848307E-2</v>
      </c>
      <c r="EI13" s="75">
        <f t="shared" si="8"/>
        <v>0.23767455451901784</v>
      </c>
    </row>
    <row r="14" spans="1:139" ht="16">
      <c r="A14" s="6">
        <v>50</v>
      </c>
      <c r="B14" s="6">
        <v>19</v>
      </c>
      <c r="C14" s="9">
        <v>-3.0371566279064999E-2</v>
      </c>
      <c r="D14" s="9">
        <v>8.3347311543301411E-2</v>
      </c>
      <c r="E14" s="9">
        <v>-9.8768248142222112E-2</v>
      </c>
      <c r="F14" s="9">
        <v>-4.8454142799859851E-2</v>
      </c>
      <c r="G14" s="9">
        <v>-4.1019916497925447E-2</v>
      </c>
      <c r="H14" s="9">
        <v>-1.1508260862123591E-2</v>
      </c>
      <c r="I14" s="9">
        <v>4.3787359823142302E-2</v>
      </c>
      <c r="J14" s="9">
        <v>1.861218086468263E-2</v>
      </c>
      <c r="K14" s="9">
        <v>1.245116151579238E-2</v>
      </c>
      <c r="L14" s="2">
        <v>4.847197187706806E-3</v>
      </c>
      <c r="M14" s="2">
        <v>5.6961927636317916E-3</v>
      </c>
      <c r="N14" s="2">
        <v>8.2693466848407296E-2</v>
      </c>
      <c r="O14" s="1">
        <v>3.7475787013006502E-2</v>
      </c>
      <c r="P14" s="1">
        <v>4.7779764282807252E-2</v>
      </c>
      <c r="Q14" s="1">
        <v>5.8237946154634852E-2</v>
      </c>
      <c r="R14" s="1">
        <v>-1.5941187297101821E-2</v>
      </c>
      <c r="S14" s="1">
        <v>-2.480674609276777E-2</v>
      </c>
      <c r="T14" s="1">
        <v>-6.9841479520895866E-2</v>
      </c>
      <c r="U14" s="1">
        <v>-3.6579129519701881E-2</v>
      </c>
      <c r="V14" s="1">
        <v>3.837554626450454E-2</v>
      </c>
      <c r="W14" s="1">
        <v>7.4008159388253003E-2</v>
      </c>
      <c r="X14" s="1">
        <v>-5.3581708514183243E-2</v>
      </c>
      <c r="Y14" s="1">
        <v>-1.676266335668946E-2</v>
      </c>
      <c r="Z14" s="1">
        <v>2.1252201103450899E-2</v>
      </c>
      <c r="AA14" s="1">
        <v>-3.9450180302082173E-2</v>
      </c>
      <c r="AB14" s="1">
        <v>6.7753922577577369E-2</v>
      </c>
      <c r="AC14" s="1">
        <v>-1.2246684679868549E-2</v>
      </c>
      <c r="AD14" s="1">
        <v>3.9327892190029898E-2</v>
      </c>
      <c r="AE14" s="1">
        <v>-0.1074343436932835</v>
      </c>
      <c r="AF14" s="1">
        <v>8.4317009176674104E-2</v>
      </c>
      <c r="AG14" s="1">
        <v>1.8490820215532919E-2</v>
      </c>
      <c r="AH14" s="1">
        <v>-3.3462742209097521E-3</v>
      </c>
      <c r="AI14" s="1">
        <v>7.2072950927120863E-2</v>
      </c>
      <c r="AJ14" s="1">
        <v>1.505903608315101E-2</v>
      </c>
      <c r="AK14" s="1">
        <v>-1.1509462937175179E-2</v>
      </c>
      <c r="AL14" s="1">
        <v>-1.8559542258206829E-2</v>
      </c>
      <c r="AM14" s="1">
        <v>6.8283273401007955E-2</v>
      </c>
      <c r="AN14" s="1">
        <v>9.2260489203576102E-2</v>
      </c>
      <c r="AO14" s="1">
        <v>6.0905705465409958E-2</v>
      </c>
      <c r="AP14" s="1">
        <v>-6.9976525152084218E-2</v>
      </c>
      <c r="AQ14" s="1">
        <v>-8.7938602839236855E-4</v>
      </c>
      <c r="AR14" s="1">
        <v>3.764583976226292E-2</v>
      </c>
      <c r="AS14" s="1">
        <v>8.2332976041211745E-2</v>
      </c>
      <c r="AT14" s="1">
        <v>4.0924565658097392E-2</v>
      </c>
      <c r="AU14" s="1">
        <v>4.7021353908674138E-2</v>
      </c>
      <c r="AV14" s="1">
        <v>-2.2684786340637021E-2</v>
      </c>
      <c r="AW14" s="1">
        <v>-1.542137812325498E-2</v>
      </c>
      <c r="AX14" s="1">
        <v>-0.13695102829439271</v>
      </c>
      <c r="AY14" s="1">
        <v>1.5068118771761551E-2</v>
      </c>
      <c r="AZ14" s="1">
        <v>-5.3158247705062792E-2</v>
      </c>
      <c r="BA14" s="1">
        <v>2.0125911036837359E-2</v>
      </c>
      <c r="BB14" s="1">
        <v>0.101898340258458</v>
      </c>
      <c r="BC14" s="1">
        <v>-9.0839235255182754E-3</v>
      </c>
      <c r="BD14" s="1">
        <v>4.3327781667405418E-2</v>
      </c>
      <c r="BE14" s="1">
        <v>-2.411701849660209E-2</v>
      </c>
      <c r="BF14" s="1">
        <v>4.0770521545689782E-2</v>
      </c>
      <c r="BG14" s="1">
        <v>-0.12530530643958979</v>
      </c>
      <c r="BH14" s="1">
        <v>-2.8344416701581171E-4</v>
      </c>
      <c r="BI14" s="1">
        <v>-5.2014235626168727E-2</v>
      </c>
      <c r="BJ14" s="1">
        <v>1.32542788140672E-2</v>
      </c>
      <c r="BK14" s="1">
        <v>-8.7325279752963059E-5</v>
      </c>
      <c r="BL14" s="1">
        <v>5.9737766842370338E-2</v>
      </c>
      <c r="BM14" s="1">
        <v>3.2002837226371338E-2</v>
      </c>
      <c r="BN14" s="1">
        <v>4.5371706308739268E-2</v>
      </c>
      <c r="BO14" s="1">
        <v>-3.3609045677264478E-2</v>
      </c>
      <c r="BP14" s="1">
        <v>1.282266739040127E-2</v>
      </c>
      <c r="BQ14" s="1">
        <v>1.204942278513583E-2</v>
      </c>
      <c r="BR14" s="1">
        <v>-2.7929429532617921E-2</v>
      </c>
      <c r="BS14" s="1">
        <v>-3.8629203614304157E-2</v>
      </c>
      <c r="BT14" s="1">
        <v>-1.5287927903372821E-2</v>
      </c>
      <c r="BU14" s="1">
        <v>-8.8548353580308568E-3</v>
      </c>
      <c r="BV14" s="1">
        <v>2.8891421882955771E-2</v>
      </c>
      <c r="BW14" s="1">
        <v>-0.11840804197930491</v>
      </c>
      <c r="BX14" s="1">
        <v>3.071342246663937E-4</v>
      </c>
      <c r="BY14" s="1">
        <v>-8.0399768583761216E-2</v>
      </c>
      <c r="BZ14" s="1">
        <v>0.1117805205315809</v>
      </c>
      <c r="CA14" s="1">
        <v>-2.4465266114937059E-2</v>
      </c>
      <c r="CB14" s="1">
        <v>2.2127616542174811E-2</v>
      </c>
      <c r="CC14" s="1">
        <v>2.8975681486368681E-2</v>
      </c>
      <c r="CD14" s="1">
        <v>9.8016709932197743E-2</v>
      </c>
      <c r="CE14" s="1">
        <v>0.1705553024885505</v>
      </c>
      <c r="CF14" s="1">
        <v>2.0310216922519591E-2</v>
      </c>
      <c r="CG14" s="1">
        <v>5.3067028295838897E-2</v>
      </c>
      <c r="CH14" s="1">
        <v>-4.8879670456065782E-2</v>
      </c>
      <c r="CI14" s="1">
        <v>-3.829356134685134E-3</v>
      </c>
      <c r="CJ14" s="1">
        <v>-3.2530406678910828E-2</v>
      </c>
      <c r="CK14" s="1">
        <v>1.40163643906461E-2</v>
      </c>
      <c r="CL14" s="1">
        <v>0.1300328670856512</v>
      </c>
      <c r="CM14" s="1">
        <v>3.2040010368317121E-2</v>
      </c>
      <c r="CN14" s="1">
        <v>2.0479398043205661E-2</v>
      </c>
      <c r="CO14" s="1">
        <v>-7.3587720038892968E-2</v>
      </c>
      <c r="CP14" s="1">
        <v>-9.3659357741041893E-2</v>
      </c>
      <c r="CQ14" s="1">
        <v>5.321162809167454E-2</v>
      </c>
      <c r="CR14" s="1">
        <v>-6.2640655376448015E-2</v>
      </c>
      <c r="CS14" s="1">
        <v>5.9027120263655718E-2</v>
      </c>
      <c r="CT14" s="1">
        <v>1.910057655068487E-2</v>
      </c>
      <c r="CU14" s="1">
        <v>-4.4544442113006052E-2</v>
      </c>
      <c r="CV14" s="1">
        <v>3.9399433901219798E-2</v>
      </c>
      <c r="CW14" s="1">
        <v>8.2340018803759574E-3</v>
      </c>
      <c r="CX14" s="1">
        <v>2.4244256487495751E-2</v>
      </c>
      <c r="CY14" s="1">
        <v>-5.0137743473948983E-2</v>
      </c>
      <c r="CZ14" s="1">
        <v>0.13617204681910691</v>
      </c>
      <c r="DA14" s="1">
        <v>-2.4304289170584491E-2</v>
      </c>
      <c r="DB14" s="1">
        <v>0.1046074411002299</v>
      </c>
      <c r="DC14" s="1">
        <v>2.7534092600391691E-2</v>
      </c>
      <c r="DD14" s="1">
        <v>-5.389996674879375E-2</v>
      </c>
      <c r="DE14" s="1">
        <v>5.3842996077645561E-3</v>
      </c>
      <c r="DF14" s="1">
        <v>-3.9770460462142318E-2</v>
      </c>
      <c r="DG14" s="1">
        <v>4.5583395726898353E-2</v>
      </c>
      <c r="DH14" s="1">
        <v>4.7748372429115976E-3</v>
      </c>
      <c r="DI14" s="1">
        <v>-5.3191997244607769E-2</v>
      </c>
      <c r="DJ14" s="1">
        <v>1.023724267297355E-3</v>
      </c>
      <c r="DK14" s="1">
        <v>1.831737607687968E-2</v>
      </c>
      <c r="DL14" s="1">
        <v>-9.2741823572412251E-3</v>
      </c>
      <c r="DM14" s="1">
        <v>5.504269093650517E-3</v>
      </c>
      <c r="DN14" s="1">
        <v>3.9851707566544763E-2</v>
      </c>
      <c r="DO14" s="1">
        <v>0.1025921893632338</v>
      </c>
      <c r="DP14" s="1">
        <v>4.053222750423735E-2</v>
      </c>
      <c r="DQ14" s="1">
        <v>-8.9367860040811792E-2</v>
      </c>
      <c r="DR14" s="1">
        <v>5.2622519458999567E-2</v>
      </c>
      <c r="DS14" s="1">
        <v>5.6051819928563652E-2</v>
      </c>
      <c r="DT14" s="1">
        <v>-4.4433183840340729E-2</v>
      </c>
      <c r="DU14" s="1">
        <v>-4.4914948618981987E-2</v>
      </c>
      <c r="DV14" s="1">
        <v>0.10826235453010739</v>
      </c>
      <c r="DW14" s="1">
        <v>9.1809329055838426E-2</v>
      </c>
      <c r="DX14" s="1">
        <v>-0.10216121988583921</v>
      </c>
      <c r="DY14" s="1">
        <v>-3.7997079946848547E-2</v>
      </c>
      <c r="DZ14" s="1">
        <v>-4.3403395724387417E-3</v>
      </c>
      <c r="EA14" s="1">
        <v>7.8105265887936245E-2</v>
      </c>
      <c r="EB14" s="1">
        <v>-2.510952061826455E-2</v>
      </c>
      <c r="EC14" s="1">
        <v>6.079382148132988E-3</v>
      </c>
      <c r="ED14" s="1">
        <v>-0.102629709186187</v>
      </c>
      <c r="EE14" s="1">
        <v>-3.3992535180725199E-3</v>
      </c>
      <c r="EF14" s="1">
        <v>6.6632346729412442E-2</v>
      </c>
      <c r="EG14" s="62">
        <f t="shared" si="6"/>
        <v>7.7187787458844904E-3</v>
      </c>
      <c r="EH14" s="60">
        <f t="shared" si="7"/>
        <v>5.7426788279202154E-2</v>
      </c>
      <c r="EI14" s="76">
        <f t="shared" si="8"/>
        <v>0.13441076851375902</v>
      </c>
    </row>
    <row r="15" spans="1:139" ht="16">
      <c r="A15" s="6">
        <v>100</v>
      </c>
      <c r="B15" s="6">
        <v>10</v>
      </c>
      <c r="C15" s="9">
        <v>-9.6503141994516081E-2</v>
      </c>
      <c r="D15" s="9">
        <v>1.5948528524351739E-2</v>
      </c>
      <c r="E15" s="9">
        <v>-6.6038487211205685E-2</v>
      </c>
      <c r="F15" s="9">
        <v>-0.1085622933731899</v>
      </c>
      <c r="G15" s="9">
        <v>-4.542205246389433E-2</v>
      </c>
      <c r="H15" s="9">
        <v>-1.2437260581051001E-3</v>
      </c>
      <c r="I15" s="9">
        <v>5.843144427986554E-2</v>
      </c>
      <c r="J15" s="9">
        <v>4.9961465247389647E-2</v>
      </c>
      <c r="K15" s="9">
        <v>-4.2103663853407802E-3</v>
      </c>
      <c r="L15" s="2">
        <v>3.2558505157184642E-2</v>
      </c>
      <c r="M15" s="2">
        <v>2.5497709479487259E-2</v>
      </c>
      <c r="N15" s="2">
        <v>0.11648181212860299</v>
      </c>
      <c r="O15" s="1">
        <v>7.0841604183816256E-2</v>
      </c>
      <c r="P15" s="1">
        <v>5.298328319235554E-2</v>
      </c>
      <c r="Q15" s="1">
        <v>0.1003753495838908</v>
      </c>
      <c r="R15" s="1">
        <v>-5.2129690105117463E-2</v>
      </c>
      <c r="S15" s="1">
        <v>8.5487890205940886E-2</v>
      </c>
      <c r="T15" s="1">
        <v>-6.6800124943112091E-2</v>
      </c>
      <c r="U15" s="1">
        <v>-4.6790243158631693E-2</v>
      </c>
      <c r="V15" s="1">
        <v>8.5680881878873433E-2</v>
      </c>
      <c r="W15" s="1">
        <v>0.1025435939827431</v>
      </c>
      <c r="X15" s="1">
        <v>-7.8436412445587397E-2</v>
      </c>
      <c r="Y15" s="1">
        <v>-2.41886185471549E-2</v>
      </c>
      <c r="Z15" s="1">
        <v>-2.3656418685670762E-2</v>
      </c>
      <c r="AA15" s="1">
        <v>-5.1268006025394948E-2</v>
      </c>
      <c r="AB15" s="1">
        <v>6.6775213871771322E-2</v>
      </c>
      <c r="AC15" s="1">
        <v>1.6480966208188091E-2</v>
      </c>
      <c r="AD15" s="1">
        <v>3.9690481127708267E-2</v>
      </c>
      <c r="AE15" s="1">
        <v>-0.101313316198875</v>
      </c>
      <c r="AF15" s="1">
        <v>4.9772024875114299E-2</v>
      </c>
      <c r="AG15" s="1">
        <v>1.012347826165556E-2</v>
      </c>
      <c r="AH15" s="1">
        <v>-3.3604373357676472E-2</v>
      </c>
      <c r="AI15" s="1">
        <v>5.0854449586025072E-2</v>
      </c>
      <c r="AJ15" s="1">
        <v>9.4648599674757375E-3</v>
      </c>
      <c r="AK15" s="1">
        <v>-3.6999311756730033E-2</v>
      </c>
      <c r="AL15" s="1">
        <v>6.8817591114361167E-3</v>
      </c>
      <c r="AM15" s="1">
        <v>5.5122622134627111E-2</v>
      </c>
      <c r="AN15" s="1">
        <v>9.2861913417686362E-2</v>
      </c>
      <c r="AO15" s="1">
        <v>6.3369812463467096E-2</v>
      </c>
      <c r="AP15" s="1">
        <v>-8.645776651050277E-2</v>
      </c>
      <c r="AQ15" s="1">
        <v>-3.2597542006349858E-2</v>
      </c>
      <c r="AR15" s="1">
        <v>7.8517256867441307E-2</v>
      </c>
      <c r="AS15" s="1">
        <v>5.3821179037114017E-2</v>
      </c>
      <c r="AT15" s="1">
        <v>6.5254990652428568E-2</v>
      </c>
      <c r="AU15" s="1">
        <v>3.9943261089466317E-2</v>
      </c>
      <c r="AV15" s="1">
        <v>-4.7226818327438858E-2</v>
      </c>
      <c r="AW15" s="1">
        <v>1.5659939254580951E-2</v>
      </c>
      <c r="AX15" s="1">
        <v>-0.12523397717473519</v>
      </c>
      <c r="AY15" s="1">
        <v>2.8109416462786169E-2</v>
      </c>
      <c r="AZ15" s="1">
        <v>-9.1323280068503487E-2</v>
      </c>
      <c r="BA15" s="1">
        <v>1.061351480765297E-2</v>
      </c>
      <c r="BB15" s="1">
        <v>0.1087890998161227</v>
      </c>
      <c r="BC15" s="1">
        <v>6.2155143667830287E-2</v>
      </c>
      <c r="BD15" s="1">
        <v>4.294982035196844E-2</v>
      </c>
      <c r="BE15" s="1">
        <v>-4.6217113983022272E-2</v>
      </c>
      <c r="BF15" s="1">
        <v>5.1177887277543473E-2</v>
      </c>
      <c r="BG15" s="1">
        <v>-0.16605121546459681</v>
      </c>
      <c r="BH15" s="1">
        <v>3.3556537286376982E-2</v>
      </c>
      <c r="BI15" s="1">
        <v>-6.8586659114969639E-2</v>
      </c>
      <c r="BJ15" s="1">
        <v>1.561910267199181E-2</v>
      </c>
      <c r="BK15" s="1">
        <v>-1.115636771345601E-2</v>
      </c>
      <c r="BL15" s="1">
        <v>6.274817600019017E-2</v>
      </c>
      <c r="BM15" s="1">
        <v>6.5206882998733687E-2</v>
      </c>
      <c r="BN15" s="1">
        <v>6.6054035225581897E-2</v>
      </c>
      <c r="BO15" s="1">
        <v>-2.773447595493098E-2</v>
      </c>
      <c r="BP15" s="1">
        <v>1.4184220707804779E-2</v>
      </c>
      <c r="BQ15" s="1">
        <v>1.280293129032776E-2</v>
      </c>
      <c r="BR15" s="1">
        <v>-5.0157429122059692E-2</v>
      </c>
      <c r="BS15" s="1">
        <v>-1.682377745028632E-2</v>
      </c>
      <c r="BT15" s="1">
        <v>3.6633666195559952E-2</v>
      </c>
      <c r="BU15" s="1">
        <v>1.9476419795793471E-2</v>
      </c>
      <c r="BV15" s="1">
        <v>5.9228936960448321E-2</v>
      </c>
      <c r="BW15" s="1">
        <v>-0.20414583935248479</v>
      </c>
      <c r="BX15" s="1">
        <v>-2.3949431437341431E-2</v>
      </c>
      <c r="BY15" s="1">
        <v>-9.333839246383685E-2</v>
      </c>
      <c r="BZ15" s="1">
        <v>0.1029064689773473</v>
      </c>
      <c r="CA15" s="1">
        <v>-1.859202079644226E-2</v>
      </c>
      <c r="CB15" s="1">
        <v>1.5056894011824499E-2</v>
      </c>
      <c r="CC15" s="1">
        <v>-3.5358543172516708E-2</v>
      </c>
      <c r="CD15" s="1">
        <v>0.1201520839630844</v>
      </c>
      <c r="CE15" s="1">
        <v>7.3368120048450503E-2</v>
      </c>
      <c r="CF15" s="1">
        <v>3.626816930322469E-3</v>
      </c>
      <c r="CG15" s="1">
        <v>-4.2988792533641684E-3</v>
      </c>
      <c r="CH15" s="1">
        <v>-8.1342607983328249E-2</v>
      </c>
      <c r="CI15" s="1">
        <v>-6.9336844735236963E-2</v>
      </c>
      <c r="CJ15" s="1">
        <v>-8.7044356072718071E-2</v>
      </c>
      <c r="CK15" s="1">
        <v>5.667264577209942E-2</v>
      </c>
      <c r="CL15" s="1">
        <v>0.21275088750665541</v>
      </c>
      <c r="CM15" s="1">
        <v>7.4631116128453773E-2</v>
      </c>
      <c r="CN15" s="1">
        <v>4.2634115799160301E-2</v>
      </c>
      <c r="CO15" s="1">
        <v>-0.12944902488204141</v>
      </c>
      <c r="CP15" s="1">
        <v>-0.13009874767373969</v>
      </c>
      <c r="CQ15" s="1">
        <v>3.6876324363669319E-2</v>
      </c>
      <c r="CR15" s="1">
        <v>-2.4374318697755349E-2</v>
      </c>
      <c r="CS15" s="1">
        <v>6.0185172463594637E-2</v>
      </c>
      <c r="CT15" s="1">
        <v>7.3945749754547726E-3</v>
      </c>
      <c r="CU15" s="1">
        <v>-6.3178659914772728E-2</v>
      </c>
      <c r="CV15" s="1">
        <v>6.0444495689389928E-2</v>
      </c>
      <c r="CW15" s="1">
        <v>-2.7257441545493911E-2</v>
      </c>
      <c r="CX15" s="1">
        <v>1.7868891816779579E-2</v>
      </c>
      <c r="CY15" s="1">
        <v>-5.5732710824827947E-2</v>
      </c>
      <c r="CZ15" s="1">
        <v>0.1153640450929759</v>
      </c>
      <c r="DA15" s="1">
        <v>-2.6375835441876511E-2</v>
      </c>
      <c r="DB15" s="1">
        <v>9.7048241525465193E-2</v>
      </c>
      <c r="DC15" s="1">
        <v>2.4821106930732879E-2</v>
      </c>
      <c r="DD15" s="1">
        <v>-6.7526409067735202E-2</v>
      </c>
      <c r="DE15" s="1">
        <v>2.494871474504301E-2</v>
      </c>
      <c r="DF15" s="1">
        <v>-4.2391306399394757E-2</v>
      </c>
      <c r="DG15" s="1">
        <v>4.7917484974342339E-2</v>
      </c>
      <c r="DH15" s="1">
        <v>-1.8709011043892099E-2</v>
      </c>
      <c r="DI15" s="1">
        <v>-1.171844900945769E-2</v>
      </c>
      <c r="DJ15" s="1">
        <v>-5.1522810823404298E-2</v>
      </c>
      <c r="DK15" s="1">
        <v>0.101774834051468</v>
      </c>
      <c r="DL15" s="1">
        <v>7.7378337781703003E-3</v>
      </c>
      <c r="DM15" s="1">
        <v>-2.380854686766869E-2</v>
      </c>
      <c r="DN15" s="1">
        <v>4.3996497423619649E-2</v>
      </c>
      <c r="DO15" s="1">
        <v>0.15954541135927219</v>
      </c>
      <c r="DP15" s="1">
        <v>2.3735602006892551E-2</v>
      </c>
      <c r="DQ15" s="1">
        <v>-9.9672215055135627E-2</v>
      </c>
      <c r="DR15" s="1">
        <v>3.9785608055100882E-2</v>
      </c>
      <c r="DS15" s="1">
        <v>3.7530143777968331E-2</v>
      </c>
      <c r="DT15" s="1">
        <v>-7.2163631718163007E-2</v>
      </c>
      <c r="DU15" s="1">
        <v>-4.5770728951680668E-2</v>
      </c>
      <c r="DV15" s="1">
        <v>0.13976835694087139</v>
      </c>
      <c r="DW15" s="1">
        <v>2.553862714683254E-2</v>
      </c>
      <c r="DX15" s="1">
        <v>-0.1186162506499864</v>
      </c>
      <c r="DY15" s="1">
        <v>-0.10653916660100959</v>
      </c>
      <c r="DZ15" s="1">
        <v>-1.8920244069384411E-2</v>
      </c>
      <c r="EA15" s="1">
        <v>3.2239691299037927E-2</v>
      </c>
      <c r="EB15" s="1">
        <v>-5.6126480267324717E-2</v>
      </c>
      <c r="EC15" s="1">
        <v>5.0736498768636222E-2</v>
      </c>
      <c r="ED15" s="1">
        <v>-0.1133570559353114</v>
      </c>
      <c r="EE15" s="1">
        <v>3.1907205015268242E-3</v>
      </c>
      <c r="EF15" s="1">
        <v>6.2208305239075959E-2</v>
      </c>
      <c r="EG15" s="59">
        <f t="shared" si="6"/>
        <v>4.4455181570323844E-3</v>
      </c>
      <c r="EH15" s="60">
        <f t="shared" si="7"/>
        <v>6.999909120258109E-2</v>
      </c>
      <c r="EI15" s="76">
        <f t="shared" si="8"/>
        <v>6.3508226759213471E-2</v>
      </c>
    </row>
    <row r="16" spans="1:139" ht="16">
      <c r="A16" s="6">
        <v>107</v>
      </c>
      <c r="B16" s="6">
        <v>9</v>
      </c>
      <c r="C16" s="9">
        <v>-2.7383644610379052E-2</v>
      </c>
      <c r="D16" s="9">
        <v>-7.202486673170555E-4</v>
      </c>
      <c r="E16" s="9">
        <v>-6.500657711132822E-2</v>
      </c>
      <c r="F16" s="9">
        <v>-9.9382492855487087E-2</v>
      </c>
      <c r="G16" s="9">
        <v>-7.3696265126923857E-2</v>
      </c>
      <c r="H16" s="9">
        <v>-6.4934945682303775E-4</v>
      </c>
      <c r="I16" s="9">
        <v>5.7530618665621432E-2</v>
      </c>
      <c r="J16" s="9">
        <v>4.6709926042666168E-2</v>
      </c>
      <c r="K16" s="9">
        <v>1.79251045182631E-2</v>
      </c>
      <c r="L16" s="2">
        <v>9.8865345878687977E-3</v>
      </c>
      <c r="M16" s="2">
        <v>4.0334454725240582E-2</v>
      </c>
      <c r="N16" s="2">
        <v>0.1206483082846176</v>
      </c>
      <c r="O16" s="1">
        <v>8.0984387642561134E-2</v>
      </c>
      <c r="P16" s="1">
        <v>6.1979735280907847E-2</v>
      </c>
      <c r="Q16" s="1">
        <v>9.6618173174909727E-2</v>
      </c>
      <c r="R16" s="1">
        <v>-4.899097828292652E-2</v>
      </c>
      <c r="S16" s="1">
        <v>0.1098590443348066</v>
      </c>
      <c r="T16" s="1">
        <v>-6.7219060157601318E-2</v>
      </c>
      <c r="U16" s="1">
        <v>-4.8651515792801768E-2</v>
      </c>
      <c r="V16" s="1">
        <v>0.1043161756014417</v>
      </c>
      <c r="W16" s="1">
        <v>0.1084247383760011</v>
      </c>
      <c r="X16" s="1">
        <v>-7.3678277657467109E-2</v>
      </c>
      <c r="Y16" s="1">
        <v>-4.2874470917364169E-3</v>
      </c>
      <c r="Z16" s="1">
        <v>-2.0075794878424799E-2</v>
      </c>
      <c r="AA16" s="1">
        <v>-4.3487635835992113E-2</v>
      </c>
      <c r="AB16" s="1">
        <v>7.4985041637980393E-2</v>
      </c>
      <c r="AC16" s="1">
        <v>4.5629502980193422E-2</v>
      </c>
      <c r="AD16" s="1">
        <v>3.481117185725148E-2</v>
      </c>
      <c r="AE16" s="1">
        <v>-9.6502360488605665E-2</v>
      </c>
      <c r="AF16" s="1">
        <v>1.5008623012342881E-2</v>
      </c>
      <c r="AG16" s="1">
        <v>1.32907530365354E-2</v>
      </c>
      <c r="AH16" s="1">
        <v>-3.1765400449440553E-2</v>
      </c>
      <c r="AI16" s="1">
        <v>4.907804317656804E-2</v>
      </c>
      <c r="AJ16" s="1">
        <v>-7.0259660718760518E-3</v>
      </c>
      <c r="AK16" s="1">
        <v>-7.9871677299248253E-3</v>
      </c>
      <c r="AL16" s="1">
        <v>1.4472511517458609E-2</v>
      </c>
      <c r="AM16" s="1">
        <v>6.6076730601797973E-2</v>
      </c>
      <c r="AN16" s="1">
        <v>0.1064562000896756</v>
      </c>
      <c r="AO16" s="1">
        <v>5.879525226607351E-2</v>
      </c>
      <c r="AP16" s="1">
        <v>-7.779836814558852E-2</v>
      </c>
      <c r="AQ16" s="1">
        <v>-3.8466200146068608E-2</v>
      </c>
      <c r="AR16" s="1">
        <v>0.1032911790604924</v>
      </c>
      <c r="AS16" s="1">
        <v>6.5068225473969343E-2</v>
      </c>
      <c r="AT16" s="1">
        <v>5.9867139144394142E-2</v>
      </c>
      <c r="AU16" s="1">
        <v>4.1826838254895117E-2</v>
      </c>
      <c r="AV16" s="1">
        <v>-9.0725067800187069E-3</v>
      </c>
      <c r="AW16" s="1">
        <v>3.9252930074650652E-2</v>
      </c>
      <c r="AX16" s="1">
        <v>-0.10082977324397289</v>
      </c>
      <c r="AY16" s="1">
        <v>3.3812589844345937E-2</v>
      </c>
      <c r="AZ16" s="1">
        <v>-0.1049096351787122</v>
      </c>
      <c r="BA16" s="1">
        <v>9.8081985443499303E-3</v>
      </c>
      <c r="BB16" s="1">
        <v>0.1324747375965718</v>
      </c>
      <c r="BC16" s="1">
        <v>6.6102245099688817E-2</v>
      </c>
      <c r="BD16" s="1">
        <v>3.5936711545904013E-2</v>
      </c>
      <c r="BE16" s="1">
        <v>-4.4139136640068882E-2</v>
      </c>
      <c r="BF16" s="1">
        <v>6.4268054319718215E-2</v>
      </c>
      <c r="BG16" s="1">
        <v>-0.16122956958435061</v>
      </c>
      <c r="BH16" s="1">
        <v>-5.4124800669573259E-3</v>
      </c>
      <c r="BI16" s="1">
        <v>-5.2335760294464642E-2</v>
      </c>
      <c r="BJ16" s="1">
        <v>2.0503816283207601E-2</v>
      </c>
      <c r="BK16" s="1">
        <v>-2.122951812515751E-3</v>
      </c>
      <c r="BL16" s="1">
        <v>7.0623565707523178E-2</v>
      </c>
      <c r="BM16" s="1">
        <v>9.1107172349872617E-2</v>
      </c>
      <c r="BN16" s="1">
        <v>6.7197970404689056E-2</v>
      </c>
      <c r="BO16" s="1">
        <v>-2.1890359953657689E-2</v>
      </c>
      <c r="BP16" s="1">
        <v>1.174719798333914E-2</v>
      </c>
      <c r="BQ16" s="1">
        <v>1.331245374481595E-2</v>
      </c>
      <c r="BR16" s="1">
        <v>-2.6296848021444389E-2</v>
      </c>
      <c r="BS16" s="1">
        <v>-1.319157314746418E-2</v>
      </c>
      <c r="BT16" s="1">
        <v>3.8066078212245447E-2</v>
      </c>
      <c r="BU16" s="1">
        <v>5.7765110184800447E-2</v>
      </c>
      <c r="BV16" s="1">
        <v>6.3782488349153427E-2</v>
      </c>
      <c r="BW16" s="1">
        <v>-0.2239449140016582</v>
      </c>
      <c r="BX16" s="1">
        <v>-2.4078271829347249E-2</v>
      </c>
      <c r="BY16" s="1">
        <v>-0.1189947080532785</v>
      </c>
      <c r="BZ16" s="1">
        <v>0.11152584850164921</v>
      </c>
      <c r="CA16" s="1">
        <v>-1.7116103683771391E-2</v>
      </c>
      <c r="CB16" s="1">
        <v>-1.4280449892172949E-3</v>
      </c>
      <c r="CC16" s="1">
        <v>-2.0683160701185161E-2</v>
      </c>
      <c r="CD16" s="1">
        <v>0.15507127162636181</v>
      </c>
      <c r="CE16" s="1">
        <v>9.3614230467915741E-2</v>
      </c>
      <c r="CF16" s="1">
        <v>1.4696062966429431E-2</v>
      </c>
      <c r="CG16" s="1">
        <v>6.4480215472076802E-3</v>
      </c>
      <c r="CH16" s="1">
        <v>-5.0448724703996098E-2</v>
      </c>
      <c r="CI16" s="1">
        <v>-5.8344749844507937E-2</v>
      </c>
      <c r="CJ16" s="1">
        <v>-4.5523550787666608E-2</v>
      </c>
      <c r="CK16" s="1">
        <v>7.6472983717690388E-2</v>
      </c>
      <c r="CL16" s="1">
        <v>0.24393815656542189</v>
      </c>
      <c r="CM16" s="1">
        <v>8.8988628149511681E-2</v>
      </c>
      <c r="CN16" s="1">
        <v>3.3057515140949983E-2</v>
      </c>
      <c r="CO16" s="1">
        <v>-0.17087869110724641</v>
      </c>
      <c r="CP16" s="1">
        <v>-0.1111514502016443</v>
      </c>
      <c r="CQ16" s="1">
        <v>4.0878176324455222E-2</v>
      </c>
      <c r="CR16" s="1">
        <v>-2.5228656512159529E-2</v>
      </c>
      <c r="CS16" s="1">
        <v>6.4948402196479196E-2</v>
      </c>
      <c r="CT16" s="1">
        <v>5.0674065008409694E-3</v>
      </c>
      <c r="CU16" s="1">
        <v>-6.4113369063883735E-2</v>
      </c>
      <c r="CV16" s="1">
        <v>5.9453992785835942E-2</v>
      </c>
      <c r="CW16" s="1">
        <v>-3.1673114171682698E-2</v>
      </c>
      <c r="CX16" s="1">
        <v>6.6867776782281244E-3</v>
      </c>
      <c r="CY16" s="1">
        <v>-5.8554306171252721E-2</v>
      </c>
      <c r="CZ16" s="1">
        <v>0.16621831718246161</v>
      </c>
      <c r="DA16" s="1">
        <v>-2.9804793967235531E-2</v>
      </c>
      <c r="DB16" s="1">
        <v>9.8017282885796683E-2</v>
      </c>
      <c r="DC16" s="1">
        <v>3.5357719183528223E-2</v>
      </c>
      <c r="DD16" s="1">
        <v>-7.4371115002597243E-2</v>
      </c>
      <c r="DE16" s="1">
        <v>-3.1193128036132781E-2</v>
      </c>
      <c r="DF16" s="1">
        <v>-2.31464332255591E-2</v>
      </c>
      <c r="DG16" s="1">
        <v>4.5676915028892429E-2</v>
      </c>
      <c r="DH16" s="1">
        <v>-1.9129343417971109E-2</v>
      </c>
      <c r="DI16" s="1">
        <v>-1.323342571252226E-2</v>
      </c>
      <c r="DJ16" s="1">
        <v>-3.66431427315837E-2</v>
      </c>
      <c r="DK16" s="1">
        <v>0.1335943566255807</v>
      </c>
      <c r="DL16" s="1">
        <v>1.365972087922711E-3</v>
      </c>
      <c r="DM16" s="1">
        <v>-3.0330949758340948E-2</v>
      </c>
      <c r="DN16" s="1">
        <v>4.2437853359407113E-2</v>
      </c>
      <c r="DO16" s="1">
        <v>0.16959094638807429</v>
      </c>
      <c r="DP16" s="1">
        <v>1.9841948579226051E-2</v>
      </c>
      <c r="DQ16" s="1">
        <v>-8.3033658077016542E-2</v>
      </c>
      <c r="DR16" s="1">
        <v>5.5191251649515209E-2</v>
      </c>
      <c r="DS16" s="1">
        <v>2.144067271249302E-2</v>
      </c>
      <c r="DT16" s="1">
        <v>-0.1006933242958723</v>
      </c>
      <c r="DU16" s="1">
        <v>-6.447373376953866E-2</v>
      </c>
      <c r="DV16" s="1">
        <v>0.13695373201779351</v>
      </c>
      <c r="DW16" s="1">
        <v>4.0917729699690833E-2</v>
      </c>
      <c r="DX16" s="1">
        <v>-0.1252847063239774</v>
      </c>
      <c r="DY16" s="1">
        <v>-0.11635433491034319</v>
      </c>
      <c r="DZ16" s="1">
        <v>-3.1277079824676451E-2</v>
      </c>
      <c r="EA16" s="1">
        <v>4.6661371555726909E-2</v>
      </c>
      <c r="EB16" s="1">
        <v>-7.0875443779551073E-2</v>
      </c>
      <c r="EC16" s="1">
        <v>5.1117652254380558E-2</v>
      </c>
      <c r="ED16" s="1">
        <v>-0.1154167474989211</v>
      </c>
      <c r="EE16" s="1">
        <v>4.3966753067597054E-3</v>
      </c>
      <c r="EF16" s="1">
        <v>3.9893906712643798E-2</v>
      </c>
      <c r="EG16" s="62">
        <f t="shared" si="6"/>
        <v>8.7129029071164425E-3</v>
      </c>
      <c r="EH16" s="60">
        <f t="shared" si="7"/>
        <v>7.4477128504205264E-2</v>
      </c>
      <c r="EI16" s="76">
        <f t="shared" si="8"/>
        <v>0.1169876320704883</v>
      </c>
    </row>
    <row r="17" spans="1:139" ht="16">
      <c r="A17" s="6">
        <v>120</v>
      </c>
      <c r="B17" s="6">
        <v>8</v>
      </c>
      <c r="C17" s="9">
        <v>-4.5056429492109057E-2</v>
      </c>
      <c r="D17" s="9">
        <v>-1.7334374733087798E-2</v>
      </c>
      <c r="E17" s="9">
        <v>-7.9589849390753017E-2</v>
      </c>
      <c r="F17" s="9">
        <v>-0.1128375151172957</v>
      </c>
      <c r="G17" s="9">
        <v>-7.8063040828595276E-2</v>
      </c>
      <c r="H17" s="9">
        <v>7.9428568480016878E-3</v>
      </c>
      <c r="I17" s="9">
        <v>0.1137250278021875</v>
      </c>
      <c r="J17" s="9">
        <v>4.1858395118229183E-2</v>
      </c>
      <c r="K17" s="9">
        <v>3.9444991917733881E-2</v>
      </c>
      <c r="L17" s="2">
        <v>5.4577589303980156E-3</v>
      </c>
      <c r="M17" s="2">
        <v>6.4932034983486209E-2</v>
      </c>
      <c r="N17" s="2">
        <v>0.1359484320527852</v>
      </c>
      <c r="O17" s="1">
        <v>8.2517107640363144E-2</v>
      </c>
      <c r="P17" s="1">
        <v>7.6915603502900942E-2</v>
      </c>
      <c r="Q17" s="1">
        <v>0.1064302532864768</v>
      </c>
      <c r="R17" s="1">
        <v>-5.2057608904527208E-2</v>
      </c>
      <c r="S17" s="1">
        <v>0.1190543893253307</v>
      </c>
      <c r="T17" s="1">
        <v>-7.120201453280707E-2</v>
      </c>
      <c r="U17" s="1">
        <v>-5.2290233946816159E-2</v>
      </c>
      <c r="V17" s="1">
        <v>0.11635630202540009</v>
      </c>
      <c r="W17" s="1">
        <v>0.12350090053788521</v>
      </c>
      <c r="X17" s="1">
        <v>-0.1001859670039883</v>
      </c>
      <c r="Y17" s="1">
        <v>1.500501326537191E-3</v>
      </c>
      <c r="Z17" s="1">
        <v>-2.160848979426638E-2</v>
      </c>
      <c r="AA17" s="1">
        <v>-3.7262612041013693E-2</v>
      </c>
      <c r="AB17" s="1">
        <v>8.4852062878172319E-2</v>
      </c>
      <c r="AC17" s="1">
        <v>5.8728690290493803E-2</v>
      </c>
      <c r="AD17" s="1">
        <v>6.8619823236846789E-2</v>
      </c>
      <c r="AE17" s="1">
        <v>-0.127158422447225</v>
      </c>
      <c r="AF17" s="1">
        <v>8.4112432483115646E-3</v>
      </c>
      <c r="AG17" s="1">
        <v>3.1873572577670171E-2</v>
      </c>
      <c r="AH17" s="1">
        <v>-4.943754228054096E-2</v>
      </c>
      <c r="AI17" s="1">
        <v>3.058770864151358E-2</v>
      </c>
      <c r="AJ17" s="1">
        <v>-4.2602630518956887E-2</v>
      </c>
      <c r="AK17" s="1">
        <v>-1.3325712752363659E-2</v>
      </c>
      <c r="AL17" s="1">
        <v>9.9837333349987543E-3</v>
      </c>
      <c r="AM17" s="1">
        <v>7.5369367587656985E-2</v>
      </c>
      <c r="AN17" s="1">
        <v>0.1132871203459177</v>
      </c>
      <c r="AO17" s="1">
        <v>1.2632334595724191E-2</v>
      </c>
      <c r="AP17" s="1">
        <v>-7.7242814419585484E-2</v>
      </c>
      <c r="AQ17" s="1">
        <v>-6.0527137401499037E-2</v>
      </c>
      <c r="AR17" s="1">
        <v>0.11644964662764121</v>
      </c>
      <c r="AS17" s="1">
        <v>5.6323562034475708E-2</v>
      </c>
      <c r="AT17" s="1">
        <v>5.2267806449722218E-2</v>
      </c>
      <c r="AU17" s="1">
        <v>5.2648231242993053E-2</v>
      </c>
      <c r="AV17" s="1">
        <v>-2.1508362937905631E-2</v>
      </c>
      <c r="AW17" s="1">
        <v>1.916397377431981E-2</v>
      </c>
      <c r="AX17" s="1">
        <v>-9.6240558508798979E-2</v>
      </c>
      <c r="AY17" s="1">
        <v>2.742369669060089E-2</v>
      </c>
      <c r="AZ17" s="1">
        <v>-0.12511082490736811</v>
      </c>
      <c r="BA17" s="1">
        <v>9.8251791071129642E-3</v>
      </c>
      <c r="BB17" s="1">
        <v>0.15327128427838471</v>
      </c>
      <c r="BC17" s="1">
        <v>8.2716571543810222E-2</v>
      </c>
      <c r="BD17" s="1">
        <v>2.235648224620481E-2</v>
      </c>
      <c r="BE17" s="1">
        <v>-1.6297388770544239E-2</v>
      </c>
      <c r="BF17" s="1">
        <v>5.5197496608953713E-2</v>
      </c>
      <c r="BG17" s="1">
        <v>-0.18575157813088089</v>
      </c>
      <c r="BH17" s="1">
        <v>-1.7313847646246161E-3</v>
      </c>
      <c r="BI17" s="1">
        <v>-9.9365392037550321E-2</v>
      </c>
      <c r="BJ17" s="1">
        <v>9.8580642732364818E-3</v>
      </c>
      <c r="BK17" s="1">
        <v>-1.3822952070105509E-2</v>
      </c>
      <c r="BL17" s="1">
        <v>7.3931305201746164E-2</v>
      </c>
      <c r="BM17" s="1">
        <v>7.5997770445859966E-2</v>
      </c>
      <c r="BN17" s="1">
        <v>7.3656767936365913E-2</v>
      </c>
      <c r="BO17" s="1">
        <v>-1.9886080708886981E-2</v>
      </c>
      <c r="BP17" s="1">
        <v>2.683750107843403E-2</v>
      </c>
      <c r="BQ17" s="1">
        <v>1.1376510446451601E-2</v>
      </c>
      <c r="BR17" s="1">
        <v>-9.1794540592071705E-4</v>
      </c>
      <c r="BS17" s="1">
        <v>-4.1034691106065987E-3</v>
      </c>
      <c r="BT17" s="1">
        <v>3.3647573246358371E-2</v>
      </c>
      <c r="BU17" s="1">
        <v>7.1127818750752414E-2</v>
      </c>
      <c r="BV17" s="1">
        <v>7.4446900798735116E-2</v>
      </c>
      <c r="BW17" s="1">
        <v>-0.22723409350896309</v>
      </c>
      <c r="BX17" s="1">
        <v>-7.2009502804254097E-3</v>
      </c>
      <c r="BY17" s="1">
        <v>-9.5860871919991084E-2</v>
      </c>
      <c r="BZ17" s="1">
        <v>0.12057815588108529</v>
      </c>
      <c r="CA17" s="1">
        <v>-2.7934832358489561E-2</v>
      </c>
      <c r="CB17" s="1">
        <v>-1.3353103341121051E-3</v>
      </c>
      <c r="CC17" s="1">
        <v>-0.1146808468537778</v>
      </c>
      <c r="CD17" s="1">
        <v>0.17295974121914859</v>
      </c>
      <c r="CE17" s="1">
        <v>9.5708073661495086E-2</v>
      </c>
      <c r="CF17" s="1">
        <v>9.5123348938203942E-2</v>
      </c>
      <c r="CG17" s="1">
        <v>-2.2222469242222098E-3</v>
      </c>
      <c r="CH17" s="1">
        <v>-3.296907217045305E-2</v>
      </c>
      <c r="CI17" s="1">
        <v>-8.2452914320057163E-2</v>
      </c>
      <c r="CJ17" s="1">
        <v>-5.0742321484442049E-2</v>
      </c>
      <c r="CK17" s="1">
        <v>9.1738572657912937E-2</v>
      </c>
      <c r="CL17" s="1">
        <v>0.28717909798135349</v>
      </c>
      <c r="CM17" s="1">
        <v>0.13456934443157431</v>
      </c>
      <c r="CN17" s="1">
        <v>2.6718061150986971E-2</v>
      </c>
      <c r="CO17" s="1">
        <v>-0.20253862726298949</v>
      </c>
      <c r="CP17" s="1">
        <v>-0.108221383508889</v>
      </c>
      <c r="CQ17" s="1">
        <v>4.1087933183403327E-2</v>
      </c>
      <c r="CR17" s="1">
        <v>-2.3005829537998311E-2</v>
      </c>
      <c r="CS17" s="1">
        <v>9.3039920700191861E-2</v>
      </c>
      <c r="CT17" s="1">
        <v>4.9260056389193077E-2</v>
      </c>
      <c r="CU17" s="1">
        <v>-7.440830758325391E-2</v>
      </c>
      <c r="CV17" s="1">
        <v>6.7891017071279439E-2</v>
      </c>
      <c r="CW17" s="1">
        <v>-2.3155844814847809E-2</v>
      </c>
      <c r="CX17" s="1">
        <v>2.4992449205521659E-2</v>
      </c>
      <c r="CY17" s="1">
        <v>-5.9497951859822741E-2</v>
      </c>
      <c r="CZ17" s="1">
        <v>0.18413320062612309</v>
      </c>
      <c r="DA17" s="1">
        <v>-4.3895859145134192E-2</v>
      </c>
      <c r="DB17" s="1">
        <v>0.1042716259030833</v>
      </c>
      <c r="DC17" s="1">
        <v>4.3363468977499313E-2</v>
      </c>
      <c r="DD17" s="1">
        <v>-4.8130589338511678E-2</v>
      </c>
      <c r="DE17" s="1">
        <v>-3.3180930667267239E-2</v>
      </c>
      <c r="DF17" s="1">
        <v>-1.123137032665928E-2</v>
      </c>
      <c r="DG17" s="1">
        <v>4.7210988428523781E-2</v>
      </c>
      <c r="DH17" s="1">
        <v>-3.8726650938012717E-2</v>
      </c>
      <c r="DI17" s="1">
        <v>-5.2932443237824409E-3</v>
      </c>
      <c r="DJ17" s="1">
        <v>-4.5336157540819967E-2</v>
      </c>
      <c r="DK17" s="1">
        <v>0.15603642811654619</v>
      </c>
      <c r="DL17" s="1">
        <v>-5.7903457454932094E-3</v>
      </c>
      <c r="DM17" s="1">
        <v>-5.2252910582316028E-2</v>
      </c>
      <c r="DN17" s="1">
        <v>3.5489032714339008E-2</v>
      </c>
      <c r="DO17" s="1">
        <v>0.17976292609872879</v>
      </c>
      <c r="DP17" s="1">
        <v>-1.6878609333896889E-2</v>
      </c>
      <c r="DQ17" s="1">
        <v>-0.1077024687966308</v>
      </c>
      <c r="DR17" s="1">
        <v>5.5884814876328279E-2</v>
      </c>
      <c r="DS17" s="1">
        <v>3.7354088755102308E-2</v>
      </c>
      <c r="DT17" s="1">
        <v>-9.3980212362723553E-2</v>
      </c>
      <c r="DU17" s="1">
        <v>-7.1730706050505327E-2</v>
      </c>
      <c r="DV17" s="1">
        <v>0.11776539811095429</v>
      </c>
      <c r="DW17" s="1">
        <v>4.8681483414150163E-2</v>
      </c>
      <c r="DX17" s="1">
        <v>-0.12953898259647401</v>
      </c>
      <c r="DY17" s="1">
        <v>-0.1031206782681542</v>
      </c>
      <c r="DZ17" s="1">
        <v>-4.8145298847007592E-2</v>
      </c>
      <c r="EA17" s="1">
        <v>1.181792386571255E-2</v>
      </c>
      <c r="EB17" s="1">
        <v>-7.3780969717652869E-2</v>
      </c>
      <c r="EC17" s="1">
        <v>1.6425217216060651E-2</v>
      </c>
      <c r="ED17" s="1">
        <v>-0.12832444392891271</v>
      </c>
      <c r="EE17" s="1">
        <v>-1.9352114607941879E-4</v>
      </c>
      <c r="EF17" s="1">
        <v>4.7709767009851849E-2</v>
      </c>
      <c r="EG17" s="62">
        <f t="shared" si="6"/>
        <v>8.9700955527174837E-3</v>
      </c>
      <c r="EH17" s="60">
        <f t="shared" si="7"/>
        <v>8.3484696205046491E-2</v>
      </c>
      <c r="EI17" s="76">
        <f t="shared" si="8"/>
        <v>0.10744598663551534</v>
      </c>
    </row>
    <row r="18" spans="1:139" ht="16">
      <c r="A18" s="6">
        <v>137</v>
      </c>
      <c r="B18" s="6">
        <v>7</v>
      </c>
      <c r="C18" s="9">
        <v>-5.3942228163147227E-2</v>
      </c>
      <c r="D18" s="9">
        <v>1.6715166584862232E-2</v>
      </c>
      <c r="E18" s="9">
        <v>-5.3439350267724013E-2</v>
      </c>
      <c r="F18" s="9">
        <v>-0.13441437443338569</v>
      </c>
      <c r="G18" s="9">
        <v>-8.0794247020859855E-2</v>
      </c>
      <c r="H18" s="9">
        <v>8.6222277544443261E-3</v>
      </c>
      <c r="I18" s="9">
        <v>0.13550018022324109</v>
      </c>
      <c r="J18" s="9">
        <v>4.3411515751641608E-2</v>
      </c>
      <c r="K18" s="9">
        <v>3.1586450310913693E-2</v>
      </c>
      <c r="L18" s="2">
        <v>1.298248684698161E-2</v>
      </c>
      <c r="M18" s="2">
        <v>6.9806303560508057E-2</v>
      </c>
      <c r="N18" s="2">
        <v>0.1429924272847711</v>
      </c>
      <c r="O18" s="1">
        <v>8.0799770101222523E-2</v>
      </c>
      <c r="P18" s="1">
        <v>5.4569613110984121E-2</v>
      </c>
      <c r="Q18" s="1">
        <v>0.12173637166463511</v>
      </c>
      <c r="R18" s="1">
        <v>-6.9734027137790394E-2</v>
      </c>
      <c r="S18" s="1">
        <v>0.14380522729889919</v>
      </c>
      <c r="T18" s="1">
        <v>-5.7206381649403372E-2</v>
      </c>
      <c r="U18" s="1">
        <v>-2.813552763259065E-2</v>
      </c>
      <c r="V18" s="1">
        <v>0.13125392693944099</v>
      </c>
      <c r="W18" s="1">
        <v>0.1379172379157062</v>
      </c>
      <c r="X18" s="1">
        <v>-0.1271228086254903</v>
      </c>
      <c r="Y18" s="1">
        <v>2.421380772058089E-2</v>
      </c>
      <c r="Z18" s="1">
        <v>-1.690571618738388E-2</v>
      </c>
      <c r="AA18" s="1">
        <v>-4.1705245182724067E-2</v>
      </c>
      <c r="AB18" s="1">
        <v>8.8397637444001725E-2</v>
      </c>
      <c r="AC18" s="1">
        <v>2.0368969995502941E-2</v>
      </c>
      <c r="AD18" s="1">
        <v>9.6285845185419314E-2</v>
      </c>
      <c r="AE18" s="1">
        <v>-0.1435292414290745</v>
      </c>
      <c r="AF18" s="1">
        <v>-1.751491948521124E-3</v>
      </c>
      <c r="AG18" s="1">
        <v>1.5743669970475001E-2</v>
      </c>
      <c r="AH18" s="1">
        <v>-4.0197460968514703E-2</v>
      </c>
      <c r="AI18" s="1">
        <v>4.6855541353756032E-2</v>
      </c>
      <c r="AJ18" s="1">
        <v>-4.7393756166449127E-2</v>
      </c>
      <c r="AK18" s="1">
        <v>2.7289927297043159E-2</v>
      </c>
      <c r="AL18" s="1">
        <v>8.5555505437218517E-4</v>
      </c>
      <c r="AM18" s="1">
        <v>6.6643405424771207E-2</v>
      </c>
      <c r="AN18" s="1">
        <v>7.9294639955201793E-2</v>
      </c>
      <c r="AO18" s="1">
        <v>5.4275349676927882E-3</v>
      </c>
      <c r="AP18" s="1">
        <v>-7.8278591933806971E-2</v>
      </c>
      <c r="AQ18" s="1">
        <v>-7.6230845326449942E-2</v>
      </c>
      <c r="AR18" s="1">
        <v>0.1382332373375689</v>
      </c>
      <c r="AS18" s="1">
        <v>8.5826551553969135E-2</v>
      </c>
      <c r="AT18" s="1">
        <v>4.3325649820578682E-2</v>
      </c>
      <c r="AU18" s="1">
        <v>6.8315340056693138E-2</v>
      </c>
      <c r="AV18" s="1">
        <v>-2.8768755881717199E-2</v>
      </c>
      <c r="AW18" s="1">
        <v>2.4538034241107461E-2</v>
      </c>
      <c r="AX18" s="1">
        <v>-0.10756086825583611</v>
      </c>
      <c r="AY18" s="1">
        <v>3.4783278641148073E-2</v>
      </c>
      <c r="AZ18" s="1">
        <v>-0.14840908238889911</v>
      </c>
      <c r="BA18" s="1">
        <v>-5.1212561330724396E-4</v>
      </c>
      <c r="BB18" s="1">
        <v>0.16725801848079261</v>
      </c>
      <c r="BC18" s="1">
        <v>8.3201572593320589E-2</v>
      </c>
      <c r="BD18" s="1">
        <v>-2.4016271687300441E-2</v>
      </c>
      <c r="BE18" s="1">
        <v>-2.2230541258883942E-2</v>
      </c>
      <c r="BF18" s="1">
        <v>4.5884536299578838E-2</v>
      </c>
      <c r="BG18" s="1">
        <v>-0.1467139748282886</v>
      </c>
      <c r="BH18" s="1">
        <v>3.0015991980721329E-2</v>
      </c>
      <c r="BI18" s="1">
        <v>-0.1090000069186657</v>
      </c>
      <c r="BJ18" s="1">
        <v>-5.9560640504595433E-3</v>
      </c>
      <c r="BK18" s="1">
        <v>-5.0745051384061532E-2</v>
      </c>
      <c r="BL18" s="1">
        <v>8.1157673820204085E-2</v>
      </c>
      <c r="BM18" s="1">
        <v>0.1027739390634396</v>
      </c>
      <c r="BN18" s="1">
        <v>7.8208699482375382E-2</v>
      </c>
      <c r="BO18" s="1">
        <v>-2.0227496106374639E-2</v>
      </c>
      <c r="BP18" s="1">
        <v>4.6857540334682007E-2</v>
      </c>
      <c r="BQ18" s="1">
        <v>1.916784109848992E-3</v>
      </c>
      <c r="BR18" s="1">
        <v>-5.7481935839547244E-3</v>
      </c>
      <c r="BS18" s="1">
        <v>-2.149720138170149E-2</v>
      </c>
      <c r="BT18" s="1">
        <v>1.329915077767777E-2</v>
      </c>
      <c r="BU18" s="1">
        <v>8.0677444040040805E-2</v>
      </c>
      <c r="BV18" s="1">
        <v>8.0923395277042356E-2</v>
      </c>
      <c r="BW18" s="1">
        <v>-0.26103993029855499</v>
      </c>
      <c r="BX18" s="1">
        <v>1.5811923945792471E-2</v>
      </c>
      <c r="BY18" s="1">
        <v>-6.2686744450084916E-2</v>
      </c>
      <c r="BZ18" s="1">
        <v>0.15331998780259809</v>
      </c>
      <c r="CA18" s="1">
        <v>-1.6076543892860819E-2</v>
      </c>
      <c r="CB18" s="1">
        <v>-2.4577356612448309E-2</v>
      </c>
      <c r="CC18" s="1">
        <v>-0.10559806271589139</v>
      </c>
      <c r="CD18" s="1">
        <v>0.19371681864683071</v>
      </c>
      <c r="CE18" s="1">
        <v>7.7260394878222755E-2</v>
      </c>
      <c r="CF18" s="1">
        <v>0.101858615532994</v>
      </c>
      <c r="CG18" s="1">
        <v>-2.8013589394155079E-3</v>
      </c>
      <c r="CH18" s="1">
        <v>-4.5365648959158789E-2</v>
      </c>
      <c r="CI18" s="1">
        <v>-0.11772540993228391</v>
      </c>
      <c r="CJ18" s="1">
        <v>-6.2313677824909687E-2</v>
      </c>
      <c r="CK18" s="1">
        <v>9.0667784292283726E-2</v>
      </c>
      <c r="CL18" s="1">
        <v>0.31710861291846171</v>
      </c>
      <c r="CM18" s="1">
        <v>0.15963579775903361</v>
      </c>
      <c r="CN18" s="1">
        <v>3.7997037094380737E-2</v>
      </c>
      <c r="CO18" s="1">
        <v>-0.23157387854942929</v>
      </c>
      <c r="CP18" s="1">
        <v>-0.1162703198079334</v>
      </c>
      <c r="CQ18" s="1">
        <v>4.7976536408267538E-2</v>
      </c>
      <c r="CR18" s="1">
        <v>-3.3743302271192592E-2</v>
      </c>
      <c r="CS18" s="1">
        <v>8.7017130839473586E-2</v>
      </c>
      <c r="CT18" s="1">
        <v>9.4951029065485665E-2</v>
      </c>
      <c r="CU18" s="1">
        <v>-7.1648691205109999E-2</v>
      </c>
      <c r="CV18" s="1">
        <v>6.8594139646989599E-2</v>
      </c>
      <c r="CW18" s="1">
        <v>-2.8328256584809738E-2</v>
      </c>
      <c r="CX18" s="1">
        <v>-1.40787475802823E-2</v>
      </c>
      <c r="CY18" s="1">
        <v>-7.1432458912374111E-2</v>
      </c>
      <c r="CZ18" s="1">
        <v>0.2044103385591152</v>
      </c>
      <c r="DA18" s="1">
        <v>-4.7380939518693557E-2</v>
      </c>
      <c r="DB18" s="1">
        <v>0.1181147182852117</v>
      </c>
      <c r="DC18" s="1">
        <v>3.6408781495506221E-2</v>
      </c>
      <c r="DD18" s="1">
        <v>-7.1071299907563223E-2</v>
      </c>
      <c r="DE18" s="1">
        <v>-3.4801347670990683E-2</v>
      </c>
      <c r="DF18" s="1">
        <v>-3.5042778782370249E-2</v>
      </c>
      <c r="DG18" s="1">
        <v>5.4770484126873797E-2</v>
      </c>
      <c r="DH18" s="1">
        <v>-2.8038013248649029E-2</v>
      </c>
      <c r="DI18" s="1">
        <v>-1.6114629238026808E-2</v>
      </c>
      <c r="DJ18" s="1">
        <v>-4.5204039785289522E-2</v>
      </c>
      <c r="DK18" s="1">
        <v>0.15851362709242739</v>
      </c>
      <c r="DL18" s="1">
        <v>-2.3410528135820521E-2</v>
      </c>
      <c r="DM18" s="1">
        <v>-6.650814073203816E-2</v>
      </c>
      <c r="DN18" s="1">
        <v>-1.6722064078021251E-2</v>
      </c>
      <c r="DO18" s="1">
        <v>0.22032021179129849</v>
      </c>
      <c r="DP18" s="1">
        <v>-2.0604686466865741E-2</v>
      </c>
      <c r="DQ18" s="1">
        <v>-0.1007272783058315</v>
      </c>
      <c r="DR18" s="1">
        <v>7.6840654771961045E-2</v>
      </c>
      <c r="DS18" s="1">
        <v>1.1277982255682851E-2</v>
      </c>
      <c r="DT18" s="1">
        <v>-0.1160173901109771</v>
      </c>
      <c r="DU18" s="1">
        <v>-9.6895186076904644E-2</v>
      </c>
      <c r="DV18" s="1">
        <v>0.1056406088000619</v>
      </c>
      <c r="DW18" s="1">
        <v>8.1908692284373169E-2</v>
      </c>
      <c r="DX18" s="1">
        <v>-0.1536029774624818</v>
      </c>
      <c r="DY18" s="1">
        <v>-9.7428036975949608E-2</v>
      </c>
      <c r="DZ18" s="1">
        <v>-7.5516359296365659E-2</v>
      </c>
      <c r="EA18" s="1">
        <v>-6.3615627439817801E-3</v>
      </c>
      <c r="EB18" s="1">
        <v>-9.7042689542278932E-2</v>
      </c>
      <c r="EC18" s="1">
        <v>5.8228474754975761E-3</v>
      </c>
      <c r="ED18" s="1">
        <v>-0.1200774322763405</v>
      </c>
      <c r="EE18" s="1">
        <v>1.111287672357628E-3</v>
      </c>
      <c r="EF18" s="1">
        <v>4.8955017110416547E-2</v>
      </c>
      <c r="EG18" s="62">
        <f t="shared" si="6"/>
        <v>8.2409600139888815E-3</v>
      </c>
      <c r="EH18" s="60">
        <f t="shared" si="7"/>
        <v>9.1912018491645514E-2</v>
      </c>
      <c r="EI18" s="76">
        <f t="shared" si="8"/>
        <v>8.9661397380125601E-2</v>
      </c>
    </row>
    <row r="19" spans="1:139" ht="16">
      <c r="A19" s="6">
        <v>160</v>
      </c>
      <c r="B19" s="6">
        <v>6</v>
      </c>
      <c r="C19" s="9">
        <v>-7.7959416087486216E-2</v>
      </c>
      <c r="D19" s="9">
        <v>8.8822731564350346E-3</v>
      </c>
      <c r="E19" s="9">
        <v>-4.4403931966815142E-2</v>
      </c>
      <c r="F19" s="9">
        <v>-3.864668188624408E-2</v>
      </c>
      <c r="G19" s="9">
        <v>-9.7512090561600123E-2</v>
      </c>
      <c r="H19" s="9">
        <v>-1.2068788462484921E-2</v>
      </c>
      <c r="I19" s="9">
        <v>0.1346543328914665</v>
      </c>
      <c r="J19" s="9">
        <v>3.5429584520191022E-2</v>
      </c>
      <c r="K19" s="9">
        <v>5.6540969561565207E-2</v>
      </c>
      <c r="L19" s="2">
        <v>4.4544214914161627E-2</v>
      </c>
      <c r="M19" s="2">
        <v>8.5793573557677472E-2</v>
      </c>
      <c r="N19" s="2">
        <v>9.5347885689980899E-2</v>
      </c>
      <c r="O19" s="1">
        <v>9.2221383019457218E-2</v>
      </c>
      <c r="P19" s="1">
        <v>2.2785213112093351E-2</v>
      </c>
      <c r="Q19" s="1">
        <v>0.17046229208001809</v>
      </c>
      <c r="R19" s="1">
        <v>-9.0299090630856282E-2</v>
      </c>
      <c r="S19" s="1">
        <v>0.1226918763357415</v>
      </c>
      <c r="T19" s="1">
        <v>-2.7154277986299109E-2</v>
      </c>
      <c r="U19" s="1">
        <v>-4.4186857998324967E-2</v>
      </c>
      <c r="V19" s="1">
        <v>0.11868445851892109</v>
      </c>
      <c r="W19" s="1">
        <v>0.14662099071751011</v>
      </c>
      <c r="X19" s="1">
        <v>-0.122923146245717</v>
      </c>
      <c r="Y19" s="1">
        <v>2.406430534505774E-2</v>
      </c>
      <c r="Z19" s="1">
        <v>-2.2223239298902381E-2</v>
      </c>
      <c r="AA19" s="1">
        <v>-3.2985429909115772E-2</v>
      </c>
      <c r="AB19" s="1">
        <v>9.9241927245629705E-2</v>
      </c>
      <c r="AC19" s="1">
        <v>2.8452834641691321E-2</v>
      </c>
      <c r="AD19" s="1">
        <v>9.5993377798068158E-2</v>
      </c>
      <c r="AE19" s="1">
        <v>-0.1694160609977898</v>
      </c>
      <c r="AF19" s="1">
        <v>2.6256871835687168E-4</v>
      </c>
      <c r="AG19" s="1">
        <v>2.7942319450978619E-2</v>
      </c>
      <c r="AH19" s="1">
        <v>-4.2845934068549293E-2</v>
      </c>
      <c r="AI19" s="1">
        <v>8.1770124789496509E-2</v>
      </c>
      <c r="AJ19" s="1">
        <v>-5.1545290327262273E-2</v>
      </c>
      <c r="AK19" s="1">
        <v>4.9058784633890858E-2</v>
      </c>
      <c r="AL19" s="1">
        <v>1.136262181352635E-3</v>
      </c>
      <c r="AM19" s="1">
        <v>3.1311424844951023E-2</v>
      </c>
      <c r="AN19" s="1">
        <v>8.3568294365682083E-2</v>
      </c>
      <c r="AO19" s="1">
        <v>2.589290304541441E-2</v>
      </c>
      <c r="AP19" s="1">
        <v>-8.757412027285208E-2</v>
      </c>
      <c r="AQ19" s="1">
        <v>-8.8252757060650638E-2</v>
      </c>
      <c r="AR19" s="1">
        <v>0.16303313150329971</v>
      </c>
      <c r="AS19" s="1">
        <v>9.7796955268314459E-2</v>
      </c>
      <c r="AT19" s="1">
        <v>4.9294981765701303E-2</v>
      </c>
      <c r="AU19" s="1">
        <v>7.6428715713654158E-2</v>
      </c>
      <c r="AV19" s="1">
        <v>-4.8463101573846611E-2</v>
      </c>
      <c r="AW19" s="1">
        <v>2.2356168154136491E-2</v>
      </c>
      <c r="AX19" s="1">
        <v>-8.0206414310412866E-2</v>
      </c>
      <c r="AY19" s="1">
        <v>2.9528970393379841E-2</v>
      </c>
      <c r="AZ19" s="1">
        <v>-0.18687961816817431</v>
      </c>
      <c r="BA19" s="1">
        <v>-3.4363883954073027E-2</v>
      </c>
      <c r="BB19" s="1">
        <v>0.2018019106632078</v>
      </c>
      <c r="BC19" s="1">
        <v>6.4055486346185755E-2</v>
      </c>
      <c r="BD19" s="1">
        <v>-3.2343926300681461E-3</v>
      </c>
      <c r="BE19" s="1">
        <v>-3.0390671068303308E-2</v>
      </c>
      <c r="BF19" s="1">
        <v>1.3570974149138619E-2</v>
      </c>
      <c r="BG19" s="1">
        <v>-0.15330875116978829</v>
      </c>
      <c r="BH19" s="1">
        <v>2.0182017014309939E-3</v>
      </c>
      <c r="BI19" s="1">
        <v>-0.12779862881921869</v>
      </c>
      <c r="BJ19" s="1">
        <v>-2.1707301538579211E-2</v>
      </c>
      <c r="BK19" s="1">
        <v>-5.1749526091992383E-2</v>
      </c>
      <c r="BL19" s="1">
        <v>7.9964658146503109E-2</v>
      </c>
      <c r="BM19" s="1">
        <v>0.1142506002586957</v>
      </c>
      <c r="BN19" s="1">
        <v>8.141326020016787E-2</v>
      </c>
      <c r="BO19" s="1">
        <v>-2.5728961265115379E-2</v>
      </c>
      <c r="BP19" s="1">
        <v>3.742626287653638E-2</v>
      </c>
      <c r="BQ19" s="1">
        <v>9.9340444543230683E-3</v>
      </c>
      <c r="BR19" s="1">
        <v>6.6752460235200081E-3</v>
      </c>
      <c r="BS19" s="1">
        <v>-2.4256338744482069E-2</v>
      </c>
      <c r="BT19" s="1">
        <v>-1.3193669203137359E-2</v>
      </c>
      <c r="BU19" s="1">
        <v>7.593625123423807E-2</v>
      </c>
      <c r="BV19" s="1">
        <v>9.3655241153346391E-2</v>
      </c>
      <c r="BW19" s="1">
        <v>-0.29597629583303142</v>
      </c>
      <c r="BX19" s="1">
        <v>3.6398889558793571E-2</v>
      </c>
      <c r="BY19" s="1">
        <v>-2.7675492411660479E-2</v>
      </c>
      <c r="BZ19" s="1">
        <v>6.3815393767213791E-2</v>
      </c>
      <c r="CA19" s="1">
        <v>-2.154569013117932E-2</v>
      </c>
      <c r="CB19" s="1">
        <v>-4.804116850824483E-2</v>
      </c>
      <c r="CC19" s="1">
        <v>-0.1054167570187242</v>
      </c>
      <c r="CD19" s="1">
        <v>0.20708580064935611</v>
      </c>
      <c r="CE19" s="1">
        <v>8.8474858937667905E-2</v>
      </c>
      <c r="CF19" s="1">
        <v>0.1116984874650168</v>
      </c>
      <c r="CG19" s="1">
        <v>-5.0633530014653497E-2</v>
      </c>
      <c r="CH19" s="1">
        <v>-4.271504374273416E-2</v>
      </c>
      <c r="CI19" s="1">
        <v>-0.16520241227091251</v>
      </c>
      <c r="CJ19" s="1">
        <v>-6.194049996603615E-2</v>
      </c>
      <c r="CK19" s="1">
        <v>0.1039677178170982</v>
      </c>
      <c r="CL19" s="1">
        <v>0.31115170360423011</v>
      </c>
      <c r="CM19" s="1">
        <v>0.17534764158171501</v>
      </c>
      <c r="CN19" s="1">
        <v>7.6932654667303466E-2</v>
      </c>
      <c r="CO19" s="1">
        <v>-0.27245440462850651</v>
      </c>
      <c r="CP19" s="1">
        <v>-0.13741472475783589</v>
      </c>
      <c r="CQ19" s="1">
        <v>-2.7299081545619341E-3</v>
      </c>
      <c r="CR19" s="1">
        <v>-2.4299202463726639E-2</v>
      </c>
      <c r="CS19" s="1">
        <v>6.0700850898538133E-2</v>
      </c>
      <c r="CT19" s="1">
        <v>0.1226204266300308</v>
      </c>
      <c r="CU19" s="1">
        <v>-8.3436397113892974E-2</v>
      </c>
      <c r="CV19" s="1">
        <v>7.6142494479096948E-2</v>
      </c>
      <c r="CW19" s="1">
        <v>-3.2192133387815562E-2</v>
      </c>
      <c r="CX19" s="1">
        <v>1.127594617394229E-3</v>
      </c>
      <c r="CY19" s="1">
        <v>-7.3151337307962833E-2</v>
      </c>
      <c r="CZ19" s="1">
        <v>0.1580120007118182</v>
      </c>
      <c r="DA19" s="1">
        <v>-5.8223876703236761E-2</v>
      </c>
      <c r="DB19" s="1">
        <v>0.14796184676961621</v>
      </c>
      <c r="DC19" s="1">
        <v>-3.5179399902094073E-2</v>
      </c>
      <c r="DD19" s="1">
        <v>-6.3547464152502509E-2</v>
      </c>
      <c r="DE19" s="1">
        <v>-4.3945635940460762E-2</v>
      </c>
      <c r="DF19" s="1">
        <v>-6.969304689302265E-2</v>
      </c>
      <c r="DG19" s="1">
        <v>6.6374264994436313E-2</v>
      </c>
      <c r="DH19" s="1">
        <v>-1.569831294047225E-4</v>
      </c>
      <c r="DI19" s="1">
        <v>3.666424442421171E-3</v>
      </c>
      <c r="DJ19" s="1">
        <v>-4.8514350722976607E-2</v>
      </c>
      <c r="DK19" s="1">
        <v>0.1241445877842076</v>
      </c>
      <c r="DL19" s="1">
        <v>-2.331354503458705E-2</v>
      </c>
      <c r="DM19" s="1">
        <v>-8.1952255033994378E-2</v>
      </c>
      <c r="DN19" s="1">
        <v>-4.1776448032685917E-3</v>
      </c>
      <c r="DO19" s="1">
        <v>0.2492619517097443</v>
      </c>
      <c r="DP19" s="1">
        <v>2.716544251136371E-2</v>
      </c>
      <c r="DQ19" s="1">
        <v>-0.1204893793606352</v>
      </c>
      <c r="DR19" s="1">
        <v>7.5962353325048193E-2</v>
      </c>
      <c r="DS19" s="1">
        <v>-5.6773135189909819E-3</v>
      </c>
      <c r="DT19" s="1">
        <v>-0.13312850061934939</v>
      </c>
      <c r="DU19" s="1">
        <v>-0.14283069805444029</v>
      </c>
      <c r="DV19" s="1">
        <v>0.119531844414402</v>
      </c>
      <c r="DW19" s="1">
        <v>6.0609139340684293E-2</v>
      </c>
      <c r="DX19" s="1">
        <v>-0.1383651342381777</v>
      </c>
      <c r="DY19" s="1">
        <v>-7.0109577687923127E-2</v>
      </c>
      <c r="DZ19" s="1">
        <v>-0.1119208288639931</v>
      </c>
      <c r="EA19" s="1">
        <v>-2.807935347566733E-2</v>
      </c>
      <c r="EB19" s="1">
        <v>-0.1062458580254447</v>
      </c>
      <c r="EC19" s="1">
        <v>-8.6215224985549642E-3</v>
      </c>
      <c r="ED19" s="1">
        <v>-0.15093531699015689</v>
      </c>
      <c r="EE19" s="1">
        <v>-7.3065266771277096E-3</v>
      </c>
      <c r="EF19" s="1">
        <v>1.697795487476916E-2</v>
      </c>
      <c r="EG19" s="59">
        <f t="shared" si="6"/>
        <v>4.7694774504321268E-3</v>
      </c>
      <c r="EH19" s="60">
        <f t="shared" si="7"/>
        <v>9.7696958924237645E-2</v>
      </c>
      <c r="EI19" s="76">
        <f t="shared" si="8"/>
        <v>4.8819098393131935E-2</v>
      </c>
    </row>
    <row r="20" spans="1:139" ht="16">
      <c r="A20" s="6">
        <v>192</v>
      </c>
      <c r="B20" s="6">
        <v>5</v>
      </c>
      <c r="C20" s="9">
        <v>-0.13932460396499161</v>
      </c>
      <c r="D20" s="9">
        <v>3.5171826374555398E-4</v>
      </c>
      <c r="E20" s="9">
        <v>-5.7336350326780597E-2</v>
      </c>
      <c r="F20" s="9">
        <v>-9.1218422172045968E-2</v>
      </c>
      <c r="G20" s="9">
        <v>-0.11160447316731489</v>
      </c>
      <c r="H20" s="9">
        <v>1.158302607857771E-2</v>
      </c>
      <c r="I20" s="9">
        <v>0.15814956260110169</v>
      </c>
      <c r="J20" s="9">
        <v>6.6721149881054528E-2</v>
      </c>
      <c r="K20" s="9">
        <v>3.7404684852111583E-2</v>
      </c>
      <c r="L20" s="2">
        <v>9.5708635504535719E-2</v>
      </c>
      <c r="M20" s="2">
        <v>0.100133414364086</v>
      </c>
      <c r="N20" s="2">
        <v>0.10192492904563991</v>
      </c>
      <c r="O20" s="1">
        <v>9.9101484144473756E-2</v>
      </c>
      <c r="P20" s="1">
        <v>4.0028494751770102E-2</v>
      </c>
      <c r="Q20" s="1">
        <v>0.2248248109923951</v>
      </c>
      <c r="R20" s="1">
        <v>-0.1092530556374688</v>
      </c>
      <c r="S20" s="1">
        <v>8.2562610707287917E-2</v>
      </c>
      <c r="T20" s="1">
        <v>1.566291051925937E-2</v>
      </c>
      <c r="U20" s="1">
        <v>-3.2237658419507161E-2</v>
      </c>
      <c r="V20" s="1">
        <v>0.13628806336757671</v>
      </c>
      <c r="W20" s="1">
        <v>0.17308537617758091</v>
      </c>
      <c r="X20" s="1">
        <v>-0.15004231162753859</v>
      </c>
      <c r="Y20" s="1">
        <v>-4.8557578603156213E-3</v>
      </c>
      <c r="Z20" s="1">
        <v>2.9157350054346439E-2</v>
      </c>
      <c r="AA20" s="1">
        <v>-9.1431785221624297E-3</v>
      </c>
      <c r="AB20" s="1">
        <v>8.4759840726173208E-2</v>
      </c>
      <c r="AC20" s="1">
        <v>5.6443345640519567E-2</v>
      </c>
      <c r="AD20" s="1">
        <v>0.12984341871366439</v>
      </c>
      <c r="AE20" s="1">
        <v>-0.17528151456321139</v>
      </c>
      <c r="AF20" s="1">
        <v>-6.4692814832951473E-3</v>
      </c>
      <c r="AG20" s="1">
        <v>2.7659218539892259E-2</v>
      </c>
      <c r="AH20" s="1">
        <v>-9.0178200714782636E-2</v>
      </c>
      <c r="AI20" s="1">
        <v>7.8154544921168481E-2</v>
      </c>
      <c r="AJ20" s="1">
        <v>-6.1990034547547639E-2</v>
      </c>
      <c r="AK20" s="1">
        <v>6.6966361142645286E-2</v>
      </c>
      <c r="AL20" s="1">
        <v>5.6166263617408981E-3</v>
      </c>
      <c r="AM20" s="1">
        <v>3.3095980748802607E-2</v>
      </c>
      <c r="AN20" s="1">
        <v>7.5470193518998266E-2</v>
      </c>
      <c r="AO20" s="1">
        <v>2.1987304008247891E-2</v>
      </c>
      <c r="AP20" s="1">
        <v>-0.13173046125538779</v>
      </c>
      <c r="AQ20" s="1">
        <v>2.7452485332951051E-2</v>
      </c>
      <c r="AR20" s="1">
        <v>0.181467687707455</v>
      </c>
      <c r="AS20" s="1">
        <v>0.112095809682817</v>
      </c>
      <c r="AT20" s="1">
        <v>5.858773760205771E-3</v>
      </c>
      <c r="AU20" s="1">
        <v>7.2899818140919309E-2</v>
      </c>
      <c r="AV20" s="1">
        <v>-5.4625713782478207E-2</v>
      </c>
      <c r="AW20" s="1">
        <v>6.8652681791509596E-3</v>
      </c>
      <c r="AX20" s="1">
        <v>-0.11073254799870159</v>
      </c>
      <c r="AY20" s="1">
        <v>3.8674698442909439E-2</v>
      </c>
      <c r="AZ20" s="1">
        <v>-0.21380243117708869</v>
      </c>
      <c r="BA20" s="1">
        <v>-5.4045134010306708E-2</v>
      </c>
      <c r="BB20" s="1">
        <v>0.2312136261880767</v>
      </c>
      <c r="BC20" s="1">
        <v>7.0605567677740205E-2</v>
      </c>
      <c r="BD20" s="1">
        <v>-5.3429813221597323E-2</v>
      </c>
      <c r="BE20" s="1">
        <v>-3.8466832445436583E-2</v>
      </c>
      <c r="BF20" s="1">
        <v>5.6885823313286886E-3</v>
      </c>
      <c r="BG20" s="1">
        <v>-9.4062055608340231E-2</v>
      </c>
      <c r="BH20" s="1">
        <v>-7.1606447114111002E-2</v>
      </c>
      <c r="BI20" s="1">
        <v>-0.13174526708517489</v>
      </c>
      <c r="BJ20" s="1">
        <v>-2.1629511833186621E-2</v>
      </c>
      <c r="BK20" s="1">
        <v>-5.9233167842827283E-2</v>
      </c>
      <c r="BL20" s="1">
        <v>8.6292231176454737E-2</v>
      </c>
      <c r="BM20" s="1">
        <v>0.1369176613284383</v>
      </c>
      <c r="BN20" s="1">
        <v>-1.8638027253166291E-2</v>
      </c>
      <c r="BO20" s="1">
        <v>3.8461717515979203E-2</v>
      </c>
      <c r="BP20" s="1">
        <v>6.0407520762954983E-2</v>
      </c>
      <c r="BQ20" s="1">
        <v>1.5451706960843021E-2</v>
      </c>
      <c r="BR20" s="1">
        <v>8.200082575215574E-3</v>
      </c>
      <c r="BS20" s="1">
        <v>-2.122683588664995E-3</v>
      </c>
      <c r="BT20" s="1">
        <v>-5.2467623281905747E-2</v>
      </c>
      <c r="BU20" s="1">
        <v>9.8754949367706665E-2</v>
      </c>
      <c r="BV20" s="1">
        <v>0.11591833156307201</v>
      </c>
      <c r="BW20" s="1">
        <v>-0.3420426788792848</v>
      </c>
      <c r="BX20" s="1">
        <v>5.2861421730525368E-2</v>
      </c>
      <c r="BY20" s="1">
        <v>-4.3183482687236242E-2</v>
      </c>
      <c r="BZ20" s="1">
        <v>9.02714042602836E-2</v>
      </c>
      <c r="CA20" s="1">
        <v>-1.9938221409499298E-3</v>
      </c>
      <c r="CB20" s="1">
        <v>-3.8251950010927849E-2</v>
      </c>
      <c r="CC20" s="1">
        <v>-0.1014293809649939</v>
      </c>
      <c r="CD20" s="1">
        <v>0.1810274974905971</v>
      </c>
      <c r="CE20" s="1">
        <v>8.5778172602440458E-2</v>
      </c>
      <c r="CF20" s="1">
        <v>0.1312085557648148</v>
      </c>
      <c r="CG20" s="1">
        <v>-9.9052888530088784E-2</v>
      </c>
      <c r="CH20" s="1">
        <v>-2.219522902413288E-2</v>
      </c>
      <c r="CI20" s="1">
        <v>-0.13148573441164721</v>
      </c>
      <c r="CJ20" s="1">
        <v>-0.123440319887351</v>
      </c>
      <c r="CK20" s="1">
        <v>9.0978396750106633E-2</v>
      </c>
      <c r="CL20" s="1">
        <v>0.29793491036415792</v>
      </c>
      <c r="CM20" s="1">
        <v>0.18905116517062071</v>
      </c>
      <c r="CN20" s="1">
        <v>-2.215941137048465E-2</v>
      </c>
      <c r="CO20" s="1">
        <v>-0.41597133516901241</v>
      </c>
      <c r="CP20" s="1">
        <v>-0.15666075519518291</v>
      </c>
      <c r="CQ20" s="1">
        <v>6.1113579290622234E-3</v>
      </c>
      <c r="CR20" s="1">
        <v>-2.5362552774013961E-2</v>
      </c>
      <c r="CS20" s="1">
        <v>8.8364277012261461E-2</v>
      </c>
      <c r="CT20" s="1">
        <v>9.0474037414266281E-2</v>
      </c>
      <c r="CU20" s="1">
        <v>-0.10410089779242621</v>
      </c>
      <c r="CV20" s="1">
        <v>9.7003954321720084E-2</v>
      </c>
      <c r="CW20" s="1">
        <v>-2.5816402571476719E-2</v>
      </c>
      <c r="CX20" s="1">
        <v>9.3861437533022188E-3</v>
      </c>
      <c r="CY20" s="1">
        <v>-0.108732838402072</v>
      </c>
      <c r="CZ20" s="1">
        <v>0.12830070160238419</v>
      </c>
      <c r="DA20" s="1">
        <v>-4.7471893155177573E-2</v>
      </c>
      <c r="DB20" s="1">
        <v>7.696806977078402E-2</v>
      </c>
      <c r="DC20" s="1">
        <v>-4.7084133307763107E-2</v>
      </c>
      <c r="DD20" s="1">
        <v>-6.8163012313784327E-2</v>
      </c>
      <c r="DE20" s="1">
        <v>-2.674986392092854E-2</v>
      </c>
      <c r="DF20" s="1">
        <v>8.591215324206241E-4</v>
      </c>
      <c r="DG20" s="1">
        <v>5.2344813299819028E-2</v>
      </c>
      <c r="DH20" s="1">
        <v>-1.097541174252706E-2</v>
      </c>
      <c r="DI20" s="1">
        <v>-7.7575680139924984E-3</v>
      </c>
      <c r="DJ20" s="1">
        <v>-3.9459946268887811E-2</v>
      </c>
      <c r="DK20" s="1">
        <v>8.4953981446054899E-2</v>
      </c>
      <c r="DL20" s="1">
        <v>1.0186968683304249E-2</v>
      </c>
      <c r="DM20" s="1">
        <v>9.2836502794370751E-3</v>
      </c>
      <c r="DN20" s="1">
        <v>5.8019206654199171E-2</v>
      </c>
      <c r="DO20" s="1">
        <v>0.25800136345901148</v>
      </c>
      <c r="DP20" s="1">
        <v>9.8305313908873052E-3</v>
      </c>
      <c r="DQ20" s="1">
        <v>-0.19132953845628339</v>
      </c>
      <c r="DR20" s="1">
        <v>7.8512660028290493E-2</v>
      </c>
      <c r="DS20" s="1">
        <v>-7.4906957537590798E-3</v>
      </c>
      <c r="DT20" s="1">
        <v>-0.12727470188755299</v>
      </c>
      <c r="DU20" s="1">
        <v>-0.1720691072058694</v>
      </c>
      <c r="DV20" s="1">
        <v>0.12934547183885869</v>
      </c>
      <c r="DW20" s="1">
        <v>6.9060203958039607E-2</v>
      </c>
      <c r="DX20" s="1">
        <v>-0.15386632960631469</v>
      </c>
      <c r="DY20" s="1">
        <v>-5.3618609351648763E-2</v>
      </c>
      <c r="DZ20" s="1">
        <v>-8.4474578309692155E-2</v>
      </c>
      <c r="EA20" s="1">
        <v>1.3808726201357891E-2</v>
      </c>
      <c r="EB20" s="1">
        <v>-0.10631226685028709</v>
      </c>
      <c r="EC20" s="1">
        <v>3.4049581413941779E-2</v>
      </c>
      <c r="ED20" s="1">
        <v>-0.17691886106701021</v>
      </c>
      <c r="EE20" s="1">
        <v>-1.7409797518545299E-3</v>
      </c>
      <c r="EF20" s="1">
        <v>2.0281416615907238E-2</v>
      </c>
      <c r="EG20" s="59">
        <f t="shared" si="6"/>
        <v>3.569101490899403E-3</v>
      </c>
      <c r="EH20" s="60">
        <f t="shared" si="7"/>
        <v>0.10829478554928502</v>
      </c>
      <c r="EI20" s="76">
        <f t="shared" si="8"/>
        <v>3.2957279270617354E-2</v>
      </c>
    </row>
    <row r="21" spans="1:139" ht="16">
      <c r="A21" s="6">
        <v>241</v>
      </c>
      <c r="B21" s="6">
        <v>4</v>
      </c>
      <c r="C21" s="9">
        <v>-0.19764916434148611</v>
      </c>
      <c r="D21" s="9">
        <v>-3.6770939515919088E-4</v>
      </c>
      <c r="E21" s="9">
        <v>1.3690170285790599E-2</v>
      </c>
      <c r="F21" s="9">
        <v>-5.1097483846408213E-2</v>
      </c>
      <c r="G21" s="9">
        <v>-7.2961380278514509E-3</v>
      </c>
      <c r="H21" s="9">
        <v>-3.7844077028292407E-2</v>
      </c>
      <c r="I21" s="9">
        <v>0.14725560812747299</v>
      </c>
      <c r="J21" s="9">
        <v>6.0435325691642318E-2</v>
      </c>
      <c r="K21" s="9">
        <v>1.4702959601359119E-3</v>
      </c>
      <c r="L21" s="2">
        <v>0.1096796074542299</v>
      </c>
      <c r="M21" s="2">
        <v>-0.19587050354916219</v>
      </c>
      <c r="N21" s="2">
        <v>9.9587412122941574E-2</v>
      </c>
      <c r="O21" s="1">
        <v>0.1121592744613126</v>
      </c>
      <c r="P21" s="1">
        <v>4.5427193017503087E-2</v>
      </c>
      <c r="Q21" s="1">
        <v>0.27408344527068967</v>
      </c>
      <c r="R21" s="1">
        <v>-0.1058357103667746</v>
      </c>
      <c r="S21" s="1">
        <v>0.2091594754749645</v>
      </c>
      <c r="T21" s="1">
        <v>-1.4040364340204919E-2</v>
      </c>
      <c r="U21" s="1">
        <v>9.8246407343969278E-3</v>
      </c>
      <c r="V21" s="1">
        <v>0.13175048865250241</v>
      </c>
      <c r="W21" s="1">
        <v>0.16036515570555779</v>
      </c>
      <c r="X21" s="1">
        <v>-0.20780126735333779</v>
      </c>
      <c r="Y21" s="1">
        <v>-1.014366037320256E-2</v>
      </c>
      <c r="Z21" s="1">
        <v>3.9457715679957053E-2</v>
      </c>
      <c r="AA21" s="1">
        <v>1.9491043540093941E-2</v>
      </c>
      <c r="AB21" s="1">
        <v>0.12814324497488999</v>
      </c>
      <c r="AC21" s="1">
        <v>7.43011297920224E-2</v>
      </c>
      <c r="AD21" s="1">
        <v>0.1288246656475579</v>
      </c>
      <c r="AE21" s="1">
        <v>-0.24045611049318669</v>
      </c>
      <c r="AF21" s="1">
        <v>-3.3566825383980557E-2</v>
      </c>
      <c r="AG21" s="1">
        <v>4.4302777789794079E-2</v>
      </c>
      <c r="AH21" s="1">
        <v>-0.10758136256479831</v>
      </c>
      <c r="AI21" s="1">
        <v>7.9594209333291061E-2</v>
      </c>
      <c r="AJ21" s="1">
        <v>-7.0405341946468691E-2</v>
      </c>
      <c r="AK21" s="1">
        <v>0.10498861015229349</v>
      </c>
      <c r="AL21" s="1">
        <v>-1.9780813559851541E-2</v>
      </c>
      <c r="AM21" s="1">
        <v>6.4856977806355839E-2</v>
      </c>
      <c r="AN21" s="1">
        <v>0.11195605606309431</v>
      </c>
      <c r="AO21" s="1">
        <v>4.7726395643726653E-2</v>
      </c>
      <c r="AP21" s="1">
        <v>-6.239055369893616E-2</v>
      </c>
      <c r="AQ21" s="1">
        <v>2.459114042312649E-2</v>
      </c>
      <c r="AR21" s="1">
        <v>0.20518227823048121</v>
      </c>
      <c r="AS21" s="1">
        <v>6.4455868646629361E-2</v>
      </c>
      <c r="AT21" s="1">
        <v>-2.4929112771550628E-3</v>
      </c>
      <c r="AU21" s="1">
        <v>4.7809631508957028E-2</v>
      </c>
      <c r="AV21" s="1">
        <v>-5.5520780062133721E-2</v>
      </c>
      <c r="AW21" s="1">
        <v>9.7910299540974015E-3</v>
      </c>
      <c r="AX21" s="1">
        <v>-0.1431476874697567</v>
      </c>
      <c r="AY21" s="1">
        <v>4.7021290978038012E-2</v>
      </c>
      <c r="AZ21" s="1">
        <v>-0.25491126989713642</v>
      </c>
      <c r="BA21" s="1">
        <v>-7.1032181648085849E-2</v>
      </c>
      <c r="BB21" s="1">
        <v>0.29451263697732177</v>
      </c>
      <c r="BC21" s="1">
        <v>3.8321147725193877E-2</v>
      </c>
      <c r="BD21" s="1">
        <v>-2.1750863370627919E-2</v>
      </c>
      <c r="BE21" s="1">
        <v>-4.0588332503811789E-2</v>
      </c>
      <c r="BF21" s="1">
        <v>3.5771001804346838E-3</v>
      </c>
      <c r="BG21" s="1">
        <v>-9.2285571507253639E-2</v>
      </c>
      <c r="BH21" s="1">
        <v>-7.6321363138755302E-2</v>
      </c>
      <c r="BI21" s="1">
        <v>-0.1659695961783918</v>
      </c>
      <c r="BJ21" s="1">
        <v>-2.3579026181717661E-2</v>
      </c>
      <c r="BK21" s="1">
        <v>-6.8449880379534783E-2</v>
      </c>
      <c r="BL21" s="1">
        <v>0.1427210926463498</v>
      </c>
      <c r="BM21" s="1">
        <v>0.15512000392109981</v>
      </c>
      <c r="BN21" s="1">
        <v>-2.5790766448446922E-2</v>
      </c>
      <c r="BO21" s="1">
        <v>1.066839155318992E-2</v>
      </c>
      <c r="BP21" s="1">
        <v>0.1045091294194143</v>
      </c>
      <c r="BQ21" s="1">
        <v>5.4542230834504879E-2</v>
      </c>
      <c r="BR21" s="1">
        <v>1.3963257139615239E-2</v>
      </c>
      <c r="BS21" s="1">
        <v>-2.5079854410496889E-2</v>
      </c>
      <c r="BT21" s="1">
        <v>-6.0820742542524793E-2</v>
      </c>
      <c r="BU21" s="1">
        <v>0.120820939350189</v>
      </c>
      <c r="BV21" s="1">
        <v>0.14214300018545339</v>
      </c>
      <c r="BW21" s="1">
        <v>-0.4021309158390593</v>
      </c>
      <c r="BX21" s="1">
        <v>7.7165002520596909E-2</v>
      </c>
      <c r="BY21" s="1">
        <v>-1.491637891683696E-2</v>
      </c>
      <c r="BZ21" s="1">
        <v>9.8156710439898404E-2</v>
      </c>
      <c r="CA21" s="1">
        <v>-2.4556068552787459E-2</v>
      </c>
      <c r="CB21" s="1">
        <v>-0.1122436107991584</v>
      </c>
      <c r="CC21" s="1">
        <v>-5.3307577939454079E-2</v>
      </c>
      <c r="CD21" s="1">
        <v>0.28805606436247322</v>
      </c>
      <c r="CE21" s="1">
        <v>6.1514882354154247E-2</v>
      </c>
      <c r="CF21" s="1">
        <v>0.1271704760916082</v>
      </c>
      <c r="CG21" s="1">
        <v>-0.14375118915768581</v>
      </c>
      <c r="CH21" s="1">
        <v>-0.15662644062696859</v>
      </c>
      <c r="CI21" s="1">
        <v>-0.123293346411547</v>
      </c>
      <c r="CJ21" s="1">
        <v>-7.1754661956045684E-2</v>
      </c>
      <c r="CK21" s="1">
        <v>0.12705054673013411</v>
      </c>
      <c r="CL21" s="1">
        <v>0.36208375089819639</v>
      </c>
      <c r="CM21" s="1">
        <v>0.2255029884033713</v>
      </c>
      <c r="CN21" s="1">
        <v>-3.05388902037756E-2</v>
      </c>
      <c r="CO21" s="1">
        <v>-0.51486524859759264</v>
      </c>
      <c r="CP21" s="1">
        <v>-9.8307306124050364E-2</v>
      </c>
      <c r="CQ21" s="1">
        <v>3.2880917250907721E-3</v>
      </c>
      <c r="CR21" s="1">
        <v>-1.161578886010306E-2</v>
      </c>
      <c r="CS21" s="1">
        <v>6.9646396146771747E-2</v>
      </c>
      <c r="CT21" s="1">
        <v>8.2292872854338978E-2</v>
      </c>
      <c r="CU21" s="1">
        <v>-6.2673560169491313E-2</v>
      </c>
      <c r="CV21" s="1">
        <v>0.13162753116195661</v>
      </c>
      <c r="CW21" s="1">
        <v>-3.0752481308038811E-2</v>
      </c>
      <c r="CX21" s="1">
        <v>1.339552396105914E-2</v>
      </c>
      <c r="CY21" s="1">
        <v>-0.102505161081563</v>
      </c>
      <c r="CZ21" s="1">
        <v>0.1902933866431426</v>
      </c>
      <c r="DA21" s="1">
        <v>1.192256456731756E-3</v>
      </c>
      <c r="DB21" s="1">
        <v>7.1461213773998111E-2</v>
      </c>
      <c r="DC21" s="1">
        <v>-3.8546270664913319E-2</v>
      </c>
      <c r="DD21" s="1">
        <v>-6.7027496200741665E-2</v>
      </c>
      <c r="DE21" s="1">
        <v>1.2238108588318921E-2</v>
      </c>
      <c r="DF21" s="1">
        <v>7.7285592716186992E-3</v>
      </c>
      <c r="DG21" s="1">
        <v>5.9409518844913557E-2</v>
      </c>
      <c r="DH21" s="1">
        <v>1.407682021245452E-2</v>
      </c>
      <c r="DI21" s="1">
        <v>3.4407478280179482E-2</v>
      </c>
      <c r="DJ21" s="1">
        <v>-3.7911313190560098E-2</v>
      </c>
      <c r="DK21" s="1">
        <v>0.13950270681890459</v>
      </c>
      <c r="DL21" s="1">
        <v>3.2208203249560433E-2</v>
      </c>
      <c r="DM21" s="1">
        <v>-2.9834119642240212E-2</v>
      </c>
      <c r="DN21" s="1">
        <v>6.1960781446788349E-2</v>
      </c>
      <c r="DO21" s="1">
        <v>0.33162680487864599</v>
      </c>
      <c r="DP21" s="1">
        <v>2.426615509356601E-2</v>
      </c>
      <c r="DQ21" s="1">
        <v>-0.12775339309865241</v>
      </c>
      <c r="DR21" s="1">
        <v>5.0170859037080733E-2</v>
      </c>
      <c r="DS21" s="1">
        <v>-1.6720946793213241E-3</v>
      </c>
      <c r="DT21" s="1">
        <v>-0.17057080268546079</v>
      </c>
      <c r="DU21" s="1">
        <v>-2.8090293996378659E-2</v>
      </c>
      <c r="DV21" s="1">
        <v>0.140275976869878</v>
      </c>
      <c r="DW21" s="1">
        <v>0.11934721737400381</v>
      </c>
      <c r="DX21" s="1">
        <v>-0.18596621403118341</v>
      </c>
      <c r="DY21" s="1">
        <v>-2.459599553801604E-2</v>
      </c>
      <c r="DZ21" s="1">
        <v>-5.2844066560288887E-2</v>
      </c>
      <c r="EA21" s="1">
        <v>-2.625089648126052E-2</v>
      </c>
      <c r="EB21" s="1">
        <v>-0.10329555902400769</v>
      </c>
      <c r="EC21" s="1">
        <v>3.0649685027988702E-3</v>
      </c>
      <c r="ED21" s="1">
        <v>-5.4498856348180663E-2</v>
      </c>
      <c r="EE21" s="1">
        <v>2.1310592307867391E-2</v>
      </c>
      <c r="EF21" s="1">
        <v>-7.9916028560319194E-3</v>
      </c>
      <c r="EG21" s="62">
        <f t="shared" si="6"/>
        <v>9.5464031308215552E-3</v>
      </c>
      <c r="EH21" s="60">
        <f t="shared" si="7"/>
        <v>0.12545551917320233</v>
      </c>
      <c r="EI21" s="76">
        <f t="shared" si="8"/>
        <v>7.6093927104489603E-2</v>
      </c>
    </row>
    <row r="22" spans="1:139" ht="16">
      <c r="A22" s="6">
        <v>321</v>
      </c>
      <c r="B22" s="6">
        <v>3</v>
      </c>
      <c r="C22" s="9">
        <v>6.4235717628454689E-2</v>
      </c>
      <c r="D22" s="9">
        <v>-4.4680896903486519E-2</v>
      </c>
      <c r="E22" s="9">
        <v>1.7355098916458981E-2</v>
      </c>
      <c r="F22" s="9">
        <v>-9.7433995578986451E-2</v>
      </c>
      <c r="G22" s="9">
        <v>-3.2954824249798613E-2</v>
      </c>
      <c r="H22" s="9">
        <v>-0.22980554449140059</v>
      </c>
      <c r="I22" s="9">
        <v>0.12349316933806979</v>
      </c>
      <c r="J22" s="9">
        <v>5.2598589265342909E-2</v>
      </c>
      <c r="K22" s="9">
        <v>2.8656780116393998E-2</v>
      </c>
      <c r="L22" s="2">
        <v>0.17118335942590121</v>
      </c>
      <c r="M22" s="2">
        <v>-0.22515860506358171</v>
      </c>
      <c r="N22" s="2">
        <v>0.1332804190232465</v>
      </c>
      <c r="O22" s="1">
        <v>0.1434803460042724</v>
      </c>
      <c r="P22" s="1">
        <v>9.0630874426634297E-2</v>
      </c>
      <c r="Q22" s="1">
        <v>0.12727089023139021</v>
      </c>
      <c r="R22" s="1">
        <v>-3.6628434271588052E-2</v>
      </c>
      <c r="S22" s="1">
        <v>0.24705662952972959</v>
      </c>
      <c r="T22" s="1">
        <v>-7.1651900389641296E-2</v>
      </c>
      <c r="U22" s="1">
        <v>-5.2488906495621809E-2</v>
      </c>
      <c r="V22" s="1">
        <v>0.1756249024704124</v>
      </c>
      <c r="W22" s="1">
        <v>0.20748026702429739</v>
      </c>
      <c r="X22" s="1">
        <v>-0.25720235121349699</v>
      </c>
      <c r="Y22" s="1">
        <v>-6.9853331702800808E-2</v>
      </c>
      <c r="Z22" s="1">
        <v>2.386612179035642E-2</v>
      </c>
      <c r="AA22" s="1">
        <v>7.0480168868567589E-3</v>
      </c>
      <c r="AB22" s="1">
        <v>0.13443621271332551</v>
      </c>
      <c r="AC22" s="1">
        <v>7.4420380840427389E-2</v>
      </c>
      <c r="AD22" s="1">
        <v>1.357278877236134E-2</v>
      </c>
      <c r="AE22" s="1">
        <v>-0.26268572135214352</v>
      </c>
      <c r="AF22" s="1">
        <v>-8.6404239042423531E-2</v>
      </c>
      <c r="AG22" s="1">
        <v>5.2841540175733892E-2</v>
      </c>
      <c r="AH22" s="1">
        <v>-0.10586595942047269</v>
      </c>
      <c r="AI22" s="1">
        <v>9.4141260657386039E-2</v>
      </c>
      <c r="AJ22" s="1">
        <v>-3.1699849326408271E-2</v>
      </c>
      <c r="AK22" s="1">
        <v>-6.826932816412784E-2</v>
      </c>
      <c r="AL22" s="1">
        <v>9.4397384737102564E-3</v>
      </c>
      <c r="AM22" s="1">
        <v>8.4088903467703563E-2</v>
      </c>
      <c r="AN22" s="1">
        <v>0.1111328096635593</v>
      </c>
      <c r="AO22" s="1">
        <v>7.4717373393705613E-2</v>
      </c>
      <c r="AP22" s="1">
        <v>-6.2536353887992696E-2</v>
      </c>
      <c r="AQ22" s="1">
        <v>1.4495983822223869E-2</v>
      </c>
      <c r="AR22" s="1">
        <v>0.23790114102724971</v>
      </c>
      <c r="AS22" s="1">
        <v>8.2810438898549957E-2</v>
      </c>
      <c r="AT22" s="1">
        <v>6.5803903490195548E-3</v>
      </c>
      <c r="AU22" s="1">
        <v>5.3142791700378257E-2</v>
      </c>
      <c r="AV22" s="1">
        <v>-5.9813176675879959E-2</v>
      </c>
      <c r="AW22" s="1">
        <v>-3.014938920700894E-2</v>
      </c>
      <c r="AX22" s="1">
        <v>-0.17376339998002421</v>
      </c>
      <c r="AY22" s="1">
        <v>7.1733385334230598E-2</v>
      </c>
      <c r="AZ22" s="1">
        <v>-0.1549037783211521</v>
      </c>
      <c r="BA22" s="1">
        <v>-4.5598425167461952E-2</v>
      </c>
      <c r="BB22" s="1">
        <v>0.36955058329648782</v>
      </c>
      <c r="BC22" s="1">
        <v>-0.13083693812295519</v>
      </c>
      <c r="BD22" s="1">
        <v>1.294738984257221E-2</v>
      </c>
      <c r="BE22" s="1">
        <v>-6.8483036868100741E-2</v>
      </c>
      <c r="BF22" s="1">
        <v>1.363881733831962E-2</v>
      </c>
      <c r="BG22" s="1">
        <v>4.1231469152780448E-2</v>
      </c>
      <c r="BH22" s="1">
        <v>-0.12796054233813189</v>
      </c>
      <c r="BI22" s="1">
        <v>-0.111088719409907</v>
      </c>
      <c r="BJ22" s="1">
        <v>-5.4996415150720922E-2</v>
      </c>
      <c r="BK22" s="1">
        <v>-4.1839635933665138E-2</v>
      </c>
      <c r="BL22" s="1">
        <v>0.16178033907103531</v>
      </c>
      <c r="BM22" s="1">
        <v>0.1056044769577115</v>
      </c>
      <c r="BN22" s="1">
        <v>-8.2937899200322518E-2</v>
      </c>
      <c r="BO22" s="1">
        <v>9.7012895523605869E-2</v>
      </c>
      <c r="BP22" s="1">
        <v>7.4835550155106345E-2</v>
      </c>
      <c r="BQ22" s="1">
        <v>2.7830097398312589E-2</v>
      </c>
      <c r="BR22" s="1">
        <v>2.081360946645289E-2</v>
      </c>
      <c r="BS22" s="1">
        <v>-1.637278237679916E-2</v>
      </c>
      <c r="BT22" s="1">
        <v>8.8726194332783462E-2</v>
      </c>
      <c r="BU22" s="1">
        <v>0.21294876613801031</v>
      </c>
      <c r="BV22" s="1">
        <v>0.1585439723976089</v>
      </c>
      <c r="BW22" s="1">
        <v>-0.42771649646437632</v>
      </c>
      <c r="BX22" s="1">
        <v>0.1130288989043652</v>
      </c>
      <c r="BY22" s="1">
        <v>3.2352875520499369E-2</v>
      </c>
      <c r="BZ22" s="1">
        <v>4.725773586289217E-2</v>
      </c>
      <c r="CA22" s="1">
        <v>-2.749007848032349E-2</v>
      </c>
      <c r="CB22" s="1">
        <v>-0.14899327824592659</v>
      </c>
      <c r="CC22" s="1">
        <v>2.243146575298537E-2</v>
      </c>
      <c r="CD22" s="1">
        <v>0.33387803671272293</v>
      </c>
      <c r="CE22" s="1">
        <v>6.6840145636817616E-2</v>
      </c>
      <c r="CF22" s="1">
        <v>0.15557256842246689</v>
      </c>
      <c r="CG22" s="1">
        <v>-0.20326309220258709</v>
      </c>
      <c r="CH22" s="1">
        <v>-0.1536062848095433</v>
      </c>
      <c r="CI22" s="1">
        <v>-0.23044916703818419</v>
      </c>
      <c r="CJ22" s="1">
        <v>-0.1033795050895627</v>
      </c>
      <c r="CK22" s="1">
        <v>3.6163342604682402E-2</v>
      </c>
      <c r="CL22" s="1">
        <v>0.55395436540251797</v>
      </c>
      <c r="CM22" s="1">
        <v>0.30176025790948191</v>
      </c>
      <c r="CN22" s="1">
        <v>8.5467718209073992E-3</v>
      </c>
      <c r="CO22" s="1">
        <v>-0.64995646824915565</v>
      </c>
      <c r="CP22" s="1">
        <v>-0.17184373314239881</v>
      </c>
      <c r="CQ22" s="1">
        <v>-1.233377932566462E-2</v>
      </c>
      <c r="CR22" s="1">
        <v>2.8422205079160712E-2</v>
      </c>
      <c r="CS22" s="1">
        <v>-1.5202183521422779E-2</v>
      </c>
      <c r="CT22" s="1">
        <v>5.8232521355985362E-2</v>
      </c>
      <c r="CU22" s="1">
        <v>-0.11084141964186579</v>
      </c>
      <c r="CV22" s="1">
        <v>0.12961749876888301</v>
      </c>
      <c r="CW22" s="1">
        <v>-1.349979853596164E-2</v>
      </c>
      <c r="CX22" s="1">
        <v>4.7285453258790341E-2</v>
      </c>
      <c r="CY22" s="1">
        <v>-0.1045108260680616</v>
      </c>
      <c r="CZ22" s="1">
        <v>0.20669386208575841</v>
      </c>
      <c r="DA22" s="1">
        <v>-3.9917538819241108E-3</v>
      </c>
      <c r="DB22" s="1">
        <v>5.4041621710522049E-2</v>
      </c>
      <c r="DC22" s="1">
        <v>-3.9494329949896927E-2</v>
      </c>
      <c r="DD22" s="1">
        <v>-1.596257781556271E-2</v>
      </c>
      <c r="DE22" s="1">
        <v>-5.4917579819501461E-3</v>
      </c>
      <c r="DF22" s="1">
        <v>1.7031775273553061E-2</v>
      </c>
      <c r="DG22" s="1">
        <v>7.1889499417003094E-2</v>
      </c>
      <c r="DH22" s="1">
        <v>1.3945346183503959E-2</v>
      </c>
      <c r="DI22" s="1">
        <v>6.356099926224941E-2</v>
      </c>
      <c r="DJ22" s="1">
        <v>-5.0246005833095859E-2</v>
      </c>
      <c r="DK22" s="1">
        <v>0.1791347138228401</v>
      </c>
      <c r="DL22" s="1">
        <v>2.1680326157890579E-2</v>
      </c>
      <c r="DM22" s="1">
        <v>-6.3466051038033502E-2</v>
      </c>
      <c r="DN22" s="1">
        <v>4.6763328204007498E-2</v>
      </c>
      <c r="DO22" s="1">
        <v>7.5715816054906154E-2</v>
      </c>
      <c r="DP22" s="1">
        <v>2.1723233390302729E-3</v>
      </c>
      <c r="DQ22" s="1">
        <v>-0.13103100381943991</v>
      </c>
      <c r="DR22" s="1">
        <v>-6.0925526153180337E-3</v>
      </c>
      <c r="DS22" s="1">
        <v>-3.6346262249535841E-2</v>
      </c>
      <c r="DT22" s="1">
        <v>-2.637635623620076E-2</v>
      </c>
      <c r="DU22" s="1">
        <v>-5.7495390836838987E-2</v>
      </c>
      <c r="DV22" s="1">
        <v>0.12570511767817799</v>
      </c>
      <c r="DW22" s="1">
        <v>0.1095030666415643</v>
      </c>
      <c r="DX22" s="1">
        <v>-0.22244260844829469</v>
      </c>
      <c r="DY22" s="1">
        <v>8.1471166255399959E-3</v>
      </c>
      <c r="DZ22" s="1">
        <v>-0.10374798094555759</v>
      </c>
      <c r="EA22" s="1">
        <v>-7.0548648839358755E-2</v>
      </c>
      <c r="EB22" s="1">
        <v>-0.14292707605232749</v>
      </c>
      <c r="EC22" s="1">
        <v>2.1495101575638179E-2</v>
      </c>
      <c r="ED22" s="1">
        <v>-7.7413567057607463E-2</v>
      </c>
      <c r="EE22" s="1">
        <v>4.7636659384698889E-2</v>
      </c>
      <c r="EF22" s="1">
        <v>-3.4790246372172352E-2</v>
      </c>
      <c r="EG22" s="59">
        <f t="shared" si="6"/>
        <v>6.1166166998056848E-3</v>
      </c>
      <c r="EH22" s="60">
        <f t="shared" si="7"/>
        <v>0.14261801975096666</v>
      </c>
      <c r="EI22" s="76">
        <f t="shared" si="8"/>
        <v>4.2888105657940372E-2</v>
      </c>
    </row>
    <row r="23" spans="1:139" ht="16">
      <c r="A23" s="6">
        <v>482</v>
      </c>
      <c r="B23" s="6">
        <v>2</v>
      </c>
      <c r="C23" s="9">
        <v>-3.4987009286289193E-2</v>
      </c>
      <c r="D23" s="9">
        <v>-2.981066768542209E-2</v>
      </c>
      <c r="E23" s="9">
        <v>-0.13300519405617101</v>
      </c>
      <c r="F23" s="9">
        <v>-0.14166490905190171</v>
      </c>
      <c r="G23" s="9">
        <v>-5.2224173846498377E-2</v>
      </c>
      <c r="H23" s="9">
        <v>-0.2628102412014528</v>
      </c>
      <c r="I23" s="9">
        <v>0.148152028600294</v>
      </c>
      <c r="J23" s="9">
        <v>-9.8162291146452377E-2</v>
      </c>
      <c r="K23" s="9">
        <v>-5.9917884508062888E-2</v>
      </c>
      <c r="L23" s="2">
        <v>5.4043529775598627E-2</v>
      </c>
      <c r="M23" s="2">
        <v>-0.26736657000997882</v>
      </c>
      <c r="N23" s="2">
        <v>0.15641923763601279</v>
      </c>
      <c r="O23" s="1">
        <v>0.20456437797300209</v>
      </c>
      <c r="P23" s="1">
        <v>5.46815260345479E-2</v>
      </c>
      <c r="Q23" s="1">
        <v>0.29117349346670462</v>
      </c>
      <c r="R23" s="1">
        <v>-2.4313794611937441E-2</v>
      </c>
      <c r="S23" s="1">
        <v>0.16929499991324401</v>
      </c>
      <c r="T23" s="1">
        <v>-3.733692084787466E-4</v>
      </c>
      <c r="U23" s="1">
        <v>-5.924178948110146E-2</v>
      </c>
      <c r="V23" s="1">
        <v>0.2324772033709247</v>
      </c>
      <c r="W23" s="1">
        <v>0.33161915024914451</v>
      </c>
      <c r="X23" s="1">
        <v>-0.1945564614576443</v>
      </c>
      <c r="Y23" s="1">
        <v>-6.7949921591350784E-2</v>
      </c>
      <c r="Z23" s="1">
        <v>4.1051966520251372E-2</v>
      </c>
      <c r="AA23" s="1">
        <v>6.6062919694702682E-3</v>
      </c>
      <c r="AB23" s="1">
        <v>6.4039779876783498E-2</v>
      </c>
      <c r="AC23" s="1">
        <v>7.6346338146838E-2</v>
      </c>
      <c r="AD23" s="1">
        <v>7.1628868085674022E-2</v>
      </c>
      <c r="AE23" s="1">
        <v>-0.36197537925355378</v>
      </c>
      <c r="AF23" s="1">
        <v>-2.5300492366547252E-2</v>
      </c>
      <c r="AG23" s="1">
        <v>9.1873657646360199E-2</v>
      </c>
      <c r="AH23" s="1">
        <v>-8.417158452318324E-2</v>
      </c>
      <c r="AI23" s="1">
        <v>1.7205917313467271E-2</v>
      </c>
      <c r="AJ23" s="1">
        <v>4.8195600190128897E-2</v>
      </c>
      <c r="AK23" s="1">
        <v>1.8557730736711249E-2</v>
      </c>
      <c r="AL23" s="1">
        <v>1.4066593107004361E-2</v>
      </c>
      <c r="AM23" s="1">
        <v>7.769489004865255E-3</v>
      </c>
      <c r="AN23" s="1">
        <v>0.24231469935730071</v>
      </c>
      <c r="AO23" s="1">
        <v>-5.3369521914240978E-3</v>
      </c>
      <c r="AP23" s="1">
        <v>3.1210993523056942E-3</v>
      </c>
      <c r="AQ23" s="1">
        <v>8.9424992259610633E-2</v>
      </c>
      <c r="AR23" s="1">
        <v>0.33674404384506768</v>
      </c>
      <c r="AS23" s="1">
        <v>-1.470688799737762E-2</v>
      </c>
      <c r="AT23" s="1">
        <v>-4.1427721813649641E-2</v>
      </c>
      <c r="AU23" s="1">
        <v>3.3145526128504327E-2</v>
      </c>
      <c r="AV23" s="1">
        <v>-2.7638994197374041E-2</v>
      </c>
      <c r="AW23" s="1">
        <v>-5.202690983840276E-2</v>
      </c>
      <c r="AX23" s="1">
        <v>-6.9838153827044058E-2</v>
      </c>
      <c r="AY23" s="1">
        <v>0.17023398084058211</v>
      </c>
      <c r="AZ23" s="1">
        <v>-6.3753617401060211E-2</v>
      </c>
      <c r="BA23" s="1">
        <v>9.6467800801007808E-3</v>
      </c>
      <c r="BB23" s="1">
        <v>0.56682652604744033</v>
      </c>
      <c r="BC23" s="1">
        <v>-0.30082824917306578</v>
      </c>
      <c r="BD23" s="1">
        <v>9.4830881346450333E-2</v>
      </c>
      <c r="BE23" s="1">
        <v>-8.6532394790002992E-2</v>
      </c>
      <c r="BF23" s="1">
        <v>-2.284699060468626E-2</v>
      </c>
      <c r="BG23" s="1">
        <v>-3.8322827419145812E-2</v>
      </c>
      <c r="BH23" s="1">
        <v>-0.2034839813552872</v>
      </c>
      <c r="BI23" s="1">
        <v>-0.1911120793231991</v>
      </c>
      <c r="BJ23" s="1">
        <v>-0.1040033152679269</v>
      </c>
      <c r="BK23" s="1">
        <v>4.6869777109240134E-3</v>
      </c>
      <c r="BL23" s="1">
        <v>0.14953429625023959</v>
      </c>
      <c r="BM23" s="1">
        <v>0.18918068678715391</v>
      </c>
      <c r="BN23" s="1">
        <v>-3.8453237240273198E-2</v>
      </c>
      <c r="BO23" s="1">
        <v>0.16631016589269049</v>
      </c>
      <c r="BP23" s="1">
        <v>9.8266399211456468E-2</v>
      </c>
      <c r="BQ23" s="1">
        <v>4.9611841287991017E-2</v>
      </c>
      <c r="BR23" s="1">
        <v>1.7844321463962809E-2</v>
      </c>
      <c r="BS23" s="1">
        <v>-7.3275388657911791E-2</v>
      </c>
      <c r="BT23" s="1">
        <v>0.2181866761329041</v>
      </c>
      <c r="BU23" s="1">
        <v>0.20568773584594591</v>
      </c>
      <c r="BV23" s="1">
        <v>0.11346756836018849</v>
      </c>
      <c r="BW23" s="1">
        <v>-0.60099752643345095</v>
      </c>
      <c r="BX23" s="1">
        <v>6.8735089330797944E-2</v>
      </c>
      <c r="BY23" s="1">
        <v>3.9939448876130351E-2</v>
      </c>
      <c r="BZ23" s="1">
        <v>7.6697624318448621E-3</v>
      </c>
      <c r="CA23" s="1">
        <v>-7.5653199746629096E-2</v>
      </c>
      <c r="CB23" s="1">
        <v>-0.21761420299243989</v>
      </c>
      <c r="CC23" s="1">
        <v>8.3555909038169007E-2</v>
      </c>
      <c r="CD23" s="1">
        <v>0.19167645501478511</v>
      </c>
      <c r="CE23" s="1">
        <v>5.9602301837717461E-2</v>
      </c>
      <c r="CF23" s="1">
        <v>0.18343323628555941</v>
      </c>
      <c r="CG23" s="1">
        <v>-0.3932437879236767</v>
      </c>
      <c r="CH23" s="1">
        <v>-0.16212257431707061</v>
      </c>
      <c r="CI23" s="1">
        <v>-5.9122473913523821E-2</v>
      </c>
      <c r="CJ23" s="1">
        <v>-1.9875367550410569E-2</v>
      </c>
      <c r="CK23" s="1">
        <v>9.6116994727961536E-2</v>
      </c>
      <c r="CL23" s="1">
        <v>0.82114882676553158</v>
      </c>
      <c r="CM23" s="1">
        <v>0.3867329465229094</v>
      </c>
      <c r="CN23" s="1">
        <v>5.3005178369803271E-2</v>
      </c>
      <c r="CO23" s="1">
        <v>-0.90892328736561978</v>
      </c>
      <c r="CP23" s="1">
        <v>-0.24610177245621889</v>
      </c>
      <c r="CQ23" s="1">
        <v>-9.1837444998058917E-3</v>
      </c>
      <c r="CR23" s="1">
        <v>3.8232839171219918E-2</v>
      </c>
      <c r="CS23" s="1">
        <v>-3.697421899127859E-2</v>
      </c>
      <c r="CT23" s="1">
        <v>4.5662541711253862E-2</v>
      </c>
      <c r="CU23" s="1">
        <v>-2.1056595713287041E-2</v>
      </c>
      <c r="CV23" s="1">
        <v>0.20185146288687841</v>
      </c>
      <c r="CW23" s="1">
        <v>6.4165112115841361E-2</v>
      </c>
      <c r="CX23" s="1">
        <v>-4.425407954953503E-2</v>
      </c>
      <c r="CY23" s="1">
        <v>-0.15375033367153881</v>
      </c>
      <c r="CZ23" s="1">
        <v>0.16600444921733951</v>
      </c>
      <c r="DA23" s="1">
        <v>-3.0982136225910391E-2</v>
      </c>
      <c r="DB23" s="1">
        <v>1.8747066443219641E-2</v>
      </c>
      <c r="DC23" s="1">
        <v>0.1191904860704142</v>
      </c>
      <c r="DD23" s="1">
        <v>-1.8407826273001211E-2</v>
      </c>
      <c r="DE23" s="1">
        <v>-9.3952259516448811E-3</v>
      </c>
      <c r="DF23" s="1">
        <v>6.194212704490535E-2</v>
      </c>
      <c r="DG23" s="1">
        <v>6.7620427406409236E-2</v>
      </c>
      <c r="DH23" s="1">
        <v>5.5413447308742453E-2</v>
      </c>
      <c r="DI23" s="1">
        <v>5.3479596916020812E-2</v>
      </c>
      <c r="DJ23" s="1">
        <v>-8.7058008172347823E-2</v>
      </c>
      <c r="DK23" s="1">
        <v>0.27783321655884308</v>
      </c>
      <c r="DL23" s="1">
        <v>-5.6607334331075572E-2</v>
      </c>
      <c r="DM23" s="1">
        <v>-1.949730491936592E-2</v>
      </c>
      <c r="DN23" s="1">
        <v>6.4971960439702253E-3</v>
      </c>
      <c r="DO23" s="1">
        <v>0.124068441987729</v>
      </c>
      <c r="DP23" s="1">
        <v>4.7088232655722921E-2</v>
      </c>
      <c r="DQ23" s="1">
        <v>-0.17021099650353791</v>
      </c>
      <c r="DR23" s="1">
        <v>-8.9886002731306744E-2</v>
      </c>
      <c r="DS23" s="1">
        <v>-0.1165759916669394</v>
      </c>
      <c r="DT23" s="1">
        <v>-0.12395522319619889</v>
      </c>
      <c r="DU23" s="1">
        <v>3.4287185254997438E-2</v>
      </c>
      <c r="DV23" s="1">
        <v>0.27627160832943959</v>
      </c>
      <c r="DW23" s="1">
        <v>0.14122823258283859</v>
      </c>
      <c r="DX23" s="1">
        <v>-0.31349320637896622</v>
      </c>
      <c r="DY23" s="1">
        <v>-0.16987682865225409</v>
      </c>
      <c r="DZ23" s="1">
        <v>-8.5690902482961295E-2</v>
      </c>
      <c r="EA23" s="1">
        <v>-2.3448907613119421E-2</v>
      </c>
      <c r="EB23" s="1">
        <v>-0.13822549512320209</v>
      </c>
      <c r="EC23" s="1">
        <v>-3.6584316325813361E-2</v>
      </c>
      <c r="ED23" s="1">
        <v>-9.1425904619781034E-2</v>
      </c>
      <c r="EE23" s="1">
        <v>6.9212075984992683E-2</v>
      </c>
      <c r="EF23" s="1">
        <v>-4.7782278591659677E-2</v>
      </c>
      <c r="EG23" s="59">
        <f t="shared" si="6"/>
        <v>6.7899133092716906E-3</v>
      </c>
      <c r="EH23" s="60">
        <f t="shared" si="7"/>
        <v>0.18819058459289384</v>
      </c>
      <c r="EI23" s="76">
        <f t="shared" si="8"/>
        <v>3.6079984149898221E-2</v>
      </c>
    </row>
    <row r="24" spans="1:139" ht="16">
      <c r="A24" s="6">
        <v>964</v>
      </c>
      <c r="B24" s="6">
        <v>1</v>
      </c>
      <c r="C24" s="9">
        <v>0.162993136931085</v>
      </c>
      <c r="D24" s="9">
        <v>-0.1040490099724129</v>
      </c>
      <c r="E24" s="9">
        <v>-0.28451249769050191</v>
      </c>
      <c r="F24" s="9">
        <v>-0.22715954663674881</v>
      </c>
      <c r="G24" s="9">
        <v>0.2257600230575724</v>
      </c>
      <c r="H24" s="9">
        <v>-0.35082219133103881</v>
      </c>
      <c r="I24" s="9">
        <v>-2.111933203143501E-3</v>
      </c>
      <c r="J24" s="9">
        <v>-9.9972192910136135E-2</v>
      </c>
      <c r="K24" s="9">
        <v>5.3732996668234008E-2</v>
      </c>
      <c r="L24" s="2">
        <v>9.5623250508682117E-2</v>
      </c>
      <c r="M24" s="2">
        <v>-0.46302754420013847</v>
      </c>
      <c r="N24" s="2">
        <v>0.14413045240043321</v>
      </c>
      <c r="O24" s="1">
        <v>0.235309193405423</v>
      </c>
      <c r="P24" s="1">
        <v>1.736288864347235E-3</v>
      </c>
      <c r="Q24" s="1">
        <v>-2.847135602397292E-3</v>
      </c>
      <c r="R24" s="1">
        <v>-0.24569737077925971</v>
      </c>
      <c r="S24" s="1">
        <v>0.13988379956700059</v>
      </c>
      <c r="T24" s="1">
        <v>0.1236910440917892</v>
      </c>
      <c r="U24" s="1">
        <v>-0.28585628998140078</v>
      </c>
      <c r="V24" s="1">
        <v>9.8678511259329957E-2</v>
      </c>
      <c r="W24" s="1">
        <v>0.49571198595594262</v>
      </c>
      <c r="X24" s="1">
        <v>8.988764650171982E-4</v>
      </c>
      <c r="Y24" s="1">
        <v>-0.1203174930645305</v>
      </c>
      <c r="Z24" s="1">
        <v>-2.439454874957615E-2</v>
      </c>
      <c r="AA24" s="1">
        <v>1.354776823757727E-2</v>
      </c>
      <c r="AB24" s="1">
        <v>0.1953396226752438</v>
      </c>
      <c r="AC24" s="1">
        <v>0.125380380775965</v>
      </c>
      <c r="AD24" s="1">
        <v>0.1011752992567229</v>
      </c>
      <c r="AE24" s="1">
        <v>-0.54125812124628125</v>
      </c>
      <c r="AF24" s="1">
        <v>-0.16570377964654229</v>
      </c>
      <c r="AG24" s="1">
        <v>0.13873571762663761</v>
      </c>
      <c r="AH24" s="1">
        <v>-5.6697360067789589E-2</v>
      </c>
      <c r="AI24" s="1">
        <v>-8.8083310984272967E-3</v>
      </c>
      <c r="AJ24" s="1">
        <v>-8.089124399937539E-2</v>
      </c>
      <c r="AK24" s="1">
        <v>1.440977079948152E-3</v>
      </c>
      <c r="AL24" s="1">
        <v>-8.7173701476634946E-2</v>
      </c>
      <c r="AM24" s="1">
        <v>-1.89192814205267E-2</v>
      </c>
      <c r="AN24" s="1">
        <v>0.22118946514543131</v>
      </c>
      <c r="AO24" s="1">
        <v>6.6090111828990022E-2</v>
      </c>
      <c r="AP24" s="1">
        <v>-2.28517154890964E-2</v>
      </c>
      <c r="AQ24" s="1">
        <v>4.7076972834245667E-2</v>
      </c>
      <c r="AR24" s="1">
        <v>9.6392566076069844E-3</v>
      </c>
      <c r="AS24" s="1">
        <v>-2.7956077266590069E-2</v>
      </c>
      <c r="AT24" s="1">
        <v>3.045920748470865E-2</v>
      </c>
      <c r="AU24" s="1">
        <v>4.4095319865224331E-2</v>
      </c>
      <c r="AV24" s="1">
        <v>-8.7151952186895892E-2</v>
      </c>
      <c r="AW24" s="1">
        <v>4.9875415110391882E-3</v>
      </c>
      <c r="AX24" s="1">
        <v>-2.8306186588424521E-2</v>
      </c>
      <c r="AY24" s="1">
        <v>0.16812729388488939</v>
      </c>
      <c r="AZ24" s="1">
        <v>3.7867073599665187E-2</v>
      </c>
      <c r="BA24" s="1">
        <v>-5.3794732084633153E-2</v>
      </c>
      <c r="BB24" s="1">
        <v>0.69077653138067185</v>
      </c>
      <c r="BC24" s="1">
        <v>-0.59942164102389184</v>
      </c>
      <c r="BD24" s="1">
        <v>0.18559521924643521</v>
      </c>
      <c r="BE24" s="1">
        <v>-0.1041311228506846</v>
      </c>
      <c r="BF24" s="1">
        <v>8.765133605409231E-2</v>
      </c>
      <c r="BG24" s="1">
        <v>9.0984227707435611E-2</v>
      </c>
      <c r="BH24" s="1">
        <v>-0.38625533691353497</v>
      </c>
      <c r="BI24" s="1">
        <v>-0.2236291060700471</v>
      </c>
      <c r="BJ24" s="1">
        <v>-3.3483157548845829E-3</v>
      </c>
      <c r="BK24" s="1">
        <v>4.0235468942862278E-3</v>
      </c>
      <c r="BL24" s="1">
        <v>0.31716429392471662</v>
      </c>
      <c r="BM24" s="1">
        <v>1.1473019117737151E-2</v>
      </c>
      <c r="BN24" s="1">
        <v>-0.10891326031654749</v>
      </c>
      <c r="BO24" s="1">
        <v>0.16110969109564191</v>
      </c>
      <c r="BP24" s="1">
        <v>0.1233511811293219</v>
      </c>
      <c r="BQ24" s="1">
        <v>-6.4169633330115036E-2</v>
      </c>
      <c r="BR24" s="1">
        <v>4.2356223303417713E-2</v>
      </c>
      <c r="BS24" s="1">
        <v>-1.284717484456964E-3</v>
      </c>
      <c r="BT24" s="1">
        <v>0.27671901614020838</v>
      </c>
      <c r="BU24" s="1">
        <v>0.22832663155994071</v>
      </c>
      <c r="BV24" s="1">
        <v>0.1077284538879829</v>
      </c>
      <c r="BW24" s="1">
        <v>-1.109012070037362</v>
      </c>
      <c r="BX24" s="1">
        <v>0.1039550340490914</v>
      </c>
      <c r="BY24" s="1">
        <v>-0.29033687494541688</v>
      </c>
      <c r="BZ24" s="1">
        <v>0.25889289884999689</v>
      </c>
      <c r="CA24" s="1">
        <v>-0.1152216807734147</v>
      </c>
      <c r="CB24" s="1">
        <v>0.20876197428786911</v>
      </c>
      <c r="CC24" s="1">
        <v>0.2198311932012271</v>
      </c>
      <c r="CD24" s="1">
        <v>3.2392267354276312E-2</v>
      </c>
      <c r="CE24" s="1">
        <v>0.16556487399111461</v>
      </c>
      <c r="CF24" s="1">
        <v>0.16513135300939591</v>
      </c>
      <c r="CG24" s="1">
        <v>-0.32381797901906062</v>
      </c>
      <c r="CH24" s="1">
        <v>-0.2129728840293183</v>
      </c>
      <c r="CI24" s="1">
        <v>-5.850815723303885E-2</v>
      </c>
      <c r="CJ24" s="1">
        <v>1.310948541941956E-2</v>
      </c>
      <c r="CK24" s="1">
        <v>9.3530079315696568E-2</v>
      </c>
      <c r="CL24" s="1">
        <v>1.1486200348703459</v>
      </c>
      <c r="CM24" s="1">
        <v>0.54958710995910021</v>
      </c>
      <c r="CN24" s="1">
        <v>0.1077387664572132</v>
      </c>
      <c r="CO24" s="1">
        <v>-0.77665321833623113</v>
      </c>
      <c r="CP24" s="1">
        <v>-0.19806734554709299</v>
      </c>
      <c r="CQ24" s="1">
        <v>0.1146871738632968</v>
      </c>
      <c r="CR24" s="1">
        <v>9.681790719133844E-2</v>
      </c>
      <c r="CS24" s="1">
        <v>-8.5895232746805786E-2</v>
      </c>
      <c r="CT24" s="1">
        <v>9.6419008147395818E-2</v>
      </c>
      <c r="CU24" s="1">
        <v>-7.2751347656710041E-2</v>
      </c>
      <c r="CV24" s="1">
        <v>0.36148029535141007</v>
      </c>
      <c r="CW24" s="1">
        <v>-1.5881422078077021E-3</v>
      </c>
      <c r="CX24" s="1">
        <v>5.2765258843267028E-2</v>
      </c>
      <c r="CY24" s="1">
        <v>-0.32114775220674069</v>
      </c>
      <c r="CZ24" s="1">
        <v>0.32258987735690992</v>
      </c>
      <c r="DA24" s="1">
        <v>2.451120416275485E-2</v>
      </c>
      <c r="DB24" s="1">
        <v>-1.6501865848996312E-2</v>
      </c>
      <c r="DC24" s="1">
        <v>0.19445359829121789</v>
      </c>
      <c r="DD24" s="1">
        <v>4.9299772670775198E-2</v>
      </c>
      <c r="DE24" s="1">
        <v>-0.17606275750953501</v>
      </c>
      <c r="DF24" s="1">
        <v>-0.1046649760205613</v>
      </c>
      <c r="DG24" s="1">
        <v>0.11954528640013271</v>
      </c>
      <c r="DH24" s="1">
        <v>9.936698049993925E-2</v>
      </c>
      <c r="DI24" s="1">
        <v>0.1418754589382695</v>
      </c>
      <c r="DJ24" s="1">
        <v>-0.13248861050923971</v>
      </c>
      <c r="DK24" s="1">
        <v>0.33950921063044381</v>
      </c>
      <c r="DL24" s="1">
        <v>-3.174869831458027E-2</v>
      </c>
      <c r="DM24" s="1">
        <v>-0.14143952722687489</v>
      </c>
      <c r="DN24" s="1">
        <v>0.23333457077469619</v>
      </c>
      <c r="DO24" s="1">
        <v>0.1156119550234804</v>
      </c>
      <c r="DP24" s="1">
        <v>0.1143734254860139</v>
      </c>
      <c r="DQ24" s="1">
        <v>-0.13297735123596999</v>
      </c>
      <c r="DR24" s="1">
        <v>-2.0515630212029241E-2</v>
      </c>
      <c r="DS24" s="1">
        <v>-6.7362545713944635E-2</v>
      </c>
      <c r="DT24" s="1">
        <v>-3.8362866170129663E-2</v>
      </c>
      <c r="DU24" s="1">
        <v>-4.7638587273757492E-2</v>
      </c>
      <c r="DV24" s="1">
        <v>0.1582246986438143</v>
      </c>
      <c r="DW24" s="1">
        <v>0.10885708989133031</v>
      </c>
      <c r="DX24" s="1">
        <v>-0.31159312779250392</v>
      </c>
      <c r="DY24" s="1">
        <v>-0.34380428679820851</v>
      </c>
      <c r="DZ24" s="1">
        <v>-5.0469182403116652E-2</v>
      </c>
      <c r="EA24" s="1">
        <v>7.7350922227335792E-2</v>
      </c>
      <c r="EB24" s="1">
        <v>-0.1092287723728063</v>
      </c>
      <c r="EC24" s="1">
        <v>-1.4309918770678909E-2</v>
      </c>
      <c r="ED24" s="1">
        <v>-5.6172845298362112E-2</v>
      </c>
      <c r="EE24" s="1">
        <v>0.10748065723441801</v>
      </c>
      <c r="EF24" s="1">
        <v>6.7276677043968364E-2</v>
      </c>
      <c r="EG24" s="62">
        <f t="shared" si="6"/>
        <v>8.4385032374674328E-3</v>
      </c>
      <c r="EH24" s="60">
        <f t="shared" si="7"/>
        <v>0.24633571652660577</v>
      </c>
      <c r="EI24" s="76">
        <f t="shared" si="8"/>
        <v>3.4256109331007319E-2</v>
      </c>
    </row>
    <row r="25" spans="1:139" ht="16">
      <c r="A25" s="6" t="s">
        <v>145</v>
      </c>
      <c r="B25" s="6" t="s">
        <v>146</v>
      </c>
      <c r="C25" s="26">
        <v>-1.7446770539390338E-2</v>
      </c>
      <c r="D25" s="26">
        <v>2.070106053181563E-2</v>
      </c>
      <c r="E25" s="26">
        <v>2.3982129254766709E-2</v>
      </c>
      <c r="F25" s="26">
        <v>-6.557578972823077E-3</v>
      </c>
      <c r="G25" s="26">
        <v>3.1845129800519692E-2</v>
      </c>
      <c r="H25" s="26">
        <v>3.4348532736990518E-2</v>
      </c>
      <c r="I25" s="26">
        <v>-8.2549327813252367E-3</v>
      </c>
      <c r="J25" s="26">
        <v>1.2843524394052759E-2</v>
      </c>
      <c r="K25" s="26">
        <v>-5.1018524626790823E-2</v>
      </c>
      <c r="L25" s="26">
        <v>8.7394274103658827E-4</v>
      </c>
      <c r="M25" s="26">
        <v>2.3389575505495919E-2</v>
      </c>
      <c r="N25" s="26">
        <v>1.2988972200332851E-2</v>
      </c>
      <c r="O25" s="26">
        <v>5.8545887256348812E-3</v>
      </c>
      <c r="P25" s="26">
        <v>2.7413206571790558E-2</v>
      </c>
      <c r="Q25" s="26">
        <v>-3.7129361176928542E-3</v>
      </c>
      <c r="R25" s="26">
        <v>2.4076614047823328E-2</v>
      </c>
      <c r="S25" s="26">
        <v>-1.219002529903996E-2</v>
      </c>
      <c r="T25" s="26">
        <v>-3.9749578159589592E-2</v>
      </c>
      <c r="U25" s="26">
        <v>-7.3155449831649552E-2</v>
      </c>
      <c r="V25" s="26">
        <v>-5.8260229910114661E-2</v>
      </c>
      <c r="W25" s="26">
        <v>7.7279756550837221E-4</v>
      </c>
      <c r="X25" s="26">
        <v>4.459152113521897E-2</v>
      </c>
      <c r="Y25" s="26">
        <v>-2.7699680050213091E-2</v>
      </c>
      <c r="Z25" s="26">
        <v>2.0950059497436462E-3</v>
      </c>
      <c r="AA25" s="26">
        <v>-2.340055099256411E-2</v>
      </c>
      <c r="AB25" s="26">
        <v>3.2129371097322189E-2</v>
      </c>
      <c r="AC25" s="26">
        <v>3.890327309406643E-2</v>
      </c>
      <c r="AD25" s="26">
        <v>-4.286538217110427E-2</v>
      </c>
      <c r="AE25" s="26">
        <v>1.8647194550152159E-2</v>
      </c>
      <c r="AF25" s="26">
        <v>1.5229768322528949E-2</v>
      </c>
      <c r="AG25" s="26">
        <v>3.6016603778892417E-2</v>
      </c>
      <c r="AH25" s="26">
        <v>9.3546113853161701E-3</v>
      </c>
      <c r="AI25" s="26">
        <v>1.0748251336838139E-2</v>
      </c>
      <c r="AJ25" s="26">
        <v>1.335775405308097E-2</v>
      </c>
      <c r="AK25" s="26">
        <v>-5.3327473290953921E-3</v>
      </c>
      <c r="AL25" s="26">
        <v>1.383135807261675E-3</v>
      </c>
      <c r="AM25" s="26">
        <v>2.079592842007446E-2</v>
      </c>
      <c r="AN25" s="26">
        <v>3.1517702220390638E-2</v>
      </c>
      <c r="AO25" s="26">
        <v>6.2417165333294418E-3</v>
      </c>
      <c r="AP25" s="26">
        <v>6.1452616535713897E-3</v>
      </c>
      <c r="AQ25" s="26">
        <v>1.694635767669651E-2</v>
      </c>
      <c r="AR25" s="26">
        <v>3.4682830454308228E-2</v>
      </c>
      <c r="AS25" s="26">
        <v>3.0985886171969678E-3</v>
      </c>
      <c r="AT25" s="26">
        <v>1.508134714348611E-2</v>
      </c>
      <c r="AU25" s="26">
        <v>-1.9251209229863991E-2</v>
      </c>
      <c r="AV25" s="26">
        <v>3.8711513387631437E-2</v>
      </c>
      <c r="AW25" s="26">
        <v>-2.1856951135736599E-2</v>
      </c>
      <c r="AX25" s="26">
        <v>7.7743007097896798E-3</v>
      </c>
      <c r="AY25" s="26">
        <v>4.2397246695325942E-2</v>
      </c>
      <c r="AZ25" s="26">
        <v>-2.630897486115975E-2</v>
      </c>
      <c r="BA25" s="26">
        <v>9.5717493087162323E-3</v>
      </c>
      <c r="BB25" s="26">
        <v>-2.424974126627483E-2</v>
      </c>
      <c r="BC25" s="26">
        <v>2.0163374143915822E-2</v>
      </c>
      <c r="BD25" s="26">
        <v>-3.5049987821160239E-3</v>
      </c>
      <c r="BE25" s="26">
        <v>2.0151935098542271E-2</v>
      </c>
      <c r="BF25" s="26">
        <v>5.8133623077027128E-4</v>
      </c>
      <c r="BG25" s="26">
        <v>-5.2197009532526043E-3</v>
      </c>
      <c r="BH25" s="26">
        <v>-0.11587176140213</v>
      </c>
      <c r="BI25" s="26">
        <v>8.7252256924373536E-3</v>
      </c>
      <c r="BJ25" s="26">
        <v>-1.6377260977822151E-2</v>
      </c>
      <c r="BK25" s="26">
        <v>2.0840371600260421E-2</v>
      </c>
      <c r="BL25" s="26">
        <v>4.4975872102114713E-2</v>
      </c>
      <c r="BM25" s="26">
        <v>2.3954306081863871E-2</v>
      </c>
      <c r="BN25" s="26">
        <v>3.0239101391442601E-2</v>
      </c>
      <c r="BO25" s="26">
        <v>-4.372588759108751E-2</v>
      </c>
      <c r="BP25" s="26">
        <v>2.1889469568198618E-2</v>
      </c>
      <c r="BQ25" s="26">
        <v>8.6274302635084028E-3</v>
      </c>
      <c r="BR25" s="26">
        <v>-1.9192953994658781E-2</v>
      </c>
      <c r="BS25" s="26">
        <v>1.973512988813305E-2</v>
      </c>
      <c r="BT25" s="26">
        <v>4.7694337483699438E-2</v>
      </c>
      <c r="BU25" s="26">
        <v>1.145481680658339E-2</v>
      </c>
      <c r="BV25" s="26">
        <v>4.3228620735213191E-2</v>
      </c>
      <c r="BW25" s="26">
        <v>-4.2747430436922793E-2</v>
      </c>
      <c r="BX25" s="26">
        <v>-1.781129242779457E-2</v>
      </c>
      <c r="BY25" s="26">
        <v>-0.1511530968690756</v>
      </c>
      <c r="BZ25" s="26">
        <v>0.12422400361957529</v>
      </c>
      <c r="CA25" s="26">
        <v>-4.5572538445296431E-3</v>
      </c>
      <c r="CB25" s="26">
        <v>6.0211240204911178E-2</v>
      </c>
      <c r="CC25" s="26">
        <v>8.5992033482502284E-2</v>
      </c>
      <c r="CD25" s="26">
        <v>-5.8084795823660634E-3</v>
      </c>
      <c r="CE25" s="26">
        <v>-6.0413469889680736E-3</v>
      </c>
      <c r="CF25" s="26">
        <v>2.4523243722520739E-3</v>
      </c>
      <c r="CG25" s="26">
        <v>8.963625193702289E-2</v>
      </c>
      <c r="CH25" s="26">
        <v>7.099273252675789E-2</v>
      </c>
      <c r="CI25" s="26">
        <v>2.7170642901783448E-2</v>
      </c>
      <c r="CJ25" s="26">
        <v>5.2468428425330033E-2</v>
      </c>
      <c r="CK25" s="26">
        <v>2.9480660943049509E-2</v>
      </c>
      <c r="CL25" s="26">
        <v>6.6825081060201283E-2</v>
      </c>
      <c r="CM25" s="26">
        <v>-2.8772229019816971E-2</v>
      </c>
      <c r="CN25" s="26">
        <v>3.9462515901637851E-2</v>
      </c>
      <c r="CO25" s="26">
        <v>-2.9031086977359909E-2</v>
      </c>
      <c r="CP25" s="26">
        <v>1.3983882519467901E-2</v>
      </c>
      <c r="CQ25" s="26">
        <v>-3.2276964959333833E-2</v>
      </c>
      <c r="CR25" s="26">
        <v>3.1035766128940231E-3</v>
      </c>
      <c r="CS25" s="26">
        <v>2.5591855767083171E-2</v>
      </c>
      <c r="CT25" s="26">
        <v>4.4391886287193302E-2</v>
      </c>
      <c r="CU25" s="26">
        <v>-3.0338958549577438E-2</v>
      </c>
      <c r="CV25" s="26">
        <v>-1.2579764545717069E-3</v>
      </c>
      <c r="CW25" s="26">
        <v>2.336356455857952E-3</v>
      </c>
      <c r="CX25" s="26">
        <v>-6.4264144925906069E-2</v>
      </c>
      <c r="CY25" s="26">
        <v>1.2909779458992439E-2</v>
      </c>
      <c r="CZ25" s="26">
        <v>-0.12547709467085871</v>
      </c>
      <c r="DA25" s="26">
        <v>1.1690682939792569E-2</v>
      </c>
      <c r="DB25" s="26">
        <v>6.3378437007417512E-3</v>
      </c>
      <c r="DC25" s="26">
        <v>-0.1173053564693855</v>
      </c>
      <c r="DD25" s="26">
        <v>-3.6010872049446613E-2</v>
      </c>
      <c r="DE25" s="26">
        <v>0.1389113040722679</v>
      </c>
      <c r="DF25" s="26">
        <v>-5.1143506226105737E-2</v>
      </c>
      <c r="DG25" s="26">
        <v>7.6731447181969059E-2</v>
      </c>
      <c r="DH25" s="26">
        <v>1.550878219700816E-2</v>
      </c>
      <c r="DI25" s="26">
        <v>2.3223773674755831E-2</v>
      </c>
      <c r="DJ25" s="26">
        <v>-1.8372876361227891E-2</v>
      </c>
      <c r="DK25" s="26">
        <v>6.2199014085099431E-2</v>
      </c>
      <c r="DL25" s="26">
        <v>2.0098304486957191E-2</v>
      </c>
      <c r="DM25" s="26">
        <v>1.349893974806809E-2</v>
      </c>
      <c r="DN25" s="26">
        <v>-3.025221272842088E-2</v>
      </c>
      <c r="DO25" s="26">
        <v>-1.7022835708053841E-2</v>
      </c>
      <c r="DP25" s="26">
        <v>-2.1788523272461981E-2</v>
      </c>
      <c r="DQ25" s="26">
        <v>8.5745624585137223E-2</v>
      </c>
      <c r="DR25" s="26">
        <v>2.8106743604973752E-2</v>
      </c>
      <c r="DS25" s="26">
        <v>-2.3031598073594501E-3</v>
      </c>
      <c r="DT25" s="26">
        <v>5.8471198131487503E-2</v>
      </c>
      <c r="DU25" s="26">
        <v>6.7658949048647651E-2</v>
      </c>
      <c r="DV25" s="26">
        <v>5.0207706404322644E-3</v>
      </c>
      <c r="DW25" s="26">
        <v>3.7416183675207063E-2</v>
      </c>
      <c r="DX25" s="26">
        <v>8.4111003746042121E-2</v>
      </c>
      <c r="DY25" s="26">
        <v>-3.6832398544012837E-2</v>
      </c>
      <c r="DZ25" s="26">
        <v>3.0917028169369942E-3</v>
      </c>
      <c r="EA25" s="26">
        <v>-1.957628214294549E-3</v>
      </c>
      <c r="EB25" s="26">
        <v>2.6459103603519739E-2</v>
      </c>
      <c r="EC25" s="26">
        <v>-2.4752538760690269E-2</v>
      </c>
      <c r="ED25" s="26">
        <v>3.4115490982559941E-2</v>
      </c>
      <c r="EE25" s="26">
        <v>2.1061973989032982E-2</v>
      </c>
      <c r="EF25" s="26">
        <v>-2.0277392706005919E-2</v>
      </c>
      <c r="EG25" s="61">
        <f t="shared" si="6"/>
        <v>7.3485376145559517E-3</v>
      </c>
      <c r="EH25" s="61">
        <f t="shared" si="7"/>
        <v>4.2276369775976368E-2</v>
      </c>
      <c r="EI25" s="61">
        <f t="shared" si="8"/>
        <v>0.17382139605401439</v>
      </c>
    </row>
    <row r="26" spans="1:139" ht="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3"/>
    </row>
    <row r="28" spans="1:139" ht="16">
      <c r="A28" s="28"/>
      <c r="B28" s="28"/>
      <c r="C28" s="28"/>
      <c r="D28" s="4"/>
      <c r="E28" s="4"/>
      <c r="F28" s="4"/>
      <c r="G28" s="4"/>
      <c r="H28" s="4"/>
      <c r="I28" s="4"/>
      <c r="J28" s="4"/>
      <c r="K28" s="28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</row>
  </sheetData>
  <mergeCells count="2">
    <mergeCell ref="A6:B6"/>
    <mergeCell ref="A10:B10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F25"/>
  <sheetViews>
    <sheetView zoomScale="71" zoomScaleNormal="71" workbookViewId="0">
      <selection activeCell="I26" sqref="I26"/>
    </sheetView>
  </sheetViews>
  <sheetFormatPr baseColWidth="10" defaultColWidth="8.83203125" defaultRowHeight="15"/>
  <cols>
    <col min="1" max="1" width="16.6640625" style="27" customWidth="1"/>
    <col min="3" max="3" width="10.1640625" style="27" customWidth="1"/>
    <col min="4" max="4" width="11.6640625" style="27" customWidth="1"/>
    <col min="5" max="5" width="9.1640625" style="27" customWidth="1"/>
    <col min="6" max="6" width="8.6640625" style="27" customWidth="1"/>
    <col min="7" max="7" width="9.33203125" style="27" customWidth="1"/>
    <col min="8" max="8" width="9.6640625" style="27" customWidth="1"/>
    <col min="9" max="9" width="9" style="27" customWidth="1"/>
    <col min="10" max="136" width="10.6640625" style="27" customWidth="1"/>
  </cols>
  <sheetData>
    <row r="1" spans="1:136" ht="20" customHeight="1">
      <c r="A1" s="54" t="s">
        <v>147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2" spans="1:136" ht="16">
      <c r="A2" s="41"/>
      <c r="B2" s="39" t="s">
        <v>1</v>
      </c>
      <c r="C2" s="42" t="s">
        <v>2</v>
      </c>
      <c r="D2" s="42" t="s">
        <v>3</v>
      </c>
      <c r="E2" s="42" t="s">
        <v>4</v>
      </c>
      <c r="F2" s="42" t="s">
        <v>5</v>
      </c>
      <c r="G2" s="42" t="s">
        <v>6</v>
      </c>
      <c r="H2" s="42" t="s">
        <v>7</v>
      </c>
      <c r="I2" s="42" t="s">
        <v>8</v>
      </c>
      <c r="J2" s="42" t="s">
        <v>9</v>
      </c>
      <c r="K2" s="42" t="s">
        <v>10</v>
      </c>
      <c r="L2" s="42" t="s">
        <v>11</v>
      </c>
      <c r="M2" s="42" t="s">
        <v>12</v>
      </c>
      <c r="N2" s="42" t="s">
        <v>13</v>
      </c>
      <c r="O2" s="42" t="s">
        <v>14</v>
      </c>
      <c r="P2" s="42" t="s">
        <v>15</v>
      </c>
      <c r="Q2" s="42" t="s">
        <v>16</v>
      </c>
      <c r="R2" s="42" t="s">
        <v>17</v>
      </c>
      <c r="S2" s="42" t="s">
        <v>18</v>
      </c>
      <c r="T2" s="42" t="s">
        <v>19</v>
      </c>
      <c r="U2" s="42" t="s">
        <v>20</v>
      </c>
      <c r="V2" s="42" t="s">
        <v>21</v>
      </c>
      <c r="W2" s="42" t="s">
        <v>22</v>
      </c>
      <c r="X2" s="42" t="s">
        <v>23</v>
      </c>
      <c r="Y2" s="42" t="s">
        <v>24</v>
      </c>
      <c r="Z2" s="42" t="s">
        <v>25</v>
      </c>
      <c r="AA2" s="42" t="s">
        <v>26</v>
      </c>
      <c r="AB2" s="42" t="s">
        <v>27</v>
      </c>
      <c r="AC2" s="42" t="s">
        <v>28</v>
      </c>
      <c r="AD2" s="42" t="s">
        <v>29</v>
      </c>
      <c r="AE2" s="42" t="s">
        <v>30</v>
      </c>
      <c r="AF2" s="42" t="s">
        <v>31</v>
      </c>
      <c r="AG2" s="42" t="s">
        <v>32</v>
      </c>
      <c r="AH2" s="42" t="s">
        <v>33</v>
      </c>
      <c r="AI2" s="42" t="s">
        <v>34</v>
      </c>
      <c r="AJ2" s="42" t="s">
        <v>35</v>
      </c>
      <c r="AK2" s="42" t="s">
        <v>36</v>
      </c>
      <c r="AL2" s="42" t="s">
        <v>37</v>
      </c>
      <c r="AM2" s="42" t="s">
        <v>38</v>
      </c>
      <c r="AN2" s="42" t="s">
        <v>39</v>
      </c>
      <c r="AO2" s="42" t="s">
        <v>40</v>
      </c>
      <c r="AP2" s="42" t="s">
        <v>41</v>
      </c>
      <c r="AQ2" s="42" t="s">
        <v>42</v>
      </c>
      <c r="AR2" s="42" t="s">
        <v>43</v>
      </c>
      <c r="AS2" s="42" t="s">
        <v>44</v>
      </c>
      <c r="AT2" s="42" t="s">
        <v>45</v>
      </c>
      <c r="AU2" s="42" t="s">
        <v>46</v>
      </c>
      <c r="AV2" s="42" t="s">
        <v>47</v>
      </c>
      <c r="AW2" s="42" t="s">
        <v>48</v>
      </c>
      <c r="AX2" s="42" t="s">
        <v>49</v>
      </c>
      <c r="AY2" s="42" t="s">
        <v>50</v>
      </c>
      <c r="AZ2" s="42" t="s">
        <v>51</v>
      </c>
      <c r="BA2" s="42" t="s">
        <v>52</v>
      </c>
      <c r="BB2" s="42" t="s">
        <v>53</v>
      </c>
      <c r="BC2" s="42" t="s">
        <v>54</v>
      </c>
      <c r="BD2" s="42" t="s">
        <v>55</v>
      </c>
      <c r="BE2" s="42" t="s">
        <v>56</v>
      </c>
      <c r="BF2" s="42" t="s">
        <v>57</v>
      </c>
      <c r="BG2" s="42" t="s">
        <v>58</v>
      </c>
      <c r="BH2" s="42" t="s">
        <v>59</v>
      </c>
      <c r="BI2" s="42" t="s">
        <v>60</v>
      </c>
      <c r="BJ2" s="42" t="s">
        <v>61</v>
      </c>
      <c r="BK2" s="42" t="s">
        <v>62</v>
      </c>
      <c r="BL2" s="42" t="s">
        <v>63</v>
      </c>
      <c r="BM2" s="42" t="s">
        <v>64</v>
      </c>
      <c r="BN2" s="42" t="s">
        <v>65</v>
      </c>
      <c r="BO2" s="42" t="s">
        <v>66</v>
      </c>
      <c r="BP2" s="42" t="s">
        <v>67</v>
      </c>
      <c r="BQ2" s="42" t="s">
        <v>68</v>
      </c>
      <c r="BR2" s="42" t="s">
        <v>69</v>
      </c>
      <c r="BS2" s="42" t="s">
        <v>70</v>
      </c>
      <c r="BT2" s="42" t="s">
        <v>71</v>
      </c>
      <c r="BU2" s="42" t="s">
        <v>72</v>
      </c>
      <c r="BV2" s="42" t="s">
        <v>73</v>
      </c>
      <c r="BW2" s="42" t="s">
        <v>74</v>
      </c>
      <c r="BX2" s="42" t="s">
        <v>75</v>
      </c>
      <c r="BY2" s="42" t="s">
        <v>76</v>
      </c>
      <c r="BZ2" s="42" t="s">
        <v>77</v>
      </c>
      <c r="CA2" s="42" t="s">
        <v>78</v>
      </c>
      <c r="CB2" s="42" t="s">
        <v>79</v>
      </c>
      <c r="CC2" s="42" t="s">
        <v>80</v>
      </c>
      <c r="CD2" s="42" t="s">
        <v>81</v>
      </c>
      <c r="CE2" s="42" t="s">
        <v>82</v>
      </c>
      <c r="CF2" s="42" t="s">
        <v>83</v>
      </c>
      <c r="CG2" s="42" t="s">
        <v>84</v>
      </c>
      <c r="CH2" s="42" t="s">
        <v>85</v>
      </c>
      <c r="CI2" s="42" t="s">
        <v>86</v>
      </c>
      <c r="CJ2" s="42" t="s">
        <v>87</v>
      </c>
      <c r="CK2" s="42" t="s">
        <v>88</v>
      </c>
      <c r="CL2" s="42" t="s">
        <v>89</v>
      </c>
      <c r="CM2" s="42" t="s">
        <v>90</v>
      </c>
      <c r="CN2" s="42" t="s">
        <v>91</v>
      </c>
      <c r="CO2" s="42" t="s">
        <v>92</v>
      </c>
      <c r="CP2" s="42" t="s">
        <v>93</v>
      </c>
      <c r="CQ2" s="42" t="s">
        <v>94</v>
      </c>
      <c r="CR2" s="42" t="s">
        <v>95</v>
      </c>
      <c r="CS2" s="42" t="s">
        <v>96</v>
      </c>
      <c r="CT2" s="42" t="s">
        <v>97</v>
      </c>
      <c r="CU2" s="42" t="s">
        <v>98</v>
      </c>
      <c r="CV2" s="42" t="s">
        <v>99</v>
      </c>
      <c r="CW2" s="42" t="s">
        <v>100</v>
      </c>
      <c r="CX2" s="42" t="s">
        <v>101</v>
      </c>
      <c r="CY2" s="42" t="s">
        <v>102</v>
      </c>
      <c r="CZ2" s="42" t="s">
        <v>103</v>
      </c>
      <c r="DA2" s="42" t="s">
        <v>104</v>
      </c>
      <c r="DB2" s="42" t="s">
        <v>105</v>
      </c>
      <c r="DC2" s="42" t="s">
        <v>106</v>
      </c>
      <c r="DD2" s="42" t="s">
        <v>107</v>
      </c>
      <c r="DE2" s="42" t="s">
        <v>108</v>
      </c>
      <c r="DF2" s="42" t="s">
        <v>109</v>
      </c>
      <c r="DG2" s="42" t="s">
        <v>110</v>
      </c>
      <c r="DH2" s="42" t="s">
        <v>111</v>
      </c>
      <c r="DI2" s="42" t="s">
        <v>112</v>
      </c>
      <c r="DJ2" s="42" t="s">
        <v>113</v>
      </c>
      <c r="DK2" s="42" t="s">
        <v>114</v>
      </c>
      <c r="DL2" s="42" t="s">
        <v>115</v>
      </c>
      <c r="DM2" s="42" t="s">
        <v>116</v>
      </c>
      <c r="DN2" s="42" t="s">
        <v>117</v>
      </c>
      <c r="DO2" s="42" t="s">
        <v>118</v>
      </c>
      <c r="DP2" s="42" t="s">
        <v>119</v>
      </c>
      <c r="DQ2" s="42" t="s">
        <v>120</v>
      </c>
      <c r="DR2" s="42" t="s">
        <v>121</v>
      </c>
      <c r="DS2" s="42" t="s">
        <v>122</v>
      </c>
      <c r="DT2" s="42" t="s">
        <v>123</v>
      </c>
      <c r="DU2" s="42" t="s">
        <v>124</v>
      </c>
      <c r="DV2" s="42" t="s">
        <v>125</v>
      </c>
      <c r="DW2" s="42" t="s">
        <v>126</v>
      </c>
      <c r="DX2" s="42" t="s">
        <v>127</v>
      </c>
      <c r="DY2" s="42" t="s">
        <v>128</v>
      </c>
      <c r="DZ2" s="42" t="s">
        <v>129</v>
      </c>
      <c r="EA2" s="42" t="s">
        <v>130</v>
      </c>
      <c r="EB2" s="42" t="s">
        <v>131</v>
      </c>
      <c r="EC2" s="42" t="s">
        <v>132</v>
      </c>
      <c r="ED2" s="43" t="s">
        <v>133</v>
      </c>
      <c r="EE2" s="43" t="s">
        <v>134</v>
      </c>
      <c r="EF2" s="44" t="s">
        <v>135</v>
      </c>
    </row>
    <row r="3" spans="1:136" ht="16">
      <c r="A3" s="41"/>
      <c r="B3" s="39" t="s">
        <v>136</v>
      </c>
      <c r="C3" s="45">
        <v>7.3912657797336578E-2</v>
      </c>
      <c r="D3" s="45">
        <v>7.563493400812149E-2</v>
      </c>
      <c r="E3" s="45">
        <v>5.3515486419200897E-2</v>
      </c>
      <c r="F3" s="45">
        <v>6.1629988253116608E-2</v>
      </c>
      <c r="G3" s="45">
        <v>5.0796419382095337E-2</v>
      </c>
      <c r="H3" s="45">
        <v>3.5059131681919098E-2</v>
      </c>
      <c r="I3" s="45">
        <v>9.0367138385772705E-2</v>
      </c>
      <c r="J3" s="45">
        <v>6.5266318619251251E-2</v>
      </c>
      <c r="K3" s="45">
        <v>-1.2474538758397101E-2</v>
      </c>
      <c r="L3" s="45">
        <v>7.7547639608383179E-2</v>
      </c>
      <c r="M3" s="45">
        <v>6.4441181719303131E-2</v>
      </c>
      <c r="N3" s="45">
        <v>4.6512190252542503E-2</v>
      </c>
      <c r="O3" s="45">
        <v>6.7610271275043488E-2</v>
      </c>
      <c r="P3" s="45">
        <v>-2.5644939392805099E-2</v>
      </c>
      <c r="Q3" s="45">
        <v>3.3374421298503883E-2</v>
      </c>
      <c r="R3" s="45">
        <v>5.7588163763284683E-2</v>
      </c>
      <c r="S3" s="45">
        <v>-3.4195460379123688E-2</v>
      </c>
      <c r="T3" s="45">
        <v>5.8177851140499108E-2</v>
      </c>
      <c r="U3" s="45">
        <v>3.8116455078125E-2</v>
      </c>
      <c r="V3" s="45">
        <v>-5.5063976906239986E-3</v>
      </c>
      <c r="W3" s="45">
        <v>5.813661590218544E-2</v>
      </c>
      <c r="X3" s="45">
        <v>5.6870419532060623E-2</v>
      </c>
      <c r="Y3" s="45">
        <v>5.9794772416353233E-2</v>
      </c>
      <c r="Z3" s="45">
        <v>1.319171953946352E-2</v>
      </c>
      <c r="AA3" s="45">
        <v>6.6306374967098236E-2</v>
      </c>
      <c r="AB3" s="45">
        <v>5.8820508420467377E-2</v>
      </c>
      <c r="AC3" s="45">
        <v>5.7617776095867157E-2</v>
      </c>
      <c r="AD3" s="45">
        <v>3.6969933658838272E-2</v>
      </c>
      <c r="AE3" s="45">
        <v>7.8433975577354431E-2</v>
      </c>
      <c r="AF3" s="45">
        <v>4.3248169124126427E-2</v>
      </c>
      <c r="AG3" s="45">
        <v>5.5671926587820053E-2</v>
      </c>
      <c r="AH3" s="45">
        <v>1.690743304789066E-2</v>
      </c>
      <c r="AI3" s="45">
        <v>3.7138056010007858E-2</v>
      </c>
      <c r="AJ3" s="45">
        <v>3.9113327860832207E-2</v>
      </c>
      <c r="AK3" s="45">
        <v>4.2720824480056763E-2</v>
      </c>
      <c r="AL3" s="45">
        <v>2.7467237785458561E-2</v>
      </c>
      <c r="AM3" s="45">
        <v>5.331827700138092E-2</v>
      </c>
      <c r="AN3" s="45">
        <v>0.1098324954509735</v>
      </c>
      <c r="AO3" s="45">
        <v>1.9733672961592671E-2</v>
      </c>
      <c r="AP3" s="45">
        <v>3.6758668720722198E-2</v>
      </c>
      <c r="AQ3" s="45">
        <v>5.1327180117368698E-2</v>
      </c>
      <c r="AR3" s="45">
        <v>5.3256317973136902E-2</v>
      </c>
      <c r="AS3" s="45">
        <v>5.4331317543983459E-2</v>
      </c>
      <c r="AT3" s="45">
        <v>4.3143793940544128E-2</v>
      </c>
      <c r="AU3" s="45">
        <v>3.8841631263494492E-2</v>
      </c>
      <c r="AV3" s="45">
        <v>5.5265516042709351E-2</v>
      </c>
      <c r="AW3" s="45">
        <v>5.0267204642295837E-2</v>
      </c>
      <c r="AX3" s="45">
        <v>-6.0497067868709557E-2</v>
      </c>
      <c r="AY3" s="45">
        <v>5.6344892829656601E-2</v>
      </c>
      <c r="AZ3" s="45">
        <v>4.4756263494491577E-2</v>
      </c>
      <c r="BA3" s="45">
        <v>4.9546454101800919E-2</v>
      </c>
      <c r="BB3" s="45">
        <v>6.5231695771217346E-2</v>
      </c>
      <c r="BC3" s="45">
        <v>5.2208933979272842E-2</v>
      </c>
      <c r="BD3" s="45">
        <v>5.0287269055843353E-2</v>
      </c>
      <c r="BE3" s="45">
        <v>5.3227733820676797E-2</v>
      </c>
      <c r="BF3" s="45">
        <v>5.2831601351499557E-2</v>
      </c>
      <c r="BG3" s="45">
        <v>-2.2505151107907299E-2</v>
      </c>
      <c r="BH3" s="45">
        <v>5.3355973213911063E-2</v>
      </c>
      <c r="BI3" s="45">
        <v>-4.2333740741014481E-2</v>
      </c>
      <c r="BJ3" s="45">
        <v>-4.1621774435043328E-2</v>
      </c>
      <c r="BK3" s="45">
        <v>5.2732300013303757E-2</v>
      </c>
      <c r="BL3" s="45">
        <v>5.2711453288793557E-2</v>
      </c>
      <c r="BM3" s="45">
        <v>5.2789580076932907E-2</v>
      </c>
      <c r="BN3" s="45">
        <v>5.7516373693943017E-2</v>
      </c>
      <c r="BO3" s="45">
        <v>-4.2583651840686798E-2</v>
      </c>
      <c r="BP3" s="45">
        <v>3.996393084526062E-2</v>
      </c>
      <c r="BQ3" s="45">
        <v>5.2070382982492447E-2</v>
      </c>
      <c r="BR3" s="45">
        <v>5.0181154161691673E-2</v>
      </c>
      <c r="BS3" s="45">
        <v>5.4154157638549798E-2</v>
      </c>
      <c r="BT3" s="45">
        <v>4.9134161323308938E-2</v>
      </c>
      <c r="BU3" s="45">
        <v>5.5349864065647132E-2</v>
      </c>
      <c r="BV3" s="45">
        <v>5.2839476615190513E-2</v>
      </c>
      <c r="BW3" s="45">
        <v>2.9234826564788818E-2</v>
      </c>
      <c r="BX3" s="45">
        <v>4.7284010797739029E-2</v>
      </c>
      <c r="BY3" s="45">
        <v>-4.2058713734149933E-3</v>
      </c>
      <c r="BZ3" s="45">
        <v>5.3063441067934043E-2</v>
      </c>
      <c r="CA3" s="45">
        <v>3.9631478488445282E-2</v>
      </c>
      <c r="CB3" s="45">
        <v>4.600171372294426E-2</v>
      </c>
      <c r="CC3" s="45">
        <v>5.1699593663215637E-2</v>
      </c>
      <c r="CD3" s="45">
        <v>5.2426740527153022E-2</v>
      </c>
      <c r="CE3" s="45">
        <v>4.7352515161037452E-2</v>
      </c>
      <c r="CF3" s="45">
        <v>2.1231763064861301E-2</v>
      </c>
      <c r="CG3" s="45">
        <v>4.5137140899896622E-2</v>
      </c>
      <c r="CH3" s="45">
        <v>-4.9076564610004432E-2</v>
      </c>
      <c r="CI3" s="45">
        <v>2.026702277362347E-2</v>
      </c>
      <c r="CJ3" s="45">
        <v>5.7584956288337708E-2</v>
      </c>
      <c r="CK3" s="45">
        <v>6.9196119904518127E-2</v>
      </c>
      <c r="CL3" s="45">
        <v>4.2080968618392937E-2</v>
      </c>
      <c r="CM3" s="45">
        <v>4.9845971167087548E-2</v>
      </c>
      <c r="CN3" s="45">
        <v>-4.840879887342453E-2</v>
      </c>
      <c r="CO3" s="45">
        <v>4.8292059451341629E-2</v>
      </c>
      <c r="CP3" s="45">
        <v>3.9594132453203201E-2</v>
      </c>
      <c r="CQ3" s="45">
        <v>4.8842102289199829E-2</v>
      </c>
      <c r="CR3" s="45">
        <v>4.9500271677970893E-2</v>
      </c>
      <c r="CS3" s="45">
        <v>4.7897454351186752E-2</v>
      </c>
      <c r="CT3" s="45">
        <v>2.8369873762130741E-2</v>
      </c>
      <c r="CU3" s="45">
        <v>4.4375255703926093E-2</v>
      </c>
      <c r="CV3" s="45">
        <v>5.0530951470136642E-2</v>
      </c>
      <c r="CW3" s="45">
        <v>4.3176311999559402E-2</v>
      </c>
      <c r="CX3" s="45">
        <v>5.2143923938274377E-2</v>
      </c>
      <c r="CY3" s="45">
        <v>5.0900701433420181E-2</v>
      </c>
      <c r="CZ3" s="45">
        <v>4.2558174580335617E-2</v>
      </c>
      <c r="DA3" s="45">
        <v>4.4029783457517617E-2</v>
      </c>
      <c r="DB3" s="45">
        <v>-4.3919529765844352E-2</v>
      </c>
      <c r="DC3" s="45">
        <v>5.1982991397380829E-2</v>
      </c>
      <c r="DD3" s="45">
        <v>-8.4397029131650925E-3</v>
      </c>
      <c r="DE3" s="45">
        <v>5.2998926490545273E-2</v>
      </c>
      <c r="DF3" s="45">
        <v>4.4837679713964462E-2</v>
      </c>
      <c r="DG3" s="45">
        <v>4.3406125158071518E-2</v>
      </c>
      <c r="DH3" s="45">
        <v>4.7541145235300057E-2</v>
      </c>
      <c r="DI3" s="45">
        <v>4.8345033079385757E-2</v>
      </c>
      <c r="DJ3" s="45">
        <v>5.2155863493680947E-2</v>
      </c>
      <c r="DK3" s="45">
        <v>8.9188195765018463E-2</v>
      </c>
      <c r="DL3" s="45">
        <v>-2.6696257293224331E-2</v>
      </c>
      <c r="DM3" s="45">
        <v>4.845760390162468E-2</v>
      </c>
      <c r="DN3" s="45">
        <v>4.64659184217453E-2</v>
      </c>
      <c r="DO3" s="45">
        <v>-2.9918596148490909E-2</v>
      </c>
      <c r="DP3" s="45">
        <v>4.7435946762561798E-2</v>
      </c>
      <c r="DQ3" s="45">
        <v>3.8500402122735977E-2</v>
      </c>
      <c r="DR3" s="45">
        <v>4.9186587333679199E-2</v>
      </c>
      <c r="DS3" s="45">
        <v>4.7889348119497299E-2</v>
      </c>
      <c r="DT3" s="45">
        <v>3.1652722507715232E-2</v>
      </c>
      <c r="DU3" s="45">
        <v>6.1842098832130432E-2</v>
      </c>
      <c r="DV3" s="45">
        <v>4.6563606709241867E-2</v>
      </c>
      <c r="DW3" s="45">
        <v>3.2814890146255493E-2</v>
      </c>
      <c r="DX3" s="45">
        <v>4.826011136174202E-2</v>
      </c>
      <c r="DY3" s="45">
        <v>-5.6952420622110367E-2</v>
      </c>
      <c r="DZ3" s="45">
        <v>3.3931814134120941E-2</v>
      </c>
      <c r="EA3" s="45">
        <v>4.8233494162559509E-2</v>
      </c>
      <c r="EB3" s="45">
        <v>9.788920171558857E-3</v>
      </c>
      <c r="EC3" s="45">
        <v>3.6156386137008667E-2</v>
      </c>
      <c r="ED3" s="45">
        <v>4.0190532803535461E-2</v>
      </c>
      <c r="EE3" s="46">
        <v>4.7531653195619583E-2</v>
      </c>
      <c r="EF3" s="45">
        <v>5.0330590456724167E-2</v>
      </c>
    </row>
    <row r="4" spans="1:136" ht="16">
      <c r="A4" s="41"/>
      <c r="B4" s="39" t="s">
        <v>137</v>
      </c>
      <c r="C4" s="45">
        <v>1.097527518868446E-2</v>
      </c>
      <c r="D4" s="45">
        <v>-4.8196077346801758E-2</v>
      </c>
      <c r="E4" s="45">
        <v>8.2988262176513672E-2</v>
      </c>
      <c r="F4" s="45">
        <v>3.8252770900726318E-2</v>
      </c>
      <c r="G4" s="45">
        <v>5.0002194941043847E-2</v>
      </c>
      <c r="H4" s="45">
        <v>1.3410039246082309E-2</v>
      </c>
      <c r="I4" s="45">
        <v>-2.6064049452543259E-2</v>
      </c>
      <c r="J4" s="45">
        <v>-3.02179642021656E-2</v>
      </c>
      <c r="K4" s="45">
        <v>-3.3898375928401947E-2</v>
      </c>
      <c r="L4" s="45">
        <v>-3.984282910823822E-2</v>
      </c>
      <c r="M4" s="45">
        <v>-4.3122667819261551E-2</v>
      </c>
      <c r="N4" s="45">
        <v>4.2018979787826538E-2</v>
      </c>
      <c r="O4" s="45">
        <v>-3.4795396029949188E-2</v>
      </c>
      <c r="P4" s="45">
        <v>-4.6467673033475883E-2</v>
      </c>
      <c r="Q4" s="45">
        <v>-6.1648782342672348E-2</v>
      </c>
      <c r="R4" s="45">
        <v>-3.4485667943954468E-2</v>
      </c>
      <c r="S4" s="45">
        <v>-2.5171820074319839E-2</v>
      </c>
      <c r="T4" s="45">
        <v>-3.7345178425312042E-2</v>
      </c>
      <c r="U4" s="45">
        <v>8.309655636548996E-2</v>
      </c>
      <c r="V4" s="45">
        <v>8.9860610663890839E-2</v>
      </c>
      <c r="W4" s="45">
        <v>-2.792869508266449E-2</v>
      </c>
      <c r="X4" s="45">
        <v>8.2243978977203369E-2</v>
      </c>
      <c r="Y4" s="45">
        <v>-7.1789160370826721E-2</v>
      </c>
      <c r="Z4" s="45">
        <v>-3.0311709269881248E-2</v>
      </c>
      <c r="AA4" s="45">
        <v>3.6390047520399087E-2</v>
      </c>
      <c r="AB4" s="45">
        <v>3.8148783147335052E-2</v>
      </c>
      <c r="AC4" s="45">
        <v>-2.473837323486805E-2</v>
      </c>
      <c r="AD4" s="45">
        <v>-9.8738029599189758E-2</v>
      </c>
      <c r="AE4" s="45">
        <v>-4.4849235564470291E-2</v>
      </c>
      <c r="AF4" s="45">
        <v>-4.4075444340705872E-2</v>
      </c>
      <c r="AG4" s="45">
        <v>-2.9871419072151181E-2</v>
      </c>
      <c r="AH4" s="45">
        <v>1.6651395708322528E-2</v>
      </c>
      <c r="AI4" s="45">
        <v>2.7999542653560638E-2</v>
      </c>
      <c r="AJ4" s="45">
        <v>-1.5782922506332401E-2</v>
      </c>
      <c r="AK4" s="45">
        <v>-9.3165159225463867E-2</v>
      </c>
      <c r="AL4" s="45">
        <v>5.6960459798574448E-2</v>
      </c>
      <c r="AM4" s="45">
        <v>-2.980230376124382E-2</v>
      </c>
      <c r="AN4" s="45">
        <v>-3.7541721016168587E-2</v>
      </c>
      <c r="AO4" s="45">
        <v>1.405663043260574E-2</v>
      </c>
      <c r="AP4" s="45">
        <v>2.8084170073270801E-2</v>
      </c>
      <c r="AQ4" s="45">
        <v>-2.095661498606205E-2</v>
      </c>
      <c r="AR4" s="45">
        <v>-3.324919193983078E-2</v>
      </c>
      <c r="AS4" s="45">
        <v>2.9234178364276889E-2</v>
      </c>
      <c r="AT4" s="45">
        <v>-3.8568161427974701E-2</v>
      </c>
      <c r="AU4" s="45">
        <v>-3.052850067615509E-2</v>
      </c>
      <c r="AV4" s="45">
        <v>-3.2747495919466019E-2</v>
      </c>
      <c r="AW4" s="45">
        <v>4.592633992433548E-2</v>
      </c>
      <c r="AX4" s="45">
        <v>-3.4888666123151779E-2</v>
      </c>
      <c r="AY4" s="45">
        <v>-3.4154564142227173E-2</v>
      </c>
      <c r="AZ4" s="45">
        <v>2.5950407609343529E-2</v>
      </c>
      <c r="BA4" s="45">
        <v>-3.119267150759697E-2</v>
      </c>
      <c r="BB4" s="45">
        <v>-8.7475843727588654E-2</v>
      </c>
      <c r="BC4" s="45">
        <v>3.5330057144165039E-2</v>
      </c>
      <c r="BD4" s="45">
        <v>-3.112911619246006E-2</v>
      </c>
      <c r="BE4" s="45">
        <v>-5.4915815591812127E-2</v>
      </c>
      <c r="BF4" s="45">
        <v>-3.1478296965360641E-2</v>
      </c>
      <c r="BG4" s="45">
        <v>-4.006657749414444E-2</v>
      </c>
      <c r="BH4" s="45">
        <v>3.062369488179684E-2</v>
      </c>
      <c r="BI4" s="45">
        <v>-3.1123528257012371E-2</v>
      </c>
      <c r="BJ4" s="45">
        <v>-3.0040133744478229E-2</v>
      </c>
      <c r="BK4" s="45">
        <v>-4.1486956179141998E-2</v>
      </c>
      <c r="BL4" s="45">
        <v>3.9935577660799033E-2</v>
      </c>
      <c r="BM4" s="45">
        <v>1.8027245998382568E-2</v>
      </c>
      <c r="BN4" s="45">
        <v>-0.1043956056237221</v>
      </c>
      <c r="BO4" s="45">
        <v>6.9876932539045811E-3</v>
      </c>
      <c r="BP4" s="45">
        <v>4.6952194534242153E-3</v>
      </c>
      <c r="BQ4" s="45">
        <v>1.519524399191141E-2</v>
      </c>
      <c r="BR4" s="45">
        <v>-7.3001924902200699E-3</v>
      </c>
      <c r="BS4" s="45">
        <v>-4.3473392724990838E-2</v>
      </c>
      <c r="BT4" s="45">
        <v>4.9916800111532211E-2</v>
      </c>
      <c r="BU4" s="45">
        <v>3.4368544816970832E-2</v>
      </c>
      <c r="BV4" s="45">
        <v>-4.2206816375255578E-2</v>
      </c>
      <c r="BW4" s="45">
        <v>4.0576938539743423E-2</v>
      </c>
      <c r="BX4" s="45">
        <v>0.11351513117551799</v>
      </c>
      <c r="BY4" s="45">
        <v>-6.0964066535234451E-2</v>
      </c>
      <c r="BZ4" s="45">
        <v>7.4336347170174122E-3</v>
      </c>
      <c r="CA4" s="45">
        <v>-3.4166339784860611E-2</v>
      </c>
      <c r="CB4" s="45">
        <v>-4.2827509343624108E-2</v>
      </c>
      <c r="CC4" s="45">
        <v>-4.052165150642395E-2</v>
      </c>
      <c r="CD4" s="45">
        <v>-2.6725079864263531E-2</v>
      </c>
      <c r="CE4" s="45">
        <v>-4.8888608813285828E-2</v>
      </c>
      <c r="CF4" s="45">
        <v>4.5108072459697723E-2</v>
      </c>
      <c r="CG4" s="45">
        <v>3.2500136643648148E-2</v>
      </c>
      <c r="CH4" s="45">
        <v>3.3603519201278693E-2</v>
      </c>
      <c r="CI4" s="45">
        <v>-5.9029228985309601E-2</v>
      </c>
      <c r="CJ4" s="45">
        <v>-3.3231545239686973E-2</v>
      </c>
      <c r="CK4" s="45">
        <v>3.3614955842494958E-2</v>
      </c>
      <c r="CL4" s="45">
        <v>-8.7717965245246887E-2</v>
      </c>
      <c r="CM4" s="45">
        <v>-7.8791035339236259E-3</v>
      </c>
      <c r="CN4" s="45">
        <v>-3.1603436917066567E-2</v>
      </c>
      <c r="CO4" s="45">
        <v>-2.4560306221246719E-2</v>
      </c>
      <c r="CP4" s="45">
        <v>-2.426661737263203E-2</v>
      </c>
      <c r="CQ4" s="45">
        <v>9.8067363724112511E-3</v>
      </c>
      <c r="CR4" s="45">
        <v>7.6525658369064331E-2</v>
      </c>
      <c r="CS4" s="45">
        <v>2.158103883266449E-2</v>
      </c>
      <c r="CT4" s="45">
        <v>2.1532453596591949E-2</v>
      </c>
      <c r="CU4" s="45">
        <v>3.4501176327466958E-2</v>
      </c>
      <c r="CV4" s="45">
        <v>-6.2654152512550354E-2</v>
      </c>
      <c r="CW4" s="45">
        <v>-4.558606818318367E-2</v>
      </c>
      <c r="CX4" s="45">
        <v>-6.5642617642879486E-2</v>
      </c>
      <c r="CY4" s="45">
        <v>6.3649572432041168E-2</v>
      </c>
      <c r="CZ4" s="45">
        <v>-7.8583814203739166E-2</v>
      </c>
      <c r="DA4" s="45">
        <v>-2.812452428042889E-2</v>
      </c>
      <c r="DB4" s="45">
        <v>-5.8803975582122803E-2</v>
      </c>
      <c r="DC4" s="45">
        <v>-3.1962350010871887E-2</v>
      </c>
      <c r="DD4" s="45">
        <v>-3.8284681737422943E-2</v>
      </c>
      <c r="DE4" s="45">
        <v>4.8030544072389603E-2</v>
      </c>
      <c r="DF4" s="45">
        <v>-2.9363507404923439E-2</v>
      </c>
      <c r="DG4" s="45">
        <v>6.0822788625955582E-2</v>
      </c>
      <c r="DH4" s="45">
        <v>-2.8199369087815281E-2</v>
      </c>
      <c r="DI4" s="45">
        <v>-2.9792105779051781E-2</v>
      </c>
      <c r="DJ4" s="45">
        <v>-3.0000817030668259E-2</v>
      </c>
      <c r="DK4" s="45">
        <v>1.032026950269938E-2</v>
      </c>
      <c r="DL4" s="45">
        <v>-4.2281743139028549E-2</v>
      </c>
      <c r="DM4" s="45">
        <v>-4.8086602240800858E-2</v>
      </c>
      <c r="DN4" s="45">
        <v>-1.942399330437183E-2</v>
      </c>
      <c r="DO4" s="45">
        <v>-4.04704250395298E-2</v>
      </c>
      <c r="DP4" s="45">
        <v>-3.4404326230287552E-2</v>
      </c>
      <c r="DQ4" s="45">
        <v>-2.7822112664580349E-2</v>
      </c>
      <c r="DR4" s="45">
        <v>-2.84544937312603E-2</v>
      </c>
      <c r="DS4" s="45">
        <v>-6.9464683532714844E-2</v>
      </c>
      <c r="DT4" s="45">
        <v>-2.8235232457518581E-2</v>
      </c>
      <c r="DU4" s="45">
        <v>5.3089391440153122E-2</v>
      </c>
      <c r="DV4" s="45">
        <v>-2.7063906192779541E-2</v>
      </c>
      <c r="DW4" s="45">
        <v>-2.4401027709245678E-2</v>
      </c>
      <c r="DX4" s="45">
        <v>2.726493868976831E-3</v>
      </c>
      <c r="DY4" s="45">
        <v>4.3977614492177963E-2</v>
      </c>
      <c r="DZ4" s="45">
        <v>-2.4560714140534401E-2</v>
      </c>
      <c r="EA4" s="45">
        <v>-4.7766271978616708E-2</v>
      </c>
      <c r="EB4" s="45">
        <v>-4.1742835193872452E-2</v>
      </c>
      <c r="EC4" s="45">
        <v>-2.8310522437095639E-2</v>
      </c>
      <c r="ED4" s="45">
        <v>-2.4022841826081279E-2</v>
      </c>
      <c r="EE4" s="45">
        <v>0.11009947955608369</v>
      </c>
      <c r="EF4" s="45">
        <v>-2.9047638177871701E-2</v>
      </c>
    </row>
    <row r="5" spans="1:136" ht="16">
      <c r="A5" s="41"/>
      <c r="B5" s="39" t="s">
        <v>138</v>
      </c>
      <c r="C5" s="45">
        <v>-2.4425527080893521E-3</v>
      </c>
      <c r="D5" s="45">
        <v>-2.162628248333931E-2</v>
      </c>
      <c r="E5" s="45">
        <v>-5.3863544017076492E-3</v>
      </c>
      <c r="F5" s="45">
        <v>-5.3014284931123257E-3</v>
      </c>
      <c r="G5" s="45">
        <v>3.1814873218536377E-2</v>
      </c>
      <c r="H5" s="45">
        <v>5.7366847991943359E-2</v>
      </c>
      <c r="I5" s="45">
        <v>-6.6244855523109436E-2</v>
      </c>
      <c r="J5" s="45">
        <v>3.624555841088295E-2</v>
      </c>
      <c r="K5" s="45">
        <v>-7.1708038449287406E-3</v>
      </c>
      <c r="L5" s="45">
        <v>-7.9015763476490974E-3</v>
      </c>
      <c r="M5" s="45">
        <v>7.1032247506082058E-3</v>
      </c>
      <c r="N5" s="45">
        <v>-3.7834208458662033E-2</v>
      </c>
      <c r="O5" s="45">
        <v>2.087398245930672E-2</v>
      </c>
      <c r="P5" s="45">
        <v>1.444438705220819E-3</v>
      </c>
      <c r="Q5" s="45">
        <v>3.0378168448805809E-3</v>
      </c>
      <c r="R5" s="45">
        <v>-4.4238022528588772E-3</v>
      </c>
      <c r="S5" s="45">
        <v>3.937915712594986E-2</v>
      </c>
      <c r="T5" s="45">
        <v>8.250849787145853E-4</v>
      </c>
      <c r="U5" s="45">
        <v>3.7100087851285928E-2</v>
      </c>
      <c r="V5" s="45">
        <v>1.865322515368462E-2</v>
      </c>
      <c r="W5" s="45">
        <v>-6.4136604778468609E-3</v>
      </c>
      <c r="X5" s="45">
        <v>-3.691675141453743E-3</v>
      </c>
      <c r="Y5" s="45">
        <v>-3.8559310138225562E-2</v>
      </c>
      <c r="Z5" s="45">
        <v>-8.7653528898954391E-3</v>
      </c>
      <c r="AA5" s="45">
        <v>-1.000822801142931E-2</v>
      </c>
      <c r="AB5" s="45">
        <v>-8.1863868981599808E-3</v>
      </c>
      <c r="AC5" s="45">
        <v>-4.3017767369747162E-2</v>
      </c>
      <c r="AD5" s="45">
        <v>-1.1843433603644369E-2</v>
      </c>
      <c r="AE5" s="45">
        <v>-3.2743070274591453E-2</v>
      </c>
      <c r="AF5" s="45">
        <v>-1.433323509991169E-2</v>
      </c>
      <c r="AG5" s="45">
        <v>-6.071711890399456E-3</v>
      </c>
      <c r="AH5" s="45">
        <v>7.1172383613884449E-3</v>
      </c>
      <c r="AI5" s="45">
        <v>-3.749270923435688E-3</v>
      </c>
      <c r="AJ5" s="45">
        <v>-3.687632037326694E-3</v>
      </c>
      <c r="AK5" s="45">
        <v>-5.2553778514266014E-3</v>
      </c>
      <c r="AL5" s="45">
        <v>-5.0698723644018173E-3</v>
      </c>
      <c r="AM5" s="45">
        <v>-6.5165474079549313E-3</v>
      </c>
      <c r="AN5" s="45">
        <v>-3.1071184203028679E-3</v>
      </c>
      <c r="AO5" s="45">
        <v>1.016197819262743E-2</v>
      </c>
      <c r="AP5" s="45">
        <v>-5.1280106417834759E-3</v>
      </c>
      <c r="AQ5" s="45">
        <v>-1.493195351213217E-2</v>
      </c>
      <c r="AR5" s="45">
        <v>-4.0432393550872803E-2</v>
      </c>
      <c r="AS5" s="45">
        <v>4.4245671480894089E-2</v>
      </c>
      <c r="AT5" s="45">
        <v>-1.627960242331028E-2</v>
      </c>
      <c r="AU5" s="45">
        <v>-1.177760493010283E-2</v>
      </c>
      <c r="AV5" s="45">
        <v>3.3210780471563339E-2</v>
      </c>
      <c r="AW5" s="45">
        <v>-1.15481223911047E-2</v>
      </c>
      <c r="AX5" s="45">
        <v>1.135891675949097E-2</v>
      </c>
      <c r="AY5" s="45">
        <v>-1.387173542752862E-3</v>
      </c>
      <c r="AZ5" s="45">
        <v>2.6015019044280049E-2</v>
      </c>
      <c r="BA5" s="45">
        <v>-2.783761010505259E-4</v>
      </c>
      <c r="BB5" s="45">
        <v>-7.3484578169882298E-3</v>
      </c>
      <c r="BC5" s="45">
        <v>2.1762042306363578E-3</v>
      </c>
      <c r="BD5" s="45">
        <v>-1.547292340546846E-2</v>
      </c>
      <c r="BE5" s="45">
        <v>-6.5566743724048138E-3</v>
      </c>
      <c r="BF5" s="45">
        <v>1.8655456369742751E-4</v>
      </c>
      <c r="BG5" s="45">
        <v>0.1231109201908112</v>
      </c>
      <c r="BH5" s="45">
        <v>1.567914895713329E-2</v>
      </c>
      <c r="BI5" s="45">
        <v>-4.0477633476257317E-2</v>
      </c>
      <c r="BJ5" s="45">
        <v>-2.2815016563981769E-4</v>
      </c>
      <c r="BK5" s="45">
        <v>-7.1884272620081902E-3</v>
      </c>
      <c r="BL5" s="45">
        <v>-1.8430699128657579E-3</v>
      </c>
      <c r="BM5" s="45">
        <v>-3.9120744913816452E-3</v>
      </c>
      <c r="BN5" s="45">
        <v>-3.5538640804588789E-4</v>
      </c>
      <c r="BO5" s="45">
        <v>-3.8149822503328319E-3</v>
      </c>
      <c r="BP5" s="45">
        <v>3.1992118805646903E-2</v>
      </c>
      <c r="BQ5" s="45">
        <v>8.8122236775234342E-4</v>
      </c>
      <c r="BR5" s="45">
        <v>8.2531711086630821E-4</v>
      </c>
      <c r="BS5" s="45">
        <v>1.15978941321373E-2</v>
      </c>
      <c r="BT5" s="45">
        <v>-1.8043554155156019E-4</v>
      </c>
      <c r="BU5" s="45">
        <v>-3.6622094921767712E-3</v>
      </c>
      <c r="BV5" s="45">
        <v>-1.5918856952339411E-3</v>
      </c>
      <c r="BW5" s="45">
        <v>1.1063155718147749E-2</v>
      </c>
      <c r="BX5" s="45">
        <v>-2.2377460263669491E-3</v>
      </c>
      <c r="BY5" s="45">
        <v>-2.6888400316238399E-3</v>
      </c>
      <c r="BZ5" s="45">
        <v>1.959662884473801E-2</v>
      </c>
      <c r="CA5" s="45">
        <v>-1.708961836993694E-2</v>
      </c>
      <c r="CB5" s="45">
        <v>-1.78644172847271E-2</v>
      </c>
      <c r="CC5" s="45">
        <v>-6.2383759766817093E-2</v>
      </c>
      <c r="CD5" s="45">
        <v>-6.3154017552733421E-3</v>
      </c>
      <c r="CE5" s="45">
        <v>4.7826808877289304E-3</v>
      </c>
      <c r="CF5" s="45">
        <v>-4.4821593910455704E-3</v>
      </c>
      <c r="CG5" s="45">
        <v>1.214408688247204E-2</v>
      </c>
      <c r="CH5" s="45">
        <v>5.5632010102272027E-2</v>
      </c>
      <c r="CI5" s="45">
        <v>-6.089337170124054E-3</v>
      </c>
      <c r="CJ5" s="45">
        <v>4.1742203757166862E-3</v>
      </c>
      <c r="CK5" s="45">
        <v>-5.3255923092365258E-2</v>
      </c>
      <c r="CL5" s="45">
        <v>-3.5227751359343529E-3</v>
      </c>
      <c r="CM5" s="45">
        <v>-1.0564735159277919E-2</v>
      </c>
      <c r="CN5" s="45">
        <v>-1.4071955811232331E-3</v>
      </c>
      <c r="CO5" s="45">
        <v>2.154150977730751E-3</v>
      </c>
      <c r="CP5" s="45">
        <v>-4.1955962777137763E-2</v>
      </c>
      <c r="CQ5" s="45">
        <v>-4.3455613777041444E-3</v>
      </c>
      <c r="CR5" s="45">
        <v>5.5619608610868454E-4</v>
      </c>
      <c r="CS5" s="45">
        <v>-4.6609323471784592E-3</v>
      </c>
      <c r="CT5" s="45">
        <v>-5.460372194647789E-4</v>
      </c>
      <c r="CU5" s="45">
        <v>2.285588905215263E-2</v>
      </c>
      <c r="CV5" s="45">
        <v>1.362518593668938E-2</v>
      </c>
      <c r="CW5" s="45">
        <v>-3.469586838036776E-3</v>
      </c>
      <c r="CX5" s="45">
        <v>-1.9505729433149099E-3</v>
      </c>
      <c r="CY5" s="45">
        <v>-2.4859204422682519E-3</v>
      </c>
      <c r="CZ5" s="45">
        <v>-1.0054910089820619E-3</v>
      </c>
      <c r="DA5" s="45">
        <v>1.2646311894059179E-2</v>
      </c>
      <c r="DB5" s="45">
        <v>-3.145966213196516E-3</v>
      </c>
      <c r="DC5" s="45">
        <v>-3.897595452144742E-3</v>
      </c>
      <c r="DD5" s="45">
        <v>-4.6709622256457814E-3</v>
      </c>
      <c r="DE5" s="45">
        <v>2.2379271686077121E-2</v>
      </c>
      <c r="DF5" s="45">
        <v>-2.2962655872106549E-2</v>
      </c>
      <c r="DG5" s="45">
        <v>-5.475522018969059E-3</v>
      </c>
      <c r="DH5" s="45">
        <v>-4.3155676685273647E-3</v>
      </c>
      <c r="DI5" s="45">
        <v>-1.630075462162495E-2</v>
      </c>
      <c r="DJ5" s="45">
        <v>6.7051458172500134E-3</v>
      </c>
      <c r="DK5" s="45">
        <v>-8.2752257585525513E-3</v>
      </c>
      <c r="DL5" s="45">
        <v>3.0191972851753231E-2</v>
      </c>
      <c r="DM5" s="45">
        <v>-5.071351770311594E-4</v>
      </c>
      <c r="DN5" s="45">
        <v>-3.951698075979948E-3</v>
      </c>
      <c r="DO5" s="45">
        <v>2.990380628034472E-3</v>
      </c>
      <c r="DP5" s="45">
        <v>-6.3493386842310429E-3</v>
      </c>
      <c r="DQ5" s="45">
        <v>-4.0843049064278603E-3</v>
      </c>
      <c r="DR5" s="45">
        <v>-2.2978853434324261E-2</v>
      </c>
      <c r="DS5" s="45">
        <v>1.368343830108643E-3</v>
      </c>
      <c r="DT5" s="45">
        <v>-3.4443521872162819E-4</v>
      </c>
      <c r="DU5" s="45">
        <v>-6.7529221996665001E-3</v>
      </c>
      <c r="DV5" s="45">
        <v>-1.2841427698731421E-2</v>
      </c>
      <c r="DW5" s="45">
        <v>-8.8949445635080338E-3</v>
      </c>
      <c r="DX5" s="45">
        <v>-6.7950468510389328E-3</v>
      </c>
      <c r="DY5" s="45">
        <v>-2.9764331411570311E-3</v>
      </c>
      <c r="DZ5" s="45">
        <v>-2.276478568091989E-3</v>
      </c>
      <c r="EA5" s="45">
        <v>-3.2696472480893139E-3</v>
      </c>
      <c r="EB5" s="45">
        <v>-5.5572022683918476E-3</v>
      </c>
      <c r="EC5" s="45">
        <v>-4.4316230341792107E-3</v>
      </c>
      <c r="ED5" s="45">
        <v>-6.1979256570339203E-3</v>
      </c>
      <c r="EE5" s="45">
        <v>-6.2301061116158962E-3</v>
      </c>
      <c r="EF5" s="45">
        <v>-6.0357367619872093E-3</v>
      </c>
    </row>
    <row r="6" spans="1:136" ht="16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</row>
    <row r="7" spans="1:136" ht="20" customHeight="1">
      <c r="A7" s="53" t="s">
        <v>0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7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</row>
    <row r="8" spans="1:136" ht="16">
      <c r="A8" s="41"/>
      <c r="B8" s="39" t="s">
        <v>1</v>
      </c>
      <c r="C8" s="42" t="s">
        <v>2</v>
      </c>
      <c r="D8" s="42" t="s">
        <v>3</v>
      </c>
      <c r="E8" s="42" t="s">
        <v>4</v>
      </c>
      <c r="F8" s="42" t="s">
        <v>5</v>
      </c>
      <c r="G8" s="42" t="s">
        <v>6</v>
      </c>
      <c r="H8" s="42" t="s">
        <v>7</v>
      </c>
      <c r="I8" s="42" t="s">
        <v>8</v>
      </c>
      <c r="J8" s="42" t="s">
        <v>9</v>
      </c>
      <c r="K8" s="42" t="s">
        <v>10</v>
      </c>
      <c r="L8" s="42" t="s">
        <v>11</v>
      </c>
      <c r="M8" s="42" t="s">
        <v>12</v>
      </c>
      <c r="N8" s="42" t="s">
        <v>13</v>
      </c>
      <c r="O8" s="42" t="s">
        <v>14</v>
      </c>
      <c r="P8" s="42" t="s">
        <v>15</v>
      </c>
      <c r="Q8" s="42" t="s">
        <v>16</v>
      </c>
      <c r="R8" s="42" t="s">
        <v>17</v>
      </c>
      <c r="S8" s="42" t="s">
        <v>18</v>
      </c>
      <c r="T8" s="42" t="s">
        <v>19</v>
      </c>
      <c r="U8" s="42" t="s">
        <v>20</v>
      </c>
      <c r="V8" s="42" t="s">
        <v>21</v>
      </c>
      <c r="W8" s="42" t="s">
        <v>22</v>
      </c>
      <c r="X8" s="42" t="s">
        <v>23</v>
      </c>
      <c r="Y8" s="42" t="s">
        <v>24</v>
      </c>
      <c r="Z8" s="42" t="s">
        <v>25</v>
      </c>
      <c r="AA8" s="42" t="s">
        <v>26</v>
      </c>
      <c r="AB8" s="42" t="s">
        <v>27</v>
      </c>
      <c r="AC8" s="42" t="s">
        <v>28</v>
      </c>
      <c r="AD8" s="42" t="s">
        <v>29</v>
      </c>
      <c r="AE8" s="42" t="s">
        <v>30</v>
      </c>
      <c r="AF8" s="42" t="s">
        <v>31</v>
      </c>
      <c r="AG8" s="42" t="s">
        <v>32</v>
      </c>
      <c r="AH8" s="42" t="s">
        <v>33</v>
      </c>
      <c r="AI8" s="42" t="s">
        <v>34</v>
      </c>
      <c r="AJ8" s="42" t="s">
        <v>35</v>
      </c>
      <c r="AK8" s="42" t="s">
        <v>36</v>
      </c>
      <c r="AL8" s="42" t="s">
        <v>37</v>
      </c>
      <c r="AM8" s="42" t="s">
        <v>38</v>
      </c>
      <c r="AN8" s="42" t="s">
        <v>39</v>
      </c>
      <c r="AO8" s="42" t="s">
        <v>40</v>
      </c>
      <c r="AP8" s="42" t="s">
        <v>41</v>
      </c>
      <c r="AQ8" s="42" t="s">
        <v>42</v>
      </c>
      <c r="AR8" s="42" t="s">
        <v>43</v>
      </c>
      <c r="AS8" s="42" t="s">
        <v>44</v>
      </c>
      <c r="AT8" s="42" t="s">
        <v>45</v>
      </c>
      <c r="AU8" s="42" t="s">
        <v>46</v>
      </c>
      <c r="AV8" s="42" t="s">
        <v>47</v>
      </c>
      <c r="AW8" s="42" t="s">
        <v>48</v>
      </c>
      <c r="AX8" s="42" t="s">
        <v>49</v>
      </c>
      <c r="AY8" s="42" t="s">
        <v>50</v>
      </c>
      <c r="AZ8" s="42" t="s">
        <v>51</v>
      </c>
      <c r="BA8" s="42" t="s">
        <v>52</v>
      </c>
      <c r="BB8" s="42" t="s">
        <v>53</v>
      </c>
      <c r="BC8" s="42" t="s">
        <v>54</v>
      </c>
      <c r="BD8" s="42" t="s">
        <v>55</v>
      </c>
      <c r="BE8" s="42" t="s">
        <v>56</v>
      </c>
      <c r="BF8" s="42" t="s">
        <v>57</v>
      </c>
      <c r="BG8" s="42" t="s">
        <v>58</v>
      </c>
      <c r="BH8" s="42" t="s">
        <v>59</v>
      </c>
      <c r="BI8" s="42" t="s">
        <v>60</v>
      </c>
      <c r="BJ8" s="42" t="s">
        <v>61</v>
      </c>
      <c r="BK8" s="42" t="s">
        <v>62</v>
      </c>
      <c r="BL8" s="42" t="s">
        <v>63</v>
      </c>
      <c r="BM8" s="42" t="s">
        <v>64</v>
      </c>
      <c r="BN8" s="42" t="s">
        <v>65</v>
      </c>
      <c r="BO8" s="42" t="s">
        <v>66</v>
      </c>
      <c r="BP8" s="42" t="s">
        <v>67</v>
      </c>
      <c r="BQ8" s="42" t="s">
        <v>68</v>
      </c>
      <c r="BR8" s="42" t="s">
        <v>69</v>
      </c>
      <c r="BS8" s="42" t="s">
        <v>70</v>
      </c>
      <c r="BT8" s="42" t="s">
        <v>71</v>
      </c>
      <c r="BU8" s="42" t="s">
        <v>72</v>
      </c>
      <c r="BV8" s="42" t="s">
        <v>73</v>
      </c>
      <c r="BW8" s="42" t="s">
        <v>74</v>
      </c>
      <c r="BX8" s="42" t="s">
        <v>75</v>
      </c>
      <c r="BY8" s="42" t="s">
        <v>76</v>
      </c>
      <c r="BZ8" s="42" t="s">
        <v>77</v>
      </c>
      <c r="CA8" s="42" t="s">
        <v>78</v>
      </c>
      <c r="CB8" s="42" t="s">
        <v>79</v>
      </c>
      <c r="CC8" s="42" t="s">
        <v>80</v>
      </c>
      <c r="CD8" s="42" t="s">
        <v>81</v>
      </c>
      <c r="CE8" s="42" t="s">
        <v>82</v>
      </c>
      <c r="CF8" s="42" t="s">
        <v>83</v>
      </c>
      <c r="CG8" s="42" t="s">
        <v>84</v>
      </c>
      <c r="CH8" s="42" t="s">
        <v>85</v>
      </c>
      <c r="CI8" s="42" t="s">
        <v>86</v>
      </c>
      <c r="CJ8" s="42" t="s">
        <v>87</v>
      </c>
      <c r="CK8" s="42" t="s">
        <v>88</v>
      </c>
      <c r="CL8" s="42" t="s">
        <v>89</v>
      </c>
      <c r="CM8" s="42" t="s">
        <v>90</v>
      </c>
      <c r="CN8" s="42" t="s">
        <v>91</v>
      </c>
      <c r="CO8" s="42" t="s">
        <v>92</v>
      </c>
      <c r="CP8" s="42" t="s">
        <v>93</v>
      </c>
      <c r="CQ8" s="42" t="s">
        <v>94</v>
      </c>
      <c r="CR8" s="42" t="s">
        <v>95</v>
      </c>
      <c r="CS8" s="42" t="s">
        <v>96</v>
      </c>
      <c r="CT8" s="42" t="s">
        <v>97</v>
      </c>
      <c r="CU8" s="42" t="s">
        <v>98</v>
      </c>
      <c r="CV8" s="42" t="s">
        <v>99</v>
      </c>
      <c r="CW8" s="42" t="s">
        <v>100</v>
      </c>
      <c r="CX8" s="42" t="s">
        <v>101</v>
      </c>
      <c r="CY8" s="42" t="s">
        <v>102</v>
      </c>
      <c r="CZ8" s="42" t="s">
        <v>103</v>
      </c>
      <c r="DA8" s="42" t="s">
        <v>104</v>
      </c>
      <c r="DB8" s="42" t="s">
        <v>105</v>
      </c>
      <c r="DC8" s="42" t="s">
        <v>106</v>
      </c>
      <c r="DD8" s="42" t="s">
        <v>107</v>
      </c>
      <c r="DE8" s="42" t="s">
        <v>108</v>
      </c>
      <c r="DF8" s="42" t="s">
        <v>109</v>
      </c>
      <c r="DG8" s="42" t="s">
        <v>110</v>
      </c>
      <c r="DH8" s="42" t="s">
        <v>111</v>
      </c>
      <c r="DI8" s="42" t="s">
        <v>112</v>
      </c>
      <c r="DJ8" s="42" t="s">
        <v>113</v>
      </c>
      <c r="DK8" s="42" t="s">
        <v>114</v>
      </c>
      <c r="DL8" s="42" t="s">
        <v>115</v>
      </c>
      <c r="DM8" s="42" t="s">
        <v>116</v>
      </c>
      <c r="DN8" s="42" t="s">
        <v>117</v>
      </c>
      <c r="DO8" s="42" t="s">
        <v>118</v>
      </c>
      <c r="DP8" s="42" t="s">
        <v>119</v>
      </c>
      <c r="DQ8" s="42" t="s">
        <v>120</v>
      </c>
      <c r="DR8" s="42" t="s">
        <v>121</v>
      </c>
      <c r="DS8" s="42" t="s">
        <v>122</v>
      </c>
      <c r="DT8" s="42" t="s">
        <v>123</v>
      </c>
      <c r="DU8" s="42" t="s">
        <v>124</v>
      </c>
      <c r="DV8" s="42" t="s">
        <v>125</v>
      </c>
      <c r="DW8" s="42" t="s">
        <v>126</v>
      </c>
      <c r="DX8" s="42" t="s">
        <v>127</v>
      </c>
      <c r="DY8" s="42" t="s">
        <v>128</v>
      </c>
      <c r="DZ8" s="42" t="s">
        <v>129</v>
      </c>
      <c r="EA8" s="42" t="s">
        <v>130</v>
      </c>
      <c r="EB8" s="42" t="s">
        <v>131</v>
      </c>
      <c r="EC8" s="42" t="s">
        <v>132</v>
      </c>
      <c r="ED8" s="43" t="s">
        <v>133</v>
      </c>
      <c r="EE8" s="44" t="s">
        <v>134</v>
      </c>
      <c r="EF8" s="42" t="s">
        <v>135</v>
      </c>
    </row>
    <row r="9" spans="1:136" ht="16">
      <c r="A9" s="41"/>
      <c r="B9" s="39" t="s">
        <v>136</v>
      </c>
      <c r="C9" s="45">
        <v>0.109105830631824</v>
      </c>
      <c r="D9" s="45">
        <v>1.4576582608432649E-2</v>
      </c>
      <c r="E9" s="45">
        <v>-3.6154356576976902E-2</v>
      </c>
      <c r="F9" s="45">
        <v>-4.742600977062153E-3</v>
      </c>
      <c r="G9" s="45">
        <v>-5.7477531385562736E-3</v>
      </c>
      <c r="H9" s="45">
        <v>4.9378023156909527E-2</v>
      </c>
      <c r="I9" s="45">
        <v>0.18325176920476779</v>
      </c>
      <c r="J9" s="45">
        <v>0.1164863088741452</v>
      </c>
      <c r="K9" s="45">
        <v>-3.0594945598924051E-2</v>
      </c>
      <c r="L9" s="45">
        <v>1.9828051430277011E-2</v>
      </c>
      <c r="M9" s="45">
        <v>-2.0999006362740089E-2</v>
      </c>
      <c r="N9" s="45">
        <v>0.1497794247734946</v>
      </c>
      <c r="O9" s="45">
        <v>1.5463406170905081E-2</v>
      </c>
      <c r="P9" s="45">
        <v>-9.1792321477913982E-2</v>
      </c>
      <c r="Q9" s="45">
        <v>-7.7409013100986537E-2</v>
      </c>
      <c r="R9" s="45">
        <v>5.4776596014220982E-2</v>
      </c>
      <c r="S9" s="45">
        <v>-0.12533438670858049</v>
      </c>
      <c r="T9" s="45">
        <v>-0.1190534205538864</v>
      </c>
      <c r="U9" s="45">
        <v>-3.777005083138045E-2</v>
      </c>
      <c r="V9" s="45">
        <v>8.1183823152198617E-2</v>
      </c>
      <c r="W9" s="45">
        <v>8.4008967865119855E-2</v>
      </c>
      <c r="X9" s="45">
        <v>0.14701135657134901</v>
      </c>
      <c r="Y9" s="45">
        <v>-0.12536053701812139</v>
      </c>
      <c r="Z9" s="45">
        <v>0.1919535535452612</v>
      </c>
      <c r="AA9" s="45">
        <v>-8.4370782422902996E-2</v>
      </c>
      <c r="AB9" s="45">
        <v>7.2897613803716274E-2</v>
      </c>
      <c r="AC9" s="45">
        <v>0.10260456025692451</v>
      </c>
      <c r="AD9" s="45">
        <v>1.5770167253116588E-2</v>
      </c>
      <c r="AE9" s="45">
        <v>-0.15200716210156701</v>
      </c>
      <c r="AF9" s="45">
        <v>5.9250251506559243E-2</v>
      </c>
      <c r="AG9" s="45">
        <v>0.13005883770177931</v>
      </c>
      <c r="AH9" s="45">
        <v>0.11525639530312259</v>
      </c>
      <c r="AI9" s="45">
        <v>3.2606621901195412E-2</v>
      </c>
      <c r="AJ9" s="45">
        <v>2.79991148643382E-2</v>
      </c>
      <c r="AK9" s="45">
        <v>0.14657041796408479</v>
      </c>
      <c r="AL9" s="45">
        <v>4.0841921466891577E-2</v>
      </c>
      <c r="AM9" s="45">
        <v>0.13137636706820099</v>
      </c>
      <c r="AN9" s="45">
        <v>0.22143295930140211</v>
      </c>
      <c r="AO9" s="45">
        <v>-2.0941038924054418E-2</v>
      </c>
      <c r="AP9" s="45">
        <v>-0.13715995040864579</v>
      </c>
      <c r="AQ9" s="45">
        <v>-2.4882854865750599E-2</v>
      </c>
      <c r="AR9" s="45">
        <v>1.551397070984222E-2</v>
      </c>
      <c r="AS9" s="45">
        <v>3.4373036510765703E-2</v>
      </c>
      <c r="AT9" s="45">
        <v>6.3095686135752824E-2</v>
      </c>
      <c r="AU9" s="45">
        <v>4.3237695395113553E-2</v>
      </c>
      <c r="AV9" s="45">
        <v>-7.4230367380587331E-2</v>
      </c>
      <c r="AW9" s="45">
        <v>2.7994827208502701E-2</v>
      </c>
      <c r="AX9" s="45">
        <v>0.1198644178103629</v>
      </c>
      <c r="AY9" s="45">
        <v>7.6559571245744709E-2</v>
      </c>
      <c r="AZ9" s="45">
        <v>-2.1730386111293399E-2</v>
      </c>
      <c r="BA9" s="45">
        <v>-1.2464632784982711E-3</v>
      </c>
      <c r="BB9" s="45">
        <v>0.10099582217884891</v>
      </c>
      <c r="BC9" s="45">
        <v>2.9826929857085831E-2</v>
      </c>
      <c r="BD9" s="45">
        <v>8.6757683796749117E-3</v>
      </c>
      <c r="BE9" s="45">
        <v>6.8557206018591665E-2</v>
      </c>
      <c r="BF9" s="45">
        <v>0.15691259652648329</v>
      </c>
      <c r="BG9" s="45">
        <v>0.1592037331379933</v>
      </c>
      <c r="BH9" s="45">
        <v>6.1121667651573217E-2</v>
      </c>
      <c r="BI9" s="45">
        <v>9.6912851275401127E-2</v>
      </c>
      <c r="BJ9" s="45">
        <v>-5.4746248471514068E-2</v>
      </c>
      <c r="BK9" s="45">
        <v>-8.7492963132843785E-2</v>
      </c>
      <c r="BL9" s="45">
        <v>9.4426745861656128E-2</v>
      </c>
      <c r="BM9" s="45">
        <v>-2.2191058729398399E-2</v>
      </c>
      <c r="BN9" s="45">
        <v>1.562861243910833E-2</v>
      </c>
      <c r="BO9" s="45">
        <v>8.1418240100881306E-2</v>
      </c>
      <c r="BP9" s="45">
        <v>-1.8508942424783719E-2</v>
      </c>
      <c r="BQ9" s="45">
        <v>6.8729568027927734E-2</v>
      </c>
      <c r="BR9" s="45">
        <v>3.1023605185006549E-3</v>
      </c>
      <c r="BS9" s="45">
        <v>7.4964417651561921E-2</v>
      </c>
      <c r="BT9" s="45">
        <v>4.5201587698112312E-2</v>
      </c>
      <c r="BU9" s="45">
        <v>2.5677329398223779E-2</v>
      </c>
      <c r="BV9" s="45">
        <v>9.180403106274436E-2</v>
      </c>
      <c r="BW9" s="45">
        <v>-2.6353999034970911E-2</v>
      </c>
      <c r="BX9" s="45">
        <v>1.9394832235212069E-2</v>
      </c>
      <c r="BY9" s="45">
        <v>-7.6838899317359197E-2</v>
      </c>
      <c r="BZ9" s="45">
        <v>0.1133093139289441</v>
      </c>
      <c r="CA9" s="45">
        <v>-0.10735493495839039</v>
      </c>
      <c r="CB9" s="45">
        <v>4.0844788501696747E-2</v>
      </c>
      <c r="CC9" s="45">
        <v>-1.9801708972640539E-2</v>
      </c>
      <c r="CD9" s="45">
        <v>0.1883770899619405</v>
      </c>
      <c r="CE9" s="45">
        <v>5.5574905720929421E-2</v>
      </c>
      <c r="CF9" s="45">
        <v>7.4872074365934668E-2</v>
      </c>
      <c r="CG9" s="45">
        <v>0.1000001919024945</v>
      </c>
      <c r="CH9" s="45">
        <v>0.1360217220005796</v>
      </c>
      <c r="CI9" s="45">
        <v>-9.3741014702459921E-2</v>
      </c>
      <c r="CJ9" s="45">
        <v>3.9305991202356373E-3</v>
      </c>
      <c r="CK9" s="45">
        <v>5.6507776574398372E-2</v>
      </c>
      <c r="CL9" s="45">
        <v>0.26354577822564818</v>
      </c>
      <c r="CM9" s="45">
        <v>-9.5554349157474378E-3</v>
      </c>
      <c r="CN9" s="45">
        <v>-3.1511899508967982E-2</v>
      </c>
      <c r="CO9" s="45">
        <v>-2.2619031528730349E-2</v>
      </c>
      <c r="CP9" s="45">
        <v>0.13265560934539161</v>
      </c>
      <c r="CQ9" s="45">
        <v>0.1330727797426777</v>
      </c>
      <c r="CR9" s="45">
        <v>-1.4956408370414089E-2</v>
      </c>
      <c r="CS9" s="45">
        <v>-3.3419937997587537E-2</v>
      </c>
      <c r="CT9" s="45">
        <v>1.228120855821169E-2</v>
      </c>
      <c r="CU9" s="45">
        <v>0.11681498356736621</v>
      </c>
      <c r="CV9" s="45">
        <v>-3.1589453565969692E-3</v>
      </c>
      <c r="CW9" s="45">
        <v>3.8217758352757383E-2</v>
      </c>
      <c r="CX9" s="45">
        <v>0.13917409482071269</v>
      </c>
      <c r="CY9" s="45">
        <v>-2.3712287606589749E-2</v>
      </c>
      <c r="CZ9" s="45">
        <v>0.21835291106172269</v>
      </c>
      <c r="DA9" s="45">
        <v>-5.796736233046404E-2</v>
      </c>
      <c r="DB9" s="45">
        <v>-1.410421852050941E-2</v>
      </c>
      <c r="DC9" s="45">
        <v>0.11395608079284369</v>
      </c>
      <c r="DD9" s="45">
        <v>7.4472261891957006E-2</v>
      </c>
      <c r="DE9" s="45">
        <v>-8.9969275376677231E-4</v>
      </c>
      <c r="DF9" s="45">
        <v>9.7707180382245536E-4</v>
      </c>
      <c r="DG9" s="45">
        <v>-7.2980095070914866E-2</v>
      </c>
      <c r="DH9" s="45">
        <v>-2.384528684741952E-2</v>
      </c>
      <c r="DI9" s="45">
        <v>-0.101530671996864</v>
      </c>
      <c r="DJ9" s="45">
        <v>2.7692536462605249E-2</v>
      </c>
      <c r="DK9" s="45">
        <v>-4.9335152901351147E-2</v>
      </c>
      <c r="DL9" s="45">
        <v>-5.6993575669654463E-3</v>
      </c>
      <c r="DM9" s="45">
        <v>-3.698176006290884E-2</v>
      </c>
      <c r="DN9" s="45">
        <v>0.1098129862949979</v>
      </c>
      <c r="DO9" s="45">
        <v>4.2036825231170707E-2</v>
      </c>
      <c r="DP9" s="45">
        <v>8.4566668006112469E-2</v>
      </c>
      <c r="DQ9" s="45">
        <v>-0.11027981086457481</v>
      </c>
      <c r="DR9" s="45">
        <v>9.4328709127723676E-2</v>
      </c>
      <c r="DS9" s="45">
        <v>-7.1906912609422696E-2</v>
      </c>
      <c r="DT9" s="45">
        <v>-9.6236429507091506E-2</v>
      </c>
      <c r="DU9" s="45">
        <v>2.3455494098847921E-3</v>
      </c>
      <c r="DV9" s="45">
        <v>0.13401742358239299</v>
      </c>
      <c r="DW9" s="45">
        <v>9.4732519114383587E-2</v>
      </c>
      <c r="DX9" s="45">
        <v>-0.1037731978548066</v>
      </c>
      <c r="DY9" s="45">
        <v>7.5762154171076845E-2</v>
      </c>
      <c r="DZ9" s="45">
        <v>-3.1829720434029513E-2</v>
      </c>
      <c r="EA9" s="45">
        <v>0.16130801932992569</v>
      </c>
      <c r="EB9" s="45">
        <v>1.020353315832318E-2</v>
      </c>
      <c r="EC9" s="45">
        <v>7.3988425168607055E-2</v>
      </c>
      <c r="ED9" s="45">
        <v>-0.15737687498945321</v>
      </c>
      <c r="EE9" s="45">
        <v>7.9137553498671423E-2</v>
      </c>
      <c r="EF9" s="48">
        <v>-2.1049124928606201E-2</v>
      </c>
    </row>
    <row r="10" spans="1:136" ht="16">
      <c r="A10" s="41"/>
      <c r="B10" s="39" t="s">
        <v>137</v>
      </c>
      <c r="C10" s="49">
        <v>-0.24758870953733739</v>
      </c>
      <c r="D10" s="49">
        <v>-0.27469330301591988</v>
      </c>
      <c r="E10" s="49">
        <v>-8.4648385226775952E-2</v>
      </c>
      <c r="F10" s="49">
        <v>2.264463125499239E-2</v>
      </c>
      <c r="G10" s="49">
        <v>-4.968000079578011E-2</v>
      </c>
      <c r="H10" s="49">
        <v>-0.100759633161552</v>
      </c>
      <c r="I10" s="49">
        <v>-1.2522721374844691E-2</v>
      </c>
      <c r="J10" s="49">
        <v>7.8736550465264579E-2</v>
      </c>
      <c r="K10" s="49">
        <v>-3.418510024326199E-2</v>
      </c>
      <c r="L10" s="49">
        <v>8.8406797789969321E-2</v>
      </c>
      <c r="M10" s="49">
        <v>-3.063454560011507E-3</v>
      </c>
      <c r="N10" s="49">
        <v>-0.21221799304980321</v>
      </c>
      <c r="O10" s="49">
        <v>-3.6805388582279122E-2</v>
      </c>
      <c r="P10" s="49">
        <v>7.1033118877316462E-2</v>
      </c>
      <c r="Q10" s="49">
        <v>-7.1261132998910126E-2</v>
      </c>
      <c r="R10" s="49">
        <v>2.1560446706208151E-2</v>
      </c>
      <c r="S10" s="49">
        <v>0.10111125807516751</v>
      </c>
      <c r="T10" s="49">
        <v>4.3224739792793003E-2</v>
      </c>
      <c r="U10" s="49">
        <v>1.488194958969411E-2</v>
      </c>
      <c r="V10" s="49">
        <v>6.3260243037239986E-3</v>
      </c>
      <c r="W10" s="49">
        <v>-0.1435529784595129</v>
      </c>
      <c r="X10" s="49">
        <v>-6.4282172013507929E-2</v>
      </c>
      <c r="Y10" s="49">
        <v>-1.9034202878042191E-2</v>
      </c>
      <c r="Z10" s="49">
        <v>-2.0644556245472189E-2</v>
      </c>
      <c r="AA10" s="49">
        <v>3.3059540377865217E-2</v>
      </c>
      <c r="AB10" s="49">
        <v>-1.9418226776777941E-2</v>
      </c>
      <c r="AC10" s="49">
        <v>-6.3126838764061721E-2</v>
      </c>
      <c r="AD10" s="49">
        <v>-6.5629712146108229E-2</v>
      </c>
      <c r="AE10" s="49">
        <v>0.1379956892668254</v>
      </c>
      <c r="AF10" s="49">
        <v>-0.1005679184552228</v>
      </c>
      <c r="AG10" s="49">
        <v>-3.7969091150733998E-2</v>
      </c>
      <c r="AH10" s="49">
        <v>-4.5839537807496208E-2</v>
      </c>
      <c r="AI10" s="49">
        <v>-5.1034095516539722E-2</v>
      </c>
      <c r="AJ10" s="49">
        <v>-3.2204408877165632E-3</v>
      </c>
      <c r="AK10" s="49">
        <v>4.8952958975013116E-4</v>
      </c>
      <c r="AL10" s="49">
        <v>-0.1064467536119352</v>
      </c>
      <c r="AM10" s="49">
        <v>-1.3723973583554899E-2</v>
      </c>
      <c r="AN10" s="49">
        <v>-0.1219647076543238</v>
      </c>
      <c r="AO10" s="49">
        <v>-4.858966597382592E-2</v>
      </c>
      <c r="AP10" s="49">
        <v>-1.903150433663008E-3</v>
      </c>
      <c r="AQ10" s="49">
        <v>2.9067484813314101E-2</v>
      </c>
      <c r="AR10" s="49">
        <v>5.2635776863899968E-2</v>
      </c>
      <c r="AS10" s="49">
        <v>-1.289325857571229E-2</v>
      </c>
      <c r="AT10" s="49">
        <v>-2.131134772842519E-3</v>
      </c>
      <c r="AU10" s="49">
        <v>-0.15538438197178719</v>
      </c>
      <c r="AV10" s="49">
        <v>1.268178414302561E-2</v>
      </c>
      <c r="AW10" s="49">
        <v>-1.1942321618877561E-2</v>
      </c>
      <c r="AX10" s="49">
        <v>-4.2537914968475456E-3</v>
      </c>
      <c r="AY10" s="49">
        <v>2.930087158954232E-2</v>
      </c>
      <c r="AZ10" s="49">
        <v>-0.13412750113921701</v>
      </c>
      <c r="BA10" s="49">
        <v>-0.13711152966130111</v>
      </c>
      <c r="BB10" s="49">
        <v>1.7546605068716691E-3</v>
      </c>
      <c r="BC10" s="49">
        <v>2.5117126105990401E-2</v>
      </c>
      <c r="BD10" s="49">
        <v>-0.11960190660895841</v>
      </c>
      <c r="BE10" s="49">
        <v>0.1357616496399312</v>
      </c>
      <c r="BF10" s="49">
        <v>4.7091161676368357E-2</v>
      </c>
      <c r="BG10" s="49">
        <v>-2.605004393557599E-2</v>
      </c>
      <c r="BH10" s="49">
        <v>4.3752773670266483E-2</v>
      </c>
      <c r="BI10" s="49">
        <v>-8.1391827895093402E-2</v>
      </c>
      <c r="BJ10" s="49">
        <v>-0.10060082155953699</v>
      </c>
      <c r="BK10" s="49">
        <v>9.0490079041763594E-2</v>
      </c>
      <c r="BL10" s="49">
        <v>-3.0898458704964389E-2</v>
      </c>
      <c r="BM10" s="49">
        <v>5.8814186622603987E-2</v>
      </c>
      <c r="BN10" s="49">
        <v>8.1345639246770615E-2</v>
      </c>
      <c r="BO10" s="49">
        <v>-7.7164168976593351E-3</v>
      </c>
      <c r="BP10" s="49">
        <v>0.1067348704344353</v>
      </c>
      <c r="BQ10" s="49">
        <v>-2.7156341096342261E-2</v>
      </c>
      <c r="BR10" s="49">
        <v>-5.4431018659150447E-2</v>
      </c>
      <c r="BS10" s="49">
        <v>-6.822927751511014E-2</v>
      </c>
      <c r="BT10" s="49">
        <v>9.8612222991557266E-2</v>
      </c>
      <c r="BU10" s="49">
        <v>0.1283985422991091</v>
      </c>
      <c r="BV10" s="49">
        <v>-7.8402519476778718E-2</v>
      </c>
      <c r="BW10" s="49">
        <v>-0.1191337216524913</v>
      </c>
      <c r="BX10" s="49">
        <v>-4.6890096077604589E-2</v>
      </c>
      <c r="BY10" s="49">
        <v>0.10169834364209621</v>
      </c>
      <c r="BZ10" s="49">
        <v>-2.5680084240218899E-2</v>
      </c>
      <c r="CA10" s="49">
        <v>-8.3301790010408508E-2</v>
      </c>
      <c r="CB10" s="49">
        <v>-0.15782764847875469</v>
      </c>
      <c r="CC10" s="49">
        <v>-7.1052571704280934E-2</v>
      </c>
      <c r="CD10" s="49">
        <v>-7.3875492145199798E-2</v>
      </c>
      <c r="CE10" s="49">
        <v>-0.23678647002516851</v>
      </c>
      <c r="CF10" s="49">
        <v>3.2627706277002622E-2</v>
      </c>
      <c r="CG10" s="49">
        <v>1.3423084626575861E-2</v>
      </c>
      <c r="CH10" s="49">
        <v>-2.7966658799032269E-3</v>
      </c>
      <c r="CI10" s="49">
        <v>4.7925699911805238E-2</v>
      </c>
      <c r="CJ10" s="49">
        <v>-3.2520192681292038E-3</v>
      </c>
      <c r="CK10" s="49">
        <v>-7.570819035307215E-2</v>
      </c>
      <c r="CL10" s="49">
        <v>-4.439725585073561E-2</v>
      </c>
      <c r="CM10" s="49">
        <v>0.17898858319392719</v>
      </c>
      <c r="CN10" s="49">
        <v>5.799426642317386E-2</v>
      </c>
      <c r="CO10" s="49">
        <v>-0.13939018969183081</v>
      </c>
      <c r="CP10" s="49">
        <v>6.4714670503515537E-2</v>
      </c>
      <c r="CQ10" s="49">
        <v>-0.18118788880647541</v>
      </c>
      <c r="CR10" s="49">
        <v>-8.8633532328162568E-2</v>
      </c>
      <c r="CS10" s="49">
        <v>-2.532177470861038E-2</v>
      </c>
      <c r="CT10" s="49">
        <v>-0.11307907407472829</v>
      </c>
      <c r="CU10" s="49">
        <v>8.095957294189474E-3</v>
      </c>
      <c r="CV10" s="49">
        <v>-4.5200208394220349E-2</v>
      </c>
      <c r="CW10" s="49">
        <v>-5.8941225467328592E-2</v>
      </c>
      <c r="CX10" s="49">
        <v>-0.1077283016776811</v>
      </c>
      <c r="CY10" s="49">
        <v>-9.6503499496267492E-2</v>
      </c>
      <c r="CZ10" s="49">
        <v>-0.2103543453191653</v>
      </c>
      <c r="DA10" s="49">
        <v>-0.10996113735654101</v>
      </c>
      <c r="DB10" s="49">
        <v>-0.1908204716293295</v>
      </c>
      <c r="DC10" s="49">
        <v>-2.0727272402408872E-2</v>
      </c>
      <c r="DD10" s="49">
        <v>8.7029095351123936E-2</v>
      </c>
      <c r="DE10" s="49">
        <v>8.2024592921593045E-2</v>
      </c>
      <c r="DF10" s="49">
        <v>-0.166876664789437</v>
      </c>
      <c r="DG10" s="49">
        <v>0.22243808581717431</v>
      </c>
      <c r="DH10" s="49">
        <v>-0.144297746243673</v>
      </c>
      <c r="DI10" s="49">
        <v>-0.1196199522370443</v>
      </c>
      <c r="DJ10" s="49">
        <v>-0.10159274396951661</v>
      </c>
      <c r="DK10" s="49">
        <v>9.2855058740681395E-2</v>
      </c>
      <c r="DL10" s="49">
        <v>-4.2630490096108087E-2</v>
      </c>
      <c r="DM10" s="49">
        <v>8.2732072899953643E-2</v>
      </c>
      <c r="DN10" s="49">
        <v>-3.1049452465540091E-2</v>
      </c>
      <c r="DO10" s="49">
        <v>-9.8141990492640205E-2</v>
      </c>
      <c r="DP10" s="49">
        <v>-0.13058888143944061</v>
      </c>
      <c r="DQ10" s="49">
        <v>4.8655718251279387E-2</v>
      </c>
      <c r="DR10" s="49">
        <v>-3.9251909935401189E-2</v>
      </c>
      <c r="DS10" s="49">
        <v>-0.1610301993932845</v>
      </c>
      <c r="DT10" s="49">
        <v>-7.8883966483063367E-2</v>
      </c>
      <c r="DU10" s="49">
        <v>0.16407715854109439</v>
      </c>
      <c r="DV10" s="49">
        <v>7.5052515397744431E-3</v>
      </c>
      <c r="DW10" s="49">
        <v>-0.1016452501185193</v>
      </c>
      <c r="DX10" s="49">
        <v>-5.6040292492535823E-2</v>
      </c>
      <c r="DY10" s="49">
        <v>-0.1066566396478186</v>
      </c>
      <c r="DZ10" s="49">
        <v>-6.9186575508287662E-2</v>
      </c>
      <c r="EA10" s="49">
        <v>-0.12618865773840809</v>
      </c>
      <c r="EB10" s="49">
        <v>-6.4737118328050736E-2</v>
      </c>
      <c r="EC10" s="49">
        <v>5.142607344157852E-2</v>
      </c>
      <c r="ED10" s="50">
        <v>3.4496728436731378E-2</v>
      </c>
      <c r="EE10" s="51">
        <v>0.15767759835539891</v>
      </c>
      <c r="EF10" s="45">
        <v>0.24308193553486401</v>
      </c>
    </row>
    <row r="11" spans="1:136" ht="16">
      <c r="A11" s="41"/>
      <c r="B11" s="39" t="s">
        <v>138</v>
      </c>
      <c r="C11" s="51">
        <v>-5.4244781267602057E-2</v>
      </c>
      <c r="D11" s="51">
        <v>4.5377022463556939E-2</v>
      </c>
      <c r="E11" s="51">
        <v>-1.7752272607948309E-2</v>
      </c>
      <c r="F11" s="51">
        <v>-8.7687354470119203E-2</v>
      </c>
      <c r="G11" s="51">
        <v>0.1027592597916023</v>
      </c>
      <c r="H11" s="51">
        <v>2.5113717342445511E-3</v>
      </c>
      <c r="I11" s="51">
        <v>-1.8303552483615069E-2</v>
      </c>
      <c r="J11" s="51">
        <v>2.2110525104917209E-2</v>
      </c>
      <c r="K11" s="51">
        <v>7.7258045731841044E-2</v>
      </c>
      <c r="L11" s="51">
        <v>9.3440783982297517E-3</v>
      </c>
      <c r="M11" s="51">
        <v>5.3602181204841143E-2</v>
      </c>
      <c r="N11" s="51">
        <v>-6.7877357290963961E-2</v>
      </c>
      <c r="O11" s="51">
        <v>6.4929886491987929E-2</v>
      </c>
      <c r="P11" s="51">
        <v>4.8806817542238106E-3</v>
      </c>
      <c r="Q11" s="51">
        <v>1.919781824762783E-2</v>
      </c>
      <c r="R11" s="51">
        <v>-5.4653492448842392E-3</v>
      </c>
      <c r="S11" s="51">
        <v>3.6551467134004201E-2</v>
      </c>
      <c r="T11" s="51">
        <v>0.12918506866843241</v>
      </c>
      <c r="U11" s="51">
        <v>1.369240766293847E-2</v>
      </c>
      <c r="V11" s="51">
        <v>1.529525194063162E-2</v>
      </c>
      <c r="W11" s="51">
        <v>-0.10468571910271469</v>
      </c>
      <c r="X11" s="51">
        <v>-0.29384805056845642</v>
      </c>
      <c r="Y11" s="51">
        <v>5.9212485033458218E-2</v>
      </c>
      <c r="Z11" s="51">
        <v>-0.18494831245363619</v>
      </c>
      <c r="AA11" s="51">
        <v>9.8247438772127521E-2</v>
      </c>
      <c r="AB11" s="51">
        <v>-6.5734107189282197E-4</v>
      </c>
      <c r="AC11" s="51">
        <v>-0.1036861156532312</v>
      </c>
      <c r="AD11" s="51">
        <v>3.5450938075395509E-3</v>
      </c>
      <c r="AE11" s="51">
        <v>0.17560148677061019</v>
      </c>
      <c r="AF11" s="51">
        <v>-0.1550331010885124</v>
      </c>
      <c r="AG11" s="51">
        <v>-2.6328625232284051E-2</v>
      </c>
      <c r="AH11" s="51">
        <v>-4.9988101579694936E-3</v>
      </c>
      <c r="AI11" s="51">
        <v>2.8067714594873169E-2</v>
      </c>
      <c r="AJ11" s="51">
        <v>-2.2384193940381401E-2</v>
      </c>
      <c r="AK11" s="51">
        <v>-4.7020825392250949E-2</v>
      </c>
      <c r="AL11" s="51">
        <v>-0.10156151199043489</v>
      </c>
      <c r="AM11" s="51">
        <v>2.3525148704495701E-2</v>
      </c>
      <c r="AN11" s="51">
        <v>5.2525230105422573E-2</v>
      </c>
      <c r="AO11" s="51">
        <v>5.8502893637957562E-2</v>
      </c>
      <c r="AP11" s="51">
        <v>3.3447356041428761E-2</v>
      </c>
      <c r="AQ11" s="51">
        <v>1.430036545094069E-2</v>
      </c>
      <c r="AR11" s="51">
        <v>3.5903594729592501E-2</v>
      </c>
      <c r="AS11" s="51">
        <v>3.9782285287992311E-2</v>
      </c>
      <c r="AT11" s="51">
        <v>0.1484561956282951</v>
      </c>
      <c r="AU11" s="51">
        <v>-4.078729487218978E-2</v>
      </c>
      <c r="AV11" s="51">
        <v>0.13895895413073689</v>
      </c>
      <c r="AW11" s="51">
        <v>5.9863283397122782E-2</v>
      </c>
      <c r="AX11" s="51">
        <v>-0.1497898129881709</v>
      </c>
      <c r="AY11" s="51">
        <v>6.1595851435820623E-2</v>
      </c>
      <c r="AZ11" s="51">
        <v>-6.1949751488506538E-2</v>
      </c>
      <c r="BA11" s="51">
        <v>-2.389264381020083E-3</v>
      </c>
      <c r="BB11" s="51">
        <v>-0.14887029613688371</v>
      </c>
      <c r="BC11" s="51">
        <v>6.0350517971681748E-2</v>
      </c>
      <c r="BD11" s="51">
        <v>-1.468575255625916E-2</v>
      </c>
      <c r="BE11" s="51">
        <v>-0.14651529968819679</v>
      </c>
      <c r="BF11" s="51">
        <v>-0.2087626486148127</v>
      </c>
      <c r="BG11" s="51">
        <v>-0.20144325578474859</v>
      </c>
      <c r="BH11" s="51">
        <v>-0.11804991677814031</v>
      </c>
      <c r="BI11" s="51">
        <v>-7.7026576071686378E-2</v>
      </c>
      <c r="BJ11" s="51">
        <v>-3.6220317042829728E-2</v>
      </c>
      <c r="BK11" s="51">
        <v>-1.8907268725092598E-2</v>
      </c>
      <c r="BL11" s="51">
        <v>-0.17125563757433929</v>
      </c>
      <c r="BM11" s="51">
        <v>0.13291749710961351</v>
      </c>
      <c r="BN11" s="51">
        <v>-3.5907701607395578E-2</v>
      </c>
      <c r="BO11" s="51">
        <v>2.1344518209370389E-2</v>
      </c>
      <c r="BP11" s="51">
        <v>4.9634822871427897E-2</v>
      </c>
      <c r="BQ11" s="51">
        <v>-1.7211216417584319E-2</v>
      </c>
      <c r="BR11" s="51">
        <v>0.18982724311105359</v>
      </c>
      <c r="BS11" s="51">
        <v>-9.7605037382284945E-2</v>
      </c>
      <c r="BT11" s="51">
        <v>3.7831444138355132E-2</v>
      </c>
      <c r="BU11" s="51">
        <v>5.6008305208474198E-2</v>
      </c>
      <c r="BV11" s="51">
        <v>-0.1167370363031352</v>
      </c>
      <c r="BW11" s="51">
        <v>-0.1413229882478122</v>
      </c>
      <c r="BX11" s="51">
        <v>-3.3770258788579869E-3</v>
      </c>
      <c r="BY11" s="51">
        <v>0.13033606071126891</v>
      </c>
      <c r="BZ11" s="51">
        <v>3.1697731081681189E-2</v>
      </c>
      <c r="CA11" s="51">
        <v>4.0555037474470507E-2</v>
      </c>
      <c r="CB11" s="51">
        <v>-4.2037331365292897E-2</v>
      </c>
      <c r="CC11" s="51">
        <v>5.0013723389441531E-2</v>
      </c>
      <c r="CD11" s="51">
        <v>-6.8456279312897411E-2</v>
      </c>
      <c r="CE11" s="51">
        <v>-8.0832090081974353E-2</v>
      </c>
      <c r="CF11" s="51">
        <v>-1.948310790200239E-3</v>
      </c>
      <c r="CG11" s="51">
        <v>-0.1182090018050031</v>
      </c>
      <c r="CH11" s="51">
        <v>-3.67198859644461E-2</v>
      </c>
      <c r="CI11" s="51">
        <v>-8.3332793120616616E-2</v>
      </c>
      <c r="CJ11" s="51">
        <v>0.23067286701975129</v>
      </c>
      <c r="CK11" s="51">
        <v>0.1327785225954993</v>
      </c>
      <c r="CL11" s="51">
        <v>0.1412873189704931</v>
      </c>
      <c r="CM11" s="51">
        <v>-0.11268938730850959</v>
      </c>
      <c r="CN11" s="51">
        <v>0.22348855763592371</v>
      </c>
      <c r="CO11" s="51">
        <v>-0.10441916957268479</v>
      </c>
      <c r="CP11" s="51">
        <v>-1.442822447791231E-2</v>
      </c>
      <c r="CQ11" s="51">
        <v>-0.20723337326778599</v>
      </c>
      <c r="CR11" s="51">
        <v>-0.1348638695123113</v>
      </c>
      <c r="CS11" s="51">
        <v>7.3007738807373504E-2</v>
      </c>
      <c r="CT11" s="51">
        <v>-3.0218378407130288E-2</v>
      </c>
      <c r="CU11" s="51">
        <v>-0.28688917437274702</v>
      </c>
      <c r="CV11" s="51">
        <v>0.2307305381875536</v>
      </c>
      <c r="CW11" s="51">
        <v>9.1075698514216888E-2</v>
      </c>
      <c r="CX11" s="51">
        <v>-0.1224857321642277</v>
      </c>
      <c r="CY11" s="51">
        <v>7.8381925305362449E-2</v>
      </c>
      <c r="CZ11" s="51">
        <v>-4.5950103566863888E-2</v>
      </c>
      <c r="DA11" s="51">
        <v>8.2670164530151122E-2</v>
      </c>
      <c r="DB11" s="51">
        <v>0.14934927010032351</v>
      </c>
      <c r="DC11" s="51">
        <v>-4.7798705164587528E-2</v>
      </c>
      <c r="DD11" s="51">
        <v>-0.1645134604307108</v>
      </c>
      <c r="DE11" s="51">
        <v>-0.1105683533423189</v>
      </c>
      <c r="DF11" s="51">
        <v>5.7416867202733347E-2</v>
      </c>
      <c r="DG11" s="51">
        <v>-0.21489021548963169</v>
      </c>
      <c r="DH11" s="51">
        <v>6.2997155047871164E-2</v>
      </c>
      <c r="DI11" s="51">
        <v>6.7721109014009601E-2</v>
      </c>
      <c r="DJ11" s="51">
        <v>0.1188020770386063</v>
      </c>
      <c r="DK11" s="51">
        <v>7.2827306455158416E-3</v>
      </c>
      <c r="DL11" s="51">
        <v>7.1320599005857979E-2</v>
      </c>
      <c r="DM11" s="51">
        <v>2.1021900655620821E-2</v>
      </c>
      <c r="DN11" s="51">
        <v>-3.0403223939335849E-2</v>
      </c>
      <c r="DO11" s="51">
        <v>-9.694965661135331E-2</v>
      </c>
      <c r="DP11" s="51">
        <v>-0.23067649178859881</v>
      </c>
      <c r="DQ11" s="51">
        <v>0.238184312236043</v>
      </c>
      <c r="DR11" s="51">
        <v>3.5748752036958448E-3</v>
      </c>
      <c r="DS11" s="51">
        <v>0.13395561672683809</v>
      </c>
      <c r="DT11" s="51">
        <v>0.11510609642796051</v>
      </c>
      <c r="DU11" s="51">
        <v>0.1040797891887878</v>
      </c>
      <c r="DV11" s="51">
        <v>-5.4611063064875308E-2</v>
      </c>
      <c r="DW11" s="51">
        <v>-3.3290193961398547E-2</v>
      </c>
      <c r="DX11" s="51">
        <v>5.5094916778075383E-2</v>
      </c>
      <c r="DY11" s="51">
        <v>6.8793773385234666E-2</v>
      </c>
      <c r="DZ11" s="51">
        <v>1.4480773118257949E-2</v>
      </c>
      <c r="EA11" s="51">
        <v>-0.29313654086030699</v>
      </c>
      <c r="EB11" s="51">
        <v>-0.14097501940218221</v>
      </c>
      <c r="EC11" s="51">
        <v>-1.2209361583162239E-2</v>
      </c>
      <c r="ED11" s="52">
        <v>5.816768758959897E-2</v>
      </c>
      <c r="EE11" s="51">
        <v>-0.14440301349005499</v>
      </c>
      <c r="EF11" s="51">
        <v>6.7710153809902298E-3</v>
      </c>
    </row>
    <row r="13" spans="1:136" ht="20" customHeight="1">
      <c r="A13" s="56" t="s">
        <v>167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7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</row>
    <row r="14" spans="1:136" ht="16">
      <c r="A14" s="41"/>
      <c r="B14" s="39" t="s">
        <v>1</v>
      </c>
      <c r="C14" s="42" t="s">
        <v>2</v>
      </c>
      <c r="D14" s="42" t="s">
        <v>3</v>
      </c>
      <c r="E14" s="42" t="s">
        <v>4</v>
      </c>
      <c r="F14" s="42" t="s">
        <v>5</v>
      </c>
      <c r="G14" s="42" t="s">
        <v>6</v>
      </c>
      <c r="H14" s="42" t="s">
        <v>7</v>
      </c>
      <c r="I14" s="42" t="s">
        <v>8</v>
      </c>
      <c r="J14" s="42" t="s">
        <v>9</v>
      </c>
      <c r="K14" s="42" t="s">
        <v>10</v>
      </c>
      <c r="L14" s="42" t="s">
        <v>11</v>
      </c>
      <c r="M14" s="42" t="s">
        <v>12</v>
      </c>
      <c r="N14" s="42" t="s">
        <v>13</v>
      </c>
      <c r="O14" s="42" t="s">
        <v>14</v>
      </c>
      <c r="P14" s="42" t="s">
        <v>15</v>
      </c>
      <c r="Q14" s="42" t="s">
        <v>16</v>
      </c>
      <c r="R14" s="42" t="s">
        <v>17</v>
      </c>
      <c r="S14" s="42" t="s">
        <v>18</v>
      </c>
      <c r="T14" s="42" t="s">
        <v>19</v>
      </c>
      <c r="U14" s="42" t="s">
        <v>20</v>
      </c>
      <c r="V14" s="42" t="s">
        <v>21</v>
      </c>
      <c r="W14" s="42" t="s">
        <v>22</v>
      </c>
      <c r="X14" s="42" t="s">
        <v>23</v>
      </c>
      <c r="Y14" s="42" t="s">
        <v>24</v>
      </c>
      <c r="Z14" s="42" t="s">
        <v>25</v>
      </c>
      <c r="AA14" s="42" t="s">
        <v>26</v>
      </c>
      <c r="AB14" s="42" t="s">
        <v>27</v>
      </c>
      <c r="AC14" s="42" t="s">
        <v>28</v>
      </c>
      <c r="AD14" s="42" t="s">
        <v>29</v>
      </c>
      <c r="AE14" s="42" t="s">
        <v>30</v>
      </c>
      <c r="AF14" s="42" t="s">
        <v>31</v>
      </c>
      <c r="AG14" s="42" t="s">
        <v>32</v>
      </c>
      <c r="AH14" s="42" t="s">
        <v>33</v>
      </c>
      <c r="AI14" s="42" t="s">
        <v>34</v>
      </c>
      <c r="AJ14" s="42" t="s">
        <v>35</v>
      </c>
      <c r="AK14" s="42" t="s">
        <v>36</v>
      </c>
      <c r="AL14" s="42" t="s">
        <v>37</v>
      </c>
      <c r="AM14" s="42" t="s">
        <v>38</v>
      </c>
      <c r="AN14" s="42" t="s">
        <v>39</v>
      </c>
      <c r="AO14" s="42" t="s">
        <v>40</v>
      </c>
      <c r="AP14" s="42" t="s">
        <v>41</v>
      </c>
      <c r="AQ14" s="42" t="s">
        <v>42</v>
      </c>
      <c r="AR14" s="42" t="s">
        <v>43</v>
      </c>
      <c r="AS14" s="42" t="s">
        <v>44</v>
      </c>
      <c r="AT14" s="42" t="s">
        <v>45</v>
      </c>
      <c r="AU14" s="42" t="s">
        <v>46</v>
      </c>
      <c r="AV14" s="42" t="s">
        <v>47</v>
      </c>
      <c r="AW14" s="42" t="s">
        <v>48</v>
      </c>
      <c r="AX14" s="42" t="s">
        <v>49</v>
      </c>
      <c r="AY14" s="42" t="s">
        <v>50</v>
      </c>
      <c r="AZ14" s="42" t="s">
        <v>51</v>
      </c>
      <c r="BA14" s="42" t="s">
        <v>52</v>
      </c>
      <c r="BB14" s="42" t="s">
        <v>53</v>
      </c>
      <c r="BC14" s="42" t="s">
        <v>54</v>
      </c>
      <c r="BD14" s="42" t="s">
        <v>55</v>
      </c>
      <c r="BE14" s="42" t="s">
        <v>56</v>
      </c>
      <c r="BF14" s="42" t="s">
        <v>57</v>
      </c>
      <c r="BG14" s="42" t="s">
        <v>58</v>
      </c>
      <c r="BH14" s="42" t="s">
        <v>59</v>
      </c>
      <c r="BI14" s="42" t="s">
        <v>60</v>
      </c>
      <c r="BJ14" s="42" t="s">
        <v>61</v>
      </c>
      <c r="BK14" s="42" t="s">
        <v>62</v>
      </c>
      <c r="BL14" s="42" t="s">
        <v>63</v>
      </c>
      <c r="BM14" s="42" t="s">
        <v>64</v>
      </c>
      <c r="BN14" s="42" t="s">
        <v>65</v>
      </c>
      <c r="BO14" s="42" t="s">
        <v>66</v>
      </c>
      <c r="BP14" s="42" t="s">
        <v>67</v>
      </c>
      <c r="BQ14" s="42" t="s">
        <v>68</v>
      </c>
      <c r="BR14" s="42" t="s">
        <v>69</v>
      </c>
      <c r="BS14" s="42" t="s">
        <v>70</v>
      </c>
      <c r="BT14" s="42" t="s">
        <v>71</v>
      </c>
      <c r="BU14" s="42" t="s">
        <v>72</v>
      </c>
      <c r="BV14" s="42" t="s">
        <v>73</v>
      </c>
      <c r="BW14" s="42" t="s">
        <v>74</v>
      </c>
      <c r="BX14" s="42" t="s">
        <v>75</v>
      </c>
      <c r="BY14" s="42" t="s">
        <v>76</v>
      </c>
      <c r="BZ14" s="42" t="s">
        <v>77</v>
      </c>
      <c r="CA14" s="42" t="s">
        <v>78</v>
      </c>
      <c r="CB14" s="42" t="s">
        <v>79</v>
      </c>
      <c r="CC14" s="42" t="s">
        <v>80</v>
      </c>
      <c r="CD14" s="42" t="s">
        <v>81</v>
      </c>
      <c r="CE14" s="42" t="s">
        <v>82</v>
      </c>
      <c r="CF14" s="42" t="s">
        <v>83</v>
      </c>
      <c r="CG14" s="42" t="s">
        <v>84</v>
      </c>
      <c r="CH14" s="42" t="s">
        <v>85</v>
      </c>
      <c r="CI14" s="42" t="s">
        <v>86</v>
      </c>
      <c r="CJ14" s="42" t="s">
        <v>87</v>
      </c>
      <c r="CK14" s="42" t="s">
        <v>88</v>
      </c>
      <c r="CL14" s="42" t="s">
        <v>89</v>
      </c>
      <c r="CM14" s="42" t="s">
        <v>90</v>
      </c>
      <c r="CN14" s="42" t="s">
        <v>91</v>
      </c>
      <c r="CO14" s="42" t="s">
        <v>92</v>
      </c>
      <c r="CP14" s="42" t="s">
        <v>93</v>
      </c>
      <c r="CQ14" s="42" t="s">
        <v>94</v>
      </c>
      <c r="CR14" s="42" t="s">
        <v>95</v>
      </c>
      <c r="CS14" s="42" t="s">
        <v>96</v>
      </c>
      <c r="CT14" s="42" t="s">
        <v>97</v>
      </c>
      <c r="CU14" s="42" t="s">
        <v>98</v>
      </c>
      <c r="CV14" s="42" t="s">
        <v>99</v>
      </c>
      <c r="CW14" s="42" t="s">
        <v>100</v>
      </c>
      <c r="CX14" s="42" t="s">
        <v>101</v>
      </c>
      <c r="CY14" s="42" t="s">
        <v>102</v>
      </c>
      <c r="CZ14" s="42" t="s">
        <v>103</v>
      </c>
      <c r="DA14" s="42" t="s">
        <v>104</v>
      </c>
      <c r="DB14" s="42" t="s">
        <v>105</v>
      </c>
      <c r="DC14" s="42" t="s">
        <v>106</v>
      </c>
      <c r="DD14" s="42" t="s">
        <v>107</v>
      </c>
      <c r="DE14" s="42" t="s">
        <v>108</v>
      </c>
      <c r="DF14" s="42" t="s">
        <v>109</v>
      </c>
      <c r="DG14" s="42" t="s">
        <v>110</v>
      </c>
      <c r="DH14" s="42" t="s">
        <v>111</v>
      </c>
      <c r="DI14" s="42" t="s">
        <v>112</v>
      </c>
      <c r="DJ14" s="42" t="s">
        <v>113</v>
      </c>
      <c r="DK14" s="42" t="s">
        <v>114</v>
      </c>
      <c r="DL14" s="42" t="s">
        <v>115</v>
      </c>
      <c r="DM14" s="42" t="s">
        <v>116</v>
      </c>
      <c r="DN14" s="42" t="s">
        <v>117</v>
      </c>
      <c r="DO14" s="42" t="s">
        <v>118</v>
      </c>
      <c r="DP14" s="42" t="s">
        <v>119</v>
      </c>
      <c r="DQ14" s="42" t="s">
        <v>120</v>
      </c>
      <c r="DR14" s="42" t="s">
        <v>121</v>
      </c>
      <c r="DS14" s="42" t="s">
        <v>122</v>
      </c>
      <c r="DT14" s="42" t="s">
        <v>123</v>
      </c>
      <c r="DU14" s="42" t="s">
        <v>124</v>
      </c>
      <c r="DV14" s="42" t="s">
        <v>125</v>
      </c>
      <c r="DW14" s="42" t="s">
        <v>126</v>
      </c>
      <c r="DX14" s="42" t="s">
        <v>127</v>
      </c>
      <c r="DY14" s="42" t="s">
        <v>128</v>
      </c>
      <c r="DZ14" s="42" t="s">
        <v>129</v>
      </c>
      <c r="EA14" s="42" t="s">
        <v>130</v>
      </c>
      <c r="EB14" s="42" t="s">
        <v>131</v>
      </c>
      <c r="EC14" s="42" t="s">
        <v>132</v>
      </c>
      <c r="ED14" s="43" t="s">
        <v>133</v>
      </c>
      <c r="EE14" s="44" t="s">
        <v>134</v>
      </c>
      <c r="EF14" s="42" t="s">
        <v>135</v>
      </c>
    </row>
    <row r="15" spans="1:136" ht="16">
      <c r="A15" s="41"/>
      <c r="B15" s="39" t="s">
        <v>136</v>
      </c>
      <c r="C15" s="45">
        <f t="shared" ref="C15:AH15" si="0">(C3-C9)^2</f>
        <v>1.2385594141581032E-3</v>
      </c>
      <c r="D15" s="45">
        <f t="shared" si="0"/>
        <v>3.7281222756478842E-3</v>
      </c>
      <c r="E15" s="45">
        <f t="shared" si="0"/>
        <v>8.0406807429591783E-3</v>
      </c>
      <c r="F15" s="45">
        <f t="shared" si="0"/>
        <v>4.4053206011180415E-3</v>
      </c>
      <c r="G15" s="45">
        <f t="shared" si="0"/>
        <v>3.1972434460452127E-3</v>
      </c>
      <c r="H15" s="45">
        <f t="shared" si="0"/>
        <v>2.0503065307255359E-4</v>
      </c>
      <c r="I15" s="45">
        <f t="shared" si="0"/>
        <v>8.6275546423810121E-3</v>
      </c>
      <c r="J15" s="45">
        <f t="shared" si="0"/>
        <v>2.6234874017114309E-3</v>
      </c>
      <c r="K15" s="45">
        <f t="shared" si="0"/>
        <v>3.2834914406621596E-4</v>
      </c>
      <c r="L15" s="45">
        <f t="shared" si="0"/>
        <v>3.3315508594501738E-3</v>
      </c>
      <c r="M15" s="45">
        <f t="shared" si="0"/>
        <v>7.3000257394949201E-3</v>
      </c>
      <c r="N15" s="45">
        <f t="shared" si="0"/>
        <v>1.0664121725605321E-2</v>
      </c>
      <c r="O15" s="45">
        <f t="shared" si="0"/>
        <v>2.7192955401892081E-3</v>
      </c>
      <c r="P15" s="45">
        <f t="shared" si="0"/>
        <v>4.3754761567133833E-3</v>
      </c>
      <c r="Q15" s="45">
        <f t="shared" si="0"/>
        <v>1.2272969337346199E-2</v>
      </c>
      <c r="R15" s="45">
        <f t="shared" si="0"/>
        <v>7.9049132075751257E-6</v>
      </c>
      <c r="S15" s="45">
        <f t="shared" si="0"/>
        <v>8.3063038924861554E-3</v>
      </c>
      <c r="T15" s="45">
        <f t="shared" si="0"/>
        <v>3.1410923666409095E-2</v>
      </c>
      <c r="U15" s="45">
        <f t="shared" si="0"/>
        <v>5.7587617791534053E-3</v>
      </c>
      <c r="V15" s="45">
        <f t="shared" si="0"/>
        <v>7.5151943897773564E-3</v>
      </c>
      <c r="W15" s="45">
        <f t="shared" si="0"/>
        <v>6.693785960939563E-4</v>
      </c>
      <c r="X15" s="45">
        <f t="shared" si="0"/>
        <v>8.1253885303209528E-3</v>
      </c>
      <c r="Y15" s="45">
        <f t="shared" si="0"/>
        <v>3.4282488611776046E-2</v>
      </c>
      <c r="Z15" s="45">
        <f t="shared" si="0"/>
        <v>3.1955793297116362E-2</v>
      </c>
      <c r="AA15" s="45">
        <f t="shared" si="0"/>
        <v>2.2703605759131204E-2</v>
      </c>
      <c r="AB15" s="45">
        <f t="shared" si="0"/>
        <v>1.9816489597109508E-4</v>
      </c>
      <c r="AC15" s="45">
        <f t="shared" si="0"/>
        <v>2.0238107491535604E-3</v>
      </c>
      <c r="AD15" s="45">
        <f t="shared" si="0"/>
        <v>4.4943009565716569E-4</v>
      </c>
      <c r="AE15" s="45">
        <f t="shared" si="0"/>
        <v>5.3103117934755625E-2</v>
      </c>
      <c r="AF15" s="45">
        <f t="shared" si="0"/>
        <v>2.5606664057416668E-4</v>
      </c>
      <c r="AG15" s="45">
        <f t="shared" si="0"/>
        <v>5.5334125450760751E-3</v>
      </c>
      <c r="AH15" s="45">
        <f t="shared" si="0"/>
        <v>9.6725183766810351E-3</v>
      </c>
      <c r="AI15" s="45">
        <f t="shared" ref="AI15:BN15" si="1">(AI3-AI9)^2</f>
        <v>2.0533895082508845E-5</v>
      </c>
      <c r="AJ15" s="45">
        <f t="shared" si="1"/>
        <v>1.235257305314363E-4</v>
      </c>
      <c r="AK15" s="45">
        <f t="shared" si="1"/>
        <v>1.0784738066797877E-2</v>
      </c>
      <c r="AL15" s="45">
        <f t="shared" si="1"/>
        <v>1.7888216357839061E-4</v>
      </c>
      <c r="AM15" s="45">
        <f t="shared" si="1"/>
        <v>6.0930654248797945E-3</v>
      </c>
      <c r="AN15" s="45">
        <f t="shared" si="1"/>
        <v>1.2454663531630824E-2</v>
      </c>
      <c r="AO15" s="45">
        <f t="shared" si="1"/>
        <v>1.6544321869804003E-3</v>
      </c>
      <c r="AP15" s="45">
        <f t="shared" si="1"/>
        <v>3.0247686079866165E-2</v>
      </c>
      <c r="AQ15" s="45">
        <f t="shared" si="1"/>
        <v>5.807969432128266E-3</v>
      </c>
      <c r="AR15" s="45">
        <f t="shared" si="1"/>
        <v>1.4244847769431274E-3</v>
      </c>
      <c r="AS15" s="45">
        <f t="shared" si="1"/>
        <v>3.9833298180089963E-4</v>
      </c>
      <c r="AT15" s="45">
        <f t="shared" si="1"/>
        <v>3.9807800216922965E-4</v>
      </c>
      <c r="AU15" s="45">
        <f t="shared" si="1"/>
        <v>1.932537984930765E-5</v>
      </c>
      <c r="AV15" s="45">
        <f t="shared" si="1"/>
        <v>1.6769183823580044E-2</v>
      </c>
      <c r="AW15" s="45">
        <f t="shared" si="1"/>
        <v>4.9605879655333768E-4</v>
      </c>
      <c r="AX15" s="45">
        <f t="shared" si="1"/>
        <v>3.2530265516362254E-2</v>
      </c>
      <c r="AY15" s="45">
        <f t="shared" si="1"/>
        <v>4.0863322346585844E-4</v>
      </c>
      <c r="AZ15" s="45">
        <f t="shared" si="1"/>
        <v>4.4204745758024272E-3</v>
      </c>
      <c r="BA15" s="45">
        <f t="shared" si="1"/>
        <v>2.5799204560018993E-3</v>
      </c>
      <c r="BB15" s="45">
        <f t="shared" si="1"/>
        <v>1.2790727377010491E-3</v>
      </c>
      <c r="BC15" s="45">
        <f t="shared" si="1"/>
        <v>5.0095410852559635E-4</v>
      </c>
      <c r="BD15" s="45">
        <f t="shared" si="1"/>
        <v>1.7315169885227669E-3</v>
      </c>
      <c r="BE15" s="45">
        <f t="shared" si="1"/>
        <v>2.3499271786664493E-4</v>
      </c>
      <c r="BF15" s="45">
        <f t="shared" si="1"/>
        <v>1.0832853556614987E-2</v>
      </c>
      <c r="BG15" s="45">
        <f t="shared" si="1"/>
        <v>3.3018118613890098E-2</v>
      </c>
      <c r="BH15" s="45">
        <f t="shared" si="1"/>
        <v>6.0306010099136901E-5</v>
      </c>
      <c r="BI15" s="45">
        <f t="shared" si="1"/>
        <v>1.9389613388186094E-2</v>
      </c>
      <c r="BJ15" s="45">
        <f t="shared" si="1"/>
        <v>1.7225181873399456E-4</v>
      </c>
      <c r="BK15" s="45">
        <f t="shared" si="1"/>
        <v>1.966312442440632E-2</v>
      </c>
      <c r="BL15" s="45">
        <f t="shared" si="1"/>
        <v>1.7401656344395232E-3</v>
      </c>
      <c r="BM15" s="45">
        <f t="shared" si="1"/>
        <v>5.6220961958055168E-3</v>
      </c>
      <c r="BN15" s="45">
        <f t="shared" si="1"/>
        <v>1.7545845429420303E-3</v>
      </c>
      <c r="BO15" s="45">
        <f t="shared" ref="BO15:CT15" si="2">(BO3-BO9)^2</f>
        <v>1.5376469205088332E-2</v>
      </c>
      <c r="BP15" s="45">
        <f t="shared" si="2"/>
        <v>3.4190769084546662E-3</v>
      </c>
      <c r="BQ15" s="45">
        <f t="shared" si="2"/>
        <v>2.7752844637805472E-4</v>
      </c>
      <c r="BR15" s="45">
        <f t="shared" si="2"/>
        <v>2.2164128108981629E-3</v>
      </c>
      <c r="BS15" s="45">
        <f t="shared" si="2"/>
        <v>4.3306692180917133E-4</v>
      </c>
      <c r="BT15" s="45">
        <f t="shared" si="2"/>
        <v>1.5465135317592128E-5</v>
      </c>
      <c r="BU15" s="45">
        <f t="shared" si="2"/>
        <v>8.8045931358944076E-4</v>
      </c>
      <c r="BV15" s="45">
        <f t="shared" si="2"/>
        <v>1.5182365032963884E-3</v>
      </c>
      <c r="BW15" s="45">
        <f t="shared" si="2"/>
        <v>3.0901175315605025E-3</v>
      </c>
      <c r="BX15" s="45">
        <f t="shared" si="2"/>
        <v>7.7780628089251338E-4</v>
      </c>
      <c r="BY15" s="45">
        <f t="shared" si="2"/>
        <v>5.2755567483057791E-3</v>
      </c>
      <c r="BZ15" s="45">
        <f t="shared" si="2"/>
        <v>3.6295651967849876E-3</v>
      </c>
      <c r="CA15" s="45">
        <f t="shared" si="2"/>
        <v>2.160500573796411E-2</v>
      </c>
      <c r="CB15" s="45">
        <f t="shared" si="2"/>
        <v>2.6593877737538713E-5</v>
      </c>
      <c r="CC15" s="45">
        <f t="shared" si="2"/>
        <v>5.1124362786242935E-3</v>
      </c>
      <c r="CD15" s="45">
        <f t="shared" si="2"/>
        <v>1.8482497511440821E-2</v>
      </c>
      <c r="CE15" s="45">
        <f t="shared" si="2"/>
        <v>6.7607706519400566E-5</v>
      </c>
      <c r="CF15" s="45">
        <f t="shared" si="2"/>
        <v>2.8772829964760598E-3</v>
      </c>
      <c r="CG15" s="45">
        <f t="shared" si="2"/>
        <v>3.0099543653136556E-3</v>
      </c>
      <c r="CH15" s="45">
        <f t="shared" si="2"/>
        <v>3.4261375706173908E-2</v>
      </c>
      <c r="CI15" s="45">
        <f t="shared" si="2"/>
        <v>1.2997832609148035E-2</v>
      </c>
      <c r="CJ15" s="45">
        <f t="shared" si="2"/>
        <v>2.8787900431222662E-3</v>
      </c>
      <c r="CK15" s="45">
        <f t="shared" si="2"/>
        <v>1.6099405646299449E-4</v>
      </c>
      <c r="CL15" s="45">
        <f t="shared" si="2"/>
        <v>4.9046661894377806E-2</v>
      </c>
      <c r="CM15" s="45">
        <f t="shared" si="2"/>
        <v>3.5285270446178654E-3</v>
      </c>
      <c r="CN15" s="45">
        <f t="shared" si="2"/>
        <v>2.8550520813257213E-4</v>
      </c>
      <c r="CO15" s="45">
        <f t="shared" si="2"/>
        <v>5.0283828239840456E-3</v>
      </c>
      <c r="CP15" s="45">
        <f t="shared" si="2"/>
        <v>8.6604384813553179E-3</v>
      </c>
      <c r="CQ15" s="45">
        <f t="shared" si="2"/>
        <v>7.0948070242718249E-3</v>
      </c>
      <c r="CR15" s="45">
        <f t="shared" si="2"/>
        <v>4.1546636028598699E-3</v>
      </c>
      <c r="CS15" s="45">
        <f t="shared" si="2"/>
        <v>6.6125182984044951E-3</v>
      </c>
      <c r="CT15" s="45">
        <f t="shared" si="2"/>
        <v>2.588451480437956E-4</v>
      </c>
      <c r="CU15" s="45">
        <f t="shared" ref="CU15:DZ15" si="3">(CU3-CU9)^2</f>
        <v>5.2475141729292612E-3</v>
      </c>
      <c r="CV15" s="45">
        <f t="shared" si="3"/>
        <v>2.8826050212653002E-3</v>
      </c>
      <c r="CW15" s="45">
        <f t="shared" si="3"/>
        <v>2.4587254268213605E-5</v>
      </c>
      <c r="CX15" s="45">
        <f t="shared" si="3"/>
        <v>7.5742506438264126E-3</v>
      </c>
      <c r="CY15" s="45">
        <f t="shared" si="3"/>
        <v>5.5670981334846421E-3</v>
      </c>
      <c r="CZ15" s="45">
        <f t="shared" si="3"/>
        <v>3.0903789374560325E-2</v>
      </c>
      <c r="DA15" s="45">
        <f t="shared" si="3"/>
        <v>1.0403417748894786E-2</v>
      </c>
      <c r="DB15" s="45">
        <f t="shared" si="3"/>
        <v>8.8895278465619639E-4</v>
      </c>
      <c r="DC15" s="45">
        <f t="shared" si="3"/>
        <v>3.8406638092180318E-3</v>
      </c>
      <c r="DD15" s="45">
        <f t="shared" si="3"/>
        <v>6.8743939078458058E-3</v>
      </c>
      <c r="DE15" s="45">
        <f t="shared" si="3"/>
        <v>2.9050611564433249E-3</v>
      </c>
      <c r="DF15" s="45">
        <f t="shared" si="3"/>
        <v>1.9237529262472115E-3</v>
      </c>
      <c r="DG15" s="45">
        <f t="shared" si="3"/>
        <v>1.354575225919012E-2</v>
      </c>
      <c r="DH15" s="45">
        <f t="shared" si="3"/>
        <v>5.0960226855007356E-3</v>
      </c>
      <c r="DI15" s="45">
        <f t="shared" si="3"/>
        <v>2.2462726972102998E-2</v>
      </c>
      <c r="DJ15" s="45">
        <f t="shared" si="3"/>
        <v>5.9845436942935896E-4</v>
      </c>
      <c r="DK15" s="45">
        <f t="shared" si="3"/>
        <v>1.9188718125744606E-2</v>
      </c>
      <c r="DL15" s="45">
        <f t="shared" si="3"/>
        <v>4.4086979811457046E-4</v>
      </c>
      <c r="DM15" s="45">
        <f t="shared" si="3"/>
        <v>7.2998849146640298E-3</v>
      </c>
      <c r="DN15" s="45">
        <f t="shared" si="3"/>
        <v>4.0128510081384721E-3</v>
      </c>
      <c r="DO15" s="45">
        <f t="shared" si="3"/>
        <v>5.1775826659246635E-3</v>
      </c>
      <c r="DP15" s="45">
        <f t="shared" si="3"/>
        <v>1.3786904600662652E-3</v>
      </c>
      <c r="DQ15" s="45">
        <f t="shared" si="3"/>
        <v>2.2135551776549561E-2</v>
      </c>
      <c r="DR15" s="45">
        <f t="shared" si="3"/>
        <v>2.0378111600683453E-3</v>
      </c>
      <c r="DS15" s="45">
        <f t="shared" si="3"/>
        <v>1.435114408463138E-2</v>
      </c>
      <c r="DT15" s="45">
        <f t="shared" si="3"/>
        <v>1.6355635203066349E-2</v>
      </c>
      <c r="DU15" s="45">
        <f t="shared" si="3"/>
        <v>3.5398393931537178E-3</v>
      </c>
      <c r="DV15" s="45">
        <f t="shared" si="3"/>
        <v>7.6481700856826521E-3</v>
      </c>
      <c r="DW15" s="45">
        <f t="shared" si="3"/>
        <v>3.8337927770347754E-3</v>
      </c>
      <c r="DX15" s="45">
        <f t="shared" si="3"/>
        <v>2.3114127111334686E-2</v>
      </c>
      <c r="DY15" s="45">
        <f t="shared" si="3"/>
        <v>1.7613158362536484E-2</v>
      </c>
      <c r="DZ15" s="45">
        <f t="shared" si="3"/>
        <v>4.3245794287580467E-3</v>
      </c>
      <c r="EA15" s="45">
        <f t="shared" ref="EA15:EF15" si="4">(EA3-EA9)^2</f>
        <v>1.278584824182533E-2</v>
      </c>
      <c r="EB15" s="45">
        <f t="shared" si="4"/>
        <v>1.7190392879363269E-7</v>
      </c>
      <c r="EC15" s="45">
        <f t="shared" si="4"/>
        <v>1.431263177288384E-3</v>
      </c>
      <c r="ED15" s="45">
        <f t="shared" si="4"/>
        <v>3.9032880622041084E-2</v>
      </c>
      <c r="EE15" s="45">
        <f t="shared" si="4"/>
        <v>9.9893293396645247E-4</v>
      </c>
      <c r="EF15" s="45">
        <f t="shared" si="4"/>
        <v>5.0950637684907679E-3</v>
      </c>
    </row>
    <row r="16" spans="1:136" ht="16">
      <c r="A16" s="41"/>
      <c r="B16" s="39" t="s">
        <v>137</v>
      </c>
      <c r="C16" s="45">
        <f t="shared" ref="C16:AH16" si="5">(C4-C10)^2</f>
        <v>6.6855334197398447E-2</v>
      </c>
      <c r="D16" s="45">
        <f t="shared" si="5"/>
        <v>5.1300993235807418E-2</v>
      </c>
      <c r="E16" s="45">
        <f t="shared" si="5"/>
        <v>2.8102045552614849E-2</v>
      </c>
      <c r="F16" s="45">
        <f t="shared" si="5"/>
        <v>2.4361402320073123E-4</v>
      </c>
      <c r="G16" s="45">
        <f t="shared" si="5"/>
        <v>9.9365401469144864E-3</v>
      </c>
      <c r="H16" s="45">
        <f t="shared" si="5"/>
        <v>1.3034714097666534E-2</v>
      </c>
      <c r="I16" s="45">
        <f t="shared" si="5"/>
        <v>1.833675661078676E-4</v>
      </c>
      <c r="J16" s="45">
        <f t="shared" si="5"/>
        <v>1.1871086266415259E-2</v>
      </c>
      <c r="K16" s="45">
        <f t="shared" si="5"/>
        <v>8.2210832731961027E-8</v>
      </c>
      <c r="L16" s="45">
        <f t="shared" si="5"/>
        <v>1.6447966799529441E-2</v>
      </c>
      <c r="M16" s="45">
        <f t="shared" si="5"/>
        <v>1.6047405669500742E-3</v>
      </c>
      <c r="N16" s="45">
        <f t="shared" si="5"/>
        <v>6.4636438357641685E-2</v>
      </c>
      <c r="O16" s="45">
        <f t="shared" si="5"/>
        <v>4.040070060421802E-6</v>
      </c>
      <c r="P16" s="45">
        <f t="shared" si="5"/>
        <v>1.3806436099663325E-2</v>
      </c>
      <c r="Q16" s="45">
        <f t="shared" si="5"/>
        <v>9.2397285138474846E-5</v>
      </c>
      <c r="R16" s="45">
        <f t="shared" si="5"/>
        <v>3.1411669673791728E-3</v>
      </c>
      <c r="S16" s="45">
        <f t="shared" si="5"/>
        <v>1.5947415826909533E-2</v>
      </c>
      <c r="T16" s="45">
        <f t="shared" si="5"/>
        <v>6.4915117216721363E-3</v>
      </c>
      <c r="U16" s="45">
        <f t="shared" si="5"/>
        <v>4.6532325775764539E-3</v>
      </c>
      <c r="V16" s="45">
        <f t="shared" si="5"/>
        <v>6.9780271183641713E-3</v>
      </c>
      <c r="W16" s="45">
        <f t="shared" si="5"/>
        <v>1.3368974906409743E-2</v>
      </c>
      <c r="X16" s="45">
        <f t="shared" si="5"/>
        <v>2.1469912924152731E-2</v>
      </c>
      <c r="Y16" s="45">
        <f t="shared" si="5"/>
        <v>2.7830855400655021E-3</v>
      </c>
      <c r="Z16" s="45">
        <f t="shared" si="5"/>
        <v>9.3453847597341219E-5</v>
      </c>
      <c r="AA16" s="45">
        <f t="shared" si="5"/>
        <v>1.1092277826469124E-5</v>
      </c>
      <c r="AB16" s="45">
        <f t="shared" si="5"/>
        <v>3.3139606316029244E-3</v>
      </c>
      <c r="AC16" s="45">
        <f t="shared" si="5"/>
        <v>1.4736742856860908E-3</v>
      </c>
      <c r="AD16" s="45">
        <f t="shared" si="5"/>
        <v>1.096160684574023E-3</v>
      </c>
      <c r="AE16" s="45">
        <f t="shared" si="5"/>
        <v>3.3432266536562172E-2</v>
      </c>
      <c r="AF16" s="45">
        <f t="shared" si="5"/>
        <v>3.1913996315793649E-3</v>
      </c>
      <c r="AG16" s="45">
        <f t="shared" si="5"/>
        <v>6.5572293092259774E-5</v>
      </c>
      <c r="AH16" s="45">
        <f t="shared" si="5"/>
        <v>3.9051167716784769E-3</v>
      </c>
      <c r="AI16" s="45">
        <f t="shared" ref="AI16:BN16" si="6">(AI4-AI10)^2</f>
        <v>6.2463159624023459E-3</v>
      </c>
      <c r="AJ16" s="45">
        <f t="shared" si="6"/>
        <v>1.578159444180608E-4</v>
      </c>
      <c r="AK16" s="45">
        <f t="shared" si="6"/>
        <v>8.7712007370745696E-3</v>
      </c>
      <c r="AL16" s="45">
        <f t="shared" si="6"/>
        <v>2.6701917394587844E-2</v>
      </c>
      <c r="AM16" s="45">
        <f t="shared" si="6"/>
        <v>2.5851270130278225E-4</v>
      </c>
      <c r="AN16" s="45">
        <f t="shared" si="6"/>
        <v>7.1272406729061318E-3</v>
      </c>
      <c r="AO16" s="45">
        <f t="shared" si="6"/>
        <v>3.9245584534424918E-3</v>
      </c>
      <c r="AP16" s="45">
        <f t="shared" si="6"/>
        <v>8.9923939118557289E-4</v>
      </c>
      <c r="AQ16" s="45">
        <f t="shared" si="6"/>
        <v>2.5024105607379453E-3</v>
      </c>
      <c r="AR16" s="45">
        <f t="shared" si="6"/>
        <v>7.3762278664178046E-3</v>
      </c>
      <c r="AS16" s="45">
        <f t="shared" si="6"/>
        <v>1.7747209431327651E-3</v>
      </c>
      <c r="AT16" s="45">
        <f t="shared" si="6"/>
        <v>1.327656911466813E-3</v>
      </c>
      <c r="AU16" s="45">
        <f t="shared" si="6"/>
        <v>1.5588991094108974E-2</v>
      </c>
      <c r="AV16" s="45">
        <f t="shared" si="6"/>
        <v>2.0638194869962989E-3</v>
      </c>
      <c r="AW16" s="45">
        <f t="shared" si="6"/>
        <v>3.3487819888029435E-3</v>
      </c>
      <c r="AX16" s="45">
        <f t="shared" si="6"/>
        <v>9.3849554336937892E-4</v>
      </c>
      <c r="AY16" s="45">
        <f t="shared" si="6"/>
        <v>4.0265923239087287E-3</v>
      </c>
      <c r="AZ16" s="45">
        <f t="shared" si="6"/>
        <v>2.5624936869312474E-2</v>
      </c>
      <c r="BA16" s="45">
        <f t="shared" si="6"/>
        <v>1.1218804512584498E-2</v>
      </c>
      <c r="BB16" s="45">
        <f t="shared" si="6"/>
        <v>7.9620828859360421E-3</v>
      </c>
      <c r="BC16" s="45">
        <f t="shared" si="6"/>
        <v>1.043039603905109E-4</v>
      </c>
      <c r="BD16" s="45">
        <f t="shared" si="6"/>
        <v>7.8274346440816416E-3</v>
      </c>
      <c r="BE16" s="45">
        <f t="shared" si="6"/>
        <v>3.635789574720269E-2</v>
      </c>
      <c r="BF16" s="45">
        <f t="shared" si="6"/>
        <v>6.1731598312543632E-3</v>
      </c>
      <c r="BG16" s="45">
        <f t="shared" si="6"/>
        <v>1.9646321299847551E-4</v>
      </c>
      <c r="BH16" s="45">
        <f t="shared" si="6"/>
        <v>1.7237270983384349E-4</v>
      </c>
      <c r="BI16" s="45">
        <f t="shared" si="6"/>
        <v>2.5269019485038981E-3</v>
      </c>
      <c r="BJ16" s="45">
        <f t="shared" si="6"/>
        <v>4.9788106649341825E-3</v>
      </c>
      <c r="BK16" s="45">
        <f t="shared" si="6"/>
        <v>1.7417937825700155E-2</v>
      </c>
      <c r="BL16" s="45">
        <f t="shared" si="6"/>
        <v>5.0174607078662947E-3</v>
      </c>
      <c r="BM16" s="45">
        <f t="shared" si="6"/>
        <v>1.6635745254837634E-3</v>
      </c>
      <c r="BN16" s="45">
        <f t="shared" si="6"/>
        <v>3.449981004604033E-2</v>
      </c>
      <c r="BO16" s="45">
        <f t="shared" ref="BO16:CT16" si="7">(BO4-BO10)^2</f>
        <v>2.1621085534932505E-4</v>
      </c>
      <c r="BP16" s="45">
        <f t="shared" si="7"/>
        <v>1.0412090372326557E-2</v>
      </c>
      <c r="BQ16" s="45">
        <f t="shared" si="7"/>
        <v>1.7936567594875909E-3</v>
      </c>
      <c r="BR16" s="45">
        <f t="shared" si="7"/>
        <v>2.2213147753659323E-3</v>
      </c>
      <c r="BS16" s="45">
        <f t="shared" si="7"/>
        <v>6.1285383174166025E-4</v>
      </c>
      <c r="BT16" s="45">
        <f t="shared" si="7"/>
        <v>2.3712442094644677E-3</v>
      </c>
      <c r="BU16" s="45">
        <f t="shared" si="7"/>
        <v>8.8416404264909307E-3</v>
      </c>
      <c r="BV16" s="45">
        <f t="shared" si="7"/>
        <v>1.3101289230136118E-3</v>
      </c>
      <c r="BW16" s="45">
        <f t="shared" si="7"/>
        <v>2.5507494979039473E-2</v>
      </c>
      <c r="BX16" s="45">
        <f t="shared" si="7"/>
        <v>2.5729836930125902E-2</v>
      </c>
      <c r="BY16" s="45">
        <f t="shared" si="7"/>
        <v>2.6459059684698163E-2</v>
      </c>
      <c r="BZ16" s="45">
        <f t="shared" si="7"/>
        <v>1.0965183831788314E-3</v>
      </c>
      <c r="CA16" s="45">
        <f t="shared" si="7"/>
        <v>2.414292468867295E-3</v>
      </c>
      <c r="CB16" s="45">
        <f t="shared" si="7"/>
        <v>1.3225032001099391E-2</v>
      </c>
      <c r="CC16" s="45">
        <f t="shared" si="7"/>
        <v>9.3213708812791153E-4</v>
      </c>
      <c r="CD16" s="45">
        <f t="shared" si="7"/>
        <v>2.2231613782622652E-3</v>
      </c>
      <c r="CE16" s="45">
        <f t="shared" si="7"/>
        <v>3.5305606247999922E-2</v>
      </c>
      <c r="CF16" s="45">
        <f t="shared" si="7"/>
        <v>1.5575954005415951E-4</v>
      </c>
      <c r="CG16" s="45">
        <f t="shared" si="7"/>
        <v>3.6393391366208174E-4</v>
      </c>
      <c r="CH16" s="45">
        <f t="shared" si="7"/>
        <v>1.3249734739442991E-3</v>
      </c>
      <c r="CI16" s="45">
        <f t="shared" si="7"/>
        <v>1.1439356815386889E-2</v>
      </c>
      <c r="CJ16" s="45">
        <f t="shared" si="7"/>
        <v>8.9877197747930673E-4</v>
      </c>
      <c r="CK16" s="45">
        <f t="shared" si="7"/>
        <v>1.1951550294097337E-2</v>
      </c>
      <c r="CL16" s="45">
        <f t="shared" si="7"/>
        <v>1.8766838624436975E-3</v>
      </c>
      <c r="CM16" s="45">
        <f t="shared" si="7"/>
        <v>3.4919532343018193E-2</v>
      </c>
      <c r="CN16" s="45">
        <f t="shared" si="7"/>
        <v>8.0277484438457287E-3</v>
      </c>
      <c r="CO16" s="45">
        <f t="shared" si="7"/>
        <v>1.3185902137867921E-2</v>
      </c>
      <c r="CP16" s="45">
        <f t="shared" si="7"/>
        <v>7.9176695920978452E-3</v>
      </c>
      <c r="CQ16" s="45">
        <f t="shared" si="7"/>
        <v>3.6478946847223408E-2</v>
      </c>
      <c r="CR16" s="45">
        <f t="shared" si="7"/>
        <v>2.727755827176296E-2</v>
      </c>
      <c r="CS16" s="45">
        <f t="shared" si="7"/>
        <v>2.1998739180875975E-3</v>
      </c>
      <c r="CT16" s="45">
        <f t="shared" si="7"/>
        <v>1.8120263382006611E-2</v>
      </c>
      <c r="CU16" s="45">
        <f t="shared" ref="CU16:DZ16" si="8">(CU4-CU10)^2</f>
        <v>6.9723559219535963E-4</v>
      </c>
      <c r="CV16" s="45">
        <f t="shared" si="8"/>
        <v>3.0464016528578653E-4</v>
      </c>
      <c r="CW16" s="45">
        <f t="shared" si="8"/>
        <v>1.7836022608424919E-4</v>
      </c>
      <c r="CX16" s="45">
        <f t="shared" si="8"/>
        <v>1.7712048006771558E-3</v>
      </c>
      <c r="CY16" s="45">
        <f t="shared" si="8"/>
        <v>2.5649006448074007E-2</v>
      </c>
      <c r="CZ16" s="45">
        <f t="shared" si="8"/>
        <v>1.7363472870441488E-2</v>
      </c>
      <c r="DA16" s="45">
        <f t="shared" si="8"/>
        <v>6.6972312397692848E-3</v>
      </c>
      <c r="DB16" s="45">
        <f t="shared" si="8"/>
        <v>1.7428355228582142E-2</v>
      </c>
      <c r="DC16" s="45">
        <f t="shared" si="8"/>
        <v>1.2622696886818705E-4</v>
      </c>
      <c r="DD16" s="45">
        <f t="shared" si="8"/>
        <v>1.5703542728198017E-2</v>
      </c>
      <c r="DE16" s="45">
        <f t="shared" si="8"/>
        <v>1.1555953571620299E-3</v>
      </c>
      <c r="DF16" s="45">
        <f t="shared" si="8"/>
        <v>1.8909868453857996E-2</v>
      </c>
      <c r="DG16" s="45">
        <f t="shared" si="8"/>
        <v>2.6119504286205953E-2</v>
      </c>
      <c r="DH16" s="45">
        <f t="shared" si="8"/>
        <v>1.3478833178223786E-2</v>
      </c>
      <c r="DI16" s="45">
        <f t="shared" si="8"/>
        <v>8.0690419992806798E-3</v>
      </c>
      <c r="DJ16" s="45">
        <f t="shared" si="8"/>
        <v>5.1254040028173992E-3</v>
      </c>
      <c r="DK16" s="45">
        <f t="shared" si="8"/>
        <v>6.8119914345581125E-3</v>
      </c>
      <c r="DL16" s="45">
        <f t="shared" si="8"/>
        <v>1.2162444007223686E-7</v>
      </c>
      <c r="DM16" s="45">
        <f t="shared" si="8"/>
        <v>1.7113525765582262E-2</v>
      </c>
      <c r="DN16" s="45">
        <f t="shared" si="8"/>
        <v>1.3515130070799103E-4</v>
      </c>
      <c r="DO16" s="45">
        <f t="shared" si="8"/>
        <v>3.3260094618123973E-3</v>
      </c>
      <c r="DP16" s="45">
        <f t="shared" si="8"/>
        <v>9.2514686607826132E-3</v>
      </c>
      <c r="DQ16" s="45">
        <f t="shared" si="8"/>
        <v>5.8488586215948305E-3</v>
      </c>
      <c r="DR16" s="45">
        <f t="shared" si="8"/>
        <v>1.1658419668544424E-4</v>
      </c>
      <c r="DS16" s="45">
        <f t="shared" si="8"/>
        <v>8.3842436948122333E-3</v>
      </c>
      <c r="DT16" s="45">
        <f t="shared" si="8"/>
        <v>2.5652942583903786E-3</v>
      </c>
      <c r="DU16" s="45">
        <f t="shared" si="8"/>
        <v>1.2318284446052782E-2</v>
      </c>
      <c r="DV16" s="45">
        <f t="shared" si="8"/>
        <v>1.1950266663381969E-3</v>
      </c>
      <c r="DW16" s="45">
        <f t="shared" si="8"/>
        <v>5.9666698956133283E-3</v>
      </c>
      <c r="DX16" s="45">
        <f t="shared" si="8"/>
        <v>3.4535351792596698E-3</v>
      </c>
      <c r="DY16" s="45">
        <f t="shared" si="8"/>
        <v>2.2690678520313073E-2</v>
      </c>
      <c r="DZ16" s="45">
        <f t="shared" si="8"/>
        <v>1.9914675028139331E-3</v>
      </c>
      <c r="EA16" s="45">
        <f t="shared" ref="EA16:EF16" si="9">(EA4-EA10)^2</f>
        <v>6.15007058825753E-3</v>
      </c>
      <c r="EB16" s="45">
        <f t="shared" si="9"/>
        <v>5.2873705685475586E-4</v>
      </c>
      <c r="EC16" s="45">
        <f t="shared" si="9"/>
        <v>6.3579247223189963E-3</v>
      </c>
      <c r="ED16" s="45">
        <f t="shared" si="9"/>
        <v>3.4245401037442669E-3</v>
      </c>
      <c r="EE16" s="45">
        <f t="shared" si="9"/>
        <v>2.2636773884817519E-3</v>
      </c>
      <c r="EF16" s="45">
        <f t="shared" si="9"/>
        <v>7.4054504889075265E-2</v>
      </c>
    </row>
    <row r="17" spans="1:136" ht="16">
      <c r="A17" s="41"/>
      <c r="B17" s="39" t="s">
        <v>138</v>
      </c>
      <c r="C17" s="45">
        <f t="shared" ref="C17:AH17" si="10">(C5-C11)^2</f>
        <v>2.6834708837319937E-3</v>
      </c>
      <c r="D17" s="45">
        <f t="shared" si="10"/>
        <v>4.4894428738067706E-3</v>
      </c>
      <c r="E17" s="45">
        <f t="shared" si="10"/>
        <v>1.5291593308343422E-4</v>
      </c>
      <c r="F17" s="45">
        <f t="shared" si="10"/>
        <v>6.7874407990888563E-3</v>
      </c>
      <c r="G17" s="45">
        <f t="shared" si="10"/>
        <v>5.0331059862286165E-3</v>
      </c>
      <c r="H17" s="45">
        <f t="shared" si="10"/>
        <v>3.0091232754589576E-3</v>
      </c>
      <c r="I17" s="45">
        <f t="shared" si="10"/>
        <v>2.2983685371246324E-3</v>
      </c>
      <c r="J17" s="45">
        <f t="shared" si="10"/>
        <v>1.9979916656076078E-4</v>
      </c>
      <c r="K17" s="45">
        <f t="shared" si="10"/>
        <v>7.1282306408568192E-3</v>
      </c>
      <c r="L17" s="45">
        <f t="shared" si="10"/>
        <v>2.9741260761405373E-4</v>
      </c>
      <c r="M17" s="45">
        <f t="shared" si="10"/>
        <v>2.1621529513326508E-3</v>
      </c>
      <c r="N17" s="45">
        <f t="shared" si="10"/>
        <v>9.0259079175984463E-4</v>
      </c>
      <c r="O17" s="45">
        <f t="shared" si="10"/>
        <v>1.9409226801368167E-3</v>
      </c>
      <c r="P17" s="45">
        <f t="shared" si="10"/>
        <v>1.1807766291821376E-5</v>
      </c>
      <c r="Q17" s="45">
        <f t="shared" si="10"/>
        <v>2.6114564533679307E-4</v>
      </c>
      <c r="R17" s="45">
        <f t="shared" si="10"/>
        <v>1.0848201365970794E-6</v>
      </c>
      <c r="S17" s="45">
        <f t="shared" si="10"/>
        <v>7.9958306905496404E-6</v>
      </c>
      <c r="T17" s="45">
        <f t="shared" si="10"/>
        <v>1.6476285412824625E-2</v>
      </c>
      <c r="U17" s="45">
        <f t="shared" si="10"/>
        <v>5.4791949179995396E-4</v>
      </c>
      <c r="V17" s="45">
        <f t="shared" si="10"/>
        <v>1.1275984099581482E-5</v>
      </c>
      <c r="W17" s="45">
        <f t="shared" si="10"/>
        <v>9.6573975063694601E-3</v>
      </c>
      <c r="X17" s="45">
        <f t="shared" si="10"/>
        <v>8.4190722200935722E-2</v>
      </c>
      <c r="Y17" s="45">
        <f t="shared" si="10"/>
        <v>9.5593239310936863E-3</v>
      </c>
      <c r="Z17" s="45">
        <f t="shared" si="10"/>
        <v>3.1040435240638709E-2</v>
      </c>
      <c r="AA17" s="45">
        <f t="shared" si="10"/>
        <v>1.171928939075249E-2</v>
      </c>
      <c r="AB17" s="45">
        <f t="shared" si="10"/>
        <v>5.6686531054030922E-5</v>
      </c>
      <c r="AC17" s="45">
        <f t="shared" si="10"/>
        <v>3.6806484834461207E-3</v>
      </c>
      <c r="AD17" s="45">
        <f t="shared" si="10"/>
        <v>2.3680677588475886E-4</v>
      </c>
      <c r="AE17" s="45">
        <f t="shared" si="10"/>
        <v>4.3407454450361281E-2</v>
      </c>
      <c r="AF17" s="45">
        <f t="shared" si="10"/>
        <v>1.97964522892102E-2</v>
      </c>
      <c r="AG17" s="45">
        <f t="shared" si="10"/>
        <v>4.1034253814062213E-4</v>
      </c>
      <c r="AH17" s="45">
        <f t="shared" si="10"/>
        <v>1.4679863172343573E-4</v>
      </c>
      <c r="AI17" s="45">
        <f t="shared" ref="AI17:BN17" si="11">(AI5-AI11)^2</f>
        <v>1.0123205674722757E-3</v>
      </c>
      <c r="AJ17" s="45">
        <f t="shared" si="11"/>
        <v>3.4956142699475669E-4</v>
      </c>
      <c r="AK17" s="45">
        <f t="shared" si="11"/>
        <v>1.7443526082853505E-3</v>
      </c>
      <c r="AL17" s="45">
        <f t="shared" si="11"/>
        <v>9.3106365177202371E-3</v>
      </c>
      <c r="AM17" s="45">
        <f t="shared" si="11"/>
        <v>9.0250350531283143E-4</v>
      </c>
      <c r="AN17" s="45">
        <f t="shared" si="11"/>
        <v>3.0949582024877857E-3</v>
      </c>
      <c r="AO17" s="45">
        <f t="shared" si="11"/>
        <v>2.3368441060925573E-3</v>
      </c>
      <c r="AP17" s="45">
        <f t="shared" si="11"/>
        <v>1.4880589147442805E-3</v>
      </c>
      <c r="AQ17" s="45">
        <f t="shared" si="11"/>
        <v>8.5452847195882902E-4</v>
      </c>
      <c r="AR17" s="45">
        <f t="shared" si="11"/>
        <v>5.8271831067553377E-3</v>
      </c>
      <c r="AS17" s="45">
        <f t="shared" si="11"/>
        <v>1.9921816306986224E-5</v>
      </c>
      <c r="AT17" s="45">
        <f t="shared" si="11"/>
        <v>2.7137883159699311E-2</v>
      </c>
      <c r="AU17" s="45">
        <f t="shared" si="11"/>
        <v>8.4156211053602068E-4</v>
      </c>
      <c r="AV17" s="45">
        <f t="shared" si="11"/>
        <v>1.1182676232250726E-2</v>
      </c>
      <c r="AW17" s="45">
        <f t="shared" si="11"/>
        <v>5.0995888766508894E-3</v>
      </c>
      <c r="AX17" s="45">
        <f t="shared" si="11"/>
        <v>2.5968913099284962E-2</v>
      </c>
      <c r="AY17" s="45">
        <f t="shared" si="11"/>
        <v>3.9668614354516117E-3</v>
      </c>
      <c r="AZ17" s="45">
        <f t="shared" si="11"/>
        <v>7.7378008548857997E-3</v>
      </c>
      <c r="BA17" s="45">
        <f t="shared" si="11"/>
        <v>4.455849330512835E-6</v>
      </c>
      <c r="BB17" s="45">
        <f t="shared" si="11"/>
        <v>2.0028430721442638E-2</v>
      </c>
      <c r="BC17" s="45">
        <f t="shared" si="11"/>
        <v>3.3842507792415824E-3</v>
      </c>
      <c r="BD17" s="45">
        <f t="shared" si="11"/>
        <v>6.1963794584489108E-7</v>
      </c>
      <c r="BE17" s="45">
        <f t="shared" si="11"/>
        <v>1.9588416800286248E-2</v>
      </c>
      <c r="BF17" s="45">
        <f t="shared" si="11"/>
        <v>4.3659769508934305E-2</v>
      </c>
      <c r="BG17" s="45">
        <f t="shared" si="11"/>
        <v>0.10533541314317464</v>
      </c>
      <c r="BH17" s="45">
        <f t="shared" si="11"/>
        <v>1.7883463022429127E-2</v>
      </c>
      <c r="BI17" s="45">
        <f t="shared" si="11"/>
        <v>1.3358252048439687E-3</v>
      </c>
      <c r="BJ17" s="45">
        <f t="shared" si="11"/>
        <v>1.2954360765154865E-3</v>
      </c>
      <c r="BK17" s="45">
        <f t="shared" si="11"/>
        <v>1.3733124523690631E-4</v>
      </c>
      <c r="BL17" s="45">
        <f t="shared" si="11"/>
        <v>2.8700618081653348E-2</v>
      </c>
      <c r="BM17" s="45">
        <f t="shared" si="11"/>
        <v>1.8722331664511861E-2</v>
      </c>
      <c r="BN17" s="45">
        <f t="shared" si="11"/>
        <v>1.263967116033911E-3</v>
      </c>
      <c r="BO17" s="45">
        <f t="shared" ref="BO17:CT17" si="12">(BO5-BO11)^2</f>
        <v>6.3300046338180655E-4</v>
      </c>
      <c r="BP17" s="45">
        <f t="shared" si="12"/>
        <v>3.1126500675272519E-4</v>
      </c>
      <c r="BQ17" s="45">
        <f t="shared" si="12"/>
        <v>3.2733634120115436E-4</v>
      </c>
      <c r="BR17" s="45">
        <f t="shared" si="12"/>
        <v>3.5721728031780267E-2</v>
      </c>
      <c r="BS17" s="45">
        <f t="shared" si="12"/>
        <v>1.1925280251343595E-2</v>
      </c>
      <c r="BT17" s="45">
        <f t="shared" si="12"/>
        <v>1.4449029967997032E-3</v>
      </c>
      <c r="BU17" s="45">
        <f t="shared" si="12"/>
        <v>3.5605703246406033E-3</v>
      </c>
      <c r="BV17" s="45">
        <f t="shared" si="12"/>
        <v>1.3258405708516264E-2</v>
      </c>
      <c r="BW17" s="45">
        <f t="shared" si="12"/>
        <v>2.3221536872814273E-2</v>
      </c>
      <c r="BX17" s="45">
        <f t="shared" si="12"/>
        <v>1.2979585822920008E-6</v>
      </c>
      <c r="BY17" s="45">
        <f t="shared" si="12"/>
        <v>1.7695624217656469E-2</v>
      </c>
      <c r="BZ17" s="45">
        <f t="shared" si="12"/>
        <v>1.4643667534895122E-4</v>
      </c>
      <c r="CA17" s="45">
        <f t="shared" si="12"/>
        <v>3.3229063474201782E-3</v>
      </c>
      <c r="CB17" s="45">
        <f t="shared" si="12"/>
        <v>5.8432977514641621E-4</v>
      </c>
      <c r="CC17" s="45">
        <f t="shared" si="12"/>
        <v>1.263319421986144E-2</v>
      </c>
      <c r="CD17" s="45">
        <f t="shared" si="12"/>
        <v>3.8614886636316268E-3</v>
      </c>
      <c r="CE17" s="45">
        <f t="shared" si="12"/>
        <v>7.3298890081947479E-3</v>
      </c>
      <c r="CF17" s="45">
        <f t="shared" si="12"/>
        <v>6.4203887320058434E-6</v>
      </c>
      <c r="CG17" s="45">
        <f t="shared" si="12"/>
        <v>1.6991927730364759E-2</v>
      </c>
      <c r="CH17" s="45">
        <f t="shared" si="12"/>
        <v>8.5288727071179057E-3</v>
      </c>
      <c r="CI17" s="45">
        <f t="shared" si="12"/>
        <v>5.9665514871756848E-3</v>
      </c>
      <c r="CJ17" s="45">
        <f t="shared" si="12"/>
        <v>5.1301636931579249E-2</v>
      </c>
      <c r="CK17" s="45">
        <f t="shared" si="12"/>
        <v>3.4608814982391031E-2</v>
      </c>
      <c r="CL17" s="45">
        <f t="shared" si="12"/>
        <v>2.0969963355112375E-2</v>
      </c>
      <c r="CM17" s="45">
        <f t="shared" si="12"/>
        <v>1.042944457660157E-2</v>
      </c>
      <c r="CN17" s="45">
        <f t="shared" si="12"/>
        <v>5.057809981506288E-2</v>
      </c>
      <c r="CO17" s="45">
        <f t="shared" si="12"/>
        <v>1.1357872653141624E-2</v>
      </c>
      <c r="CP17" s="45">
        <f t="shared" si="12"/>
        <v>7.5777637587064379E-4</v>
      </c>
      <c r="CQ17" s="45">
        <f t="shared" si="12"/>
        <v>4.1163464213545234E-2</v>
      </c>
      <c r="CR17" s="45">
        <f t="shared" si="12"/>
        <v>1.8338594166680371E-2</v>
      </c>
      <c r="CS17" s="45">
        <f t="shared" si="12"/>
        <v>6.0324224789139319E-3</v>
      </c>
      <c r="CT17" s="45">
        <f t="shared" si="12"/>
        <v>8.8044783155723097E-4</v>
      </c>
      <c r="CU17" s="45">
        <f t="shared" ref="CU17:DZ17" si="13">(CU5-CU11)^2</f>
        <v>9.5942004316095106E-2</v>
      </c>
      <c r="CV17" s="45">
        <f t="shared" si="13"/>
        <v>4.7134733975971836E-2</v>
      </c>
      <c r="CW17" s="45">
        <f t="shared" si="13"/>
        <v>8.9388109823390714E-3</v>
      </c>
      <c r="CX17" s="45">
        <f t="shared" si="13"/>
        <v>1.4528724608410797E-2</v>
      </c>
      <c r="CY17" s="45">
        <f t="shared" si="13"/>
        <v>6.539608475862593E-3</v>
      </c>
      <c r="CZ17" s="45">
        <f t="shared" si="13"/>
        <v>2.0200181979781089E-3</v>
      </c>
      <c r="DA17" s="45">
        <f t="shared" si="13"/>
        <v>4.90333993800112E-3</v>
      </c>
      <c r="DB17" s="45">
        <f t="shared" si="13"/>
        <v>2.3254797098316314E-2</v>
      </c>
      <c r="DC17" s="45">
        <f t="shared" si="13"/>
        <v>1.9273074339839383E-3</v>
      </c>
      <c r="DD17" s="45">
        <f t="shared" si="13"/>
        <v>2.5549624232436213E-2</v>
      </c>
      <c r="DE17" s="45">
        <f t="shared" si="13"/>
        <v>1.7675071000690993E-2</v>
      </c>
      <c r="DF17" s="45">
        <f t="shared" si="13"/>
        <v>6.4608677297387186E-3</v>
      </c>
      <c r="DG17" s="45">
        <f t="shared" si="13"/>
        <v>4.3854513841411591E-2</v>
      </c>
      <c r="DH17" s="45">
        <f t="shared" si="13"/>
        <v>4.531002639494755E-3</v>
      </c>
      <c r="DI17" s="45">
        <f t="shared" si="13"/>
        <v>7.0596735688051668E-3</v>
      </c>
      <c r="DJ17" s="45">
        <f t="shared" si="13"/>
        <v>1.2565721989245483E-2</v>
      </c>
      <c r="DK17" s="45">
        <f t="shared" si="13"/>
        <v>2.4205000747089272E-4</v>
      </c>
      <c r="DL17" s="45">
        <f t="shared" si="13"/>
        <v>1.6915638893241088E-3</v>
      </c>
      <c r="DM17" s="45">
        <f t="shared" si="13"/>
        <v>4.6349938388361297E-4</v>
      </c>
      <c r="DN17" s="45">
        <f t="shared" si="13"/>
        <v>6.9968322049978617E-4</v>
      </c>
      <c r="DO17" s="45">
        <f t="shared" si="13"/>
        <v>9.9880110434102162E-3</v>
      </c>
      <c r="DP17" s="45">
        <f t="shared" si="13"/>
        <v>5.0322671619910456E-2</v>
      </c>
      <c r="DQ17" s="45">
        <f t="shared" si="13"/>
        <v>5.8694082852125122E-2</v>
      </c>
      <c r="DR17" s="45">
        <f t="shared" si="13"/>
        <v>7.051005045816092E-4</v>
      </c>
      <c r="DS17" s="45">
        <f t="shared" si="13"/>
        <v>1.7579384934191807E-2</v>
      </c>
      <c r="DT17" s="45">
        <f t="shared" si="13"/>
        <v>1.3328825257501552E-2</v>
      </c>
      <c r="DU17" s="45">
        <f t="shared" si="13"/>
        <v>1.2283889913716407E-2</v>
      </c>
      <c r="DV17" s="45">
        <f t="shared" si="13"/>
        <v>1.744702438620618E-3</v>
      </c>
      <c r="DW17" s="45">
        <f t="shared" si="13"/>
        <v>5.9512819318527745E-4</v>
      </c>
      <c r="DX17" s="45">
        <f t="shared" si="13"/>
        <v>3.8303675980130929E-3</v>
      </c>
      <c r="DY17" s="45">
        <f t="shared" si="13"/>
        <v>5.1509625448409174E-3</v>
      </c>
      <c r="DZ17" s="45">
        <f t="shared" si="13"/>
        <v>2.8080548407967789E-4</v>
      </c>
      <c r="EA17" s="45">
        <f t="shared" ref="EA17:EF17" si="14">(EA5-EA11)^2</f>
        <v>8.4022816012396723E-2</v>
      </c>
      <c r="EB17" s="45">
        <f t="shared" si="14"/>
        <v>1.8337985197280686E-2</v>
      </c>
      <c r="EC17" s="45">
        <f t="shared" si="14"/>
        <v>6.0493216936336623E-5</v>
      </c>
      <c r="ED17" s="45">
        <f t="shared" si="14"/>
        <v>4.1429321686151238E-3</v>
      </c>
      <c r="EE17" s="45">
        <f t="shared" si="14"/>
        <v>1.9091752333410709E-2</v>
      </c>
      <c r="EF17" s="45">
        <f t="shared" si="14"/>
        <v>1.6401290045165725E-4</v>
      </c>
    </row>
    <row r="19" spans="1:136" ht="20" customHeight="1">
      <c r="A19" s="56" t="s">
        <v>168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7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</row>
    <row r="20" spans="1:136" ht="16">
      <c r="A20" s="41"/>
      <c r="B20" s="39" t="s">
        <v>1</v>
      </c>
      <c r="C20" s="42" t="s">
        <v>2</v>
      </c>
      <c r="D20" s="42" t="s">
        <v>3</v>
      </c>
      <c r="E20" s="42" t="s">
        <v>4</v>
      </c>
      <c r="F20" s="42" t="s">
        <v>5</v>
      </c>
      <c r="G20" s="42" t="s">
        <v>6</v>
      </c>
      <c r="H20" s="42" t="s">
        <v>7</v>
      </c>
      <c r="I20" s="42" t="s">
        <v>8</v>
      </c>
      <c r="J20" s="42" t="s">
        <v>9</v>
      </c>
      <c r="K20" s="42" t="s">
        <v>10</v>
      </c>
      <c r="L20" s="42" t="s">
        <v>11</v>
      </c>
      <c r="M20" s="42" t="s">
        <v>12</v>
      </c>
      <c r="N20" s="42" t="s">
        <v>13</v>
      </c>
      <c r="O20" s="42" t="s">
        <v>14</v>
      </c>
      <c r="P20" s="42" t="s">
        <v>15</v>
      </c>
      <c r="Q20" s="42" t="s">
        <v>16</v>
      </c>
      <c r="R20" s="42" t="s">
        <v>17</v>
      </c>
      <c r="S20" s="42" t="s">
        <v>18</v>
      </c>
      <c r="T20" s="42" t="s">
        <v>19</v>
      </c>
      <c r="U20" s="42" t="s">
        <v>20</v>
      </c>
      <c r="V20" s="42" t="s">
        <v>21</v>
      </c>
      <c r="W20" s="42" t="s">
        <v>22</v>
      </c>
      <c r="X20" s="42" t="s">
        <v>23</v>
      </c>
      <c r="Y20" s="42" t="s">
        <v>24</v>
      </c>
      <c r="Z20" s="42" t="s">
        <v>25</v>
      </c>
      <c r="AA20" s="42" t="s">
        <v>26</v>
      </c>
      <c r="AB20" s="42" t="s">
        <v>27</v>
      </c>
      <c r="AC20" s="42" t="s">
        <v>28</v>
      </c>
      <c r="AD20" s="42" t="s">
        <v>29</v>
      </c>
      <c r="AE20" s="42" t="s">
        <v>30</v>
      </c>
      <c r="AF20" s="42" t="s">
        <v>31</v>
      </c>
      <c r="AG20" s="42" t="s">
        <v>32</v>
      </c>
      <c r="AH20" s="42" t="s">
        <v>33</v>
      </c>
      <c r="AI20" s="42" t="s">
        <v>34</v>
      </c>
      <c r="AJ20" s="42" t="s">
        <v>35</v>
      </c>
      <c r="AK20" s="42" t="s">
        <v>36</v>
      </c>
      <c r="AL20" s="42" t="s">
        <v>37</v>
      </c>
      <c r="AM20" s="42" t="s">
        <v>38</v>
      </c>
      <c r="AN20" s="42" t="s">
        <v>39</v>
      </c>
      <c r="AO20" s="42" t="s">
        <v>40</v>
      </c>
      <c r="AP20" s="42" t="s">
        <v>41</v>
      </c>
      <c r="AQ20" s="42" t="s">
        <v>42</v>
      </c>
      <c r="AR20" s="42" t="s">
        <v>43</v>
      </c>
      <c r="AS20" s="42" t="s">
        <v>44</v>
      </c>
      <c r="AT20" s="42" t="s">
        <v>45</v>
      </c>
      <c r="AU20" s="42" t="s">
        <v>46</v>
      </c>
      <c r="AV20" s="42" t="s">
        <v>47</v>
      </c>
      <c r="AW20" s="42" t="s">
        <v>48</v>
      </c>
      <c r="AX20" s="42" t="s">
        <v>49</v>
      </c>
      <c r="AY20" s="42" t="s">
        <v>50</v>
      </c>
      <c r="AZ20" s="42" t="s">
        <v>51</v>
      </c>
      <c r="BA20" s="42" t="s">
        <v>52</v>
      </c>
      <c r="BB20" s="42" t="s">
        <v>53</v>
      </c>
      <c r="BC20" s="42" t="s">
        <v>54</v>
      </c>
      <c r="BD20" s="42" t="s">
        <v>55</v>
      </c>
      <c r="BE20" s="42" t="s">
        <v>56</v>
      </c>
      <c r="BF20" s="42" t="s">
        <v>57</v>
      </c>
      <c r="BG20" s="42" t="s">
        <v>58</v>
      </c>
      <c r="BH20" s="42" t="s">
        <v>59</v>
      </c>
      <c r="BI20" s="42" t="s">
        <v>60</v>
      </c>
      <c r="BJ20" s="42" t="s">
        <v>61</v>
      </c>
      <c r="BK20" s="42" t="s">
        <v>62</v>
      </c>
      <c r="BL20" s="42" t="s">
        <v>63</v>
      </c>
      <c r="BM20" s="42" t="s">
        <v>64</v>
      </c>
      <c r="BN20" s="42" t="s">
        <v>65</v>
      </c>
      <c r="BO20" s="42" t="s">
        <v>66</v>
      </c>
      <c r="BP20" s="42" t="s">
        <v>67</v>
      </c>
      <c r="BQ20" s="42" t="s">
        <v>68</v>
      </c>
      <c r="BR20" s="42" t="s">
        <v>69</v>
      </c>
      <c r="BS20" s="42" t="s">
        <v>70</v>
      </c>
      <c r="BT20" s="42" t="s">
        <v>71</v>
      </c>
      <c r="BU20" s="42" t="s">
        <v>72</v>
      </c>
      <c r="BV20" s="42" t="s">
        <v>73</v>
      </c>
      <c r="BW20" s="42" t="s">
        <v>74</v>
      </c>
      <c r="BX20" s="42" t="s">
        <v>75</v>
      </c>
      <c r="BY20" s="42" t="s">
        <v>76</v>
      </c>
      <c r="BZ20" s="42" t="s">
        <v>77</v>
      </c>
      <c r="CA20" s="42" t="s">
        <v>78</v>
      </c>
      <c r="CB20" s="42" t="s">
        <v>79</v>
      </c>
      <c r="CC20" s="42" t="s">
        <v>80</v>
      </c>
      <c r="CD20" s="42" t="s">
        <v>81</v>
      </c>
      <c r="CE20" s="42" t="s">
        <v>82</v>
      </c>
      <c r="CF20" s="42" t="s">
        <v>83</v>
      </c>
      <c r="CG20" s="42" t="s">
        <v>84</v>
      </c>
      <c r="CH20" s="42" t="s">
        <v>85</v>
      </c>
      <c r="CI20" s="42" t="s">
        <v>86</v>
      </c>
      <c r="CJ20" s="42" t="s">
        <v>87</v>
      </c>
      <c r="CK20" s="42" t="s">
        <v>88</v>
      </c>
      <c r="CL20" s="42" t="s">
        <v>89</v>
      </c>
      <c r="CM20" s="42" t="s">
        <v>90</v>
      </c>
      <c r="CN20" s="42" t="s">
        <v>91</v>
      </c>
      <c r="CO20" s="42" t="s">
        <v>92</v>
      </c>
      <c r="CP20" s="42" t="s">
        <v>93</v>
      </c>
      <c r="CQ20" s="42" t="s">
        <v>94</v>
      </c>
      <c r="CR20" s="42" t="s">
        <v>95</v>
      </c>
      <c r="CS20" s="42" t="s">
        <v>96</v>
      </c>
      <c r="CT20" s="42" t="s">
        <v>97</v>
      </c>
      <c r="CU20" s="42" t="s">
        <v>98</v>
      </c>
      <c r="CV20" s="42" t="s">
        <v>99</v>
      </c>
      <c r="CW20" s="42" t="s">
        <v>100</v>
      </c>
      <c r="CX20" s="42" t="s">
        <v>101</v>
      </c>
      <c r="CY20" s="42" t="s">
        <v>102</v>
      </c>
      <c r="CZ20" s="42" t="s">
        <v>103</v>
      </c>
      <c r="DA20" s="42" t="s">
        <v>104</v>
      </c>
      <c r="DB20" s="42" t="s">
        <v>105</v>
      </c>
      <c r="DC20" s="42" t="s">
        <v>106</v>
      </c>
      <c r="DD20" s="42" t="s">
        <v>107</v>
      </c>
      <c r="DE20" s="42" t="s">
        <v>108</v>
      </c>
      <c r="DF20" s="42" t="s">
        <v>109</v>
      </c>
      <c r="DG20" s="42" t="s">
        <v>110</v>
      </c>
      <c r="DH20" s="42" t="s">
        <v>111</v>
      </c>
      <c r="DI20" s="42" t="s">
        <v>112</v>
      </c>
      <c r="DJ20" s="42" t="s">
        <v>113</v>
      </c>
      <c r="DK20" s="42" t="s">
        <v>114</v>
      </c>
      <c r="DL20" s="42" t="s">
        <v>115</v>
      </c>
      <c r="DM20" s="42" t="s">
        <v>116</v>
      </c>
      <c r="DN20" s="42" t="s">
        <v>117</v>
      </c>
      <c r="DO20" s="42" t="s">
        <v>118</v>
      </c>
      <c r="DP20" s="42" t="s">
        <v>119</v>
      </c>
      <c r="DQ20" s="42" t="s">
        <v>120</v>
      </c>
      <c r="DR20" s="42" t="s">
        <v>121</v>
      </c>
      <c r="DS20" s="42" t="s">
        <v>122</v>
      </c>
      <c r="DT20" s="42" t="s">
        <v>123</v>
      </c>
      <c r="DU20" s="42" t="s">
        <v>124</v>
      </c>
      <c r="DV20" s="42" t="s">
        <v>125</v>
      </c>
      <c r="DW20" s="42" t="s">
        <v>126</v>
      </c>
      <c r="DX20" s="42" t="s">
        <v>127</v>
      </c>
      <c r="DY20" s="42" t="s">
        <v>128</v>
      </c>
      <c r="DZ20" s="42" t="s">
        <v>129</v>
      </c>
      <c r="EA20" s="42" t="s">
        <v>130</v>
      </c>
      <c r="EB20" s="42" t="s">
        <v>131</v>
      </c>
      <c r="EC20" s="42" t="s">
        <v>132</v>
      </c>
      <c r="ED20" s="43" t="s">
        <v>133</v>
      </c>
      <c r="EE20" s="44" t="s">
        <v>134</v>
      </c>
      <c r="EF20" s="42" t="s">
        <v>135</v>
      </c>
    </row>
    <row r="21" spans="1:136" ht="16">
      <c r="A21" s="41"/>
      <c r="B21" s="39" t="s">
        <v>136</v>
      </c>
      <c r="C21" s="45">
        <f t="shared" ref="C21:AH21" si="15">C9^2</f>
        <v>1.1904082277860264E-2</v>
      </c>
      <c r="D21" s="45">
        <f t="shared" si="15"/>
        <v>2.1247676054046116E-4</v>
      </c>
      <c r="E21" s="45">
        <f t="shared" si="15"/>
        <v>1.3071374994951929E-3</v>
      </c>
      <c r="F21" s="45">
        <f t="shared" si="15"/>
        <v>2.2492264027630889E-5</v>
      </c>
      <c r="G21" s="45">
        <f t="shared" si="15"/>
        <v>3.3036666141783492E-5</v>
      </c>
      <c r="H21" s="45">
        <f t="shared" si="15"/>
        <v>2.4381891708842936E-3</v>
      </c>
      <c r="I21" s="45">
        <f t="shared" si="15"/>
        <v>3.3581210916677484E-2</v>
      </c>
      <c r="J21" s="45">
        <f t="shared" si="15"/>
        <v>1.3569060155122757E-2</v>
      </c>
      <c r="K21" s="45">
        <f t="shared" si="15"/>
        <v>9.3605069620112215E-4</v>
      </c>
      <c r="L21" s="45">
        <f t="shared" si="15"/>
        <v>3.9315162352171023E-4</v>
      </c>
      <c r="M21" s="45">
        <f t="shared" si="15"/>
        <v>4.4095826822239875E-4</v>
      </c>
      <c r="N21" s="45">
        <f t="shared" si="15"/>
        <v>2.2433876085478928E-2</v>
      </c>
      <c r="O21" s="45">
        <f t="shared" si="15"/>
        <v>2.3911693040638534E-4</v>
      </c>
      <c r="P21" s="45">
        <f t="shared" si="15"/>
        <v>8.4258302823047079E-3</v>
      </c>
      <c r="Q21" s="45">
        <f t="shared" si="15"/>
        <v>5.9921553092687051E-3</v>
      </c>
      <c r="R21" s="45">
        <f t="shared" si="15"/>
        <v>3.0004754709051702E-3</v>
      </c>
      <c r="S21" s="45">
        <f t="shared" si="15"/>
        <v>1.5708708491616E-2</v>
      </c>
      <c r="T21" s="45">
        <f t="shared" si="15"/>
        <v>1.4173716945580542E-2</v>
      </c>
      <c r="U21" s="45">
        <f t="shared" si="15"/>
        <v>1.4265767398050631E-3</v>
      </c>
      <c r="V21" s="45">
        <f t="shared" si="15"/>
        <v>6.5908131416074602E-3</v>
      </c>
      <c r="W21" s="45">
        <f t="shared" si="15"/>
        <v>7.0575066817627407E-3</v>
      </c>
      <c r="X21" s="45">
        <f t="shared" si="15"/>
        <v>2.1612338960948319E-2</v>
      </c>
      <c r="Y21" s="45">
        <f t="shared" si="15"/>
        <v>1.5715264241471783E-2</v>
      </c>
      <c r="Z21" s="45">
        <f t="shared" si="15"/>
        <v>3.6846166718653456E-2</v>
      </c>
      <c r="AA21" s="45">
        <f t="shared" si="15"/>
        <v>7.1184289266528374E-3</v>
      </c>
      <c r="AB21" s="45">
        <f t="shared" si="15"/>
        <v>5.3140620982757656E-3</v>
      </c>
      <c r="AC21" s="45">
        <f t="shared" si="15"/>
        <v>1.0527695785516851E-2</v>
      </c>
      <c r="AD21" s="45">
        <f t="shared" si="15"/>
        <v>2.4869817519127077E-4</v>
      </c>
      <c r="AE21" s="45">
        <f t="shared" si="15"/>
        <v>2.3106177330172069E-2</v>
      </c>
      <c r="AF21" s="45">
        <f t="shared" si="15"/>
        <v>3.5105923035905259E-3</v>
      </c>
      <c r="AG21" s="45">
        <f t="shared" si="15"/>
        <v>1.6915301264337771E-2</v>
      </c>
      <c r="AH21" s="45">
        <f t="shared" si="15"/>
        <v>1.328403665826966E-2</v>
      </c>
      <c r="AI21" s="45">
        <f t="shared" ref="AI21:BN21" si="16">AI9^2</f>
        <v>1.0631917918075163E-3</v>
      </c>
      <c r="AJ21" s="45">
        <f t="shared" si="16"/>
        <v>7.8395043318640434E-4</v>
      </c>
      <c r="AK21" s="45">
        <f t="shared" si="16"/>
        <v>2.1482887422166509E-2</v>
      </c>
      <c r="AL21" s="45">
        <f t="shared" si="16"/>
        <v>1.668062549107739E-3</v>
      </c>
      <c r="AM21" s="45">
        <f t="shared" si="16"/>
        <v>1.7259749824038686E-2</v>
      </c>
      <c r="AN21" s="45">
        <f t="shared" si="16"/>
        <v>4.9032555464976403E-2</v>
      </c>
      <c r="AO21" s="45">
        <f t="shared" si="16"/>
        <v>4.3852711121876225E-4</v>
      </c>
      <c r="AP21" s="45">
        <f t="shared" si="16"/>
        <v>1.8812851996102171E-2</v>
      </c>
      <c r="AQ21" s="45">
        <f t="shared" si="16"/>
        <v>6.1915646627000822E-4</v>
      </c>
      <c r="AR21" s="45">
        <f t="shared" si="16"/>
        <v>2.4068328718584233E-4</v>
      </c>
      <c r="AS21" s="45">
        <f t="shared" si="16"/>
        <v>1.1815056389704321E-3</v>
      </c>
      <c r="AT21" s="45">
        <f t="shared" si="16"/>
        <v>3.9810656089414309E-3</v>
      </c>
      <c r="AU21" s="45">
        <f t="shared" si="16"/>
        <v>1.8694983030806238E-3</v>
      </c>
      <c r="AV21" s="45">
        <f t="shared" si="16"/>
        <v>5.5101474414569638E-3</v>
      </c>
      <c r="AW21" s="45">
        <f t="shared" si="16"/>
        <v>7.8371035043392316E-4</v>
      </c>
      <c r="AX21" s="45">
        <f t="shared" si="16"/>
        <v>1.4367478657017244E-2</v>
      </c>
      <c r="AY21" s="45">
        <f t="shared" si="16"/>
        <v>5.8613679493322605E-3</v>
      </c>
      <c r="AZ21" s="45">
        <f t="shared" si="16"/>
        <v>4.7220968054589304E-4</v>
      </c>
      <c r="BA21" s="45">
        <f t="shared" si="16"/>
        <v>1.5536707046446584E-6</v>
      </c>
      <c r="BB21" s="45">
        <f t="shared" si="16"/>
        <v>1.0200156097581669E-2</v>
      </c>
      <c r="BC21" s="45">
        <f t="shared" si="16"/>
        <v>8.8964574469951819E-4</v>
      </c>
      <c r="BD21" s="45">
        <f t="shared" si="16"/>
        <v>7.5268956977767048E-5</v>
      </c>
      <c r="BE21" s="45">
        <f t="shared" si="16"/>
        <v>4.7000904970756216E-3</v>
      </c>
      <c r="BF21" s="45">
        <f t="shared" si="16"/>
        <v>2.4621562948682934E-2</v>
      </c>
      <c r="BG21" s="45">
        <f t="shared" si="16"/>
        <v>2.5345828645073384E-2</v>
      </c>
      <c r="BH21" s="45">
        <f t="shared" si="16"/>
        <v>3.7358582565093718E-3</v>
      </c>
      <c r="BI21" s="45">
        <f t="shared" si="16"/>
        <v>9.3921007423280172E-3</v>
      </c>
      <c r="BJ21" s="45">
        <f t="shared" si="16"/>
        <v>2.9971517217047563E-3</v>
      </c>
      <c r="BK21" s="45">
        <f t="shared" si="16"/>
        <v>7.6550185977651616E-3</v>
      </c>
      <c r="BL21" s="45">
        <f t="shared" si="16"/>
        <v>8.9164103340217925E-3</v>
      </c>
      <c r="BM21" s="45">
        <f t="shared" si="16"/>
        <v>4.9244308753160887E-4</v>
      </c>
      <c r="BN21" s="45">
        <f t="shared" si="16"/>
        <v>2.4425352677185161E-4</v>
      </c>
      <c r="BO21" s="45">
        <f t="shared" ref="BO21:CT21" si="17">BO9^2</f>
        <v>6.6289298211247571E-3</v>
      </c>
      <c r="BP21" s="45">
        <f t="shared" si="17"/>
        <v>3.4258094968395863E-4</v>
      </c>
      <c r="BQ21" s="45">
        <f t="shared" si="17"/>
        <v>4.7237535213055463E-3</v>
      </c>
      <c r="BR21" s="45">
        <f t="shared" si="17"/>
        <v>9.6246407867516525E-6</v>
      </c>
      <c r="BS21" s="45">
        <f t="shared" si="17"/>
        <v>5.6196639138378088E-3</v>
      </c>
      <c r="BT21" s="45">
        <f t="shared" si="17"/>
        <v>2.0431835304301382E-3</v>
      </c>
      <c r="BU21" s="45">
        <f t="shared" si="17"/>
        <v>6.5932524502488709E-4</v>
      </c>
      <c r="BV21" s="45">
        <f t="shared" si="17"/>
        <v>8.427980119369332E-3</v>
      </c>
      <c r="BW21" s="45">
        <f t="shared" si="17"/>
        <v>6.9453326513524774E-4</v>
      </c>
      <c r="BX21" s="45">
        <f t="shared" si="17"/>
        <v>3.7615951743202121E-4</v>
      </c>
      <c r="BY21" s="45">
        <f t="shared" si="17"/>
        <v>5.9042164483032638E-3</v>
      </c>
      <c r="BZ21" s="45">
        <f t="shared" si="17"/>
        <v>1.2839000623048005E-2</v>
      </c>
      <c r="CA21" s="45">
        <f t="shared" si="17"/>
        <v>1.1525082059920233E-2</v>
      </c>
      <c r="CB21" s="45">
        <f t="shared" si="17"/>
        <v>1.6682967477483388E-3</v>
      </c>
      <c r="CC21" s="45">
        <f t="shared" si="17"/>
        <v>3.9210767823715285E-4</v>
      </c>
      <c r="CD21" s="45">
        <f t="shared" si="17"/>
        <v>3.548592802252902E-2</v>
      </c>
      <c r="CE21" s="45">
        <f t="shared" si="17"/>
        <v>3.0885701458901937E-3</v>
      </c>
      <c r="CF21" s="45">
        <f t="shared" si="17"/>
        <v>5.6058275198580514E-3</v>
      </c>
      <c r="CG21" s="45">
        <f t="shared" si="17"/>
        <v>1.0000038380535725E-2</v>
      </c>
      <c r="CH21" s="45">
        <f t="shared" si="17"/>
        <v>1.850190885600296E-2</v>
      </c>
      <c r="CI21" s="45">
        <f t="shared" si="17"/>
        <v>8.7873778374468071E-3</v>
      </c>
      <c r="CJ21" s="45">
        <f t="shared" si="17"/>
        <v>1.5449609443997168E-5</v>
      </c>
      <c r="CK21" s="45">
        <f t="shared" si="17"/>
        <v>3.1931288133821255E-3</v>
      </c>
      <c r="CL21" s="45">
        <f t="shared" si="17"/>
        <v>6.9456377220562526E-2</v>
      </c>
      <c r="CM21" s="45">
        <f t="shared" si="17"/>
        <v>9.1306336429085243E-5</v>
      </c>
      <c r="CN21" s="45">
        <f t="shared" si="17"/>
        <v>9.9299981066329653E-4</v>
      </c>
      <c r="CO21" s="45">
        <f t="shared" si="17"/>
        <v>5.1162058729769763E-4</v>
      </c>
      <c r="CP21" s="45">
        <f t="shared" si="17"/>
        <v>1.7597510690797149E-2</v>
      </c>
      <c r="CQ21" s="45">
        <f t="shared" si="17"/>
        <v>1.7708364708443211E-2</v>
      </c>
      <c r="CR21" s="45">
        <f t="shared" si="17"/>
        <v>2.2369415134259262E-4</v>
      </c>
      <c r="CS21" s="45">
        <f t="shared" si="17"/>
        <v>1.1168922557625953E-3</v>
      </c>
      <c r="CT21" s="45">
        <f t="shared" si="17"/>
        <v>1.5082808365029206E-4</v>
      </c>
      <c r="CU21" s="45">
        <f t="shared" ref="CU21:DZ21" si="18">CU9^2</f>
        <v>1.3645740385844037E-2</v>
      </c>
      <c r="CV21" s="45">
        <f t="shared" si="18"/>
        <v>9.9789357659655527E-6</v>
      </c>
      <c r="CW21" s="45">
        <f t="shared" si="18"/>
        <v>1.4605970535097568E-3</v>
      </c>
      <c r="CX21" s="45">
        <f t="shared" si="18"/>
        <v>1.9369428669164728E-2</v>
      </c>
      <c r="CY21" s="45">
        <f t="shared" si="18"/>
        <v>5.6227258353762984E-4</v>
      </c>
      <c r="CZ21" s="45">
        <f t="shared" si="18"/>
        <v>4.7677993769128582E-2</v>
      </c>
      <c r="DA21" s="45">
        <f t="shared" si="18"/>
        <v>3.3602150955513014E-3</v>
      </c>
      <c r="DB21" s="45">
        <f t="shared" si="18"/>
        <v>1.9892898007428065E-4</v>
      </c>
      <c r="DC21" s="45">
        <f t="shared" si="18"/>
        <v>1.298598834966512E-2</v>
      </c>
      <c r="DD21" s="45">
        <f t="shared" si="18"/>
        <v>5.5461177913042319E-3</v>
      </c>
      <c r="DE21" s="45">
        <f t="shared" si="18"/>
        <v>8.0944705118043796E-7</v>
      </c>
      <c r="DF21" s="45">
        <f t="shared" si="18"/>
        <v>9.5466930982486662E-7</v>
      </c>
      <c r="DG21" s="45">
        <f t="shared" si="18"/>
        <v>5.3260942765597724E-3</v>
      </c>
      <c r="DH21" s="45">
        <f t="shared" si="18"/>
        <v>5.6859770483571833E-4</v>
      </c>
      <c r="DI21" s="45">
        <f t="shared" si="18"/>
        <v>1.0308477356134783E-2</v>
      </c>
      <c r="DJ21" s="45">
        <f t="shared" si="18"/>
        <v>7.6687657573272126E-4</v>
      </c>
      <c r="DK21" s="45">
        <f t="shared" si="18"/>
        <v>2.4339573117996964E-3</v>
      </c>
      <c r="DL21" s="45">
        <f t="shared" si="18"/>
        <v>3.248267667612629E-5</v>
      </c>
      <c r="DM21" s="45">
        <f t="shared" si="18"/>
        <v>1.3676505773505593E-3</v>
      </c>
      <c r="DN21" s="45">
        <f t="shared" si="18"/>
        <v>1.2058891959025398E-2</v>
      </c>
      <c r="DO21" s="45">
        <f t="shared" si="18"/>
        <v>1.7670946755159902E-3</v>
      </c>
      <c r="DP21" s="45">
        <f t="shared" si="18"/>
        <v>7.1515213376560464E-3</v>
      </c>
      <c r="DQ21" s="45">
        <f t="shared" si="18"/>
        <v>1.2161636684326392E-2</v>
      </c>
      <c r="DR21" s="45">
        <f t="shared" si="18"/>
        <v>8.8979053657027001E-3</v>
      </c>
      <c r="DS21" s="45">
        <f t="shared" si="18"/>
        <v>5.1706040810191528E-3</v>
      </c>
      <c r="DT21" s="45">
        <f t="shared" si="18"/>
        <v>9.2614503642733919E-3</v>
      </c>
      <c r="DU21" s="45">
        <f t="shared" si="18"/>
        <v>5.5016020342108963E-6</v>
      </c>
      <c r="DV21" s="45">
        <f t="shared" si="18"/>
        <v>1.7960669823662546E-2</v>
      </c>
      <c r="DW21" s="45">
        <f t="shared" si="18"/>
        <v>8.9742501777570517E-3</v>
      </c>
      <c r="DX21" s="45">
        <f t="shared" si="18"/>
        <v>1.0768876593012837E-2</v>
      </c>
      <c r="DY21" s="45">
        <f t="shared" si="18"/>
        <v>5.7399040046420165E-3</v>
      </c>
      <c r="DZ21" s="45">
        <f t="shared" si="18"/>
        <v>1.0131311029084758E-3</v>
      </c>
      <c r="EA21" s="45">
        <f t="shared" ref="EA21:EF21" si="19">EA9^2</f>
        <v>2.6020277100143683E-2</v>
      </c>
      <c r="EB21" s="45">
        <f t="shared" si="19"/>
        <v>1.0411208891300061E-4</v>
      </c>
      <c r="EC21" s="45">
        <f t="shared" si="19"/>
        <v>5.4742870589305657E-3</v>
      </c>
      <c r="ED21" s="45">
        <f t="shared" si="19"/>
        <v>2.4767480781445986E-2</v>
      </c>
      <c r="EE21" s="45">
        <f t="shared" si="19"/>
        <v>6.2627523737550815E-3</v>
      </c>
      <c r="EF21" s="45">
        <f t="shared" si="19"/>
        <v>4.4306566026007104E-4</v>
      </c>
    </row>
    <row r="22" spans="1:136" ht="16">
      <c r="A22" s="41"/>
      <c r="B22" s="39" t="s">
        <v>137</v>
      </c>
      <c r="C22" s="45">
        <f t="shared" ref="C22:AH22" si="20">C10^2</f>
        <v>6.1300169090364023E-2</v>
      </c>
      <c r="D22" s="45">
        <f t="shared" si="20"/>
        <v>7.5456410721795972E-2</v>
      </c>
      <c r="E22" s="45">
        <f t="shared" si="20"/>
        <v>7.1653491215006608E-3</v>
      </c>
      <c r="F22" s="45">
        <f t="shared" si="20"/>
        <v>5.1277932467457823E-4</v>
      </c>
      <c r="G22" s="45">
        <f t="shared" si="20"/>
        <v>2.4681024790687124E-3</v>
      </c>
      <c r="H22" s="45">
        <f t="shared" si="20"/>
        <v>1.0152503674850528E-2</v>
      </c>
      <c r="I22" s="45">
        <f t="shared" si="20"/>
        <v>1.568185506319921E-4</v>
      </c>
      <c r="J22" s="45">
        <f t="shared" si="20"/>
        <v>6.1994443791691554E-3</v>
      </c>
      <c r="K22" s="45">
        <f t="shared" si="20"/>
        <v>1.1686210786418709E-3</v>
      </c>
      <c r="L22" s="45">
        <f t="shared" si="20"/>
        <v>7.8157618954765237E-3</v>
      </c>
      <c r="M22" s="45">
        <f t="shared" si="20"/>
        <v>9.384753841255295E-6</v>
      </c>
      <c r="N22" s="45">
        <f t="shared" si="20"/>
        <v>4.5036476574086326E-2</v>
      </c>
      <c r="O22" s="45">
        <f t="shared" si="20"/>
        <v>1.3546366286925624E-3</v>
      </c>
      <c r="P22" s="45">
        <f t="shared" si="20"/>
        <v>5.0457039774389721E-3</v>
      </c>
      <c r="Q22" s="45">
        <f t="shared" si="20"/>
        <v>5.0781490762883581E-3</v>
      </c>
      <c r="R22" s="45">
        <f t="shared" si="20"/>
        <v>4.6485286217124193E-4</v>
      </c>
      <c r="S22" s="45">
        <f t="shared" si="20"/>
        <v>1.0223486509543127E-2</v>
      </c>
      <c r="T22" s="45">
        <f t="shared" si="20"/>
        <v>1.8683781301546628E-3</v>
      </c>
      <c r="U22" s="45">
        <f t="shared" si="20"/>
        <v>2.2147242359019667E-4</v>
      </c>
      <c r="V22" s="45">
        <f t="shared" si="20"/>
        <v>4.0018583491306699E-5</v>
      </c>
      <c r="W22" s="45">
        <f t="shared" si="20"/>
        <v>2.0607457624597373E-2</v>
      </c>
      <c r="X22" s="45">
        <f t="shared" si="20"/>
        <v>4.1321976387742217E-3</v>
      </c>
      <c r="Y22" s="45">
        <f t="shared" si="20"/>
        <v>3.6230087920246964E-4</v>
      </c>
      <c r="Z22" s="45">
        <f t="shared" si="20"/>
        <v>4.2619770257246479E-4</v>
      </c>
      <c r="AA22" s="45">
        <f t="shared" si="20"/>
        <v>1.0929332099957007E-3</v>
      </c>
      <c r="AB22" s="45">
        <f t="shared" si="20"/>
        <v>3.7706753115437583E-4</v>
      </c>
      <c r="AC22" s="45">
        <f t="shared" si="20"/>
        <v>3.9849977723438457E-3</v>
      </c>
      <c r="AD22" s="45">
        <f t="shared" si="20"/>
        <v>4.3072591163810263E-3</v>
      </c>
      <c r="AE22" s="45">
        <f t="shared" si="20"/>
        <v>1.9042810256226231E-2</v>
      </c>
      <c r="AF22" s="45">
        <f t="shared" si="20"/>
        <v>1.0113906222416341E-2</v>
      </c>
      <c r="AG22" s="45">
        <f t="shared" si="20"/>
        <v>1.4416518828127469E-3</v>
      </c>
      <c r="AH22" s="45">
        <f t="shared" si="20"/>
        <v>2.1012632264048744E-3</v>
      </c>
      <c r="AI22" s="45">
        <f t="shared" ref="AI22:BN22" si="21">AI10^2</f>
        <v>2.6044789051912999E-3</v>
      </c>
      <c r="AJ22" s="45">
        <f t="shared" si="21"/>
        <v>1.0371239511276646E-5</v>
      </c>
      <c r="AK22" s="45">
        <f t="shared" si="21"/>
        <v>2.3963921924093171E-7</v>
      </c>
      <c r="AL22" s="45">
        <f t="shared" si="21"/>
        <v>1.1330911354520039E-2</v>
      </c>
      <c r="AM22" s="45">
        <f t="shared" si="21"/>
        <v>1.883474509221127E-4</v>
      </c>
      <c r="AN22" s="45">
        <f t="shared" si="21"/>
        <v>1.4875389913204669E-2</v>
      </c>
      <c r="AO22" s="45">
        <f t="shared" si="21"/>
        <v>2.3609556394479764E-3</v>
      </c>
      <c r="AP22" s="45">
        <f t="shared" si="21"/>
        <v>3.6219815731516953E-6</v>
      </c>
      <c r="AQ22" s="45">
        <f t="shared" si="21"/>
        <v>8.4491867337224593E-4</v>
      </c>
      <c r="AR22" s="45">
        <f t="shared" si="21"/>
        <v>2.7705250060662671E-3</v>
      </c>
      <c r="AS22" s="45">
        <f t="shared" si="21"/>
        <v>1.6623611670017849E-4</v>
      </c>
      <c r="AT22" s="45">
        <f t="shared" si="21"/>
        <v>4.541735420018535E-6</v>
      </c>
      <c r="AU22" s="45">
        <f t="shared" si="21"/>
        <v>2.4144306160754265E-2</v>
      </c>
      <c r="AV22" s="45">
        <f t="shared" si="21"/>
        <v>1.6082764905029582E-4</v>
      </c>
      <c r="AW22" s="45">
        <f t="shared" si="21"/>
        <v>1.4261904564871037E-4</v>
      </c>
      <c r="AX22" s="45">
        <f t="shared" si="21"/>
        <v>1.8094742098652484E-5</v>
      </c>
      <c r="AY22" s="45">
        <f t="shared" si="21"/>
        <v>8.5854107590684829E-4</v>
      </c>
      <c r="AZ22" s="45">
        <f t="shared" si="21"/>
        <v>1.7990186561850662E-2</v>
      </c>
      <c r="BA22" s="45">
        <f t="shared" si="21"/>
        <v>1.8799571566061855E-2</v>
      </c>
      <c r="BB22" s="45">
        <f t="shared" si="21"/>
        <v>3.0788334943751427E-6</v>
      </c>
      <c r="BC22" s="45">
        <f t="shared" si="21"/>
        <v>6.3087002382422445E-4</v>
      </c>
      <c r="BD22" s="45">
        <f t="shared" si="21"/>
        <v>1.4304616064498009E-2</v>
      </c>
      <c r="BE22" s="45">
        <f t="shared" si="21"/>
        <v>1.8431225512955431E-2</v>
      </c>
      <c r="BF22" s="45">
        <f t="shared" si="21"/>
        <v>2.2175775080298639E-3</v>
      </c>
      <c r="BG22" s="45">
        <f t="shared" si="21"/>
        <v>6.7860478904543942E-4</v>
      </c>
      <c r="BH22" s="45">
        <f t="shared" si="21"/>
        <v>1.9143052038415641E-3</v>
      </c>
      <c r="BI22" s="45">
        <f t="shared" si="21"/>
        <v>6.6246296481045049E-3</v>
      </c>
      <c r="BJ22" s="45">
        <f t="shared" si="21"/>
        <v>1.0120525298453803E-2</v>
      </c>
      <c r="BK22" s="45">
        <f t="shared" si="21"/>
        <v>8.1884544049846235E-3</v>
      </c>
      <c r="BL22" s="45">
        <f t="shared" si="21"/>
        <v>9.5471475034238963E-4</v>
      </c>
      <c r="BM22" s="45">
        <f t="shared" si="21"/>
        <v>3.4591085480784899E-3</v>
      </c>
      <c r="BN22" s="45">
        <f t="shared" si="21"/>
        <v>6.617113024465748E-3</v>
      </c>
      <c r="BO22" s="45">
        <f t="shared" ref="BO22:CT22" si="22">BO10^2</f>
        <v>5.9543089738482516E-5</v>
      </c>
      <c r="BP22" s="45">
        <f t="shared" si="22"/>
        <v>1.1392332566655691E-2</v>
      </c>
      <c r="BQ22" s="45">
        <f t="shared" si="22"/>
        <v>7.3746686174088762E-4</v>
      </c>
      <c r="BR22" s="45">
        <f t="shared" si="22"/>
        <v>2.962735792272784E-3</v>
      </c>
      <c r="BS22" s="45">
        <f t="shared" si="22"/>
        <v>4.6552343102339144E-3</v>
      </c>
      <c r="BT22" s="45">
        <f t="shared" si="22"/>
        <v>9.7243705233366149E-3</v>
      </c>
      <c r="BU22" s="45">
        <f t="shared" si="22"/>
        <v>1.6486185664536111E-2</v>
      </c>
      <c r="BV22" s="45">
        <f t="shared" si="22"/>
        <v>6.1469550603066659E-3</v>
      </c>
      <c r="BW22" s="45">
        <f t="shared" si="22"/>
        <v>1.4192843634773274E-2</v>
      </c>
      <c r="BX22" s="45">
        <f t="shared" si="22"/>
        <v>2.1986811101669893E-3</v>
      </c>
      <c r="BY22" s="45">
        <f t="shared" si="22"/>
        <v>1.034255309954589E-2</v>
      </c>
      <c r="BZ22" s="45">
        <f t="shared" si="22"/>
        <v>6.5946672658473903E-4</v>
      </c>
      <c r="CA22" s="45">
        <f t="shared" si="22"/>
        <v>6.9391882189381946E-3</v>
      </c>
      <c r="CB22" s="45">
        <f t="shared" si="22"/>
        <v>2.4909566624333357E-2</v>
      </c>
      <c r="CC22" s="45">
        <f t="shared" si="22"/>
        <v>5.0484679457919839E-3</v>
      </c>
      <c r="CD22" s="45">
        <f t="shared" si="22"/>
        <v>5.4575883396954768E-3</v>
      </c>
      <c r="CE22" s="45">
        <f t="shared" si="22"/>
        <v>5.6067832386980022E-2</v>
      </c>
      <c r="CF22" s="45">
        <f t="shared" si="22"/>
        <v>1.0645672168983563E-3</v>
      </c>
      <c r="CG22" s="45">
        <f t="shared" si="22"/>
        <v>1.8017920089221721E-4</v>
      </c>
      <c r="CH22" s="45">
        <f t="shared" si="22"/>
        <v>7.8213400438148902E-6</v>
      </c>
      <c r="CI22" s="45">
        <f t="shared" si="22"/>
        <v>2.2968727120364087E-3</v>
      </c>
      <c r="CJ22" s="45">
        <f t="shared" si="22"/>
        <v>1.0575629320283603E-5</v>
      </c>
      <c r="CK22" s="45">
        <f t="shared" si="22"/>
        <v>5.7317300865370067E-3</v>
      </c>
      <c r="CL22" s="45">
        <f t="shared" si="22"/>
        <v>1.9711163270756775E-3</v>
      </c>
      <c r="CM22" s="45">
        <f t="shared" si="22"/>
        <v>3.2036912913769394E-2</v>
      </c>
      <c r="CN22" s="45">
        <f t="shared" si="22"/>
        <v>3.3633349379620708E-3</v>
      </c>
      <c r="CO22" s="45">
        <f t="shared" si="22"/>
        <v>1.9429624982324575E-2</v>
      </c>
      <c r="CP22" s="45">
        <f t="shared" si="22"/>
        <v>4.1879885783785839E-3</v>
      </c>
      <c r="CQ22" s="45">
        <f t="shared" si="22"/>
        <v>3.2829051050147696E-2</v>
      </c>
      <c r="CR22" s="45">
        <f t="shared" si="22"/>
        <v>7.8559030529674386E-3</v>
      </c>
      <c r="CS22" s="45">
        <f t="shared" si="22"/>
        <v>6.411922743936203E-4</v>
      </c>
      <c r="CT22" s="45">
        <f t="shared" si="22"/>
        <v>1.2786876993597889E-2</v>
      </c>
      <c r="CU22" s="45">
        <f t="shared" ref="CU22:DZ22" si="23">CU10^2</f>
        <v>6.5544524509339751E-5</v>
      </c>
      <c r="CV22" s="45">
        <f t="shared" si="23"/>
        <v>2.0430588388809477E-3</v>
      </c>
      <c r="CW22" s="45">
        <f t="shared" si="23"/>
        <v>3.4740680595904648E-3</v>
      </c>
      <c r="CX22" s="45">
        <f t="shared" si="23"/>
        <v>1.160538698235747E-2</v>
      </c>
      <c r="CY22" s="45">
        <f t="shared" si="23"/>
        <v>9.3129254150261E-3</v>
      </c>
      <c r="CZ22" s="45">
        <f t="shared" si="23"/>
        <v>4.424895059465464E-2</v>
      </c>
      <c r="DA22" s="45">
        <f t="shared" si="23"/>
        <v>1.2091451728744079E-2</v>
      </c>
      <c r="DB22" s="45">
        <f t="shared" si="23"/>
        <v>3.6412452392839745E-2</v>
      </c>
      <c r="DC22" s="45">
        <f t="shared" si="23"/>
        <v>4.2961982124366043E-4</v>
      </c>
      <c r="DD22" s="45">
        <f t="shared" si="23"/>
        <v>7.5740634376350218E-3</v>
      </c>
      <c r="DE22" s="45">
        <f t="shared" si="23"/>
        <v>6.728033843953052E-3</v>
      </c>
      <c r="DF22" s="45">
        <f t="shared" si="23"/>
        <v>2.7847821251246123E-2</v>
      </c>
      <c r="DG22" s="45">
        <f t="shared" si="23"/>
        <v>4.9478702022008603E-2</v>
      </c>
      <c r="DH22" s="45">
        <f t="shared" si="23"/>
        <v>2.0821839571003448E-2</v>
      </c>
      <c r="DI22" s="45">
        <f t="shared" si="23"/>
        <v>1.4308932973192761E-2</v>
      </c>
      <c r="DJ22" s="45">
        <f t="shared" si="23"/>
        <v>1.0321085627255753E-2</v>
      </c>
      <c r="DK22" s="45">
        <f t="shared" si="23"/>
        <v>8.6220619337353931E-3</v>
      </c>
      <c r="DL22" s="45">
        <f t="shared" si="23"/>
        <v>1.8173586858343696E-3</v>
      </c>
      <c r="DM22" s="45">
        <f t="shared" si="23"/>
        <v>6.8445958863232442E-3</v>
      </c>
      <c r="DN22" s="45">
        <f t="shared" si="23"/>
        <v>9.6406849840983359E-4</v>
      </c>
      <c r="DO22" s="45">
        <f t="shared" si="23"/>
        <v>9.6318502978574808E-3</v>
      </c>
      <c r="DP22" s="45">
        <f t="shared" si="23"/>
        <v>1.7053455955604278E-2</v>
      </c>
      <c r="DQ22" s="45">
        <f t="shared" si="23"/>
        <v>2.3673789185478821E-3</v>
      </c>
      <c r="DR22" s="45">
        <f t="shared" si="23"/>
        <v>1.5407124335768466E-3</v>
      </c>
      <c r="DS22" s="45">
        <f t="shared" si="23"/>
        <v>2.5930725116640962E-2</v>
      </c>
      <c r="DT22" s="45">
        <f t="shared" si="23"/>
        <v>6.2226801681010647E-3</v>
      </c>
      <c r="DU22" s="45">
        <f t="shared" si="23"/>
        <v>2.6921313954919424E-2</v>
      </c>
      <c r="DV22" s="45">
        <f t="shared" si="23"/>
        <v>5.6328800675286651E-5</v>
      </c>
      <c r="DW22" s="45">
        <f t="shared" si="23"/>
        <v>1.0331756871656347E-2</v>
      </c>
      <c r="DX22" s="45">
        <f t="shared" si="23"/>
        <v>3.1405143826489668E-3</v>
      </c>
      <c r="DY22" s="45">
        <f t="shared" si="23"/>
        <v>1.137563878096463E-2</v>
      </c>
      <c r="DZ22" s="45">
        <f t="shared" si="23"/>
        <v>4.7867822305639905E-3</v>
      </c>
      <c r="EA22" s="45">
        <f t="shared" ref="EA22:EF22" si="24">EA10^2</f>
        <v>1.59235773418211E-2</v>
      </c>
      <c r="EB22" s="45">
        <f t="shared" si="24"/>
        <v>4.1908944894200424E-3</v>
      </c>
      <c r="EC22" s="45">
        <f t="shared" si="24"/>
        <v>2.6446410296186275E-3</v>
      </c>
      <c r="ED22" s="45">
        <f t="shared" si="24"/>
        <v>1.1900242728375913E-3</v>
      </c>
      <c r="EE22" s="45">
        <f t="shared" si="24"/>
        <v>2.4862225023126495E-2</v>
      </c>
      <c r="EF22" s="45">
        <f t="shared" si="24"/>
        <v>5.9088827383375786E-2</v>
      </c>
    </row>
    <row r="23" spans="1:136" ht="16">
      <c r="A23" s="41"/>
      <c r="B23" s="39" t="s">
        <v>138</v>
      </c>
      <c r="C23" s="45">
        <f t="shared" ref="C23:AH23" si="25">C11^2</f>
        <v>2.9424962947699911E-3</v>
      </c>
      <c r="D23" s="45">
        <f t="shared" si="25"/>
        <v>2.059074167658151E-3</v>
      </c>
      <c r="E23" s="45">
        <f t="shared" si="25"/>
        <v>3.1514318274691188E-4</v>
      </c>
      <c r="F23" s="45">
        <f t="shared" si="25"/>
        <v>7.6890721339683337E-3</v>
      </c>
      <c r="G23" s="45">
        <f t="shared" si="25"/>
        <v>1.0559465472918014E-2</v>
      </c>
      <c r="H23" s="45">
        <f t="shared" si="25"/>
        <v>6.3069879875624846E-6</v>
      </c>
      <c r="I23" s="45">
        <f t="shared" si="25"/>
        <v>3.3502003352045134E-4</v>
      </c>
      <c r="J23" s="45">
        <f t="shared" si="25"/>
        <v>4.8887532041517415E-4</v>
      </c>
      <c r="K23" s="45">
        <f t="shared" si="25"/>
        <v>5.9688056303032417E-3</v>
      </c>
      <c r="L23" s="45">
        <f t="shared" si="25"/>
        <v>8.7311801112263879E-5</v>
      </c>
      <c r="M23" s="45">
        <f t="shared" si="25"/>
        <v>2.873193829916625E-3</v>
      </c>
      <c r="N23" s="45">
        <f t="shared" si="25"/>
        <v>4.6073356328051786E-3</v>
      </c>
      <c r="O23" s="45">
        <f t="shared" si="25"/>
        <v>4.2158901598624366E-3</v>
      </c>
      <c r="P23" s="45">
        <f t="shared" si="25"/>
        <v>2.3821054386013211E-5</v>
      </c>
      <c r="Q23" s="45">
        <f t="shared" si="25"/>
        <v>3.6855622546895207E-4</v>
      </c>
      <c r="R23" s="45">
        <f t="shared" si="25"/>
        <v>2.9870042368556722E-5</v>
      </c>
      <c r="S23" s="45">
        <f t="shared" si="25"/>
        <v>1.3360097496481892E-3</v>
      </c>
      <c r="T23" s="45">
        <f t="shared" si="25"/>
        <v>1.6688781966867596E-2</v>
      </c>
      <c r="U23" s="45">
        <f t="shared" si="25"/>
        <v>1.8748202760809614E-4</v>
      </c>
      <c r="V23" s="45">
        <f t="shared" si="25"/>
        <v>2.3394473192739536E-4</v>
      </c>
      <c r="W23" s="45">
        <f t="shared" si="25"/>
        <v>1.0959099784052484E-2</v>
      </c>
      <c r="X23" s="45">
        <f t="shared" si="25"/>
        <v>8.6346676822882121E-2</v>
      </c>
      <c r="Y23" s="45">
        <f t="shared" si="25"/>
        <v>3.5061183838375133E-3</v>
      </c>
      <c r="Z23" s="45">
        <f t="shared" si="25"/>
        <v>3.4205878279447842E-2</v>
      </c>
      <c r="AA23" s="45">
        <f t="shared" si="25"/>
        <v>9.6525592252829466E-3</v>
      </c>
      <c r="AB23" s="45">
        <f t="shared" si="25"/>
        <v>4.3209728479720412E-7</v>
      </c>
      <c r="AC23" s="45">
        <f t="shared" si="25"/>
        <v>1.0750810579255237E-2</v>
      </c>
      <c r="AD23" s="45">
        <f t="shared" si="25"/>
        <v>1.2567690104255271E-5</v>
      </c>
      <c r="AE23" s="45">
        <f t="shared" si="25"/>
        <v>3.0835882156048783E-2</v>
      </c>
      <c r="AF23" s="45">
        <f t="shared" si="25"/>
        <v>2.4035262433120905E-2</v>
      </c>
      <c r="AG23" s="45">
        <f t="shared" si="25"/>
        <v>6.9319650662206438E-4</v>
      </c>
      <c r="AH23" s="45">
        <f t="shared" si="25"/>
        <v>2.4988102995418992E-5</v>
      </c>
      <c r="AI23" s="45">
        <f t="shared" ref="AI23:BN23" si="26">AI11^2</f>
        <v>7.8779660257925624E-4</v>
      </c>
      <c r="AJ23" s="45">
        <f t="shared" si="26"/>
        <v>5.0105213836060746E-4</v>
      </c>
      <c r="AK23" s="45">
        <f t="shared" si="26"/>
        <v>2.2109580205685515E-3</v>
      </c>
      <c r="AL23" s="45">
        <f t="shared" si="26"/>
        <v>1.0314740717783251E-2</v>
      </c>
      <c r="AM23" s="45">
        <f t="shared" si="26"/>
        <v>5.5343262156863572E-4</v>
      </c>
      <c r="AN23" s="45">
        <f t="shared" si="26"/>
        <v>2.7588997976275898E-3</v>
      </c>
      <c r="AO23" s="45">
        <f t="shared" si="26"/>
        <v>3.4225885640141755E-3</v>
      </c>
      <c r="AP23" s="45">
        <f t="shared" si="26"/>
        <v>1.118725626162101E-3</v>
      </c>
      <c r="AQ23" s="45">
        <f t="shared" si="26"/>
        <v>2.0450045203045813E-4</v>
      </c>
      <c r="AR23" s="45">
        <f t="shared" si="26"/>
        <v>1.2890681145068224E-3</v>
      </c>
      <c r="AS23" s="45">
        <f t="shared" si="26"/>
        <v>1.5826302227352094E-3</v>
      </c>
      <c r="AT23" s="45">
        <f t="shared" si="26"/>
        <v>2.2039242020426623E-2</v>
      </c>
      <c r="AU23" s="45">
        <f t="shared" si="26"/>
        <v>1.6636034229909587E-3</v>
      </c>
      <c r="AV23" s="45">
        <f t="shared" si="26"/>
        <v>1.9309590933108238E-2</v>
      </c>
      <c r="AW23" s="45">
        <f t="shared" si="26"/>
        <v>3.5836126990842362E-3</v>
      </c>
      <c r="AX23" s="45">
        <f t="shared" si="26"/>
        <v>2.2436988075031212E-2</v>
      </c>
      <c r="AY23" s="45">
        <f t="shared" si="26"/>
        <v>3.7940489141036855E-3</v>
      </c>
      <c r="AZ23" s="45">
        <f t="shared" si="26"/>
        <v>3.8377717094877179E-3</v>
      </c>
      <c r="BA23" s="45">
        <f t="shared" si="26"/>
        <v>5.7085842824112805E-6</v>
      </c>
      <c r="BB23" s="45">
        <f t="shared" si="26"/>
        <v>2.2162365071883454E-2</v>
      </c>
      <c r="BC23" s="45">
        <f t="shared" si="26"/>
        <v>3.6421850194502817E-3</v>
      </c>
      <c r="BD23" s="45">
        <f t="shared" si="26"/>
        <v>2.1567132814367246E-4</v>
      </c>
      <c r="BE23" s="45">
        <f t="shared" si="26"/>
        <v>2.1466733042722119E-2</v>
      </c>
      <c r="BF23" s="45">
        <f t="shared" si="26"/>
        <v>4.3581843456671758E-2</v>
      </c>
      <c r="BG23" s="45">
        <f t="shared" si="26"/>
        <v>4.0579385301159648E-2</v>
      </c>
      <c r="BH23" s="45">
        <f t="shared" si="26"/>
        <v>1.3935782851325853E-2</v>
      </c>
      <c r="BI23" s="45">
        <f t="shared" si="26"/>
        <v>5.9330934213272886E-3</v>
      </c>
      <c r="BJ23" s="45">
        <f t="shared" si="26"/>
        <v>1.3119113666831017E-3</v>
      </c>
      <c r="BK23" s="45">
        <f t="shared" si="26"/>
        <v>3.5748481064286472E-4</v>
      </c>
      <c r="BL23" s="45">
        <f t="shared" si="26"/>
        <v>2.9328493400993451E-2</v>
      </c>
      <c r="BM23" s="45">
        <f t="shared" si="26"/>
        <v>1.7667061037884114E-2</v>
      </c>
      <c r="BN23" s="45">
        <f t="shared" si="26"/>
        <v>1.2893630347257589E-3</v>
      </c>
      <c r="BO23" s="45">
        <f t="shared" ref="BO23:CT23" si="27">BO11^2</f>
        <v>4.555884575901441E-4</v>
      </c>
      <c r="BP23" s="45">
        <f t="shared" si="27"/>
        <v>2.4636156414780219E-3</v>
      </c>
      <c r="BQ23" s="45">
        <f t="shared" si="27"/>
        <v>2.9622597057292401E-4</v>
      </c>
      <c r="BR23" s="45">
        <f t="shared" si="27"/>
        <v>3.6034382227143044E-2</v>
      </c>
      <c r="BS23" s="45">
        <f t="shared" si="27"/>
        <v>9.5267433223972416E-3</v>
      </c>
      <c r="BT23" s="45">
        <f t="shared" si="27"/>
        <v>1.4312181655934848E-3</v>
      </c>
      <c r="BU23" s="45">
        <f t="shared" si="27"/>
        <v>3.1369302523255979E-3</v>
      </c>
      <c r="BV23" s="45">
        <f t="shared" si="27"/>
        <v>1.3627535644839506E-2</v>
      </c>
      <c r="BW23" s="45">
        <f t="shared" si="27"/>
        <v>1.9972187007291264E-2</v>
      </c>
      <c r="BX23" s="45">
        <f t="shared" si="27"/>
        <v>1.140430378647656E-5</v>
      </c>
      <c r="BY23" s="45">
        <f t="shared" si="27"/>
        <v>1.6987488721731576E-2</v>
      </c>
      <c r="BZ23" s="45">
        <f t="shared" si="27"/>
        <v>1.0047461557265778E-3</v>
      </c>
      <c r="CA23" s="45">
        <f t="shared" si="27"/>
        <v>1.6447110645557072E-3</v>
      </c>
      <c r="CB23" s="45">
        <f t="shared" si="27"/>
        <v>1.767137228315438E-3</v>
      </c>
      <c r="CC23" s="45">
        <f t="shared" si="27"/>
        <v>2.5013725272755708E-3</v>
      </c>
      <c r="CD23" s="45">
        <f t="shared" si="27"/>
        <v>4.6862621773654262E-3</v>
      </c>
      <c r="CE23" s="45">
        <f t="shared" si="27"/>
        <v>6.5338267870204162E-3</v>
      </c>
      <c r="CF23" s="45">
        <f t="shared" si="27"/>
        <v>3.7959149352106796E-6</v>
      </c>
      <c r="CG23" s="45">
        <f t="shared" si="27"/>
        <v>1.3973368107735227E-2</v>
      </c>
      <c r="CH23" s="45">
        <f t="shared" si="27"/>
        <v>1.3483500252419256E-3</v>
      </c>
      <c r="CI23" s="45">
        <f t="shared" si="27"/>
        <v>6.944354409283488E-3</v>
      </c>
      <c r="CJ23" s="45">
        <f t="shared" si="27"/>
        <v>5.3209971579111864E-2</v>
      </c>
      <c r="CK23" s="45">
        <f t="shared" si="27"/>
        <v>1.7630136062643516E-2</v>
      </c>
      <c r="CL23" s="45">
        <f t="shared" si="27"/>
        <v>1.9962106501869858E-2</v>
      </c>
      <c r="CM23" s="45">
        <f t="shared" si="27"/>
        <v>1.2698898011967283E-2</v>
      </c>
      <c r="CN23" s="45">
        <f t="shared" si="27"/>
        <v>4.9947135394185591E-2</v>
      </c>
      <c r="CO23" s="45">
        <f t="shared" si="27"/>
        <v>1.0903362974249101E-2</v>
      </c>
      <c r="CP23" s="45">
        <f t="shared" si="27"/>
        <v>2.0817366158502797E-4</v>
      </c>
      <c r="CQ23" s="45">
        <f t="shared" si="27"/>
        <v>4.2945670995945519E-2</v>
      </c>
      <c r="CR23" s="45">
        <f t="shared" si="27"/>
        <v>1.818826329983373E-2</v>
      </c>
      <c r="CS23" s="45">
        <f t="shared" si="27"/>
        <v>5.330129925765671E-3</v>
      </c>
      <c r="CT23" s="45">
        <f t="shared" si="27"/>
        <v>9.1315039355651805E-4</v>
      </c>
      <c r="CU23" s="45">
        <f t="shared" ref="CU23:DZ23" si="28">CU11^2</f>
        <v>8.2305398372276448E-2</v>
      </c>
      <c r="CV23" s="45">
        <f t="shared" si="28"/>
        <v>5.323658125231813E-2</v>
      </c>
      <c r="CW23" s="45">
        <f t="shared" si="28"/>
        <v>8.2947828598525283E-3</v>
      </c>
      <c r="CX23" s="45">
        <f t="shared" si="28"/>
        <v>1.5002754583806925E-2</v>
      </c>
      <c r="CY23" s="45">
        <f t="shared" si="28"/>
        <v>6.1437262145754186E-3</v>
      </c>
      <c r="CZ23" s="45">
        <f t="shared" si="28"/>
        <v>2.1114120178055175E-3</v>
      </c>
      <c r="DA23" s="45">
        <f t="shared" si="28"/>
        <v>6.8343561034422563E-3</v>
      </c>
      <c r="DB23" s="45">
        <f t="shared" si="28"/>
        <v>2.2305204479499383E-2</v>
      </c>
      <c r="DC23" s="45">
        <f t="shared" si="28"/>
        <v>2.2847162154111663E-3</v>
      </c>
      <c r="DD23" s="45">
        <f t="shared" si="28"/>
        <v>2.7064678662887049E-2</v>
      </c>
      <c r="DE23" s="45">
        <f t="shared" si="28"/>
        <v>1.2225360760831885E-2</v>
      </c>
      <c r="DF23" s="45">
        <f t="shared" si="28"/>
        <v>3.2966966393763162E-3</v>
      </c>
      <c r="DG23" s="45">
        <f t="shared" si="28"/>
        <v>4.6177804713180344E-2</v>
      </c>
      <c r="DH23" s="45">
        <f t="shared" si="28"/>
        <v>3.9686415441255191E-3</v>
      </c>
      <c r="DI23" s="45">
        <f t="shared" si="28"/>
        <v>4.5861486060873721E-3</v>
      </c>
      <c r="DJ23" s="45">
        <f t="shared" si="28"/>
        <v>1.4113933508686947E-2</v>
      </c>
      <c r="DK23" s="45">
        <f t="shared" si="28"/>
        <v>5.3038165655135587E-5</v>
      </c>
      <c r="DL23" s="45">
        <f t="shared" si="28"/>
        <v>5.0866278425543898E-3</v>
      </c>
      <c r="DM23" s="45">
        <f t="shared" si="28"/>
        <v>4.4192030717479113E-4</v>
      </c>
      <c r="DN23" s="45">
        <f t="shared" si="28"/>
        <v>9.2435602590540443E-4</v>
      </c>
      <c r="DO23" s="45">
        <f t="shared" si="28"/>
        <v>9.3992359170593232E-3</v>
      </c>
      <c r="DP23" s="45">
        <f t="shared" si="28"/>
        <v>5.3211643863895493E-2</v>
      </c>
      <c r="DQ23" s="45">
        <f t="shared" si="28"/>
        <v>5.6731766595356822E-2</v>
      </c>
      <c r="DR23" s="45">
        <f t="shared" si="28"/>
        <v>1.2779732721999408E-5</v>
      </c>
      <c r="DS23" s="45">
        <f t="shared" si="28"/>
        <v>1.7944107252667544E-2</v>
      </c>
      <c r="DT23" s="45">
        <f t="shared" si="28"/>
        <v>1.3249413434882942E-2</v>
      </c>
      <c r="DU23" s="45">
        <f t="shared" si="28"/>
        <v>1.0832602517582508E-2</v>
      </c>
      <c r="DV23" s="45">
        <f t="shared" si="28"/>
        <v>2.9823682090757879E-3</v>
      </c>
      <c r="DW23" s="45">
        <f t="shared" si="28"/>
        <v>1.1082370139875364E-3</v>
      </c>
      <c r="DX23" s="45">
        <f t="shared" si="28"/>
        <v>3.0354498547830525E-3</v>
      </c>
      <c r="DY23" s="45">
        <f t="shared" si="28"/>
        <v>4.7325832565790213E-3</v>
      </c>
      <c r="DZ23" s="45">
        <f t="shared" si="28"/>
        <v>2.0969279010246204E-4</v>
      </c>
      <c r="EA23" s="45">
        <f t="shared" ref="EA23:EF23" si="29">EA11^2</f>
        <v>8.5929031587546431E-2</v>
      </c>
      <c r="EB23" s="45">
        <f t="shared" si="29"/>
        <v>1.987395609544565E-2</v>
      </c>
      <c r="EC23" s="45">
        <f t="shared" si="29"/>
        <v>1.4906851026839793E-4</v>
      </c>
      <c r="ED23" s="45">
        <f t="shared" si="29"/>
        <v>3.3834798795211859E-3</v>
      </c>
      <c r="EE23" s="45">
        <f t="shared" si="29"/>
        <v>2.0852230305009004E-2</v>
      </c>
      <c r="EF23" s="45">
        <f t="shared" si="29"/>
        <v>4.5846649289606267E-5</v>
      </c>
    </row>
    <row r="25" spans="1:136" ht="20" customHeight="1">
      <c r="A25" s="57"/>
      <c r="B25" s="55">
        <v>4.9000000000000002E-2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真實IC</vt:lpstr>
      <vt:lpstr>預測IC</vt:lpstr>
      <vt:lpstr>NN5勝率</vt:lpstr>
      <vt:lpstr>NN5累積報酬 </vt:lpstr>
      <vt:lpstr>NN5再投資累積報酬</vt:lpstr>
      <vt:lpstr>NN5夏普比率</vt:lpstr>
      <vt:lpstr>NN5樣本外R2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柏郡 黃</dc:creator>
  <cp:lastModifiedBy>黃柏郡</cp:lastModifiedBy>
  <dcterms:created xsi:type="dcterms:W3CDTF">2025-03-19T13:51:22Z</dcterms:created>
  <dcterms:modified xsi:type="dcterms:W3CDTF">2025-09-28T07:33:11Z</dcterms:modified>
</cp:coreProperties>
</file>