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3"/>
  <workbookPr/>
  <mc:AlternateContent xmlns:mc="http://schemas.openxmlformats.org/markup-compatibility/2006">
    <mc:Choice Requires="x15">
      <x15ac:absPath xmlns:x15ac="http://schemas.microsoft.com/office/spreadsheetml/2010/11/ac" url="/Users/Brian/Documents/Brian/大專生計畫/"/>
    </mc:Choice>
  </mc:AlternateContent>
  <xr:revisionPtr revIDLastSave="0" documentId="13_ncr:1_{73D43495-00E9-4041-B128-8DA20144A07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預測IC" sheetId="2" r:id="rId1"/>
    <sheet name="預測LightGBM勝率" sheetId="4" r:id="rId2"/>
    <sheet name="預測LightGBM累積報酬 " sheetId="6" r:id="rId3"/>
    <sheet name="LightGBM再投資累積報酬" sheetId="8" r:id="rId4"/>
    <sheet name="預測LightGBM夏普比率" sheetId="9" r:id="rId5"/>
    <sheet name="LightGBM樣本外R2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8" i="4" l="1" a="1"/>
  <c r="EF8" i="4" s="1"/>
  <c r="EE8" i="4" a="1"/>
  <c r="EE8" i="4" s="1"/>
  <c r="ED8" i="4" a="1"/>
  <c r="ED8" i="4" s="1"/>
  <c r="EC8" i="4" a="1"/>
  <c r="EC8" i="4" s="1"/>
  <c r="EB8" i="4" a="1"/>
  <c r="EB8" i="4" s="1"/>
  <c r="EA8" i="4" a="1"/>
  <c r="EA8" i="4" s="1"/>
  <c r="DZ8" i="4" a="1"/>
  <c r="DZ8" i="4" s="1"/>
  <c r="DY8" i="4" a="1"/>
  <c r="DY8" i="4" s="1"/>
  <c r="DX8" i="4" a="1"/>
  <c r="DX8" i="4" s="1"/>
  <c r="DW8" i="4" a="1"/>
  <c r="DW8" i="4" s="1"/>
  <c r="DV8" i="4" a="1"/>
  <c r="DV8" i="4" s="1"/>
  <c r="DU8" i="4" a="1"/>
  <c r="DU8" i="4" s="1"/>
  <c r="DT8" i="4" a="1"/>
  <c r="DT8" i="4" s="1"/>
  <c r="DS8" i="4" a="1"/>
  <c r="DS8" i="4" s="1"/>
  <c r="DR8" i="4" a="1"/>
  <c r="DR8" i="4" s="1"/>
  <c r="DQ8" i="4" a="1"/>
  <c r="DQ8" i="4" s="1"/>
  <c r="DP8" i="4" a="1"/>
  <c r="DP8" i="4" s="1"/>
  <c r="DO8" i="4" a="1"/>
  <c r="DO8" i="4" s="1"/>
  <c r="DN8" i="4" a="1"/>
  <c r="DN8" i="4" s="1"/>
  <c r="DM8" i="4" a="1"/>
  <c r="DM8" i="4" s="1"/>
  <c r="DL8" i="4" a="1"/>
  <c r="DL8" i="4" s="1"/>
  <c r="DK8" i="4" a="1"/>
  <c r="DK8" i="4" s="1"/>
  <c r="DJ8" i="4" a="1"/>
  <c r="DJ8" i="4" s="1"/>
  <c r="DI8" i="4" a="1"/>
  <c r="DI8" i="4" s="1"/>
  <c r="DH8" i="4" a="1"/>
  <c r="DH8" i="4" s="1"/>
  <c r="DG8" i="4" a="1"/>
  <c r="DG8" i="4" s="1"/>
  <c r="DF8" i="4" a="1"/>
  <c r="DF8" i="4" s="1"/>
  <c r="DE8" i="4" a="1"/>
  <c r="DE8" i="4" s="1"/>
  <c r="DD8" i="4" a="1"/>
  <c r="DD8" i="4" s="1"/>
  <c r="DC8" i="4" a="1"/>
  <c r="DC8" i="4" s="1"/>
  <c r="DB8" i="4" a="1"/>
  <c r="DB8" i="4" s="1"/>
  <c r="DA8" i="4" a="1"/>
  <c r="DA8" i="4" s="1"/>
  <c r="CZ8" i="4" a="1"/>
  <c r="CZ8" i="4" s="1"/>
  <c r="CY8" i="4" a="1"/>
  <c r="CY8" i="4" s="1"/>
  <c r="CX8" i="4" a="1"/>
  <c r="CX8" i="4" s="1"/>
  <c r="CW8" i="4" a="1"/>
  <c r="CW8" i="4" s="1"/>
  <c r="CV8" i="4" a="1"/>
  <c r="CV8" i="4" s="1"/>
  <c r="CU8" i="4" a="1"/>
  <c r="CU8" i="4" s="1"/>
  <c r="CT8" i="4" a="1"/>
  <c r="CT8" i="4" s="1"/>
  <c r="CS8" i="4" a="1"/>
  <c r="CS8" i="4" s="1"/>
  <c r="CR8" i="4" a="1"/>
  <c r="CR8" i="4" s="1"/>
  <c r="CQ8" i="4" a="1"/>
  <c r="CQ8" i="4" s="1"/>
  <c r="CP8" i="4" a="1"/>
  <c r="CP8" i="4" s="1"/>
  <c r="CO8" i="4" a="1"/>
  <c r="CO8" i="4" s="1"/>
  <c r="CN8" i="4" a="1"/>
  <c r="CN8" i="4" s="1"/>
  <c r="CM8" i="4" a="1"/>
  <c r="CM8" i="4" s="1"/>
  <c r="CL8" i="4" a="1"/>
  <c r="CL8" i="4" s="1"/>
  <c r="CK8" i="4" a="1"/>
  <c r="CK8" i="4" s="1"/>
  <c r="CJ8" i="4" a="1"/>
  <c r="CJ8" i="4" s="1"/>
  <c r="CI8" i="4" a="1"/>
  <c r="CI8" i="4" s="1"/>
  <c r="CH8" i="4" a="1"/>
  <c r="CH8" i="4" s="1"/>
  <c r="CG8" i="4" a="1"/>
  <c r="CG8" i="4" s="1"/>
  <c r="CF8" i="4" a="1"/>
  <c r="CF8" i="4" s="1"/>
  <c r="CE8" i="4" a="1"/>
  <c r="CE8" i="4" s="1"/>
  <c r="CD8" i="4" a="1"/>
  <c r="CD8" i="4" s="1"/>
  <c r="CC8" i="4" a="1"/>
  <c r="CC8" i="4" s="1"/>
  <c r="CB8" i="4" a="1"/>
  <c r="CB8" i="4" s="1"/>
  <c r="CA8" i="4" a="1"/>
  <c r="CA8" i="4" s="1"/>
  <c r="BZ8" i="4" a="1"/>
  <c r="BZ8" i="4" s="1"/>
  <c r="BY8" i="4" a="1"/>
  <c r="BY8" i="4" s="1"/>
  <c r="BX8" i="4" a="1"/>
  <c r="BX8" i="4" s="1"/>
  <c r="BW8" i="4" a="1"/>
  <c r="BW8" i="4" s="1"/>
  <c r="BV8" i="4" a="1"/>
  <c r="BV8" i="4" s="1"/>
  <c r="BU8" i="4" a="1"/>
  <c r="BU8" i="4" s="1"/>
  <c r="BT8" i="4" a="1"/>
  <c r="BT8" i="4" s="1"/>
  <c r="BS8" i="4" a="1"/>
  <c r="BS8" i="4" s="1"/>
  <c r="BR8" i="4" a="1"/>
  <c r="BR8" i="4" s="1"/>
  <c r="BQ8" i="4" a="1"/>
  <c r="BQ8" i="4" s="1"/>
  <c r="BP8" i="4" a="1"/>
  <c r="BP8" i="4" s="1"/>
  <c r="BO8" i="4" a="1"/>
  <c r="BO8" i="4" s="1"/>
  <c r="BN8" i="4" a="1"/>
  <c r="BN8" i="4" s="1"/>
  <c r="BM8" i="4" a="1"/>
  <c r="BM8" i="4" s="1"/>
  <c r="BL8" i="4" a="1"/>
  <c r="BL8" i="4" s="1"/>
  <c r="BK8" i="4" a="1"/>
  <c r="BK8" i="4" s="1"/>
  <c r="BJ8" i="4" a="1"/>
  <c r="BJ8" i="4" s="1"/>
  <c r="BI8" i="4" a="1"/>
  <c r="BI8" i="4" s="1"/>
  <c r="BH8" i="4" a="1"/>
  <c r="BH8" i="4" s="1"/>
  <c r="BG8" i="4" a="1"/>
  <c r="BG8" i="4" s="1"/>
  <c r="BF8" i="4" a="1"/>
  <c r="BF8" i="4" s="1"/>
  <c r="BE8" i="4" a="1"/>
  <c r="BE8" i="4" s="1"/>
  <c r="BD8" i="4" a="1"/>
  <c r="BD8" i="4" s="1"/>
  <c r="BC8" i="4" a="1"/>
  <c r="BC8" i="4" s="1"/>
  <c r="BB8" i="4" a="1"/>
  <c r="BB8" i="4" s="1"/>
  <c r="BA8" i="4" a="1"/>
  <c r="BA8" i="4" s="1"/>
  <c r="AZ8" i="4" a="1"/>
  <c r="AZ8" i="4" s="1"/>
  <c r="AY8" i="4" a="1"/>
  <c r="AY8" i="4" s="1"/>
  <c r="AX8" i="4" a="1"/>
  <c r="AX8" i="4" s="1"/>
  <c r="AW8" i="4" a="1"/>
  <c r="AW8" i="4" s="1"/>
  <c r="AV8" i="4" a="1"/>
  <c r="AV8" i="4" s="1"/>
  <c r="AU8" i="4" a="1"/>
  <c r="AU8" i="4" s="1"/>
  <c r="AT8" i="4" a="1"/>
  <c r="AT8" i="4" s="1"/>
  <c r="AS8" i="4" a="1"/>
  <c r="AS8" i="4" s="1"/>
  <c r="AR8" i="4" a="1"/>
  <c r="AR8" i="4" s="1"/>
  <c r="AQ8" i="4" a="1"/>
  <c r="AQ8" i="4" s="1"/>
  <c r="AP8" i="4" a="1"/>
  <c r="AP8" i="4" s="1"/>
  <c r="AO8" i="4" a="1"/>
  <c r="AO8" i="4" s="1"/>
  <c r="AN8" i="4" a="1"/>
  <c r="AN8" i="4" s="1"/>
  <c r="AM8" i="4" a="1"/>
  <c r="AM8" i="4" s="1"/>
  <c r="AL8" i="4" a="1"/>
  <c r="AL8" i="4" s="1"/>
  <c r="AK8" i="4" a="1"/>
  <c r="AK8" i="4" s="1"/>
  <c r="AJ8" i="4" a="1"/>
  <c r="AJ8" i="4" s="1"/>
  <c r="AI8" i="4" a="1"/>
  <c r="AI8" i="4" s="1"/>
  <c r="AH8" i="4" a="1"/>
  <c r="AH8" i="4" s="1"/>
  <c r="AG8" i="4" a="1"/>
  <c r="AG8" i="4" s="1"/>
  <c r="AF8" i="4" a="1"/>
  <c r="AF8" i="4" s="1"/>
  <c r="AE8" i="4" a="1"/>
  <c r="AE8" i="4" s="1"/>
  <c r="AD8" i="4" a="1"/>
  <c r="AD8" i="4" s="1"/>
  <c r="AC8" i="4" a="1"/>
  <c r="AC8" i="4" s="1"/>
  <c r="AB8" i="4" a="1"/>
  <c r="AB8" i="4" s="1"/>
  <c r="AA8" i="4" a="1"/>
  <c r="AA8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Q8" i="4" a="1"/>
  <c r="Q8" i="4" s="1"/>
  <c r="P8" i="4" a="1"/>
  <c r="P8" i="4" s="1"/>
  <c r="O8" i="4" a="1"/>
  <c r="O8" i="4" s="1"/>
  <c r="N8" i="4" a="1"/>
  <c r="N8" i="4" s="1"/>
  <c r="M8" i="4" a="1"/>
  <c r="M8" i="4" s="1"/>
  <c r="L8" i="4" a="1"/>
  <c r="L8" i="4" s="1"/>
  <c r="K8" i="4" a="1"/>
  <c r="K8" i="4" s="1"/>
  <c r="J8" i="4" a="1"/>
  <c r="J8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C8" i="4" a="1"/>
  <c r="C8" i="4" s="1"/>
  <c r="EF8" i="2" a="1"/>
  <c r="EF8" i="2" s="1"/>
  <c r="C8" i="2" a="1"/>
  <c r="C8" i="2"/>
  <c r="EF31" i="11"/>
  <c r="EE31" i="11"/>
  <c r="ED31" i="11"/>
  <c r="EC31" i="11"/>
  <c r="EB31" i="11"/>
  <c r="EA31" i="11"/>
  <c r="DZ31" i="11"/>
  <c r="DY31" i="11"/>
  <c r="DX31" i="11"/>
  <c r="DW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J31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EF30" i="11"/>
  <c r="EE30" i="11"/>
  <c r="ED30" i="11"/>
  <c r="EC30" i="11"/>
  <c r="EB30" i="11"/>
  <c r="EA30" i="11"/>
  <c r="DZ30" i="11"/>
  <c r="DY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EF29" i="11"/>
  <c r="EE29" i="11"/>
  <c r="ED29" i="11"/>
  <c r="EC29" i="11"/>
  <c r="EB29" i="11"/>
  <c r="EA29" i="11"/>
  <c r="DZ29" i="11"/>
  <c r="DY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EF23" i="11"/>
  <c r="EE23" i="11"/>
  <c r="ED23" i="11"/>
  <c r="EC23" i="11"/>
  <c r="EB23" i="11"/>
  <c r="EA23" i="11"/>
  <c r="DZ23" i="11"/>
  <c r="DY23" i="11"/>
  <c r="DX23" i="11"/>
  <c r="DW23" i="11"/>
  <c r="DV23" i="11"/>
  <c r="DU23" i="11"/>
  <c r="DT23" i="11"/>
  <c r="DS23" i="11"/>
  <c r="DR23" i="11"/>
  <c r="DQ23" i="11"/>
  <c r="DP23" i="11"/>
  <c r="DO23" i="11"/>
  <c r="DN23" i="11"/>
  <c r="DM23" i="11"/>
  <c r="DL23" i="11"/>
  <c r="DK23" i="11"/>
  <c r="DJ23" i="11"/>
  <c r="DI23" i="11"/>
  <c r="DH23" i="11"/>
  <c r="DG23" i="11"/>
  <c r="DF23" i="11"/>
  <c r="DE23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EF22" i="11"/>
  <c r="EE22" i="11"/>
  <c r="ED22" i="11"/>
  <c r="EC22" i="11"/>
  <c r="EB22" i="11"/>
  <c r="EA22" i="11"/>
  <c r="DZ22" i="11"/>
  <c r="DY22" i="11"/>
  <c r="DX22" i="11"/>
  <c r="DW22" i="11"/>
  <c r="DV22" i="11"/>
  <c r="DU22" i="11"/>
  <c r="DT22" i="11"/>
  <c r="DS22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33" i="11" s="1"/>
  <c r="EH27" i="9"/>
  <c r="EG27" i="9"/>
  <c r="EI27" i="9" s="1"/>
  <c r="EH26" i="9"/>
  <c r="EG26" i="9"/>
  <c r="EH25" i="9"/>
  <c r="EG25" i="9"/>
  <c r="EH24" i="9"/>
  <c r="EG24" i="9"/>
  <c r="EI24" i="9" s="1"/>
  <c r="EH23" i="9"/>
  <c r="EG23" i="9"/>
  <c r="EI23" i="9" s="1"/>
  <c r="EH22" i="9"/>
  <c r="EG22" i="9"/>
  <c r="EH21" i="9"/>
  <c r="EG21" i="9"/>
  <c r="EH20" i="9"/>
  <c r="EG20" i="9"/>
  <c r="EH19" i="9"/>
  <c r="EG19" i="9"/>
  <c r="EH18" i="9"/>
  <c r="EG18" i="9"/>
  <c r="EH17" i="9"/>
  <c r="EG17" i="9"/>
  <c r="EH16" i="9"/>
  <c r="EG16" i="9"/>
  <c r="EI16" i="9" s="1"/>
  <c r="EH15" i="9"/>
  <c r="EG15" i="9"/>
  <c r="EI15" i="9" s="1"/>
  <c r="EH14" i="9"/>
  <c r="EG14" i="9"/>
  <c r="EG18" i="8" a="1"/>
  <c r="EG18" i="8" s="1"/>
  <c r="EF18" i="8" a="1"/>
  <c r="EF18" i="8" s="1"/>
  <c r="EE18" i="8" a="1"/>
  <c r="EE18" i="8" s="1"/>
  <c r="ED18" i="8" a="1"/>
  <c r="ED18" i="8" s="1"/>
  <c r="EC18" i="8" a="1"/>
  <c r="EC18" i="8" s="1"/>
  <c r="EB18" i="8" a="1"/>
  <c r="EB18" i="8" s="1"/>
  <c r="EA18" i="8" a="1"/>
  <c r="EA18" i="8" s="1"/>
  <c r="DZ18" i="8" a="1"/>
  <c r="DZ18" i="8" s="1"/>
  <c r="DY18" i="8" a="1"/>
  <c r="DY18" i="8" s="1"/>
  <c r="DX18" i="8" a="1"/>
  <c r="DX18" i="8" s="1"/>
  <c r="DW18" i="8" a="1"/>
  <c r="DW18" i="8" s="1"/>
  <c r="DV18" i="8" a="1"/>
  <c r="DV18" i="8" s="1"/>
  <c r="DU18" i="8" a="1"/>
  <c r="DU18" i="8" s="1"/>
  <c r="DT18" i="8" a="1"/>
  <c r="DT18" i="8" s="1"/>
  <c r="DS18" i="8" a="1"/>
  <c r="DS18" i="8" s="1"/>
  <c r="DR18" i="8" a="1"/>
  <c r="DR18" i="8" s="1"/>
  <c r="DQ18" i="8" a="1"/>
  <c r="DQ18" i="8" s="1"/>
  <c r="DP18" i="8" a="1"/>
  <c r="DP18" i="8" s="1"/>
  <c r="DO18" i="8" a="1"/>
  <c r="DO18" i="8" s="1"/>
  <c r="DN18" i="8" a="1"/>
  <c r="DN18" i="8" s="1"/>
  <c r="DM18" i="8" a="1"/>
  <c r="DM18" i="8" s="1"/>
  <c r="DL18" i="8" a="1"/>
  <c r="DL18" i="8" s="1"/>
  <c r="DK18" i="8" a="1"/>
  <c r="DK18" i="8" s="1"/>
  <c r="DJ18" i="8" a="1"/>
  <c r="DJ18" i="8" s="1"/>
  <c r="DI18" i="8" a="1"/>
  <c r="DI18" i="8" s="1"/>
  <c r="DH18" i="8" a="1"/>
  <c r="DH18" i="8" s="1"/>
  <c r="DG18" i="8" a="1"/>
  <c r="DG18" i="8" s="1"/>
  <c r="DF18" i="8" a="1"/>
  <c r="DF18" i="8" s="1"/>
  <c r="DE18" i="8" a="1"/>
  <c r="DE18" i="8" s="1"/>
  <c r="DD18" i="8" a="1"/>
  <c r="DD18" i="8" s="1"/>
  <c r="DC18" i="8" a="1"/>
  <c r="DC18" i="8" s="1"/>
  <c r="DB18" i="8" a="1"/>
  <c r="DB18" i="8" s="1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 s="1"/>
  <c r="CR18" i="8" a="1"/>
  <c r="CR18" i="8" s="1"/>
  <c r="CQ18" i="8" a="1"/>
  <c r="CQ18" i="8" s="1"/>
  <c r="CP18" i="8" a="1"/>
  <c r="CP18" i="8" s="1"/>
  <c r="CO18" i="8" a="1"/>
  <c r="CO18" i="8" s="1"/>
  <c r="CN18" i="8" a="1"/>
  <c r="CN18" i="8" s="1"/>
  <c r="CM18" i="8" a="1"/>
  <c r="CM18" i="8" s="1"/>
  <c r="CL18" i="8" a="1"/>
  <c r="CK18" i="8" a="1"/>
  <c r="CK18" i="8" s="1"/>
  <c r="CJ18" i="8" a="1"/>
  <c r="CJ18" i="8" s="1"/>
  <c r="CI18" i="8" a="1"/>
  <c r="CI18" i="8" s="1"/>
  <c r="CH18" i="8" a="1"/>
  <c r="CH18" i="8" s="1"/>
  <c r="CG18" i="8" a="1"/>
  <c r="CG18" i="8" s="1"/>
  <c r="CF18" i="8" a="1"/>
  <c r="CF18" i="8" s="1"/>
  <c r="CE18" i="8" a="1"/>
  <c r="CE18" i="8" s="1"/>
  <c r="CD18" i="8" a="1"/>
  <c r="CD18" i="8" s="1"/>
  <c r="CC18" i="8" a="1"/>
  <c r="CC18" i="8" s="1"/>
  <c r="CB18" i="8" a="1"/>
  <c r="CB18" i="8" s="1"/>
  <c r="CA18" i="8" a="1"/>
  <c r="CA18" i="8" s="1"/>
  <c r="BZ18" i="8" a="1"/>
  <c r="BZ18" i="8" s="1"/>
  <c r="BY18" i="8" a="1"/>
  <c r="BY18" i="8" s="1"/>
  <c r="BX18" i="8" a="1"/>
  <c r="BX18" i="8" s="1"/>
  <c r="BW18" i="8" a="1"/>
  <c r="BW18" i="8" s="1"/>
  <c r="BV18" i="8" a="1"/>
  <c r="BV18" i="8" s="1"/>
  <c r="BU18" i="8" a="1"/>
  <c r="BU18" i="8" s="1"/>
  <c r="BT18" i="8" a="1"/>
  <c r="BT18" i="8" s="1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 s="1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 s="1"/>
  <c r="BA18" i="8" a="1"/>
  <c r="BA18" i="8" s="1"/>
  <c r="AZ18" i="8" a="1"/>
  <c r="AZ18" i="8" s="1"/>
  <c r="AY18" i="8" a="1"/>
  <c r="AY18" i="8" s="1"/>
  <c r="AX18" i="8" a="1"/>
  <c r="AX18" i="8" s="1"/>
  <c r="AW18" i="8" a="1"/>
  <c r="AW18" i="8" s="1"/>
  <c r="AV18" i="8" a="1"/>
  <c r="AV18" i="8" s="1"/>
  <c r="AU18" i="8" a="1"/>
  <c r="AU18" i="8" s="1"/>
  <c r="AT18" i="8" a="1"/>
  <c r="AT18" i="8" s="1"/>
  <c r="AS18" i="8" a="1"/>
  <c r="AS18" i="8" s="1"/>
  <c r="AR18" i="8" a="1"/>
  <c r="AR18" i="8" s="1"/>
  <c r="AQ18" i="8" a="1"/>
  <c r="AQ18" i="8" s="1"/>
  <c r="AP18" i="8" a="1"/>
  <c r="AP18" i="8" s="1"/>
  <c r="AO18" i="8" a="1"/>
  <c r="AO18" i="8" s="1"/>
  <c r="AN18" i="8" a="1"/>
  <c r="AN18" i="8" s="1"/>
  <c r="AM18" i="8" a="1"/>
  <c r="AM18" i="8" s="1"/>
  <c r="AL18" i="8" a="1"/>
  <c r="AL18" i="8" s="1"/>
  <c r="AK18" i="8" a="1"/>
  <c r="AK18" i="8" s="1"/>
  <c r="AJ18" i="8" a="1"/>
  <c r="AJ18" i="8" s="1"/>
  <c r="AI18" i="8" a="1"/>
  <c r="AI18" i="8" s="1"/>
  <c r="AH18" i="8" a="1"/>
  <c r="AH18" i="8" s="1"/>
  <c r="AG18" i="8" a="1"/>
  <c r="AG18" i="8" s="1"/>
  <c r="AF18" i="8" a="1"/>
  <c r="AF18" i="8" s="1"/>
  <c r="AE18" i="8" a="1"/>
  <c r="AE18" i="8" s="1"/>
  <c r="AD18" i="8" a="1"/>
  <c r="AD18" i="8" s="1"/>
  <c r="AC18" i="8" a="1"/>
  <c r="AC18" i="8" s="1"/>
  <c r="AB18" i="8" a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F18" i="8" a="1"/>
  <c r="F18" i="8" s="1"/>
  <c r="E18" i="8" a="1"/>
  <c r="E18" i="8" s="1"/>
  <c r="EG17" i="8" a="1"/>
  <c r="EG17" i="8" s="1"/>
  <c r="EF17" i="8" a="1"/>
  <c r="EF17" i="8" s="1"/>
  <c r="EE17" i="8" a="1"/>
  <c r="EE17" i="8" s="1"/>
  <c r="ED17" i="8" a="1"/>
  <c r="ED17" i="8" s="1"/>
  <c r="EC17" i="8" a="1"/>
  <c r="EC17" i="8" s="1"/>
  <c r="EB17" i="8" a="1"/>
  <c r="EB17" i="8" s="1"/>
  <c r="EA17" i="8" a="1"/>
  <c r="EA17" i="8" s="1"/>
  <c r="DZ17" i="8" a="1"/>
  <c r="DZ17" i="8" s="1"/>
  <c r="DY17" i="8" a="1"/>
  <c r="DY17" i="8" s="1"/>
  <c r="DX17" i="8" a="1"/>
  <c r="DX17" i="8" s="1"/>
  <c r="DW17" i="8" a="1"/>
  <c r="DW17" i="8" s="1"/>
  <c r="DV17" i="8" a="1"/>
  <c r="DV17" i="8"/>
  <c r="DU17" i="8" a="1"/>
  <c r="DU17" i="8" s="1"/>
  <c r="DT17" i="8" a="1"/>
  <c r="DT17" i="8" s="1"/>
  <c r="DS17" i="8" a="1"/>
  <c r="DS17" i="8" s="1"/>
  <c r="DR17" i="8" a="1"/>
  <c r="DR17" i="8" s="1"/>
  <c r="DQ17" i="8" a="1"/>
  <c r="DQ17" i="8" s="1"/>
  <c r="DP17" i="8" a="1"/>
  <c r="DP17" i="8" s="1"/>
  <c r="DO17" i="8" a="1"/>
  <c r="DO17" i="8" s="1"/>
  <c r="DN17" i="8" a="1"/>
  <c r="DN17" i="8" s="1"/>
  <c r="DM17" i="8" a="1"/>
  <c r="DM17" i="8" s="1"/>
  <c r="DL17" i="8" a="1"/>
  <c r="DL17" i="8" s="1"/>
  <c r="DK17" i="8" a="1"/>
  <c r="DK17" i="8" s="1"/>
  <c r="DJ17" i="8" a="1"/>
  <c r="DJ17" i="8" s="1"/>
  <c r="DI17" i="8" a="1"/>
  <c r="DI17" i="8" s="1"/>
  <c r="DH17" i="8" a="1"/>
  <c r="DH17" i="8" s="1"/>
  <c r="DG17" i="8" a="1"/>
  <c r="DG17" i="8" s="1"/>
  <c r="DF17" i="8" a="1"/>
  <c r="DF17" i="8" s="1"/>
  <c r="DE17" i="8" a="1"/>
  <c r="DE17" i="8" s="1"/>
  <c r="DD17" i="8" a="1"/>
  <c r="DD17" i="8" s="1"/>
  <c r="DC17" i="8" a="1"/>
  <c r="DC17" i="8" s="1"/>
  <c r="DB17" i="8" a="1"/>
  <c r="DB17" i="8" s="1"/>
  <c r="DA17" i="8" a="1"/>
  <c r="DA17" i="8" s="1"/>
  <c r="CZ17" i="8" a="1"/>
  <c r="CZ17" i="8" s="1"/>
  <c r="CY17" i="8" a="1"/>
  <c r="CY17" i="8" s="1"/>
  <c r="CX17" i="8" a="1"/>
  <c r="CX17" i="8" s="1"/>
  <c r="CW17" i="8" a="1"/>
  <c r="CW17" i="8" s="1"/>
  <c r="CV17" i="8" a="1"/>
  <c r="CV17" i="8" s="1"/>
  <c r="CU17" i="8" a="1"/>
  <c r="CU17" i="8" s="1"/>
  <c r="CT17" i="8" a="1"/>
  <c r="CT17" i="8" s="1"/>
  <c r="CS17" i="8" a="1"/>
  <c r="CS17" i="8" s="1"/>
  <c r="CR17" i="8" a="1"/>
  <c r="CR17" i="8" s="1"/>
  <c r="CQ17" i="8" a="1"/>
  <c r="CQ17" i="8" s="1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 s="1"/>
  <c r="CI17" i="8" a="1"/>
  <c r="CI17" i="8" s="1"/>
  <c r="CH17" i="8" a="1"/>
  <c r="CH17" i="8" s="1"/>
  <c r="CG17" i="8" a="1"/>
  <c r="CG17" i="8" s="1"/>
  <c r="CF17" i="8" a="1"/>
  <c r="CF17" i="8" s="1"/>
  <c r="CE17" i="8" a="1"/>
  <c r="CE17" i="8" s="1"/>
  <c r="CD17" i="8" a="1"/>
  <c r="CD17" i="8" s="1"/>
  <c r="CC17" i="8" a="1"/>
  <c r="CC17" i="8" s="1"/>
  <c r="CB17" i="8" a="1"/>
  <c r="CB17" i="8" s="1"/>
  <c r="CA17" i="8" a="1"/>
  <c r="CA17" i="8" s="1"/>
  <c r="BZ17" i="8" a="1"/>
  <c r="BZ17" i="8" s="1"/>
  <c r="BY17" i="8" a="1"/>
  <c r="BY17" i="8" s="1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 s="1"/>
  <c r="BR17" i="8" a="1"/>
  <c r="BR17" i="8" s="1"/>
  <c r="BQ17" i="8" a="1"/>
  <c r="BQ17" i="8" s="1"/>
  <c r="BP17" i="8" a="1"/>
  <c r="BP17" i="8" s="1"/>
  <c r="BO17" i="8" a="1"/>
  <c r="BO17" i="8" s="1"/>
  <c r="BN17" i="8" a="1"/>
  <c r="BN17" i="8" s="1"/>
  <c r="BM17" i="8" a="1"/>
  <c r="BM17" i="8" s="1"/>
  <c r="BL17" i="8" a="1"/>
  <c r="BL17" i="8" s="1"/>
  <c r="BK17" i="8" a="1"/>
  <c r="BK17" i="8" s="1"/>
  <c r="BJ17" i="8" a="1"/>
  <c r="BJ17" i="8" s="1"/>
  <c r="BI17" i="8" a="1"/>
  <c r="BI17" i="8" s="1"/>
  <c r="BH17" i="8" a="1"/>
  <c r="BH17" i="8" s="1"/>
  <c r="BG17" i="8" a="1"/>
  <c r="BG17" i="8" s="1"/>
  <c r="BF17" i="8" a="1"/>
  <c r="BF17" i="8" s="1"/>
  <c r="BE17" i="8" a="1"/>
  <c r="BE17" i="8" s="1"/>
  <c r="BD17" i="8" a="1"/>
  <c r="BD17" i="8" s="1"/>
  <c r="BC17" i="8" a="1"/>
  <c r="BC17" i="8" s="1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 s="1"/>
  <c r="AV17" i="8" a="1"/>
  <c r="AV17" i="8" s="1"/>
  <c r="AU17" i="8" a="1"/>
  <c r="AU17" i="8" s="1"/>
  <c r="AT17" i="8" a="1"/>
  <c r="AT17" i="8" s="1"/>
  <c r="AS17" i="8" a="1"/>
  <c r="AS17" i="8" s="1"/>
  <c r="AR17" i="8" a="1"/>
  <c r="AR17" i="8" s="1"/>
  <c r="AQ17" i="8" a="1"/>
  <c r="AQ17" i="8" s="1"/>
  <c r="AP17" i="8" a="1"/>
  <c r="AP17" i="8" s="1"/>
  <c r="AO17" i="8" a="1"/>
  <c r="AO17" i="8" s="1"/>
  <c r="AN17" i="8" a="1"/>
  <c r="AN17" i="8" s="1"/>
  <c r="AM17" i="8" a="1"/>
  <c r="AM17" i="8" s="1"/>
  <c r="AL17" i="8" a="1"/>
  <c r="AL17" i="8" s="1"/>
  <c r="AK17" i="8" a="1"/>
  <c r="AK17" i="8" s="1"/>
  <c r="AJ17" i="8" a="1"/>
  <c r="AJ17" i="8" s="1"/>
  <c r="AI17" i="8" a="1"/>
  <c r="AI17" i="8" s="1"/>
  <c r="AH17" i="8" a="1"/>
  <c r="AH17" i="8" s="1"/>
  <c r="AG17" i="8" a="1"/>
  <c r="AG17" i="8" s="1"/>
  <c r="AF17" i="8" a="1"/>
  <c r="AF17" i="8" s="1"/>
  <c r="AE17" i="8" a="1"/>
  <c r="AE17" i="8" s="1"/>
  <c r="AD17" i="8" a="1"/>
  <c r="AD17" i="8" s="1"/>
  <c r="AC17" i="8" a="1"/>
  <c r="AC17" i="8" s="1"/>
  <c r="AB17" i="8" a="1"/>
  <c r="AB17" i="8" s="1"/>
  <c r="AA17" i="8" a="1"/>
  <c r="AA17" i="8" s="1"/>
  <c r="Z17" i="8" a="1"/>
  <c r="Z17" i="8" s="1"/>
  <c r="Y17" i="8" a="1"/>
  <c r="Y17" i="8" s="1"/>
  <c r="X17" i="8" a="1"/>
  <c r="X17" i="8" s="1"/>
  <c r="W17" i="8" a="1"/>
  <c r="W17" i="8" s="1"/>
  <c r="V17" i="8" a="1"/>
  <c r="V17" i="8" s="1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EG16" i="8" a="1"/>
  <c r="EG16" i="8" s="1"/>
  <c r="EF16" i="8" a="1"/>
  <c r="EF16" i="8" s="1"/>
  <c r="EE16" i="8" a="1"/>
  <c r="EE16" i="8" s="1"/>
  <c r="ED16" i="8" a="1"/>
  <c r="ED16" i="8" s="1"/>
  <c r="EC16" i="8" a="1"/>
  <c r="EC16" i="8" s="1"/>
  <c r="EB16" i="8" a="1"/>
  <c r="EB16" i="8" s="1"/>
  <c r="EA16" i="8" a="1"/>
  <c r="EA16" i="8" s="1"/>
  <c r="DZ16" i="8" a="1"/>
  <c r="DZ16" i="8" s="1"/>
  <c r="DY16" i="8" a="1"/>
  <c r="DY16" i="8" s="1"/>
  <c r="DX16" i="8" a="1"/>
  <c r="DX16" i="8" s="1"/>
  <c r="DW16" i="8" a="1"/>
  <c r="DW16" i="8" s="1"/>
  <c r="DV16" i="8" a="1"/>
  <c r="DV16" i="8" s="1"/>
  <c r="DU16" i="8" a="1"/>
  <c r="DU16" i="8" s="1"/>
  <c r="DT16" i="8" a="1"/>
  <c r="DT16" i="8" s="1"/>
  <c r="DS16" i="8" a="1"/>
  <c r="DS16" i="8" s="1"/>
  <c r="DR16" i="8" a="1"/>
  <c r="DR16" i="8" s="1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 s="1"/>
  <c r="DG16" i="8" a="1"/>
  <c r="DG16" i="8" s="1"/>
  <c r="DF16" i="8" a="1"/>
  <c r="DF16" i="8" s="1"/>
  <c r="DE16" i="8" a="1"/>
  <c r="DE16" i="8" s="1"/>
  <c r="DD16" i="8" a="1"/>
  <c r="DD16" i="8" s="1"/>
  <c r="DC16" i="8" a="1"/>
  <c r="DC16" i="8" s="1"/>
  <c r="DB16" i="8" a="1"/>
  <c r="DB16" i="8" s="1"/>
  <c r="DA16" i="8" a="1"/>
  <c r="DA16" i="8" s="1"/>
  <c r="CZ16" i="8" a="1"/>
  <c r="CZ16" i="8" s="1"/>
  <c r="CY16" i="8" a="1"/>
  <c r="CY16" i="8" s="1"/>
  <c r="CX16" i="8" a="1"/>
  <c r="CX16" i="8" s="1"/>
  <c r="CW16" i="8" a="1"/>
  <c r="CW16" i="8" s="1"/>
  <c r="CV16" i="8" a="1"/>
  <c r="CV16" i="8" s="1"/>
  <c r="CU16" i="8" a="1"/>
  <c r="CU16" i="8" s="1"/>
  <c r="CT16" i="8" a="1"/>
  <c r="CT16" i="8" s="1"/>
  <c r="CS16" i="8" a="1"/>
  <c r="CS16" i="8" s="1"/>
  <c r="CR16" i="8" a="1"/>
  <c r="CR16" i="8" s="1"/>
  <c r="CQ16" i="8" a="1"/>
  <c r="CQ16" i="8" s="1"/>
  <c r="CP16" i="8" a="1"/>
  <c r="CP16" i="8"/>
  <c r="CO16" i="8" a="1"/>
  <c r="CO16" i="8" s="1"/>
  <c r="CN16" i="8" a="1"/>
  <c r="CN16" i="8" s="1"/>
  <c r="CM16" i="8" a="1"/>
  <c r="CM16" i="8" s="1"/>
  <c r="CL16" i="8" a="1"/>
  <c r="CL16" i="8" s="1"/>
  <c r="CK16" i="8" a="1"/>
  <c r="CK16" i="8" s="1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 s="1"/>
  <c r="CD16" i="8" a="1"/>
  <c r="CD16" i="8" s="1"/>
  <c r="CC16" i="8" a="1"/>
  <c r="CC16" i="8" s="1"/>
  <c r="CB16" i="8" a="1"/>
  <c r="CB16" i="8" s="1"/>
  <c r="CA16" i="8" a="1"/>
  <c r="CA16" i="8" s="1"/>
  <c r="BZ16" i="8" a="1"/>
  <c r="BZ16" i="8" s="1"/>
  <c r="BY16" i="8" a="1"/>
  <c r="BY16" i="8" s="1"/>
  <c r="BX16" i="8" a="1"/>
  <c r="BX16" i="8" s="1"/>
  <c r="BW16" i="8" a="1"/>
  <c r="BW16" i="8" s="1"/>
  <c r="BV16" i="8" a="1"/>
  <c r="BV16" i="8" s="1"/>
  <c r="BU16" i="8" a="1"/>
  <c r="BU16" i="8" s="1"/>
  <c r="BT16" i="8" a="1"/>
  <c r="BT16" i="8" s="1"/>
  <c r="BS16" i="8" a="1"/>
  <c r="BS16" i="8"/>
  <c r="BR16" i="8" a="1"/>
  <c r="BR16" i="8" s="1"/>
  <c r="BQ16" i="8" a="1"/>
  <c r="BQ16" i="8" s="1"/>
  <c r="BP16" i="8" a="1"/>
  <c r="BP16" i="8" s="1"/>
  <c r="BO16" i="8" a="1"/>
  <c r="BO16" i="8" s="1"/>
  <c r="BN16" i="8" a="1"/>
  <c r="BN16" i="8" s="1"/>
  <c r="BM16" i="8" a="1"/>
  <c r="BM16" i="8" s="1"/>
  <c r="BL16" i="8" a="1"/>
  <c r="BL16" i="8" s="1"/>
  <c r="BK16" i="8" a="1"/>
  <c r="BK16" i="8" s="1"/>
  <c r="BJ16" i="8" a="1"/>
  <c r="BJ16" i="8" s="1"/>
  <c r="BI16" i="8" a="1"/>
  <c r="BI16" i="8" s="1"/>
  <c r="BH16" i="8" a="1"/>
  <c r="BH16" i="8" s="1"/>
  <c r="BG16" i="8" a="1"/>
  <c r="BG16" i="8" s="1"/>
  <c r="BF16" i="8" a="1"/>
  <c r="BF16" i="8" s="1"/>
  <c r="BE16" i="8" a="1"/>
  <c r="BE16" i="8" s="1"/>
  <c r="BD16" i="8" a="1"/>
  <c r="BD16" i="8" s="1"/>
  <c r="BC16" i="8" a="1"/>
  <c r="BC16" i="8" s="1"/>
  <c r="BB16" i="8" a="1"/>
  <c r="BB16" i="8" s="1"/>
  <c r="BA16" i="8" a="1"/>
  <c r="BA16" i="8" s="1"/>
  <c r="AZ16" i="8" a="1"/>
  <c r="AZ16" i="8" s="1"/>
  <c r="AY16" i="8" a="1"/>
  <c r="AY16" i="8" s="1"/>
  <c r="AX16" i="8" a="1"/>
  <c r="AX16" i="8" s="1"/>
  <c r="AW16" i="8" a="1"/>
  <c r="AW16" i="8" s="1"/>
  <c r="AV16" i="8" a="1"/>
  <c r="AV16" i="8" s="1"/>
  <c r="AU16" i="8" a="1"/>
  <c r="AU16" i="8" s="1"/>
  <c r="AT16" i="8" a="1"/>
  <c r="AT16" i="8" s="1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 s="1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 s="1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EG15" i="8" a="1"/>
  <c r="EG15" i="8" s="1"/>
  <c r="EF15" i="8" a="1"/>
  <c r="EF15" i="8" s="1"/>
  <c r="EE15" i="8" a="1"/>
  <c r="EE15" i="8" s="1"/>
  <c r="ED15" i="8" a="1"/>
  <c r="ED15" i="8" s="1"/>
  <c r="EC15" i="8" a="1"/>
  <c r="EC15" i="8" s="1"/>
  <c r="EB15" i="8" a="1"/>
  <c r="EB15" i="8" s="1"/>
  <c r="EA15" i="8" a="1"/>
  <c r="EA15" i="8" s="1"/>
  <c r="DZ15" i="8" a="1"/>
  <c r="DZ15" i="8" s="1"/>
  <c r="DY15" i="8" a="1"/>
  <c r="DY15" i="8" s="1"/>
  <c r="DX15" i="8" a="1"/>
  <c r="DX15" i="8" s="1"/>
  <c r="DW15" i="8" a="1"/>
  <c r="DW15" i="8" s="1"/>
  <c r="DV15" i="8" a="1"/>
  <c r="DV15" i="8" s="1"/>
  <c r="DU15" i="8" a="1"/>
  <c r="DU15" i="8" s="1"/>
  <c r="DT15" i="8" a="1"/>
  <c r="DT15" i="8"/>
  <c r="DS15" i="8" a="1"/>
  <c r="DS15" i="8" s="1"/>
  <c r="DR15" i="8" a="1"/>
  <c r="DR15" i="8" s="1"/>
  <c r="DQ15" i="8" a="1"/>
  <c r="DQ15" i="8" s="1"/>
  <c r="DP15" i="8" a="1"/>
  <c r="DP15" i="8" s="1"/>
  <c r="DO15" i="8" a="1"/>
  <c r="DO15" i="8" s="1"/>
  <c r="DN15" i="8" a="1"/>
  <c r="DN15" i="8" s="1"/>
  <c r="DM15" i="8" a="1"/>
  <c r="DM15" i="8" s="1"/>
  <c r="DL15" i="8" a="1"/>
  <c r="DL15" i="8" s="1"/>
  <c r="DK15" i="8" a="1"/>
  <c r="DK15" i="8" s="1"/>
  <c r="DJ15" i="8" a="1"/>
  <c r="DJ15" i="8" s="1"/>
  <c r="DI15" i="8" a="1"/>
  <c r="DI15" i="8" s="1"/>
  <c r="DH15" i="8" a="1"/>
  <c r="DH15" i="8" s="1"/>
  <c r="DG15" i="8" a="1"/>
  <c r="DG15" i="8" s="1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 s="1"/>
  <c r="CY15" i="8" a="1"/>
  <c r="CY15" i="8" s="1"/>
  <c r="CX15" i="8" a="1"/>
  <c r="CX15" i="8" s="1"/>
  <c r="CW15" i="8" a="1"/>
  <c r="CW15" i="8" s="1"/>
  <c r="CV15" i="8" a="1"/>
  <c r="CV15" i="8" s="1"/>
  <c r="CU15" i="8" a="1"/>
  <c r="CU15" i="8" s="1"/>
  <c r="CT15" i="8" a="1"/>
  <c r="CT15" i="8" s="1"/>
  <c r="CS15" i="8" a="1"/>
  <c r="CS15" i="8" s="1"/>
  <c r="CR15" i="8" a="1"/>
  <c r="CR15" i="8" s="1"/>
  <c r="CQ15" i="8" a="1"/>
  <c r="CQ15" i="8" s="1"/>
  <c r="CP15" i="8" a="1"/>
  <c r="CP15" i="8" s="1"/>
  <c r="CO15" i="8" a="1"/>
  <c r="CO15" i="8" s="1"/>
  <c r="CN15" i="8" a="1"/>
  <c r="CN15" i="8" s="1"/>
  <c r="CM15" i="8" a="1"/>
  <c r="CM15" i="8" s="1"/>
  <c r="CL15" i="8" a="1"/>
  <c r="CL15" i="8" s="1"/>
  <c r="CK15" i="8" a="1"/>
  <c r="CK15" i="8" s="1"/>
  <c r="CJ15" i="8" a="1"/>
  <c r="CJ15" i="8" s="1"/>
  <c r="CI15" i="8" a="1"/>
  <c r="CI15" i="8" s="1"/>
  <c r="CH15" i="8" a="1"/>
  <c r="CH15" i="8" s="1"/>
  <c r="CG15" i="8" a="1"/>
  <c r="CG15" i="8"/>
  <c r="CF15" i="8" a="1"/>
  <c r="CF15" i="8" s="1"/>
  <c r="CE15" i="8" a="1"/>
  <c r="CE15" i="8" s="1"/>
  <c r="CD15" i="8" a="1"/>
  <c r="CD15" i="8" s="1"/>
  <c r="CC15" i="8" a="1"/>
  <c r="CC15" i="8" s="1"/>
  <c r="CB15" i="8" a="1"/>
  <c r="CB15" i="8" s="1"/>
  <c r="CA15" i="8" a="1"/>
  <c r="CA15" i="8" s="1"/>
  <c r="BZ15" i="8" a="1"/>
  <c r="BZ15" i="8" s="1"/>
  <c r="BY15" i="8" a="1"/>
  <c r="BY15" i="8" s="1"/>
  <c r="BX15" i="8" a="1"/>
  <c r="BX15" i="8" s="1"/>
  <c r="BW15" i="8" a="1"/>
  <c r="BW15" i="8" s="1"/>
  <c r="BV15" i="8" a="1"/>
  <c r="BV15" i="8" s="1"/>
  <c r="BU15" i="8" a="1"/>
  <c r="BU15" i="8" s="1"/>
  <c r="BT15" i="8" a="1"/>
  <c r="BT15" i="8" s="1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 s="1"/>
  <c r="BI15" i="8" a="1"/>
  <c r="BI15" i="8" s="1"/>
  <c r="BH15" i="8" a="1"/>
  <c r="BH15" i="8" s="1"/>
  <c r="BG15" i="8" a="1"/>
  <c r="BG15" i="8" s="1"/>
  <c r="BF15" i="8" a="1"/>
  <c r="BF15" i="8" s="1"/>
  <c r="BE15" i="8" a="1"/>
  <c r="BE15" i="8" s="1"/>
  <c r="BD15" i="8" a="1"/>
  <c r="BD15" i="8" s="1"/>
  <c r="BC15" i="8" a="1"/>
  <c r="BC15" i="8" s="1"/>
  <c r="BB15" i="8" a="1"/>
  <c r="BB15" i="8" s="1"/>
  <c r="BA15" i="8" a="1"/>
  <c r="BA15" i="8" s="1"/>
  <c r="AZ15" i="8" a="1"/>
  <c r="AZ15" i="8" s="1"/>
  <c r="AY15" i="8" a="1"/>
  <c r="AY15" i="8" s="1"/>
  <c r="AX15" i="8" a="1"/>
  <c r="AX15" i="8" s="1"/>
  <c r="AW15" i="8" a="1"/>
  <c r="AW15" i="8" s="1"/>
  <c r="AV15" i="8" a="1"/>
  <c r="AV15" i="8" s="1"/>
  <c r="AU15" i="8" a="1"/>
  <c r="AU15" i="8" s="1"/>
  <c r="AT15" i="8" a="1"/>
  <c r="AT15" i="8" s="1"/>
  <c r="AS15" i="8" a="1"/>
  <c r="AS15" i="8" s="1"/>
  <c r="AR15" i="8" a="1"/>
  <c r="AR15" i="8" s="1"/>
  <c r="AQ15" i="8" a="1"/>
  <c r="AQ15" i="8" s="1"/>
  <c r="AP15" i="8" a="1"/>
  <c r="AP15" i="8" s="1"/>
  <c r="AO15" i="8" a="1"/>
  <c r="AO15" i="8" s="1"/>
  <c r="AN15" i="8" a="1"/>
  <c r="AN15" i="8" s="1"/>
  <c r="AM15" i="8" a="1"/>
  <c r="AM15" i="8" s="1"/>
  <c r="AL15" i="8" a="1"/>
  <c r="AL15" i="8" s="1"/>
  <c r="AK15" i="8" a="1"/>
  <c r="AK15" i="8" s="1"/>
  <c r="AJ15" i="8" a="1"/>
  <c r="AJ15" i="8" s="1"/>
  <c r="AI15" i="8" a="1"/>
  <c r="AI15" i="8" s="1"/>
  <c r="AH15" i="8" a="1"/>
  <c r="AH15" i="8" s="1"/>
  <c r="AG15" i="8" a="1"/>
  <c r="AG15" i="8" s="1"/>
  <c r="AF15" i="8" a="1"/>
  <c r="AF15" i="8" s="1"/>
  <c r="AE15" i="8" a="1"/>
  <c r="AE15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Y15" i="8" a="1"/>
  <c r="Y15" i="8" s="1"/>
  <c r="X15" i="8" a="1"/>
  <c r="X15" i="8" s="1"/>
  <c r="W15" i="8" a="1"/>
  <c r="W15" i="8" s="1"/>
  <c r="V15" i="8" a="1"/>
  <c r="V15" i="8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EG14" i="8" a="1"/>
  <c r="EG14" i="8" s="1"/>
  <c r="EF14" i="8" a="1"/>
  <c r="EF14" i="8" s="1"/>
  <c r="EE14" i="8" a="1"/>
  <c r="EE14" i="8" s="1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W14" i="8" a="1"/>
  <c r="DW14" i="8" s="1"/>
  <c r="DV14" i="8" a="1"/>
  <c r="DV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L14" i="8" a="1"/>
  <c r="DL14" i="8" s="1"/>
  <c r="DK14" i="8" a="1"/>
  <c r="DK14" i="8" s="1"/>
  <c r="DJ14" i="8" a="1"/>
  <c r="DJ14" i="8" s="1"/>
  <c r="DI14" i="8" a="1"/>
  <c r="DI14" i="8" s="1"/>
  <c r="DH14" i="8" a="1"/>
  <c r="DH14" i="8" s="1"/>
  <c r="DG14" i="8" a="1"/>
  <c r="DG14" i="8" s="1"/>
  <c r="DF14" i="8" a="1"/>
  <c r="DF14" i="8" s="1"/>
  <c r="DE14" i="8" a="1"/>
  <c r="DE14" i="8" s="1"/>
  <c r="DD14" i="8" a="1"/>
  <c r="DD14" i="8" s="1"/>
  <c r="DC14" i="8" a="1"/>
  <c r="DC14" i="8" s="1"/>
  <c r="DB14" i="8" a="1"/>
  <c r="DB14" i="8" s="1"/>
  <c r="DA14" i="8" a="1"/>
  <c r="DA14" i="8" s="1"/>
  <c r="CZ14" i="8" a="1"/>
  <c r="CZ14" i="8" s="1"/>
  <c r="CY14" i="8" a="1"/>
  <c r="CY14" i="8" s="1"/>
  <c r="CX14" i="8" a="1"/>
  <c r="CX14" i="8" s="1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 s="1"/>
  <c r="CP14" i="8" a="1"/>
  <c r="CP14" i="8" s="1"/>
  <c r="CO14" i="8" a="1"/>
  <c r="CO14" i="8" s="1"/>
  <c r="CN14" i="8" a="1"/>
  <c r="CN14" i="8" s="1"/>
  <c r="CM14" i="8" a="1"/>
  <c r="CM14" i="8" s="1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 s="1"/>
  <c r="CF14" i="8" a="1"/>
  <c r="CF14" i="8" s="1"/>
  <c r="CE14" i="8" a="1"/>
  <c r="CE14" i="8" s="1"/>
  <c r="CD14" i="8" a="1"/>
  <c r="CD14" i="8" s="1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 s="1"/>
  <c r="BW14" i="8" a="1"/>
  <c r="BW14" i="8" s="1"/>
  <c r="BV14" i="8" a="1"/>
  <c r="BV14" i="8" s="1"/>
  <c r="BU14" i="8" a="1"/>
  <c r="BU14" i="8" s="1"/>
  <c r="BT14" i="8" a="1"/>
  <c r="BT14" i="8" s="1"/>
  <c r="BS14" i="8" a="1"/>
  <c r="BS14" i="8" s="1"/>
  <c r="BR14" i="8" a="1"/>
  <c r="BR14" i="8" s="1"/>
  <c r="BQ14" i="8" a="1"/>
  <c r="BQ14" i="8" s="1"/>
  <c r="BP14" i="8" a="1"/>
  <c r="BP14" i="8" s="1"/>
  <c r="BO14" i="8" a="1"/>
  <c r="BO14" i="8" s="1"/>
  <c r="BN14" i="8" a="1"/>
  <c r="BN14" i="8" s="1"/>
  <c r="BM14" i="8" a="1"/>
  <c r="BM14" i="8" s="1"/>
  <c r="BL14" i="8" a="1"/>
  <c r="BL14" i="8" s="1"/>
  <c r="BK14" i="8" a="1"/>
  <c r="BK14" i="8" s="1"/>
  <c r="BJ14" i="8" a="1"/>
  <c r="BJ14" i="8" s="1"/>
  <c r="BI14" i="8" a="1"/>
  <c r="BI14" i="8" s="1"/>
  <c r="BH14" i="8" a="1"/>
  <c r="BH14" i="8" s="1"/>
  <c r="BG14" i="8" a="1"/>
  <c r="BG14" i="8" s="1"/>
  <c r="BF14" i="8" a="1"/>
  <c r="BF14" i="8" s="1"/>
  <c r="BE14" i="8" a="1"/>
  <c r="BE14" i="8" s="1"/>
  <c r="BD14" i="8" a="1"/>
  <c r="BD14" i="8" s="1"/>
  <c r="BC14" i="8" a="1"/>
  <c r="BC14" i="8" s="1"/>
  <c r="BB14" i="8" a="1"/>
  <c r="BB14" i="8" s="1"/>
  <c r="BA14" i="8" a="1"/>
  <c r="BA14" i="8" s="1"/>
  <c r="AZ14" i="8" a="1"/>
  <c r="AZ14" i="8" s="1"/>
  <c r="AY14" i="8" a="1"/>
  <c r="AY14" i="8" s="1"/>
  <c r="AX14" i="8" a="1"/>
  <c r="AX14" i="8" s="1"/>
  <c r="AW14" i="8" a="1"/>
  <c r="AW14" i="8" s="1"/>
  <c r="AV14" i="8" a="1"/>
  <c r="AV14" i="8" s="1"/>
  <c r="AU14" i="8" a="1"/>
  <c r="AU14" i="8" s="1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 s="1"/>
  <c r="AM14" i="8" a="1"/>
  <c r="AM14" i="8" s="1"/>
  <c r="AL14" i="8" a="1"/>
  <c r="AL14" i="8" s="1"/>
  <c r="AK14" i="8" a="1"/>
  <c r="AK14" i="8" s="1"/>
  <c r="AJ14" i="8" a="1"/>
  <c r="AJ14" i="8" s="1"/>
  <c r="AI14" i="8" a="1"/>
  <c r="AI14" i="8" s="1"/>
  <c r="AH14" i="8" a="1"/>
  <c r="AH14" i="8" s="1"/>
  <c r="AG14" i="8" a="1"/>
  <c r="AG14" i="8" s="1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 s="1"/>
  <c r="Z14" i="8" a="1"/>
  <c r="Z14" i="8" s="1"/>
  <c r="Y14" i="8" a="1"/>
  <c r="Y14" i="8" s="1"/>
  <c r="X14" i="8" a="1"/>
  <c r="X14" i="8" s="1"/>
  <c r="W14" i="8" a="1"/>
  <c r="W14" i="8" s="1"/>
  <c r="V14" i="8" a="1"/>
  <c r="V14" i="8" s="1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EG13" i="8" a="1"/>
  <c r="EG13" i="8" s="1"/>
  <c r="EF13" i="8" a="1"/>
  <c r="EF13" i="8" s="1"/>
  <c r="EE13" i="8" a="1"/>
  <c r="EE13" i="8" s="1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 s="1"/>
  <c r="DJ13" i="8" a="1"/>
  <c r="DJ13" i="8" s="1"/>
  <c r="DI13" i="8" a="1"/>
  <c r="DI13" i="8" s="1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 s="1"/>
  <c r="DB13" i="8" a="1"/>
  <c r="DB13" i="8" s="1"/>
  <c r="DA13" i="8" a="1"/>
  <c r="DA13" i="8" s="1"/>
  <c r="CZ13" i="8" a="1"/>
  <c r="CZ13" i="8" s="1"/>
  <c r="CY13" i="8" a="1"/>
  <c r="CY13" i="8" s="1"/>
  <c r="CX13" i="8" a="1"/>
  <c r="CX13" i="8" s="1"/>
  <c r="CW13" i="8" a="1"/>
  <c r="CW13" i="8" s="1"/>
  <c r="CV13" i="8" a="1"/>
  <c r="CV13" i="8" s="1"/>
  <c r="CU13" i="8" a="1"/>
  <c r="CU13" i="8" s="1"/>
  <c r="CT13" i="8" a="1"/>
  <c r="CT13" i="8" s="1"/>
  <c r="CS13" i="8" a="1"/>
  <c r="CS13" i="8" s="1"/>
  <c r="CR13" i="8" a="1"/>
  <c r="CR13" i="8" s="1"/>
  <c r="CQ13" i="8" a="1"/>
  <c r="CQ13" i="8" s="1"/>
  <c r="CP13" i="8" a="1"/>
  <c r="CP13" i="8" s="1"/>
  <c r="CO13" i="8" a="1"/>
  <c r="CO13" i="8"/>
  <c r="CN13" i="8" a="1"/>
  <c r="CN13" i="8" s="1"/>
  <c r="CM13" i="8" a="1"/>
  <c r="CM13" i="8" s="1"/>
  <c r="CL13" i="8" a="1"/>
  <c r="CL13" i="8" s="1"/>
  <c r="CK13" i="8" a="1"/>
  <c r="CK13" i="8" s="1"/>
  <c r="CJ13" i="8" a="1"/>
  <c r="CJ13" i="8" s="1"/>
  <c r="CI13" i="8" a="1"/>
  <c r="CI13" i="8" s="1"/>
  <c r="CH13" i="8" a="1"/>
  <c r="CH13" i="8" s="1"/>
  <c r="CG13" i="8" a="1"/>
  <c r="CG13" i="8" s="1"/>
  <c r="CF13" i="8" a="1"/>
  <c r="CF13" i="8" s="1"/>
  <c r="CE13" i="8" a="1"/>
  <c r="CE13" i="8" s="1"/>
  <c r="CD13" i="8" a="1"/>
  <c r="CD13" i="8" s="1"/>
  <c r="CC13" i="8" a="1"/>
  <c r="CC13" i="8" s="1"/>
  <c r="CB13" i="8" a="1"/>
  <c r="CB13" i="8" s="1"/>
  <c r="CA13" i="8" a="1"/>
  <c r="CA13" i="8" s="1"/>
  <c r="BZ13" i="8" a="1"/>
  <c r="BZ13" i="8" s="1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 s="1"/>
  <c r="BR13" i="8" a="1"/>
  <c r="BR13" i="8" s="1"/>
  <c r="BQ13" i="8" a="1"/>
  <c r="BQ13" i="8" s="1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 s="1"/>
  <c r="BG13" i="8" a="1"/>
  <c r="BG13" i="8" s="1"/>
  <c r="BF13" i="8" a="1"/>
  <c r="BF13" i="8" s="1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 s="1"/>
  <c r="AY13" i="8" a="1"/>
  <c r="AY13" i="8" s="1"/>
  <c r="AX13" i="8" a="1"/>
  <c r="AX13" i="8" s="1"/>
  <c r="AW13" i="8" a="1"/>
  <c r="AW13" i="8" s="1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 s="1"/>
  <c r="AO13" i="8" a="1"/>
  <c r="AO13" i="8" s="1"/>
  <c r="AN13" i="8" a="1"/>
  <c r="AN13" i="8" s="1"/>
  <c r="AM13" i="8" a="1"/>
  <c r="AM13" i="8" s="1"/>
  <c r="AL13" i="8" a="1"/>
  <c r="AL13" i="8" s="1"/>
  <c r="AK13" i="8" a="1"/>
  <c r="AK13" i="8" s="1"/>
  <c r="AJ13" i="8" a="1"/>
  <c r="AJ13" i="8" s="1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 s="1"/>
  <c r="AA13" i="8" a="1"/>
  <c r="AA13" i="8" s="1"/>
  <c r="Z13" i="8" a="1"/>
  <c r="Z13" i="8" s="1"/>
  <c r="Y13" i="8" a="1"/>
  <c r="Y13" i="8" s="1"/>
  <c r="X13" i="8" a="1"/>
  <c r="X13" i="8" s="1"/>
  <c r="W13" i="8" a="1"/>
  <c r="W13" i="8" s="1"/>
  <c r="V13" i="8" a="1"/>
  <c r="V13" i="8" s="1"/>
  <c r="U13" i="8" a="1"/>
  <c r="U13" i="8" s="1"/>
  <c r="T13" i="8" a="1"/>
  <c r="T13" i="8" s="1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EG12" i="8" a="1"/>
  <c r="EG12" i="8" s="1"/>
  <c r="EF12" i="8" a="1"/>
  <c r="EF12" i="8" s="1"/>
  <c r="EE12" i="8" a="1"/>
  <c r="EE12" i="8" s="1"/>
  <c r="ED12" i="8" a="1"/>
  <c r="ED12" i="8" s="1"/>
  <c r="EC12" i="8" a="1"/>
  <c r="EC12" i="8" s="1"/>
  <c r="EB12" i="8" a="1"/>
  <c r="EB12" i="8" s="1"/>
  <c r="EA12" i="8" a="1"/>
  <c r="EA12" i="8" s="1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 s="1"/>
  <c r="DJ12" i="8" a="1"/>
  <c r="DJ12" i="8" s="1"/>
  <c r="DI12" i="8" a="1"/>
  <c r="DI12" i="8" s="1"/>
  <c r="DH12" i="8" a="1"/>
  <c r="DH12" i="8" s="1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 s="1"/>
  <c r="DA12" i="8" a="1"/>
  <c r="DA12" i="8" s="1"/>
  <c r="CZ12" i="8" a="1"/>
  <c r="CZ12" i="8" s="1"/>
  <c r="CY12" i="8" a="1"/>
  <c r="CY12" i="8" s="1"/>
  <c r="CX12" i="8" a="1"/>
  <c r="CX12" i="8" s="1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 s="1"/>
  <c r="CQ12" i="8" a="1"/>
  <c r="CQ12" i="8" s="1"/>
  <c r="CP12" i="8" a="1"/>
  <c r="CP12" i="8" s="1"/>
  <c r="CO12" i="8" a="1"/>
  <c r="CO12" i="8" s="1"/>
  <c r="CN12" i="8" a="1"/>
  <c r="CN12" i="8" s="1"/>
  <c r="CM12" i="8" a="1"/>
  <c r="CM12" i="8" s="1"/>
  <c r="CL12" i="8" a="1"/>
  <c r="CL12" i="8" s="1"/>
  <c r="CK12" i="8" a="1"/>
  <c r="CK12" i="8" s="1"/>
  <c r="CJ12" i="8" a="1"/>
  <c r="CJ12" i="8" s="1"/>
  <c r="CI12" i="8" a="1"/>
  <c r="CI12" i="8" s="1"/>
  <c r="CH12" i="8" a="1"/>
  <c r="CH12" i="8" s="1"/>
  <c r="CG12" i="8" a="1"/>
  <c r="CG12" i="8" s="1"/>
  <c r="CF12" i="8" a="1"/>
  <c r="CF12" i="8" s="1"/>
  <c r="CE12" i="8" a="1"/>
  <c r="CE12" i="8" s="1"/>
  <c r="CD12" i="8" a="1"/>
  <c r="CD12" i="8" s="1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 s="1"/>
  <c r="BT12" i="8" a="1"/>
  <c r="BT12" i="8" s="1"/>
  <c r="BS12" i="8" a="1"/>
  <c r="BS12" i="8" s="1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 s="1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 s="1"/>
  <c r="AY12" i="8" a="1"/>
  <c r="AY12" i="8" s="1"/>
  <c r="AX12" i="8" a="1"/>
  <c r="AX12" i="8" s="1"/>
  <c r="AW12" i="8" a="1"/>
  <c r="AW12" i="8" s="1"/>
  <c r="AV12" i="8" a="1"/>
  <c r="AV12" i="8" s="1"/>
  <c r="AU12" i="8" a="1"/>
  <c r="AU12" i="8" s="1"/>
  <c r="AT12" i="8" a="1"/>
  <c r="AT12" i="8" s="1"/>
  <c r="AS12" i="8" a="1"/>
  <c r="AS12" i="8" s="1"/>
  <c r="AR12" i="8" a="1"/>
  <c r="AR12" i="8" s="1"/>
  <c r="AQ12" i="8" a="1"/>
  <c r="AQ12" i="8" s="1"/>
  <c r="AP12" i="8" a="1"/>
  <c r="AP12" i="8" s="1"/>
  <c r="AO12" i="8" a="1"/>
  <c r="AO12" i="8" s="1"/>
  <c r="AN12" i="8" a="1"/>
  <c r="AN12" i="8" s="1"/>
  <c r="AM12" i="8" a="1"/>
  <c r="AM12" i="8" s="1"/>
  <c r="AL12" i="8" a="1"/>
  <c r="AL12" i="8" s="1"/>
  <c r="AK12" i="8" a="1"/>
  <c r="AK12" i="8" s="1"/>
  <c r="AJ12" i="8" a="1"/>
  <c r="AJ12" i="8" s="1"/>
  <c r="AI12" i="8" a="1"/>
  <c r="AI12" i="8" s="1"/>
  <c r="AH12" i="8" a="1"/>
  <c r="AH12" i="8" s="1"/>
  <c r="AG12" i="8" a="1"/>
  <c r="AG12" i="8" s="1"/>
  <c r="AF12" i="8" a="1"/>
  <c r="AF12" i="8" s="1"/>
  <c r="AE12" i="8" a="1"/>
  <c r="AE12" i="8" s="1"/>
  <c r="AD12" i="8" a="1"/>
  <c r="AD12" i="8" s="1"/>
  <c r="AC12" i="8" a="1"/>
  <c r="AC12" i="8" s="1"/>
  <c r="AB12" i="8" a="1"/>
  <c r="AB12" i="8" s="1"/>
  <c r="AA12" i="8" a="1"/>
  <c r="AA12" i="8" s="1"/>
  <c r="Z12" i="8" a="1"/>
  <c r="Z12" i="8" s="1"/>
  <c r="Y12" i="8" a="1"/>
  <c r="Y12" i="8" s="1"/>
  <c r="X12" i="8" a="1"/>
  <c r="X12" i="8" s="1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EG11" i="8" a="1"/>
  <c r="EG11" i="8" s="1"/>
  <c r="EF11" i="8" a="1"/>
  <c r="EF11" i="8" s="1"/>
  <c r="EE11" i="8" a="1"/>
  <c r="EE11" i="8" s="1"/>
  <c r="ED11" i="8" a="1"/>
  <c r="ED11" i="8" s="1"/>
  <c r="EC11" i="8" a="1"/>
  <c r="EC11" i="8" s="1"/>
  <c r="EB11" i="8" a="1"/>
  <c r="EB11" i="8" s="1"/>
  <c r="EA11" i="8" a="1"/>
  <c r="EA11" i="8" s="1"/>
  <c r="DZ11" i="8" a="1"/>
  <c r="DZ11" i="8" s="1"/>
  <c r="DY11" i="8" a="1"/>
  <c r="DY11" i="8" s="1"/>
  <c r="DX11" i="8" a="1"/>
  <c r="DX11" i="8" s="1"/>
  <c r="DW11" i="8" a="1"/>
  <c r="DW11" i="8" s="1"/>
  <c r="DV11" i="8" a="1"/>
  <c r="DV11" i="8" s="1"/>
  <c r="DU11" i="8" a="1"/>
  <c r="DU11" i="8" s="1"/>
  <c r="DT11" i="8" a="1"/>
  <c r="DT11" i="8" s="1"/>
  <c r="DS11" i="8" a="1"/>
  <c r="DS11" i="8" s="1"/>
  <c r="DR11" i="8" a="1"/>
  <c r="DR11" i="8" s="1"/>
  <c r="DQ11" i="8" a="1"/>
  <c r="DQ11" i="8" s="1"/>
  <c r="DP11" i="8" a="1"/>
  <c r="DP11" i="8" s="1"/>
  <c r="DO11" i="8" a="1"/>
  <c r="DO11" i="8" s="1"/>
  <c r="DN11" i="8" a="1"/>
  <c r="DN11" i="8" s="1"/>
  <c r="DM11" i="8" a="1"/>
  <c r="DM11" i="8" s="1"/>
  <c r="DL11" i="8" a="1"/>
  <c r="DL11" i="8" s="1"/>
  <c r="DK11" i="8" a="1"/>
  <c r="DK11" i="8" s="1"/>
  <c r="DJ11" i="8" a="1"/>
  <c r="DJ11" i="8" s="1"/>
  <c r="DI11" i="8" a="1"/>
  <c r="DI11" i="8" s="1"/>
  <c r="DH11" i="8" a="1"/>
  <c r="DH11" i="8" s="1"/>
  <c r="DG11" i="8" a="1"/>
  <c r="DG11" i="8" s="1"/>
  <c r="DF11" i="8" a="1"/>
  <c r="DF11" i="8" s="1"/>
  <c r="DE11" i="8" a="1"/>
  <c r="DE11" i="8" s="1"/>
  <c r="DD11" i="8" a="1"/>
  <c r="DD11" i="8" s="1"/>
  <c r="DC11" i="8" a="1"/>
  <c r="DC11" i="8" s="1"/>
  <c r="DB11" i="8" a="1"/>
  <c r="DB11" i="8" s="1"/>
  <c r="DA11" i="8" a="1"/>
  <c r="DA11" i="8" s="1"/>
  <c r="CZ11" i="8" a="1"/>
  <c r="CZ11" i="8" s="1"/>
  <c r="CY11" i="8" a="1"/>
  <c r="CY11" i="8" s="1"/>
  <c r="CX11" i="8" a="1"/>
  <c r="CX11" i="8" s="1"/>
  <c r="CW11" i="8" a="1"/>
  <c r="CW11" i="8" s="1"/>
  <c r="CV11" i="8" a="1"/>
  <c r="CV11" i="8" s="1"/>
  <c r="CU11" i="8" a="1"/>
  <c r="CU11" i="8" s="1"/>
  <c r="CT11" i="8" a="1"/>
  <c r="CT11" i="8" s="1"/>
  <c r="CS11" i="8" a="1"/>
  <c r="CS11" i="8" s="1"/>
  <c r="CR11" i="8" a="1"/>
  <c r="CR11" i="8" s="1"/>
  <c r="CQ11" i="8" a="1"/>
  <c r="CQ11" i="8" s="1"/>
  <c r="CP11" i="8" a="1"/>
  <c r="CP11" i="8" s="1"/>
  <c r="CO11" i="8" a="1"/>
  <c r="CO11" i="8"/>
  <c r="CN11" i="8" a="1"/>
  <c r="CN11" i="8" s="1"/>
  <c r="CM11" i="8" a="1"/>
  <c r="CM11" i="8" s="1"/>
  <c r="CL11" i="8" a="1"/>
  <c r="CL11" i="8" s="1"/>
  <c r="CK11" i="8" a="1"/>
  <c r="CK11" i="8" s="1"/>
  <c r="CJ11" i="8" a="1"/>
  <c r="CJ11" i="8" s="1"/>
  <c r="CI11" i="8" a="1"/>
  <c r="CI11" i="8" s="1"/>
  <c r="CH11" i="8" a="1"/>
  <c r="CH11" i="8" s="1"/>
  <c r="CG11" i="8" a="1"/>
  <c r="CG11" i="8" s="1"/>
  <c r="CF11" i="8" a="1"/>
  <c r="CF11" i="8" s="1"/>
  <c r="CE11" i="8" a="1"/>
  <c r="CE11" i="8" s="1"/>
  <c r="CD11" i="8" a="1"/>
  <c r="CD11" i="8" s="1"/>
  <c r="CC11" i="8" a="1"/>
  <c r="CC11" i="8" s="1"/>
  <c r="CB11" i="8" a="1"/>
  <c r="CB11" i="8" s="1"/>
  <c r="CA11" i="8" a="1"/>
  <c r="CA11" i="8" s="1"/>
  <c r="BZ11" i="8" a="1"/>
  <c r="BZ11" i="8" s="1"/>
  <c r="BY11" i="8" a="1"/>
  <c r="BY11" i="8" s="1"/>
  <c r="BX11" i="8" a="1"/>
  <c r="BX11" i="8" s="1"/>
  <c r="BW11" i="8" a="1"/>
  <c r="BW11" i="8" s="1"/>
  <c r="BV11" i="8" a="1"/>
  <c r="BV11" i="8" s="1"/>
  <c r="BU11" i="8" a="1"/>
  <c r="BU11" i="8" s="1"/>
  <c r="BT11" i="8" a="1"/>
  <c r="BT11" i="8" s="1"/>
  <c r="BS11" i="8" a="1"/>
  <c r="BS11" i="8" s="1"/>
  <c r="BR11" i="8" a="1"/>
  <c r="BR11" i="8" s="1"/>
  <c r="BQ11" i="8" a="1"/>
  <c r="BQ11" i="8" s="1"/>
  <c r="BP11" i="8" a="1"/>
  <c r="BP11" i="8" s="1"/>
  <c r="BO11" i="8" a="1"/>
  <c r="BO11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/>
  <c r="J11" i="8" a="1"/>
  <c r="J11" i="8"/>
  <c r="I11" i="8" a="1"/>
  <c r="I11" i="8"/>
  <c r="H11" i="8" a="1"/>
  <c r="H11" i="8"/>
  <c r="G11" i="8" a="1"/>
  <c r="G11" i="8"/>
  <c r="F11" i="8" a="1"/>
  <c r="F11" i="8"/>
  <c r="E11" i="8" a="1"/>
  <c r="E11" i="8"/>
  <c r="EG10" i="8" a="1"/>
  <c r="EG10" i="8"/>
  <c r="EF10" i="8" a="1"/>
  <c r="EF10" i="8"/>
  <c r="EE10" i="8" a="1"/>
  <c r="EE10" i="8"/>
  <c r="ED10" i="8" a="1"/>
  <c r="ED10" i="8"/>
  <c r="EC10" i="8" a="1"/>
  <c r="EC10" i="8"/>
  <c r="EB10" i="8" a="1"/>
  <c r="EB10" i="8"/>
  <c r="EA10" i="8" a="1"/>
  <c r="EA10" i="8"/>
  <c r="DZ10" i="8" a="1"/>
  <c r="DZ10" i="8"/>
  <c r="DY10" i="8" a="1"/>
  <c r="DY10" i="8"/>
  <c r="DX10" i="8" a="1"/>
  <c r="DX10" i="8"/>
  <c r="DW10" i="8" a="1"/>
  <c r="DW10" i="8"/>
  <c r="DV10" i="8" a="1"/>
  <c r="DV10" i="8"/>
  <c r="DU10" i="8" a="1"/>
  <c r="DU10" i="8"/>
  <c r="DT10" i="8" a="1"/>
  <c r="DT10" i="8"/>
  <c r="DS10" i="8" a="1"/>
  <c r="DS10" i="8"/>
  <c r="DR10" i="8" a="1"/>
  <c r="DR10" i="8"/>
  <c r="DQ10" i="8" a="1"/>
  <c r="DQ10" i="8"/>
  <c r="DP10" i="8" a="1"/>
  <c r="DP10" i="8"/>
  <c r="DO10" i="8" a="1"/>
  <c r="DO10" i="8"/>
  <c r="DN10" i="8" a="1"/>
  <c r="DN10" i="8"/>
  <c r="DM10" i="8" a="1"/>
  <c r="DM10" i="8"/>
  <c r="DL10" i="8" a="1"/>
  <c r="DL10" i="8"/>
  <c r="DK10" i="8" a="1"/>
  <c r="DK10" i="8"/>
  <c r="DJ10" i="8" a="1"/>
  <c r="DJ10" i="8"/>
  <c r="DI10" i="8" a="1"/>
  <c r="DI10" i="8"/>
  <c r="DH10" i="8" a="1"/>
  <c r="DH10" i="8"/>
  <c r="DG10" i="8" a="1"/>
  <c r="DG10" i="8"/>
  <c r="DF10" i="8" a="1"/>
  <c r="DF10" i="8"/>
  <c r="DE10" i="8" a="1"/>
  <c r="DE10" i="8"/>
  <c r="DD10" i="8" a="1"/>
  <c r="DD10" i="8"/>
  <c r="DC10" i="8" a="1"/>
  <c r="DC10" i="8"/>
  <c r="DB10" i="8" a="1"/>
  <c r="DB10" i="8"/>
  <c r="DA10" i="8" a="1"/>
  <c r="DA10" i="8"/>
  <c r="CZ10" i="8" a="1"/>
  <c r="CZ10" i="8"/>
  <c r="CY10" i="8" a="1"/>
  <c r="CY10" i="8"/>
  <c r="CX10" i="8" a="1"/>
  <c r="CX10" i="8"/>
  <c r="CW10" i="8" a="1"/>
  <c r="CW10" i="8"/>
  <c r="CV10" i="8" a="1"/>
  <c r="CV10" i="8"/>
  <c r="CU10" i="8" a="1"/>
  <c r="CU10" i="8"/>
  <c r="CT10" i="8" a="1"/>
  <c r="CT10" i="8"/>
  <c r="CS10" i="8" a="1"/>
  <c r="CS10" i="8"/>
  <c r="CR10" i="8" a="1"/>
  <c r="CR10" i="8"/>
  <c r="CQ10" i="8" a="1"/>
  <c r="CQ10" i="8"/>
  <c r="CP10" i="8" a="1"/>
  <c r="CP10" i="8"/>
  <c r="CO10" i="8" a="1"/>
  <c r="CO10" i="8"/>
  <c r="CN10" i="8" a="1"/>
  <c r="CN10" i="8"/>
  <c r="CM10" i="8" a="1"/>
  <c r="CM10" i="8"/>
  <c r="CL10" i="8" a="1"/>
  <c r="CL10" i="8"/>
  <c r="CK10" i="8" a="1"/>
  <c r="CK10" i="8"/>
  <c r="CJ10" i="8" a="1"/>
  <c r="CJ10" i="8"/>
  <c r="CI10" i="8" a="1"/>
  <c r="CI10" i="8"/>
  <c r="CH10" i="8" a="1"/>
  <c r="CH10" i="8"/>
  <c r="CG10" i="8" a="1"/>
  <c r="CG10" i="8"/>
  <c r="CF10" i="8" a="1"/>
  <c r="CF10" i="8"/>
  <c r="CE10" i="8" a="1"/>
  <c r="CE10" i="8"/>
  <c r="CD10" i="8" a="1"/>
  <c r="CD10" i="8"/>
  <c r="CC10" i="8" a="1"/>
  <c r="CC10" i="8"/>
  <c r="CB10" i="8" a="1"/>
  <c r="CB10" i="8"/>
  <c r="CA10" i="8" a="1"/>
  <c r="CA10" i="8"/>
  <c r="BZ10" i="8" a="1"/>
  <c r="BZ10" i="8"/>
  <c r="BY10" i="8" a="1"/>
  <c r="BY10" i="8"/>
  <c r="BX10" i="8" a="1"/>
  <c r="BX10" i="8"/>
  <c r="BW10" i="8" a="1"/>
  <c r="BW10" i="8"/>
  <c r="BV10" i="8" a="1"/>
  <c r="BV10" i="8"/>
  <c r="BU10" i="8" a="1"/>
  <c r="BU10" i="8"/>
  <c r="BT10" i="8" a="1"/>
  <c r="BT10" i="8"/>
  <c r="BS10" i="8" a="1"/>
  <c r="BS10" i="8"/>
  <c r="BR10" i="8" a="1"/>
  <c r="BR10" i="8"/>
  <c r="BQ10" i="8" a="1"/>
  <c r="BQ10" i="8"/>
  <c r="BP10" i="8" a="1"/>
  <c r="BP10" i="8"/>
  <c r="BO10" i="8" a="1"/>
  <c r="BO10" i="8"/>
  <c r="BN10" i="8" a="1"/>
  <c r="BN10" i="8"/>
  <c r="BM10" i="8" a="1"/>
  <c r="BM10" i="8"/>
  <c r="BL10" i="8" a="1"/>
  <c r="BL10" i="8"/>
  <c r="BK10" i="8" a="1"/>
  <c r="BK10" i="8"/>
  <c r="BJ10" i="8" a="1"/>
  <c r="BJ10" i="8"/>
  <c r="BI10" i="8" a="1"/>
  <c r="BI10" i="8"/>
  <c r="BH10" i="8" a="1"/>
  <c r="BH10" i="8"/>
  <c r="BG10" i="8" a="1"/>
  <c r="BG10" i="8"/>
  <c r="BF10" i="8" a="1"/>
  <c r="BF10" i="8"/>
  <c r="BE10" i="8" a="1"/>
  <c r="BE10" i="8"/>
  <c r="BD10" i="8" a="1"/>
  <c r="BD10" i="8"/>
  <c r="BC10" i="8" a="1"/>
  <c r="BC10" i="8"/>
  <c r="BB10" i="8" a="1"/>
  <c r="BB10" i="8"/>
  <c r="BA10" i="8" a="1"/>
  <c r="BA10" i="8"/>
  <c r="AZ10" i="8" a="1"/>
  <c r="AZ10" i="8"/>
  <c r="AY10" i="8" a="1"/>
  <c r="AY10" i="8"/>
  <c r="AX10" i="8" a="1"/>
  <c r="AX10" i="8"/>
  <c r="AW10" i="8" a="1"/>
  <c r="AW10" i="8"/>
  <c r="AV10" i="8" a="1"/>
  <c r="AV10" i="8"/>
  <c r="AU10" i="8" a="1"/>
  <c r="AU10" i="8"/>
  <c r="AT10" i="8" a="1"/>
  <c r="AT10" i="8"/>
  <c r="AS10" i="8" a="1"/>
  <c r="AS10" i="8"/>
  <c r="AR10" i="8" a="1"/>
  <c r="AR10" i="8"/>
  <c r="AQ10" i="8" a="1"/>
  <c r="AQ10" i="8"/>
  <c r="AP10" i="8" a="1"/>
  <c r="AP10" i="8"/>
  <c r="AO10" i="8" a="1"/>
  <c r="AO10" i="8"/>
  <c r="AN10" i="8" a="1"/>
  <c r="AN10" i="8"/>
  <c r="AM10" i="8" a="1"/>
  <c r="AM10" i="8"/>
  <c r="AL10" i="8" a="1"/>
  <c r="AL10" i="8"/>
  <c r="AK10" i="8" a="1"/>
  <c r="AK10" i="8"/>
  <c r="AJ10" i="8" a="1"/>
  <c r="AJ10" i="8"/>
  <c r="AI10" i="8" a="1"/>
  <c r="AI10" i="8"/>
  <c r="AH10" i="8" a="1"/>
  <c r="AH10" i="8"/>
  <c r="AG10" i="8" a="1"/>
  <c r="AG10" i="8"/>
  <c r="AF10" i="8" a="1"/>
  <c r="AF10" i="8"/>
  <c r="AE10" i="8" a="1"/>
  <c r="AE10" i="8"/>
  <c r="AD10" i="8" a="1"/>
  <c r="AD10" i="8"/>
  <c r="AC10" i="8" a="1"/>
  <c r="AC10" i="8"/>
  <c r="AB10" i="8" a="1"/>
  <c r="AB10" i="8"/>
  <c r="AA10" i="8" a="1"/>
  <c r="AA10" i="8"/>
  <c r="Z10" i="8" a="1"/>
  <c r="Z10" i="8"/>
  <c r="Y10" i="8" a="1"/>
  <c r="Y10" i="8"/>
  <c r="X10" i="8" a="1"/>
  <c r="X10" i="8"/>
  <c r="W10" i="8" a="1"/>
  <c r="W10" i="8"/>
  <c r="V10" i="8" a="1"/>
  <c r="V10" i="8"/>
  <c r="U10" i="8" a="1"/>
  <c r="U10" i="8"/>
  <c r="T10" i="8" a="1"/>
  <c r="T10" i="8"/>
  <c r="S10" i="8" a="1"/>
  <c r="S10" i="8"/>
  <c r="R10" i="8" a="1"/>
  <c r="R10" i="8"/>
  <c r="Q10" i="8" a="1"/>
  <c r="Q10" i="8"/>
  <c r="P10" i="8" a="1"/>
  <c r="P10" i="8"/>
  <c r="O10" i="8" a="1"/>
  <c r="O10" i="8"/>
  <c r="N10" i="8" a="1"/>
  <c r="N10" i="8"/>
  <c r="M10" i="8" a="1"/>
  <c r="M10" i="8"/>
  <c r="L10" i="8" a="1"/>
  <c r="L10" i="8"/>
  <c r="K10" i="8" a="1"/>
  <c r="K10" i="8"/>
  <c r="J10" i="8" a="1"/>
  <c r="J10" i="8"/>
  <c r="I10" i="8" a="1"/>
  <c r="I10" i="8"/>
  <c r="H10" i="8" a="1"/>
  <c r="H10" i="8"/>
  <c r="G10" i="8" a="1"/>
  <c r="G10" i="8"/>
  <c r="F10" i="8" a="1"/>
  <c r="F10" i="8"/>
  <c r="E10" i="8" a="1"/>
  <c r="E10" i="8"/>
  <c r="EG9" i="8" a="1"/>
  <c r="EG9" i="8"/>
  <c r="EF9" i="8" a="1"/>
  <c r="EF9" i="8"/>
  <c r="EE9" i="8" a="1"/>
  <c r="EE9" i="8"/>
  <c r="ED9" i="8" a="1"/>
  <c r="ED9" i="8"/>
  <c r="EC9" i="8" a="1"/>
  <c r="EC9" i="8"/>
  <c r="EB9" i="8" a="1"/>
  <c r="EB9" i="8"/>
  <c r="EA9" i="8" a="1"/>
  <c r="EA9" i="8"/>
  <c r="DZ9" i="8" a="1"/>
  <c r="DZ9" i="8"/>
  <c r="DY9" i="8" a="1"/>
  <c r="DY9" i="8"/>
  <c r="DX9" i="8" a="1"/>
  <c r="DX9" i="8"/>
  <c r="DW9" i="8" a="1"/>
  <c r="DW9" i="8"/>
  <c r="DV9" i="8" a="1"/>
  <c r="DV9" i="8"/>
  <c r="DU9" i="8" a="1"/>
  <c r="DU9" i="8"/>
  <c r="DT9" i="8" a="1"/>
  <c r="DT9" i="8"/>
  <c r="DS9" i="8" a="1"/>
  <c r="DS9" i="8"/>
  <c r="DR9" i="8" a="1"/>
  <c r="DR9" i="8"/>
  <c r="DQ9" i="8" a="1"/>
  <c r="DQ9" i="8"/>
  <c r="DP9" i="8" a="1"/>
  <c r="DP9" i="8"/>
  <c r="DO9" i="8" a="1"/>
  <c r="DO9" i="8"/>
  <c r="DN9" i="8" a="1"/>
  <c r="DN9" i="8"/>
  <c r="DM9" i="8" a="1"/>
  <c r="DM9" i="8"/>
  <c r="DL9" i="8" a="1"/>
  <c r="DL9" i="8"/>
  <c r="DK9" i="8" a="1"/>
  <c r="DK9" i="8"/>
  <c r="DJ9" i="8" a="1"/>
  <c r="DJ9" i="8"/>
  <c r="DI9" i="8" a="1"/>
  <c r="DI9" i="8"/>
  <c r="DH9" i="8" a="1"/>
  <c r="DH9" i="8"/>
  <c r="DG9" i="8" a="1"/>
  <c r="DG9" i="8"/>
  <c r="DF9" i="8" a="1"/>
  <c r="DF9" i="8"/>
  <c r="DE9" i="8" a="1"/>
  <c r="DE9" i="8"/>
  <c r="DD9" i="8" a="1"/>
  <c r="DD9" i="8"/>
  <c r="DC9" i="8" a="1"/>
  <c r="DC9" i="8"/>
  <c r="DB9" i="8" a="1"/>
  <c r="DB9" i="8"/>
  <c r="DA9" i="8" a="1"/>
  <c r="DA9" i="8"/>
  <c r="CZ9" i="8" a="1"/>
  <c r="CZ9" i="8"/>
  <c r="CY9" i="8" a="1"/>
  <c r="CY9" i="8"/>
  <c r="CX9" i="8" a="1"/>
  <c r="CX9" i="8"/>
  <c r="CW9" i="8" a="1"/>
  <c r="CW9" i="8"/>
  <c r="CV9" i="8" a="1"/>
  <c r="CV9" i="8"/>
  <c r="CU9" i="8" a="1"/>
  <c r="CU9" i="8"/>
  <c r="CT9" i="8" a="1"/>
  <c r="CT9" i="8"/>
  <c r="CS9" i="8" a="1"/>
  <c r="CS9" i="8"/>
  <c r="CR9" i="8" a="1"/>
  <c r="CR9" i="8"/>
  <c r="CQ9" i="8" a="1"/>
  <c r="CQ9" i="8"/>
  <c r="CP9" i="8" a="1"/>
  <c r="CP9" i="8"/>
  <c r="CO9" i="8" a="1"/>
  <c r="CO9" i="8"/>
  <c r="CN9" i="8" a="1"/>
  <c r="CN9" i="8"/>
  <c r="CM9" i="8" a="1"/>
  <c r="CM9" i="8"/>
  <c r="CL9" i="8" a="1"/>
  <c r="CL9" i="8"/>
  <c r="CK9" i="8" a="1"/>
  <c r="CK9" i="8"/>
  <c r="CJ9" i="8" a="1"/>
  <c r="CJ9" i="8"/>
  <c r="CI9" i="8" a="1"/>
  <c r="CI9" i="8"/>
  <c r="CH9" i="8" a="1"/>
  <c r="CH9" i="8"/>
  <c r="CG9" i="8" a="1"/>
  <c r="CG9" i="8"/>
  <c r="CF9" i="8" a="1"/>
  <c r="CF9" i="8"/>
  <c r="CE9" i="8" a="1"/>
  <c r="CE9" i="8"/>
  <c r="CD9" i="8" a="1"/>
  <c r="CD9" i="8"/>
  <c r="CC9" i="8" a="1"/>
  <c r="CC9" i="8"/>
  <c r="CB9" i="8" a="1"/>
  <c r="CB9" i="8"/>
  <c r="CA9" i="8" a="1"/>
  <c r="CA9" i="8"/>
  <c r="BZ9" i="8" a="1"/>
  <c r="BZ9" i="8"/>
  <c r="BY9" i="8" a="1"/>
  <c r="BY9" i="8"/>
  <c r="BX9" i="8" a="1"/>
  <c r="BX9" i="8"/>
  <c r="BW9" i="8" a="1"/>
  <c r="BW9" i="8"/>
  <c r="BV9" i="8" a="1"/>
  <c r="BV9" i="8"/>
  <c r="BU9" i="8" a="1"/>
  <c r="BU9" i="8"/>
  <c r="BT9" i="8" a="1"/>
  <c r="BT9" i="8"/>
  <c r="BS9" i="8" a="1"/>
  <c r="BS9" i="8"/>
  <c r="BR9" i="8" a="1"/>
  <c r="BR9" i="8"/>
  <c r="BQ9" i="8" a="1"/>
  <c r="BQ9" i="8"/>
  <c r="BP9" i="8" a="1"/>
  <c r="BP9" i="8"/>
  <c r="BO9" i="8" a="1"/>
  <c r="BO9" i="8"/>
  <c r="BN9" i="8" a="1"/>
  <c r="BN9" i="8"/>
  <c r="BM9" i="8" a="1"/>
  <c r="BM9" i="8"/>
  <c r="BL9" i="8" a="1"/>
  <c r="BL9" i="8"/>
  <c r="BK9" i="8" a="1"/>
  <c r="BK9" i="8"/>
  <c r="BJ9" i="8" a="1"/>
  <c r="BJ9" i="8"/>
  <c r="BI9" i="8" a="1"/>
  <c r="BI9" i="8"/>
  <c r="BH9" i="8" a="1"/>
  <c r="BH9" i="8"/>
  <c r="BG9" i="8" a="1"/>
  <c r="BG9" i="8"/>
  <c r="BF9" i="8" a="1"/>
  <c r="BF9" i="8"/>
  <c r="BE9" i="8" a="1"/>
  <c r="BE9" i="8"/>
  <c r="BD9" i="8" a="1"/>
  <c r="BD9" i="8"/>
  <c r="BC9" i="8" a="1"/>
  <c r="BC9" i="8"/>
  <c r="BB9" i="8" a="1"/>
  <c r="BB9" i="8"/>
  <c r="BA9" i="8" a="1"/>
  <c r="BA9" i="8"/>
  <c r="AZ9" i="8" a="1"/>
  <c r="AZ9" i="8"/>
  <c r="AY9" i="8" a="1"/>
  <c r="AY9" i="8"/>
  <c r="AX9" i="8" a="1"/>
  <c r="AX9" i="8"/>
  <c r="AW9" i="8" a="1"/>
  <c r="AW9" i="8"/>
  <c r="AV9" i="8" a="1"/>
  <c r="AV9" i="8"/>
  <c r="AU9" i="8" a="1"/>
  <c r="AU9" i="8"/>
  <c r="AT9" i="8" a="1"/>
  <c r="AT9" i="8"/>
  <c r="AS9" i="8" a="1"/>
  <c r="AS9" i="8"/>
  <c r="AR9" i="8" a="1"/>
  <c r="AR9" i="8"/>
  <c r="AQ9" i="8" a="1"/>
  <c r="AQ9" i="8"/>
  <c r="AP9" i="8" a="1"/>
  <c r="AP9" i="8"/>
  <c r="AO9" i="8" a="1"/>
  <c r="AO9" i="8"/>
  <c r="AN9" i="8" a="1"/>
  <c r="AN9" i="8"/>
  <c r="AM9" i="8" a="1"/>
  <c r="AM9" i="8"/>
  <c r="AL9" i="8" a="1"/>
  <c r="AL9" i="8"/>
  <c r="AK9" i="8" a="1"/>
  <c r="AK9" i="8"/>
  <c r="AJ9" i="8" a="1"/>
  <c r="AJ9" i="8"/>
  <c r="AI9" i="8" a="1"/>
  <c r="AI9" i="8"/>
  <c r="AH9" i="8" a="1"/>
  <c r="AH9" i="8"/>
  <c r="AG9" i="8" a="1"/>
  <c r="AG9" i="8"/>
  <c r="AF9" i="8" a="1"/>
  <c r="AF9" i="8"/>
  <c r="AE9" i="8" a="1"/>
  <c r="AE9" i="8"/>
  <c r="AD9" i="8" a="1"/>
  <c r="AD9" i="8"/>
  <c r="AC9" i="8" a="1"/>
  <c r="AC9" i="8"/>
  <c r="AB9" i="8" a="1"/>
  <c r="AB9" i="8"/>
  <c r="AA9" i="8" a="1"/>
  <c r="AA9" i="8"/>
  <c r="Z9" i="8" a="1"/>
  <c r="Z9" i="8"/>
  <c r="Y9" i="8" a="1"/>
  <c r="Y9" i="8"/>
  <c r="X9" i="8" a="1"/>
  <c r="X9" i="8"/>
  <c r="W9" i="8" a="1"/>
  <c r="W9" i="8"/>
  <c r="V9" i="8" a="1"/>
  <c r="V9" i="8"/>
  <c r="U9" i="8" a="1"/>
  <c r="U9" i="8"/>
  <c r="T9" i="8" a="1"/>
  <c r="T9" i="8"/>
  <c r="S9" i="8" a="1"/>
  <c r="S9" i="8"/>
  <c r="R9" i="8" a="1"/>
  <c r="R9" i="8"/>
  <c r="Q9" i="8" a="1"/>
  <c r="Q9" i="8"/>
  <c r="P9" i="8" a="1"/>
  <c r="P9" i="8"/>
  <c r="O9" i="8" a="1"/>
  <c r="O9" i="8"/>
  <c r="N9" i="8" a="1"/>
  <c r="N9" i="8"/>
  <c r="M9" i="8" a="1"/>
  <c r="M9" i="8"/>
  <c r="L9" i="8" a="1"/>
  <c r="L9" i="8"/>
  <c r="K9" i="8" a="1"/>
  <c r="K9" i="8"/>
  <c r="J9" i="8" a="1"/>
  <c r="J9" i="8"/>
  <c r="I9" i="8" a="1"/>
  <c r="I9" i="8"/>
  <c r="H9" i="8" a="1"/>
  <c r="H9" i="8"/>
  <c r="G9" i="8" a="1"/>
  <c r="G9" i="8"/>
  <c r="F9" i="8" a="1"/>
  <c r="F9" i="8"/>
  <c r="E9" i="8" a="1"/>
  <c r="E9" i="8"/>
  <c r="EG8" i="8" a="1"/>
  <c r="EG8" i="8"/>
  <c r="EF8" i="8" a="1"/>
  <c r="EF8" i="8"/>
  <c r="EE8" i="8" a="1"/>
  <c r="EE8" i="8"/>
  <c r="ED8" i="8" a="1"/>
  <c r="ED8" i="8"/>
  <c r="EC8" i="8" a="1"/>
  <c r="EC8" i="8"/>
  <c r="EB8" i="8" a="1"/>
  <c r="EB8" i="8"/>
  <c r="EA8" i="8" a="1"/>
  <c r="EA8" i="8"/>
  <c r="DZ8" i="8" a="1"/>
  <c r="DZ8" i="8"/>
  <c r="DY8" i="8" a="1"/>
  <c r="DY8" i="8"/>
  <c r="DX8" i="8" a="1"/>
  <c r="DX8" i="8"/>
  <c r="DW8" i="8" a="1"/>
  <c r="DW8" i="8"/>
  <c r="DV8" i="8" a="1"/>
  <c r="DV8" i="8"/>
  <c r="DU8" i="8" a="1"/>
  <c r="DU8" i="8"/>
  <c r="DT8" i="8" a="1"/>
  <c r="DT8" i="8"/>
  <c r="DS8" i="8" a="1"/>
  <c r="DS8" i="8"/>
  <c r="DR8" i="8" a="1"/>
  <c r="DR8" i="8"/>
  <c r="DQ8" i="8" a="1"/>
  <c r="DQ8" i="8"/>
  <c r="DP8" i="8" a="1"/>
  <c r="DP8" i="8"/>
  <c r="DO8" i="8" a="1"/>
  <c r="DO8" i="8"/>
  <c r="DN8" i="8" a="1"/>
  <c r="DN8" i="8"/>
  <c r="DM8" i="8" a="1"/>
  <c r="DM8" i="8"/>
  <c r="DL8" i="8" a="1"/>
  <c r="DL8" i="8"/>
  <c r="DK8" i="8" a="1"/>
  <c r="DK8" i="8"/>
  <c r="DJ8" i="8" a="1"/>
  <c r="DJ8" i="8"/>
  <c r="DI8" i="8" a="1"/>
  <c r="DI8" i="8"/>
  <c r="DH8" i="8" a="1"/>
  <c r="DH8" i="8"/>
  <c r="DG8" i="8" a="1"/>
  <c r="DG8" i="8"/>
  <c r="DF8" i="8" a="1"/>
  <c r="DF8" i="8"/>
  <c r="DE8" i="8" a="1"/>
  <c r="DE8" i="8"/>
  <c r="DD8" i="8" a="1"/>
  <c r="DD8" i="8"/>
  <c r="DC8" i="8" a="1"/>
  <c r="DC8" i="8"/>
  <c r="DB8" i="8" a="1"/>
  <c r="DB8" i="8"/>
  <c r="DA8" i="8" a="1"/>
  <c r="DA8" i="8"/>
  <c r="CZ8" i="8" a="1"/>
  <c r="CZ8" i="8"/>
  <c r="CY8" i="8" a="1"/>
  <c r="CY8" i="8"/>
  <c r="CX8" i="8" a="1"/>
  <c r="CX8" i="8"/>
  <c r="CW8" i="8" a="1"/>
  <c r="CW8" i="8"/>
  <c r="CV8" i="8" a="1"/>
  <c r="CV8" i="8"/>
  <c r="CU8" i="8" a="1"/>
  <c r="CU8" i="8"/>
  <c r="CT8" i="8" a="1"/>
  <c r="CT8" i="8"/>
  <c r="CS8" i="8" a="1"/>
  <c r="CS8" i="8"/>
  <c r="CR8" i="8" a="1"/>
  <c r="CR8" i="8"/>
  <c r="CQ8" i="8" a="1"/>
  <c r="CQ8" i="8"/>
  <c r="CP8" i="8" a="1"/>
  <c r="CP8" i="8"/>
  <c r="CO8" i="8" a="1"/>
  <c r="CO8" i="8"/>
  <c r="CN8" i="8" a="1"/>
  <c r="CN8" i="8"/>
  <c r="CM8" i="8" a="1"/>
  <c r="CM8" i="8"/>
  <c r="CL8" i="8" a="1"/>
  <c r="CL8" i="8"/>
  <c r="CK8" i="8" a="1"/>
  <c r="CK8" i="8"/>
  <c r="CJ8" i="8" a="1"/>
  <c r="CJ8" i="8"/>
  <c r="CI8" i="8" a="1"/>
  <c r="CI8" i="8"/>
  <c r="CH8" i="8" a="1"/>
  <c r="CH8" i="8"/>
  <c r="CG8" i="8" a="1"/>
  <c r="CG8" i="8"/>
  <c r="CF8" i="8" a="1"/>
  <c r="CF8" i="8"/>
  <c r="CE8" i="8" a="1"/>
  <c r="CE8" i="8"/>
  <c r="CD8" i="8" a="1"/>
  <c r="CD8" i="8"/>
  <c r="CC8" i="8" a="1"/>
  <c r="CC8" i="8"/>
  <c r="CB8" i="8" a="1"/>
  <c r="CB8" i="8"/>
  <c r="CA8" i="8" a="1"/>
  <c r="CA8" i="8"/>
  <c r="BZ8" i="8" a="1"/>
  <c r="BZ8" i="8"/>
  <c r="BY8" i="8" a="1"/>
  <c r="BY8" i="8"/>
  <c r="BX8" i="8" a="1"/>
  <c r="BX8" i="8"/>
  <c r="BW8" i="8" a="1"/>
  <c r="BW8" i="8"/>
  <c r="BV8" i="8" a="1"/>
  <c r="BV8" i="8"/>
  <c r="BU8" i="8" a="1"/>
  <c r="BU8" i="8"/>
  <c r="BT8" i="8" a="1"/>
  <c r="BT8" i="8"/>
  <c r="BS8" i="8" a="1"/>
  <c r="BS8" i="8"/>
  <c r="BR8" i="8" a="1"/>
  <c r="BR8" i="8"/>
  <c r="BQ8" i="8" a="1"/>
  <c r="BQ8" i="8"/>
  <c r="BP8" i="8" a="1"/>
  <c r="BP8" i="8"/>
  <c r="BO8" i="8" a="1"/>
  <c r="BO8" i="8"/>
  <c r="BN8" i="8" a="1"/>
  <c r="BN8" i="8"/>
  <c r="BM8" i="8" a="1"/>
  <c r="BM8" i="8"/>
  <c r="BL8" i="8" a="1"/>
  <c r="BL8" i="8"/>
  <c r="BK8" i="8" a="1"/>
  <c r="BK8" i="8"/>
  <c r="BJ8" i="8" a="1"/>
  <c r="BJ8" i="8"/>
  <c r="BI8" i="8" a="1"/>
  <c r="BI8" i="8"/>
  <c r="BH8" i="8" a="1"/>
  <c r="BH8" i="8"/>
  <c r="BG8" i="8" a="1"/>
  <c r="BG8" i="8"/>
  <c r="BF8" i="8" a="1"/>
  <c r="BF8" i="8"/>
  <c r="BE8" i="8" a="1"/>
  <c r="BE8" i="8"/>
  <c r="BD8" i="8" a="1"/>
  <c r="BD8" i="8"/>
  <c r="BC8" i="8" a="1"/>
  <c r="BC8" i="8"/>
  <c r="BB8" i="8" a="1"/>
  <c r="BB8" i="8"/>
  <c r="BA8" i="8" a="1"/>
  <c r="BA8" i="8"/>
  <c r="AZ8" i="8" a="1"/>
  <c r="AZ8" i="8"/>
  <c r="AY8" i="8" a="1"/>
  <c r="AY8" i="8"/>
  <c r="AX8" i="8" a="1"/>
  <c r="AX8" i="8"/>
  <c r="AW8" i="8" a="1"/>
  <c r="AW8" i="8"/>
  <c r="AV8" i="8" a="1"/>
  <c r="AV8" i="8"/>
  <c r="AU8" i="8" a="1"/>
  <c r="AU8" i="8"/>
  <c r="AT8" i="8" a="1"/>
  <c r="AT8" i="8"/>
  <c r="AS8" i="8" a="1"/>
  <c r="AS8" i="8"/>
  <c r="AR8" i="8" a="1"/>
  <c r="AR8" i="8"/>
  <c r="AQ8" i="8" a="1"/>
  <c r="AQ8" i="8"/>
  <c r="AP8" i="8" a="1"/>
  <c r="AP8" i="8"/>
  <c r="AO8" i="8" a="1"/>
  <c r="AO8" i="8"/>
  <c r="AN8" i="8" a="1"/>
  <c r="AN8" i="8"/>
  <c r="AM8" i="8" a="1"/>
  <c r="AM8" i="8"/>
  <c r="AL8" i="8" a="1"/>
  <c r="AL8" i="8"/>
  <c r="AK8" i="8" a="1"/>
  <c r="AK8" i="8"/>
  <c r="AJ8" i="8" a="1"/>
  <c r="AJ8" i="8"/>
  <c r="AI8" i="8" a="1"/>
  <c r="AI8" i="8"/>
  <c r="AH8" i="8" a="1"/>
  <c r="AH8" i="8"/>
  <c r="AG8" i="8" a="1"/>
  <c r="AG8" i="8"/>
  <c r="AF8" i="8" a="1"/>
  <c r="AF8" i="8"/>
  <c r="AE8" i="8" a="1"/>
  <c r="AE8" i="8"/>
  <c r="AD8" i="8" a="1"/>
  <c r="AD8" i="8"/>
  <c r="AC8" i="8" a="1"/>
  <c r="AC8" i="8"/>
  <c r="AB8" i="8" a="1"/>
  <c r="AB8" i="8"/>
  <c r="AA8" i="8" a="1"/>
  <c r="AA8" i="8"/>
  <c r="Z8" i="8" a="1"/>
  <c r="Z8" i="8"/>
  <c r="Y8" i="8" a="1"/>
  <c r="Y8" i="8"/>
  <c r="X8" i="8" a="1"/>
  <c r="X8" i="8"/>
  <c r="W8" i="8" a="1"/>
  <c r="W8" i="8"/>
  <c r="V8" i="8" a="1"/>
  <c r="V8" i="8"/>
  <c r="U8" i="8" a="1"/>
  <c r="U8" i="8"/>
  <c r="T8" i="8" a="1"/>
  <c r="T8" i="8"/>
  <c r="S8" i="8" a="1"/>
  <c r="S8" i="8"/>
  <c r="R8" i="8" a="1"/>
  <c r="R8" i="8"/>
  <c r="Q8" i="8" a="1"/>
  <c r="Q8" i="8"/>
  <c r="P8" i="8" a="1"/>
  <c r="P8" i="8"/>
  <c r="O8" i="8" a="1"/>
  <c r="O8" i="8"/>
  <c r="N8" i="8" a="1"/>
  <c r="N8" i="8"/>
  <c r="M8" i="8" a="1"/>
  <c r="M8" i="8"/>
  <c r="L8" i="8" a="1"/>
  <c r="L8" i="8"/>
  <c r="K8" i="8" a="1"/>
  <c r="K8" i="8"/>
  <c r="J8" i="8" a="1"/>
  <c r="J8" i="8"/>
  <c r="I8" i="8" a="1"/>
  <c r="I8" i="8"/>
  <c r="H8" i="8" a="1"/>
  <c r="H8" i="8"/>
  <c r="G8" i="8" a="1"/>
  <c r="G8" i="8"/>
  <c r="F8" i="8" a="1"/>
  <c r="F8" i="8"/>
  <c r="E8" i="8" a="1"/>
  <c r="E8" i="8"/>
  <c r="EG7" i="8" a="1"/>
  <c r="EG7" i="8"/>
  <c r="EF7" i="8" a="1"/>
  <c r="EF7" i="8"/>
  <c r="EE7" i="8" a="1"/>
  <c r="EE7" i="8"/>
  <c r="ED7" i="8" a="1"/>
  <c r="ED7" i="8"/>
  <c r="EC7" i="8" a="1"/>
  <c r="EC7" i="8"/>
  <c r="EB7" i="8" a="1"/>
  <c r="EB7" i="8"/>
  <c r="EA7" i="8" a="1"/>
  <c r="EA7" i="8"/>
  <c r="DZ7" i="8" a="1"/>
  <c r="DZ7" i="8"/>
  <c r="DY7" i="8" a="1"/>
  <c r="DY7" i="8"/>
  <c r="DX7" i="8" a="1"/>
  <c r="DX7" i="8"/>
  <c r="DW7" i="8" a="1"/>
  <c r="DW7" i="8"/>
  <c r="DV7" i="8" a="1"/>
  <c r="DV7" i="8"/>
  <c r="DU7" i="8" a="1"/>
  <c r="DU7" i="8"/>
  <c r="DT7" i="8" a="1"/>
  <c r="DT7" i="8"/>
  <c r="DS7" i="8" a="1"/>
  <c r="DS7" i="8"/>
  <c r="DR7" i="8" a="1"/>
  <c r="DR7" i="8"/>
  <c r="DQ7" i="8" a="1"/>
  <c r="DQ7" i="8"/>
  <c r="DP7" i="8" a="1"/>
  <c r="DP7" i="8"/>
  <c r="DO7" i="8" a="1"/>
  <c r="DO7" i="8"/>
  <c r="DN7" i="8" a="1"/>
  <c r="DN7" i="8"/>
  <c r="DM7" i="8" a="1"/>
  <c r="DM7" i="8"/>
  <c r="DL7" i="8" a="1"/>
  <c r="DL7" i="8"/>
  <c r="DK7" i="8" a="1"/>
  <c r="DK7" i="8"/>
  <c r="DJ7" i="8" a="1"/>
  <c r="DJ7" i="8"/>
  <c r="DI7" i="8" a="1"/>
  <c r="DI7" i="8"/>
  <c r="DH7" i="8" a="1"/>
  <c r="DH7" i="8"/>
  <c r="DG7" i="8" a="1"/>
  <c r="DG7" i="8"/>
  <c r="DF7" i="8" a="1"/>
  <c r="DF7" i="8"/>
  <c r="DE7" i="8" a="1"/>
  <c r="DE7" i="8"/>
  <c r="DD7" i="8" a="1"/>
  <c r="DD7" i="8"/>
  <c r="DC7" i="8" a="1"/>
  <c r="DC7" i="8"/>
  <c r="DB7" i="8" a="1"/>
  <c r="DB7" i="8"/>
  <c r="DA7" i="8" a="1"/>
  <c r="DA7" i="8"/>
  <c r="CZ7" i="8" a="1"/>
  <c r="CZ7" i="8"/>
  <c r="CY7" i="8" a="1"/>
  <c r="CY7" i="8"/>
  <c r="CX7" i="8" a="1"/>
  <c r="CX7" i="8"/>
  <c r="CW7" i="8" a="1"/>
  <c r="CW7" i="8"/>
  <c r="CV7" i="8" a="1"/>
  <c r="CV7" i="8"/>
  <c r="CU7" i="8" a="1"/>
  <c r="CU7" i="8"/>
  <c r="CT7" i="8" a="1"/>
  <c r="CT7" i="8"/>
  <c r="CS7" i="8" a="1"/>
  <c r="CS7" i="8"/>
  <c r="CR7" i="8" a="1"/>
  <c r="CR7" i="8"/>
  <c r="CQ7" i="8" a="1"/>
  <c r="CQ7" i="8"/>
  <c r="CP7" i="8" a="1"/>
  <c r="CP7" i="8"/>
  <c r="CO7" i="8" a="1"/>
  <c r="CO7" i="8"/>
  <c r="CN7" i="8" a="1"/>
  <c r="CN7" i="8"/>
  <c r="CM7" i="8" a="1"/>
  <c r="CM7" i="8"/>
  <c r="CL7" i="8" a="1"/>
  <c r="CL7" i="8"/>
  <c r="CK7" i="8" a="1"/>
  <c r="CK7" i="8"/>
  <c r="CJ7" i="8" a="1"/>
  <c r="CJ7" i="8"/>
  <c r="CI7" i="8" a="1"/>
  <c r="CI7" i="8"/>
  <c r="CH7" i="8" a="1"/>
  <c r="CH7" i="8"/>
  <c r="CG7" i="8" a="1"/>
  <c r="CG7" i="8"/>
  <c r="CF7" i="8" a="1"/>
  <c r="CF7" i="8"/>
  <c r="CE7" i="8" a="1"/>
  <c r="CE7" i="8"/>
  <c r="CD7" i="8" a="1"/>
  <c r="CD7" i="8"/>
  <c r="CC7" i="8" a="1"/>
  <c r="CC7" i="8"/>
  <c r="CB7" i="8" a="1"/>
  <c r="CB7" i="8"/>
  <c r="CA7" i="8" a="1"/>
  <c r="CA7" i="8"/>
  <c r="BZ7" i="8" a="1"/>
  <c r="BZ7" i="8"/>
  <c r="BY7" i="8" a="1"/>
  <c r="BY7" i="8"/>
  <c r="BX7" i="8" a="1"/>
  <c r="BX7" i="8"/>
  <c r="BW7" i="8" a="1"/>
  <c r="BW7" i="8"/>
  <c r="BV7" i="8" a="1"/>
  <c r="BV7" i="8"/>
  <c r="BU7" i="8" a="1"/>
  <c r="BU7" i="8"/>
  <c r="BT7" i="8" a="1"/>
  <c r="BT7" i="8"/>
  <c r="BS7" i="8" a="1"/>
  <c r="BS7" i="8"/>
  <c r="BR7" i="8" a="1"/>
  <c r="BR7" i="8"/>
  <c r="BQ7" i="8" a="1"/>
  <c r="BQ7" i="8"/>
  <c r="BP7" i="8" a="1"/>
  <c r="BP7" i="8"/>
  <c r="BO7" i="8" a="1"/>
  <c r="BO7" i="8"/>
  <c r="BN7" i="8" a="1"/>
  <c r="BN7" i="8"/>
  <c r="BM7" i="8" a="1"/>
  <c r="BM7" i="8"/>
  <c r="BL7" i="8" a="1"/>
  <c r="BL7" i="8"/>
  <c r="BK7" i="8" a="1"/>
  <c r="BK7" i="8"/>
  <c r="BJ7" i="8" a="1"/>
  <c r="BJ7" i="8"/>
  <c r="BI7" i="8" a="1"/>
  <c r="BI7" i="8"/>
  <c r="BH7" i="8" a="1"/>
  <c r="BH7" i="8"/>
  <c r="BG7" i="8" a="1"/>
  <c r="BG7" i="8"/>
  <c r="BF7" i="8" a="1"/>
  <c r="BF7" i="8"/>
  <c r="BE7" i="8" a="1"/>
  <c r="BE7" i="8"/>
  <c r="BD7" i="8" a="1"/>
  <c r="BD7" i="8"/>
  <c r="BC7" i="8" a="1"/>
  <c r="BC7" i="8"/>
  <c r="BB7" i="8" a="1"/>
  <c r="BB7" i="8"/>
  <c r="BA7" i="8" a="1"/>
  <c r="BA7" i="8"/>
  <c r="AZ7" i="8" a="1"/>
  <c r="AZ7" i="8"/>
  <c r="AY7" i="8" a="1"/>
  <c r="AY7" i="8" s="1"/>
  <c r="AX7" i="8" a="1"/>
  <c r="AX7" i="8" s="1"/>
  <c r="AW7" i="8" a="1"/>
  <c r="AW7" i="8" s="1"/>
  <c r="AV7" i="8" a="1"/>
  <c r="AV7" i="8" s="1"/>
  <c r="AU7" i="8" a="1"/>
  <c r="AU7" i="8" s="1"/>
  <c r="AT7" i="8" a="1"/>
  <c r="AT7" i="8" s="1"/>
  <c r="AS7" i="8" a="1"/>
  <c r="AS7" i="8" s="1"/>
  <c r="AR7" i="8" a="1"/>
  <c r="AR7" i="8" s="1"/>
  <c r="AQ7" i="8" a="1"/>
  <c r="AQ7" i="8" s="1"/>
  <c r="AP7" i="8" a="1"/>
  <c r="AP7" i="8" s="1"/>
  <c r="AO7" i="8" a="1"/>
  <c r="AO7" i="8" s="1"/>
  <c r="AN7" i="8" a="1"/>
  <c r="AN7" i="8" s="1"/>
  <c r="AM7" i="8" a="1"/>
  <c r="AM7" i="8" s="1"/>
  <c r="AL7" i="8" a="1"/>
  <c r="AL7" i="8" s="1"/>
  <c r="AK7" i="8" a="1"/>
  <c r="AK7" i="8" s="1"/>
  <c r="AJ7" i="8" a="1"/>
  <c r="AJ7" i="8" s="1"/>
  <c r="AI7" i="8" a="1"/>
  <c r="AI7" i="8" s="1"/>
  <c r="AH7" i="8" a="1"/>
  <c r="AH7" i="8" s="1"/>
  <c r="AG7" i="8" a="1"/>
  <c r="AG7" i="8" s="1"/>
  <c r="AF7" i="8" a="1"/>
  <c r="AF7" i="8" s="1"/>
  <c r="AE7" i="8" a="1"/>
  <c r="AE7" i="8" s="1"/>
  <c r="AD7" i="8" a="1"/>
  <c r="AD7" i="8" s="1"/>
  <c r="AC7" i="8" a="1"/>
  <c r="AC7" i="8" s="1"/>
  <c r="AB7" i="8" a="1"/>
  <c r="AB7" i="8" s="1"/>
  <c r="AA7" i="8" a="1"/>
  <c r="AA7" i="8" s="1"/>
  <c r="Z7" i="8" a="1"/>
  <c r="Z7" i="8" s="1"/>
  <c r="Y7" i="8" a="1"/>
  <c r="Y7" i="8" s="1"/>
  <c r="X7" i="8" a="1"/>
  <c r="X7" i="8" s="1"/>
  <c r="W7" i="8" a="1"/>
  <c r="W7" i="8" s="1"/>
  <c r="V7" i="8" a="1"/>
  <c r="V7" i="8" s="1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K7" i="8" a="1"/>
  <c r="K7" i="8" s="1"/>
  <c r="J7" i="8" a="1"/>
  <c r="J7" i="8" s="1"/>
  <c r="I7" i="8" a="1"/>
  <c r="I7" i="8" s="1"/>
  <c r="H7" i="8" a="1"/>
  <c r="H7" i="8" s="1"/>
  <c r="G7" i="8" a="1"/>
  <c r="G7" i="8" s="1"/>
  <c r="F7" i="8" a="1"/>
  <c r="F7" i="8" s="1"/>
  <c r="E7" i="8" a="1"/>
  <c r="E7" i="8" s="1"/>
  <c r="EG6" i="8" a="1"/>
  <c r="EG6" i="8" s="1"/>
  <c r="EF6" i="8" a="1"/>
  <c r="EF6" i="8" s="1"/>
  <c r="EE6" i="8" a="1"/>
  <c r="EE6" i="8" s="1"/>
  <c r="ED6" i="8" a="1"/>
  <c r="ED6" i="8" s="1"/>
  <c r="EC6" i="8" a="1"/>
  <c r="EC6" i="8" s="1"/>
  <c r="EB6" i="8" a="1"/>
  <c r="EB6" i="8" s="1"/>
  <c r="EA6" i="8" a="1"/>
  <c r="EA6" i="8" s="1"/>
  <c r="DZ6" i="8" a="1"/>
  <c r="DZ6" i="8" s="1"/>
  <c r="DY6" i="8" a="1"/>
  <c r="DY6" i="8" s="1"/>
  <c r="DX6" i="8" a="1"/>
  <c r="DX6" i="8" s="1"/>
  <c r="DW6" i="8" a="1"/>
  <c r="DW6" i="8" s="1"/>
  <c r="DV6" i="8" a="1"/>
  <c r="DV6" i="8" s="1"/>
  <c r="DU6" i="8" a="1"/>
  <c r="DU6" i="8" s="1"/>
  <c r="DT6" i="8" a="1"/>
  <c r="DT6" i="8" s="1"/>
  <c r="DS6" i="8" a="1"/>
  <c r="DS6" i="8" s="1"/>
  <c r="DR6" i="8" a="1"/>
  <c r="DR6" i="8" s="1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 a="1"/>
  <c r="DL6" i="8" s="1"/>
  <c r="DK6" i="8" a="1"/>
  <c r="DK6" i="8" s="1"/>
  <c r="DJ6" i="8" a="1"/>
  <c r="DJ6" i="8" s="1"/>
  <c r="DI6" i="8" a="1"/>
  <c r="DI6" i="8" s="1"/>
  <c r="DH6" i="8" a="1"/>
  <c r="DH6" i="8" s="1"/>
  <c r="DG6" i="8" a="1"/>
  <c r="DG6" i="8" s="1"/>
  <c r="DF6" i="8" a="1"/>
  <c r="DF6" i="8" s="1"/>
  <c r="DE6" i="8" a="1"/>
  <c r="DE6" i="8" s="1"/>
  <c r="DD6" i="8" a="1"/>
  <c r="DD6" i="8" s="1"/>
  <c r="DC6" i="8" a="1"/>
  <c r="DC6" i="8" s="1"/>
  <c r="DB6" i="8" a="1"/>
  <c r="DB6" i="8" s="1"/>
  <c r="DA6" i="8" a="1"/>
  <c r="DA6" i="8" s="1"/>
  <c r="CZ6" i="8" a="1"/>
  <c r="CZ6" i="8" s="1"/>
  <c r="CY6" i="8" a="1"/>
  <c r="CY6" i="8" s="1"/>
  <c r="CX6" i="8" a="1"/>
  <c r="CX6" i="8" s="1"/>
  <c r="CW6" i="8" a="1"/>
  <c r="CW6" i="8" s="1"/>
  <c r="CV6" i="8" a="1"/>
  <c r="CV6" i="8" s="1"/>
  <c r="CU6" i="8" a="1"/>
  <c r="CU6" i="8" s="1"/>
  <c r="CT6" i="8" a="1"/>
  <c r="CT6" i="8" s="1"/>
  <c r="CS6" i="8" a="1"/>
  <c r="CS6" i="8" s="1"/>
  <c r="CR6" i="8" a="1"/>
  <c r="CR6" i="8" s="1"/>
  <c r="CQ6" i="8" a="1"/>
  <c r="CQ6" i="8" s="1"/>
  <c r="CP6" i="8" a="1"/>
  <c r="CP6" i="8" s="1"/>
  <c r="CO6" i="8" a="1"/>
  <c r="CO6" i="8" s="1"/>
  <c r="CN6" i="8" a="1"/>
  <c r="CN6" i="8" s="1"/>
  <c r="CM6" i="8" a="1"/>
  <c r="CM6" i="8" s="1"/>
  <c r="CL6" i="8" a="1"/>
  <c r="CL6" i="8" s="1"/>
  <c r="CK6" i="8" a="1"/>
  <c r="CK6" i="8" s="1"/>
  <c r="CJ6" i="8" a="1"/>
  <c r="CJ6" i="8" s="1"/>
  <c r="CI6" i="8" a="1"/>
  <c r="CI6" i="8" s="1"/>
  <c r="CH6" i="8" a="1"/>
  <c r="CH6" i="8" s="1"/>
  <c r="CG6" i="8" a="1"/>
  <c r="CG6" i="8" s="1"/>
  <c r="CF6" i="8" a="1"/>
  <c r="CF6" i="8" s="1"/>
  <c r="CE6" i="8" a="1"/>
  <c r="CE6" i="8" s="1"/>
  <c r="CD6" i="8" a="1"/>
  <c r="CD6" i="8" s="1"/>
  <c r="CC6" i="8" a="1"/>
  <c r="CC6" i="8" s="1"/>
  <c r="CB6" i="8" a="1"/>
  <c r="CB6" i="8" s="1"/>
  <c r="CA6" i="8" a="1"/>
  <c r="CA6" i="8" s="1"/>
  <c r="BZ6" i="8" a="1"/>
  <c r="BZ6" i="8" s="1"/>
  <c r="BY6" i="8" a="1"/>
  <c r="BY6" i="8" s="1"/>
  <c r="BX6" i="8" a="1"/>
  <c r="BX6" i="8" s="1"/>
  <c r="BW6" i="8" a="1"/>
  <c r="BW6" i="8" s="1"/>
  <c r="BV6" i="8" a="1"/>
  <c r="BV6" i="8" s="1"/>
  <c r="BU6" i="8" a="1"/>
  <c r="BU6" i="8" s="1"/>
  <c r="BT6" i="8" a="1"/>
  <c r="BT6" i="8" s="1"/>
  <c r="BS6" i="8" a="1"/>
  <c r="BS6" i="8" s="1"/>
  <c r="BR6" i="8" a="1"/>
  <c r="BR6" i="8" s="1"/>
  <c r="BQ6" i="8" a="1"/>
  <c r="BQ6" i="8" s="1"/>
  <c r="BP6" i="8" a="1"/>
  <c r="BP6" i="8" s="1"/>
  <c r="BO6" i="8" a="1"/>
  <c r="BO6" i="8" s="1"/>
  <c r="BN6" i="8" a="1"/>
  <c r="BN6" i="8" s="1"/>
  <c r="BM6" i="8" a="1"/>
  <c r="BM6" i="8" s="1"/>
  <c r="BL6" i="8" a="1"/>
  <c r="BL6" i="8" s="1"/>
  <c r="BK6" i="8" a="1"/>
  <c r="BK6" i="8" s="1"/>
  <c r="BJ6" i="8" a="1"/>
  <c r="BJ6" i="8" s="1"/>
  <c r="BI6" i="8" a="1"/>
  <c r="BI6" i="8" s="1"/>
  <c r="BH6" i="8" a="1"/>
  <c r="BH6" i="8" s="1"/>
  <c r="BG6" i="8" a="1"/>
  <c r="BG6" i="8" s="1"/>
  <c r="BF6" i="8" a="1"/>
  <c r="BF6" i="8" s="1"/>
  <c r="BE6" i="8" a="1"/>
  <c r="BE6" i="8" s="1"/>
  <c r="BD6" i="8" a="1"/>
  <c r="BD6" i="8" s="1"/>
  <c r="BC6" i="8" a="1"/>
  <c r="BC6" i="8" s="1"/>
  <c r="BB6" i="8" a="1"/>
  <c r="BB6" i="8" s="1"/>
  <c r="BA6" i="8" a="1"/>
  <c r="BA6" i="8" s="1"/>
  <c r="AZ6" i="8" a="1"/>
  <c r="AZ6" i="8" s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 a="1"/>
  <c r="AT6" i="8" s="1"/>
  <c r="AS6" i="8" a="1"/>
  <c r="AS6" i="8" s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 a="1"/>
  <c r="AI6" i="8" s="1"/>
  <c r="AH6" i="8" a="1"/>
  <c r="AH6" i="8" s="1"/>
  <c r="AG6" i="8" a="1"/>
  <c r="AG6" i="8" s="1"/>
  <c r="AF6" i="8" a="1"/>
  <c r="AF6" i="8" s="1"/>
  <c r="AE6" i="8" a="1"/>
  <c r="AE6" i="8" s="1"/>
  <c r="AD6" i="8" a="1"/>
  <c r="AD6" i="8" s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 a="1"/>
  <c r="X6" i="8" s="1"/>
  <c r="W6" i="8" a="1"/>
  <c r="W6" i="8" s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K6" i="8" a="1"/>
  <c r="K6" i="8" s="1"/>
  <c r="J6" i="8" a="1"/>
  <c r="J6" i="8" s="1"/>
  <c r="I6" i="8" a="1"/>
  <c r="I6" i="8" s="1"/>
  <c r="H6" i="8" a="1"/>
  <c r="H6" i="8" s="1"/>
  <c r="G6" i="8" a="1"/>
  <c r="G6" i="8" s="1"/>
  <c r="F6" i="8" a="1"/>
  <c r="F6" i="8" s="1"/>
  <c r="E6" i="8" a="1"/>
  <c r="E6" i="8" s="1"/>
  <c r="EG5" i="8" a="1"/>
  <c r="EG5" i="8" s="1"/>
  <c r="EF5" i="8" a="1"/>
  <c r="EF5" i="8" s="1"/>
  <c r="EE5" i="8" a="1"/>
  <c r="EE5" i="8" s="1"/>
  <c r="ED5" i="8" a="1"/>
  <c r="ED5" i="8" s="1"/>
  <c r="EC5" i="8" a="1"/>
  <c r="EC5" i="8" s="1"/>
  <c r="EB5" i="8" a="1"/>
  <c r="EB5" i="8" s="1"/>
  <c r="EA5" i="8" a="1"/>
  <c r="EA5" i="8" s="1"/>
  <c r="DZ5" i="8" a="1"/>
  <c r="DZ5" i="8" s="1"/>
  <c r="DY5" i="8" a="1"/>
  <c r="DY5" i="8" s="1"/>
  <c r="DX5" i="8" a="1"/>
  <c r="DX5" i="8" s="1"/>
  <c r="DW5" i="8" a="1"/>
  <c r="DW5" i="8" s="1"/>
  <c r="DV5" i="8" a="1"/>
  <c r="DV5" i="8" s="1"/>
  <c r="DU5" i="8" a="1"/>
  <c r="DU5" i="8" s="1"/>
  <c r="DT5" i="8" a="1"/>
  <c r="DT5" i="8" s="1"/>
  <c r="DS5" i="8" a="1"/>
  <c r="DS5" i="8" s="1"/>
  <c r="DR5" i="8" a="1"/>
  <c r="DR5" i="8" s="1"/>
  <c r="DQ5" i="8" a="1"/>
  <c r="DQ5" i="8" s="1"/>
  <c r="DP5" i="8" a="1"/>
  <c r="DP5" i="8" s="1"/>
  <c r="DO5" i="8" a="1"/>
  <c r="DO5" i="8" s="1"/>
  <c r="DN5" i="8" a="1"/>
  <c r="DN5" i="8" s="1"/>
  <c r="DM5" i="8" a="1"/>
  <c r="DM5" i="8" s="1"/>
  <c r="DL5" i="8" a="1"/>
  <c r="DL5" i="8" s="1"/>
  <c r="DK5" i="8" a="1"/>
  <c r="DK5" i="8" s="1"/>
  <c r="DJ5" i="8" a="1"/>
  <c r="DJ5" i="8" s="1"/>
  <c r="DI5" i="8" a="1"/>
  <c r="DI5" i="8" s="1"/>
  <c r="DH5" i="8" a="1"/>
  <c r="DH5" i="8" s="1"/>
  <c r="DG5" i="8" a="1"/>
  <c r="DG5" i="8" s="1"/>
  <c r="DF5" i="8" a="1"/>
  <c r="DF5" i="8" s="1"/>
  <c r="DE5" i="8" a="1"/>
  <c r="DE5" i="8" s="1"/>
  <c r="DD5" i="8" a="1"/>
  <c r="DD5" i="8" s="1"/>
  <c r="DC5" i="8" a="1"/>
  <c r="DC5" i="8" s="1"/>
  <c r="DB5" i="8" a="1"/>
  <c r="DB5" i="8" s="1"/>
  <c r="DA5" i="8" a="1"/>
  <c r="DA5" i="8" s="1"/>
  <c r="CZ5" i="8" a="1"/>
  <c r="CZ5" i="8" s="1"/>
  <c r="CY5" i="8" a="1"/>
  <c r="CY5" i="8" s="1"/>
  <c r="CX5" i="8" a="1"/>
  <c r="CX5" i="8" s="1"/>
  <c r="CW5" i="8" a="1"/>
  <c r="CW5" i="8" s="1"/>
  <c r="CV5" i="8" a="1"/>
  <c r="CV5" i="8" s="1"/>
  <c r="CU5" i="8" a="1"/>
  <c r="CU5" i="8" s="1"/>
  <c r="CT5" i="8" a="1"/>
  <c r="CT5" i="8" s="1"/>
  <c r="CS5" i="8" a="1"/>
  <c r="CS5" i="8" s="1"/>
  <c r="CR5" i="8" a="1"/>
  <c r="CR5" i="8" s="1"/>
  <c r="CQ5" i="8" a="1"/>
  <c r="CQ5" i="8" s="1"/>
  <c r="CP5" i="8" a="1"/>
  <c r="CP5" i="8" s="1"/>
  <c r="CO5" i="8" a="1"/>
  <c r="CO5" i="8" s="1"/>
  <c r="CN5" i="8" a="1"/>
  <c r="CN5" i="8" s="1"/>
  <c r="CM5" i="8" a="1"/>
  <c r="CM5" i="8" s="1"/>
  <c r="CL5" i="8" a="1"/>
  <c r="CL5" i="8" s="1"/>
  <c r="CK5" i="8" a="1"/>
  <c r="CK5" i="8" s="1"/>
  <c r="CJ5" i="8" a="1"/>
  <c r="CJ5" i="8" s="1"/>
  <c r="CI5" i="8" a="1"/>
  <c r="CI5" i="8" s="1"/>
  <c r="CH5" i="8" a="1"/>
  <c r="CH5" i="8" s="1"/>
  <c r="CG5" i="8" a="1"/>
  <c r="CG5" i="8" s="1"/>
  <c r="CF5" i="8" a="1"/>
  <c r="CF5" i="8" s="1"/>
  <c r="CE5" i="8" a="1"/>
  <c r="CE5" i="8" s="1"/>
  <c r="CD5" i="8" a="1"/>
  <c r="CD5" i="8" s="1"/>
  <c r="CC5" i="8" a="1"/>
  <c r="CC5" i="8" s="1"/>
  <c r="CB5" i="8" a="1"/>
  <c r="CB5" i="8" s="1"/>
  <c r="CA5" i="8" a="1"/>
  <c r="CA5" i="8" s="1"/>
  <c r="BZ5" i="8" a="1"/>
  <c r="BZ5" i="8" s="1"/>
  <c r="BY5" i="8" a="1"/>
  <c r="BY5" i="8" s="1"/>
  <c r="BX5" i="8" a="1"/>
  <c r="BX5" i="8" s="1"/>
  <c r="BW5" i="8" a="1"/>
  <c r="BW5" i="8" s="1"/>
  <c r="BV5" i="8" a="1"/>
  <c r="BV5" i="8" s="1"/>
  <c r="BU5" i="8" a="1"/>
  <c r="BU5" i="8" s="1"/>
  <c r="BT5" i="8" a="1"/>
  <c r="BT5" i="8" s="1"/>
  <c r="BS5" i="8" a="1"/>
  <c r="BS5" i="8" s="1"/>
  <c r="BR5" i="8" a="1"/>
  <c r="BR5" i="8" s="1"/>
  <c r="BQ5" i="8" a="1"/>
  <c r="BQ5" i="8" s="1"/>
  <c r="BP5" i="8" a="1"/>
  <c r="BP5" i="8" s="1"/>
  <c r="BO5" i="8" a="1"/>
  <c r="BO5" i="8" s="1"/>
  <c r="BN5" i="8" a="1"/>
  <c r="BN5" i="8" s="1"/>
  <c r="BM5" i="8" a="1"/>
  <c r="BM5" i="8" s="1"/>
  <c r="BL5" i="8" a="1"/>
  <c r="BL5" i="8" s="1"/>
  <c r="BK5" i="8" a="1"/>
  <c r="BK5" i="8" s="1"/>
  <c r="BJ5" i="8" a="1"/>
  <c r="BJ5" i="8" s="1"/>
  <c r="BI5" i="8" a="1"/>
  <c r="BI5" i="8" s="1"/>
  <c r="BH5" i="8" a="1"/>
  <c r="BH5" i="8" s="1"/>
  <c r="BG5" i="8" a="1"/>
  <c r="BG5" i="8" s="1"/>
  <c r="BF5" i="8" a="1"/>
  <c r="BF5" i="8" s="1"/>
  <c r="BE5" i="8" a="1"/>
  <c r="BE5" i="8" s="1"/>
  <c r="BD5" i="8" a="1"/>
  <c r="BD5" i="8" s="1"/>
  <c r="BC5" i="8" a="1"/>
  <c r="BC5" i="8" s="1"/>
  <c r="BB5" i="8" a="1"/>
  <c r="BB5" i="8" s="1"/>
  <c r="BA5" i="8" a="1"/>
  <c r="BA5" i="8" s="1"/>
  <c r="AZ5" i="8" a="1"/>
  <c r="AZ5" i="8" s="1"/>
  <c r="AY5" i="8" a="1"/>
  <c r="AY5" i="8" s="1"/>
  <c r="AX5" i="8" a="1"/>
  <c r="AX5" i="8" s="1"/>
  <c r="AW5" i="8" a="1"/>
  <c r="AW5" i="8" s="1"/>
  <c r="AV5" i="8" a="1"/>
  <c r="AV5" i="8" s="1"/>
  <c r="AU5" i="8" a="1"/>
  <c r="AU5" i="8" s="1"/>
  <c r="AT5" i="8" a="1"/>
  <c r="AT5" i="8" s="1"/>
  <c r="AS5" i="8" a="1"/>
  <c r="AS5" i="8" s="1"/>
  <c r="AR5" i="8" a="1"/>
  <c r="AR5" i="8" s="1"/>
  <c r="AQ5" i="8" a="1"/>
  <c r="AQ5" i="8" s="1"/>
  <c r="AP5" i="8" a="1"/>
  <c r="AP5" i="8" s="1"/>
  <c r="AO5" i="8" a="1"/>
  <c r="AO5" i="8" s="1"/>
  <c r="AN5" i="8" a="1"/>
  <c r="AN5" i="8" s="1"/>
  <c r="AM5" i="8" a="1"/>
  <c r="AM5" i="8" s="1"/>
  <c r="AL5" i="8" a="1"/>
  <c r="AL5" i="8" s="1"/>
  <c r="AK5" i="8" a="1"/>
  <c r="AK5" i="8" s="1"/>
  <c r="AJ5" i="8" a="1"/>
  <c r="AJ5" i="8" s="1"/>
  <c r="AI5" i="8" a="1"/>
  <c r="AI5" i="8" s="1"/>
  <c r="AH5" i="8" a="1"/>
  <c r="AH5" i="8" s="1"/>
  <c r="AG5" i="8" a="1"/>
  <c r="AG5" i="8" s="1"/>
  <c r="AF5" i="8" a="1"/>
  <c r="AF5" i="8" s="1"/>
  <c r="AE5" i="8" a="1"/>
  <c r="AE5" i="8" s="1"/>
  <c r="AD5" i="8" a="1"/>
  <c r="AD5" i="8" s="1"/>
  <c r="AC5" i="8" a="1"/>
  <c r="AC5" i="8" s="1"/>
  <c r="AB5" i="8" a="1"/>
  <c r="AB5" i="8" s="1"/>
  <c r="AA5" i="8" a="1"/>
  <c r="AA5" i="8" s="1"/>
  <c r="Z5" i="8" a="1"/>
  <c r="Z5" i="8" s="1"/>
  <c r="Y5" i="8" a="1"/>
  <c r="Y5" i="8" s="1"/>
  <c r="X5" i="8" a="1"/>
  <c r="X5" i="8" s="1"/>
  <c r="W5" i="8" a="1"/>
  <c r="W5" i="8" s="1"/>
  <c r="V5" i="8" a="1"/>
  <c r="V5" i="8" s="1"/>
  <c r="U5" i="8" a="1"/>
  <c r="U5" i="8" s="1"/>
  <c r="T5" i="8" a="1"/>
  <c r="T5" i="8" s="1"/>
  <c r="S5" i="8" a="1"/>
  <c r="S5" i="8" s="1"/>
  <c r="R5" i="8" a="1"/>
  <c r="R5" i="8" s="1"/>
  <c r="Q5" i="8" a="1"/>
  <c r="Q5" i="8" s="1"/>
  <c r="P5" i="8" a="1"/>
  <c r="P5" i="8" s="1"/>
  <c r="O5" i="8" a="1"/>
  <c r="O5" i="8" s="1"/>
  <c r="N5" i="8" a="1"/>
  <c r="N5" i="8" s="1"/>
  <c r="M5" i="8" a="1"/>
  <c r="M5" i="8" s="1"/>
  <c r="L5" i="8" a="1"/>
  <c r="L5" i="8" s="1"/>
  <c r="K5" i="8" a="1"/>
  <c r="K5" i="8" s="1"/>
  <c r="J5" i="8" a="1"/>
  <c r="J5" i="8" s="1"/>
  <c r="I5" i="8" a="1"/>
  <c r="I5" i="8" s="1"/>
  <c r="H5" i="8" a="1"/>
  <c r="H5" i="8" s="1"/>
  <c r="G5" i="8" a="1"/>
  <c r="G5" i="8" s="1"/>
  <c r="F5" i="8" a="1"/>
  <c r="F5" i="8" s="1"/>
  <c r="E5" i="8" a="1"/>
  <c r="E5" i="8" s="1"/>
  <c r="C23" i="6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C22" i="6"/>
  <c r="D22" i="6" s="1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C21" i="6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C20" i="6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C19" i="6"/>
  <c r="D19" i="6" s="1"/>
  <c r="E19" i="6" s="1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C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C17" i="6"/>
  <c r="D17" i="6" s="1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C16" i="6"/>
  <c r="D16" i="6" s="1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C15" i="6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C14" i="6"/>
  <c r="D14" i="6" s="1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C13" i="6"/>
  <c r="D13" i="6" s="1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C12" i="6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C11" i="6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CV11" i="6" s="1"/>
  <c r="CW11" i="6" s="1"/>
  <c r="CX11" i="6" s="1"/>
  <c r="CY11" i="6" s="1"/>
  <c r="CZ11" i="6" s="1"/>
  <c r="DA11" i="6" s="1"/>
  <c r="DB11" i="6" s="1"/>
  <c r="DC11" i="6" s="1"/>
  <c r="DD11" i="6" s="1"/>
  <c r="DE11" i="6" s="1"/>
  <c r="DF11" i="6" s="1"/>
  <c r="DG11" i="6" s="1"/>
  <c r="DH11" i="6" s="1"/>
  <c r="DI11" i="6" s="1"/>
  <c r="DJ11" i="6" s="1"/>
  <c r="DK11" i="6" s="1"/>
  <c r="DL11" i="6" s="1"/>
  <c r="DM11" i="6" s="1"/>
  <c r="DN11" i="6" s="1"/>
  <c r="DO11" i="6" s="1"/>
  <c r="DP11" i="6" s="1"/>
  <c r="DQ11" i="6" s="1"/>
  <c r="DR11" i="6" s="1"/>
  <c r="DS11" i="6" s="1"/>
  <c r="DT11" i="6" s="1"/>
  <c r="DU11" i="6" s="1"/>
  <c r="DV11" i="6" s="1"/>
  <c r="DW11" i="6" s="1"/>
  <c r="DX11" i="6" s="1"/>
  <c r="DY11" i="6" s="1"/>
  <c r="DZ11" i="6" s="1"/>
  <c r="EA11" i="6" s="1"/>
  <c r="EB11" i="6" s="1"/>
  <c r="EC11" i="6" s="1"/>
  <c r="ED11" i="6" s="1"/>
  <c r="EE11" i="6" s="1"/>
  <c r="C10" i="6"/>
  <c r="D10" i="6" s="1"/>
  <c r="E10" i="6" s="1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EF25" i="4"/>
  <c r="EE25" i="4"/>
  <c r="ED25" i="4"/>
  <c r="EC25" i="4"/>
  <c r="EB25" i="4"/>
  <c r="EA25" i="4"/>
  <c r="DZ25" i="4"/>
  <c r="DY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EF23" i="4"/>
  <c r="EE23" i="4"/>
  <c r="ED23" i="4"/>
  <c r="EC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EF22" i="4"/>
  <c r="EE22" i="4"/>
  <c r="ED22" i="4"/>
  <c r="EC22" i="4"/>
  <c r="EA22" i="4"/>
  <c r="DZ22" i="4"/>
  <c r="DY22" i="4"/>
  <c r="DX22" i="4"/>
  <c r="DW22" i="4"/>
  <c r="DT22" i="4"/>
  <c r="DS22" i="4"/>
  <c r="DR22" i="4"/>
  <c r="DQ22" i="4"/>
  <c r="DP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EF21" i="4"/>
  <c r="EE21" i="4"/>
  <c r="ED21" i="4"/>
  <c r="EC21" i="4"/>
  <c r="EB21" i="4"/>
  <c r="EA21" i="4"/>
  <c r="DZ21" i="4"/>
  <c r="DY21" i="4"/>
  <c r="DX21" i="4"/>
  <c r="DW21" i="4"/>
  <c r="DU21" i="4"/>
  <c r="DT21" i="4"/>
  <c r="DS21" i="4"/>
  <c r="DR21" i="4"/>
  <c r="DQ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EF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EF17" i="4"/>
  <c r="EE17" i="4"/>
  <c r="EC17" i="4"/>
  <c r="EB17" i="4"/>
  <c r="EA17" i="4"/>
  <c r="DZ17" i="4"/>
  <c r="DY17" i="4"/>
  <c r="DX17" i="4"/>
  <c r="DW17" i="4"/>
  <c r="DU17" i="4"/>
  <c r="DT17" i="4"/>
  <c r="DS17" i="4"/>
  <c r="DR17" i="4"/>
  <c r="DP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E8" i="2" a="1"/>
  <c r="EE8" i="2" s="1"/>
  <c r="ED8" i="2" a="1"/>
  <c r="ED8" i="2" s="1"/>
  <c r="EC8" i="2" a="1"/>
  <c r="EC8" i="2" s="1"/>
  <c r="EB8" i="2" a="1"/>
  <c r="EB8" i="2" s="1"/>
  <c r="EA8" i="2" a="1"/>
  <c r="EA8" i="2" s="1"/>
  <c r="DZ8" i="2" a="1"/>
  <c r="DZ8" i="2" s="1"/>
  <c r="DY8" i="2" a="1"/>
  <c r="DY8" i="2" s="1"/>
  <c r="DX8" i="2" a="1"/>
  <c r="DX8" i="2" s="1"/>
  <c r="DW8" i="2" a="1"/>
  <c r="DW8" i="2" s="1"/>
  <c r="DV8" i="2" a="1"/>
  <c r="DV8" i="2" s="1"/>
  <c r="DU8" i="2" a="1"/>
  <c r="DU8" i="2" s="1"/>
  <c r="DT8" i="2" a="1"/>
  <c r="DT8" i="2" s="1"/>
  <c r="DS8" i="2" a="1"/>
  <c r="DS8" i="2"/>
  <c r="DR8" i="2" a="1"/>
  <c r="DR8" i="2" s="1"/>
  <c r="DQ8" i="2" a="1"/>
  <c r="DQ8" i="2" s="1"/>
  <c r="DP8" i="2" a="1"/>
  <c r="DP8" i="2" s="1"/>
  <c r="DO8" i="2" a="1"/>
  <c r="DO8" i="2" s="1"/>
  <c r="DN8" i="2" a="1"/>
  <c r="DN8" i="2" s="1"/>
  <c r="DM8" i="2" a="1"/>
  <c r="DM8" i="2" s="1"/>
  <c r="DL8" i="2" a="1"/>
  <c r="DL8" i="2" s="1"/>
  <c r="DK8" i="2" a="1"/>
  <c r="DK8" i="2" s="1"/>
  <c r="DJ8" i="2" a="1"/>
  <c r="DJ8" i="2" s="1"/>
  <c r="DI8" i="2" a="1"/>
  <c r="DI8" i="2" s="1"/>
  <c r="DH8" i="2" a="1"/>
  <c r="DH8" i="2" s="1"/>
  <c r="DG8" i="2" a="1"/>
  <c r="DG8" i="2" s="1"/>
  <c r="DF8" i="2" a="1"/>
  <c r="DF8" i="2" s="1"/>
  <c r="DE8" i="2" a="1"/>
  <c r="DE8" i="2" s="1"/>
  <c r="DD8" i="2" a="1"/>
  <c r="DD8" i="2" s="1"/>
  <c r="DC8" i="2" a="1"/>
  <c r="DC8" i="2" s="1"/>
  <c r="DB8" i="2" a="1"/>
  <c r="DB8" i="2" s="1"/>
  <c r="DA8" i="2" a="1"/>
  <c r="DA8" i="2" s="1"/>
  <c r="CZ8" i="2" a="1"/>
  <c r="CZ8" i="2"/>
  <c r="CY8" i="2" a="1"/>
  <c r="CY8" i="2" s="1"/>
  <c r="CX8" i="2" a="1"/>
  <c r="CX8" i="2" s="1"/>
  <c r="CW8" i="2" a="1"/>
  <c r="CW8" i="2" s="1"/>
  <c r="CV8" i="2" a="1"/>
  <c r="CV8" i="2" s="1"/>
  <c r="CU8" i="2" a="1"/>
  <c r="CU8" i="2" s="1"/>
  <c r="CT8" i="2" a="1"/>
  <c r="CT8" i="2" s="1"/>
  <c r="CS8" i="2" a="1"/>
  <c r="CS8" i="2" s="1"/>
  <c r="CR8" i="2" a="1"/>
  <c r="CR8" i="2" s="1"/>
  <c r="CQ8" i="2" a="1"/>
  <c r="CQ8" i="2"/>
  <c r="CP8" i="2" a="1"/>
  <c r="CP8" i="2" s="1"/>
  <c r="CO8" i="2" a="1"/>
  <c r="CO8" i="2" s="1"/>
  <c r="CN8" i="2" a="1"/>
  <c r="CN8" i="2" s="1"/>
  <c r="CM8" i="2" a="1"/>
  <c r="CM8" i="2" s="1"/>
  <c r="CL8" i="2" a="1"/>
  <c r="CL8" i="2" s="1"/>
  <c r="CK8" i="2" a="1"/>
  <c r="CK8" i="2" s="1"/>
  <c r="CJ8" i="2" a="1"/>
  <c r="CJ8" i="2" s="1"/>
  <c r="CI8" i="2" a="1"/>
  <c r="CI8" i="2" s="1"/>
  <c r="CH8" i="2" a="1"/>
  <c r="CH8" i="2" s="1"/>
  <c r="CG8" i="2" a="1"/>
  <c r="CG8" i="2" s="1"/>
  <c r="CF8" i="2" a="1"/>
  <c r="CF8" i="2"/>
  <c r="CE8" i="2" a="1"/>
  <c r="CE8" i="2" s="1"/>
  <c r="CD8" i="2" a="1"/>
  <c r="CD8" i="2" s="1"/>
  <c r="CC8" i="2" a="1"/>
  <c r="CC8" i="2" s="1"/>
  <c r="CB8" i="2" a="1"/>
  <c r="CB8" i="2" s="1"/>
  <c r="CA8" i="2" a="1"/>
  <c r="CA8" i="2" s="1"/>
  <c r="BZ8" i="2" a="1"/>
  <c r="BZ8" i="2" s="1"/>
  <c r="BY8" i="2" a="1"/>
  <c r="BY8" i="2" s="1"/>
  <c r="BX8" i="2" a="1"/>
  <c r="BX8" i="2" s="1"/>
  <c r="BW8" i="2" a="1"/>
  <c r="BW8" i="2"/>
  <c r="BV8" i="2" a="1"/>
  <c r="BV8" i="2" s="1"/>
  <c r="BU8" i="2" a="1"/>
  <c r="BU8" i="2" s="1"/>
  <c r="BT8" i="2" a="1"/>
  <c r="BT8" i="2" s="1"/>
  <c r="BS8" i="2" a="1"/>
  <c r="BS8" i="2" s="1"/>
  <c r="BR8" i="2" a="1"/>
  <c r="BR8" i="2" s="1"/>
  <c r="BQ8" i="2" a="1"/>
  <c r="BQ8" i="2" s="1"/>
  <c r="BP8" i="2" a="1"/>
  <c r="BP8" i="2" s="1"/>
  <c r="BO8" i="2" a="1"/>
  <c r="BO8" i="2" s="1"/>
  <c r="BN8" i="2" a="1"/>
  <c r="BN8" i="2"/>
  <c r="BM8" i="2" a="1"/>
  <c r="BM8" i="2" s="1"/>
  <c r="BL8" i="2" a="1"/>
  <c r="BL8" i="2"/>
  <c r="BK8" i="2" a="1"/>
  <c r="BK8" i="2" s="1"/>
  <c r="BJ8" i="2" a="1"/>
  <c r="BJ8" i="2" s="1"/>
  <c r="BI8" i="2" a="1"/>
  <c r="BI8" i="2" s="1"/>
  <c r="BH8" i="2" a="1"/>
  <c r="BH8" i="2" s="1"/>
  <c r="BG8" i="2" a="1"/>
  <c r="BG8" i="2" s="1"/>
  <c r="BF8" i="2" a="1"/>
  <c r="BF8" i="2" s="1"/>
  <c r="BE8" i="2" a="1"/>
  <c r="BE8" i="2" s="1"/>
  <c r="BD8" i="2" a="1"/>
  <c r="BD8" i="2" s="1"/>
  <c r="BC8" i="2" a="1"/>
  <c r="BC8" i="2"/>
  <c r="BB8" i="2" a="1"/>
  <c r="BB8" i="2" s="1"/>
  <c r="BA8" i="2" a="1"/>
  <c r="BA8" i="2" s="1"/>
  <c r="AZ8" i="2" a="1"/>
  <c r="AZ8" i="2" s="1"/>
  <c r="AY8" i="2" a="1"/>
  <c r="AY8" i="2" s="1"/>
  <c r="AX8" i="2" a="1"/>
  <c r="AX8" i="2" s="1"/>
  <c r="AW8" i="2" a="1"/>
  <c r="AW8" i="2" s="1"/>
  <c r="AV8" i="2" a="1"/>
  <c r="AV8" i="2" s="1"/>
  <c r="AU8" i="2" a="1"/>
  <c r="AU8" i="2" s="1"/>
  <c r="AT8" i="2" a="1"/>
  <c r="AT8" i="2" s="1"/>
  <c r="AS8" i="2" a="1"/>
  <c r="AS8" i="2" s="1"/>
  <c r="AR8" i="2" a="1"/>
  <c r="AR8" i="2" s="1"/>
  <c r="AQ8" i="2" a="1"/>
  <c r="AQ8" i="2" s="1"/>
  <c r="AP8" i="2" a="1"/>
  <c r="AP8" i="2"/>
  <c r="AO8" i="2" a="1"/>
  <c r="AO8" i="2" s="1"/>
  <c r="AN8" i="2" a="1"/>
  <c r="AN8" i="2" s="1"/>
  <c r="AM8" i="2" a="1"/>
  <c r="AM8" i="2" s="1"/>
  <c r="AL8" i="2" a="1"/>
  <c r="AL8" i="2" s="1"/>
  <c r="AK8" i="2" a="1"/>
  <c r="AK8" i="2" s="1"/>
  <c r="AJ8" i="2" a="1"/>
  <c r="AJ8" i="2" s="1"/>
  <c r="AI8" i="2" a="1"/>
  <c r="AI8" i="2" s="1"/>
  <c r="AH8" i="2" a="1"/>
  <c r="AH8" i="2" s="1"/>
  <c r="AG8" i="2" a="1"/>
  <c r="AG8" i="2" s="1"/>
  <c r="AF8" i="2" a="1"/>
  <c r="AF8" i="2" s="1"/>
  <c r="AE8" i="2" a="1"/>
  <c r="AE8" i="2" s="1"/>
  <c r="AD8" i="2" a="1"/>
  <c r="AD8" i="2" s="1"/>
  <c r="AC8" i="2" a="1"/>
  <c r="AC8" i="2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/>
  <c r="M8" i="2" a="1"/>
  <c r="M8" i="2"/>
  <c r="L8" i="2" a="1"/>
  <c r="L8" i="2"/>
  <c r="K8" i="2" a="1"/>
  <c r="K8" i="2"/>
  <c r="J8" i="2" a="1"/>
  <c r="J8" i="2"/>
  <c r="I8" i="2" a="1"/>
  <c r="I8" i="2"/>
  <c r="H8" i="2" a="1"/>
  <c r="H8" i="2"/>
  <c r="G8" i="2" a="1"/>
  <c r="G8" i="2"/>
  <c r="F8" i="2" a="1"/>
  <c r="F8" i="2"/>
  <c r="E8" i="2" a="1"/>
  <c r="E8" i="2"/>
  <c r="D8" i="2" a="1"/>
  <c r="D8" i="2"/>
  <c r="EI22" i="9" l="1"/>
  <c r="EF9" i="4"/>
  <c r="EF10" i="4"/>
  <c r="EE9" i="4"/>
  <c r="EE10" i="4"/>
  <c r="ED9" i="4"/>
  <c r="ED10" i="4"/>
  <c r="EC9" i="4"/>
  <c r="EC10" i="4"/>
  <c r="EB9" i="4"/>
  <c r="EB10" i="4"/>
  <c r="EA9" i="4"/>
  <c r="EA10" i="4"/>
  <c r="DZ9" i="4"/>
  <c r="DZ10" i="4"/>
  <c r="DY10" i="4"/>
  <c r="DY9" i="4"/>
  <c r="DX10" i="4"/>
  <c r="DX9" i="4"/>
  <c r="DW9" i="4"/>
  <c r="DW10" i="4"/>
  <c r="DV9" i="4"/>
  <c r="DV10" i="4"/>
  <c r="DU9" i="4"/>
  <c r="DU10" i="4"/>
  <c r="DT10" i="4"/>
  <c r="DT9" i="4"/>
  <c r="DS9" i="4"/>
  <c r="DS10" i="4"/>
  <c r="DR9" i="4"/>
  <c r="DR10" i="4"/>
  <c r="DQ9" i="4"/>
  <c r="DQ10" i="4"/>
  <c r="DP10" i="4"/>
  <c r="DP9" i="4"/>
  <c r="DO10" i="4"/>
  <c r="DO9" i="4"/>
  <c r="DN9" i="4"/>
  <c r="DN10" i="4"/>
  <c r="DM10" i="4"/>
  <c r="DM9" i="4"/>
  <c r="DL9" i="4"/>
  <c r="DL10" i="4"/>
  <c r="DK10" i="4"/>
  <c r="DK9" i="4"/>
  <c r="DJ9" i="4"/>
  <c r="DJ10" i="4"/>
  <c r="DI10" i="4"/>
  <c r="DI9" i="4"/>
  <c r="DH9" i="4"/>
  <c r="DH10" i="4"/>
  <c r="DG10" i="4"/>
  <c r="DG9" i="4"/>
  <c r="DF9" i="4"/>
  <c r="DF10" i="4"/>
  <c r="DE10" i="4"/>
  <c r="DE9" i="4"/>
  <c r="DD9" i="4"/>
  <c r="DD10" i="4"/>
  <c r="DC9" i="4"/>
  <c r="DC10" i="4"/>
  <c r="DB9" i="4"/>
  <c r="DB10" i="4"/>
  <c r="DA9" i="4"/>
  <c r="DA10" i="4"/>
  <c r="CZ10" i="4"/>
  <c r="CZ9" i="4"/>
  <c r="CY9" i="4"/>
  <c r="CY10" i="4"/>
  <c r="CX9" i="4"/>
  <c r="CX10" i="4"/>
  <c r="CW10" i="4"/>
  <c r="CW9" i="4"/>
  <c r="CV10" i="4"/>
  <c r="CV9" i="4"/>
  <c r="CU9" i="4"/>
  <c r="CU10" i="4"/>
  <c r="CT9" i="4"/>
  <c r="CT10" i="4"/>
  <c r="CS9" i="4"/>
  <c r="CS10" i="4"/>
  <c r="CR9" i="4"/>
  <c r="CR10" i="4"/>
  <c r="CQ9" i="4"/>
  <c r="CQ10" i="4"/>
  <c r="CP9" i="4"/>
  <c r="CP10" i="4"/>
  <c r="CO10" i="4"/>
  <c r="CO9" i="4"/>
  <c r="CN10" i="4"/>
  <c r="CN9" i="4"/>
  <c r="CM9" i="4"/>
  <c r="CM10" i="4"/>
  <c r="CL9" i="4"/>
  <c r="CL10" i="4"/>
  <c r="CK9" i="4"/>
  <c r="CK10" i="4"/>
  <c r="CJ10" i="4"/>
  <c r="CJ9" i="4"/>
  <c r="CI9" i="4"/>
  <c r="CI10" i="4"/>
  <c r="CH10" i="4"/>
  <c r="CH9" i="4"/>
  <c r="CG9" i="4"/>
  <c r="CG10" i="4"/>
  <c r="CF10" i="4"/>
  <c r="CF9" i="4"/>
  <c r="CE9" i="4"/>
  <c r="CE10" i="4"/>
  <c r="CD9" i="4"/>
  <c r="CD10" i="4"/>
  <c r="CC10" i="4"/>
  <c r="CC9" i="4"/>
  <c r="CB9" i="4"/>
  <c r="CB10" i="4"/>
  <c r="CA9" i="4"/>
  <c r="CA10" i="4"/>
  <c r="BZ10" i="4"/>
  <c r="BZ9" i="4"/>
  <c r="BY10" i="4"/>
  <c r="BY9" i="4"/>
  <c r="BX9" i="4"/>
  <c r="BX10" i="4"/>
  <c r="BW10" i="4"/>
  <c r="BW9" i="4"/>
  <c r="BV10" i="4"/>
  <c r="BV9" i="4"/>
  <c r="BU9" i="4"/>
  <c r="BU10" i="4"/>
  <c r="BT9" i="4"/>
  <c r="BT10" i="4"/>
  <c r="BS10" i="4"/>
  <c r="BS9" i="4"/>
  <c r="BR10" i="4"/>
  <c r="BR9" i="4"/>
  <c r="BQ10" i="4"/>
  <c r="BQ9" i="4"/>
  <c r="BP9" i="4"/>
  <c r="BP10" i="4"/>
  <c r="BO10" i="4"/>
  <c r="BO9" i="4"/>
  <c r="BN10" i="4"/>
  <c r="BN9" i="4"/>
  <c r="BM9" i="4"/>
  <c r="BM10" i="4"/>
  <c r="BL9" i="4"/>
  <c r="BL10" i="4"/>
  <c r="BK10" i="4"/>
  <c r="BK9" i="4"/>
  <c r="BJ9" i="4"/>
  <c r="BJ10" i="4"/>
  <c r="BI9" i="4"/>
  <c r="BI10" i="4"/>
  <c r="BH9" i="4"/>
  <c r="BH10" i="4"/>
  <c r="BG9" i="4"/>
  <c r="BG10" i="4"/>
  <c r="BF10" i="4"/>
  <c r="BF9" i="4"/>
  <c r="BE9" i="4"/>
  <c r="BE10" i="4"/>
  <c r="BD9" i="4"/>
  <c r="BD10" i="4"/>
  <c r="BC10" i="4"/>
  <c r="BC9" i="4"/>
  <c r="BB10" i="4"/>
  <c r="BB9" i="4"/>
  <c r="BA9" i="4"/>
  <c r="BA10" i="4"/>
  <c r="AZ9" i="4"/>
  <c r="AZ10" i="4"/>
  <c r="AY10" i="4"/>
  <c r="AY9" i="4"/>
  <c r="AX9" i="4"/>
  <c r="AX10" i="4"/>
  <c r="AW9" i="4"/>
  <c r="AW10" i="4"/>
  <c r="AV9" i="4"/>
  <c r="AV10" i="4"/>
  <c r="AU9" i="4"/>
  <c r="AU10" i="4"/>
  <c r="AT10" i="4"/>
  <c r="AT9" i="4"/>
  <c r="AS10" i="4"/>
  <c r="AS9" i="4"/>
  <c r="AR9" i="4"/>
  <c r="AR10" i="4"/>
  <c r="AQ9" i="4"/>
  <c r="AQ10" i="4"/>
  <c r="AP9" i="4"/>
  <c r="AP10" i="4"/>
  <c r="AO9" i="4"/>
  <c r="AO10" i="4"/>
  <c r="AN10" i="4"/>
  <c r="AN9" i="4"/>
  <c r="AM10" i="4"/>
  <c r="AM9" i="4"/>
  <c r="AL10" i="4"/>
  <c r="AL9" i="4"/>
  <c r="AK9" i="4"/>
  <c r="AK10" i="4"/>
  <c r="AJ10" i="4"/>
  <c r="AJ9" i="4"/>
  <c r="AI10" i="4"/>
  <c r="AI9" i="4"/>
  <c r="AH10" i="4"/>
  <c r="AH9" i="4"/>
  <c r="AG9" i="4"/>
  <c r="AG10" i="4"/>
  <c r="AF10" i="4"/>
  <c r="AF9" i="4"/>
  <c r="AE10" i="4"/>
  <c r="AE9" i="4"/>
  <c r="AD10" i="4"/>
  <c r="AD9" i="4"/>
  <c r="AC9" i="4"/>
  <c r="AC10" i="4"/>
  <c r="AB10" i="4"/>
  <c r="AB9" i="4"/>
  <c r="AA10" i="4"/>
  <c r="AA9" i="4"/>
  <c r="Z10" i="4"/>
  <c r="Z9" i="4"/>
  <c r="Y9" i="4"/>
  <c r="Y10" i="4"/>
  <c r="X10" i="4"/>
  <c r="X9" i="4"/>
  <c r="W10" i="4"/>
  <c r="W9" i="4"/>
  <c r="V10" i="4"/>
  <c r="V9" i="4"/>
  <c r="U9" i="4"/>
  <c r="U10" i="4"/>
  <c r="T10" i="4"/>
  <c r="T9" i="4"/>
  <c r="S9" i="4"/>
  <c r="S10" i="4"/>
  <c r="R10" i="4"/>
  <c r="R9" i="4"/>
  <c r="Q9" i="4"/>
  <c r="Q10" i="4"/>
  <c r="P10" i="4"/>
  <c r="P9" i="4"/>
  <c r="O10" i="4"/>
  <c r="O9" i="4"/>
  <c r="N10" i="4"/>
  <c r="N9" i="4"/>
  <c r="M9" i="4"/>
  <c r="M10" i="4"/>
  <c r="L9" i="4"/>
  <c r="L10" i="4"/>
  <c r="K10" i="4"/>
  <c r="K9" i="4"/>
  <c r="J9" i="4"/>
  <c r="J10" i="4"/>
  <c r="I10" i="4"/>
  <c r="I9" i="4"/>
  <c r="H10" i="4"/>
  <c r="H9" i="4"/>
  <c r="G9" i="4"/>
  <c r="G10" i="4"/>
  <c r="F9" i="4"/>
  <c r="F10" i="4"/>
  <c r="E10" i="4"/>
  <c r="E9" i="4"/>
  <c r="D10" i="4"/>
  <c r="D9" i="4"/>
  <c r="C9" i="4"/>
  <c r="C10" i="4"/>
  <c r="EI26" i="9"/>
  <c r="EI25" i="9"/>
  <c r="EI20" i="9"/>
  <c r="EI18" i="9"/>
  <c r="EF10" i="2"/>
  <c r="EF9" i="2"/>
  <c r="C9" i="2"/>
  <c r="C10" i="2"/>
  <c r="N10" i="2"/>
  <c r="N9" i="2"/>
  <c r="M10" i="2"/>
  <c r="M9" i="2"/>
  <c r="L9" i="2"/>
  <c r="L10" i="2"/>
  <c r="K10" i="2"/>
  <c r="K9" i="2"/>
  <c r="J10" i="2"/>
  <c r="J9" i="2"/>
  <c r="I10" i="2"/>
  <c r="I9" i="2"/>
  <c r="H10" i="2"/>
  <c r="H9" i="2"/>
  <c r="G9" i="2"/>
  <c r="G10" i="2"/>
  <c r="F10" i="2"/>
  <c r="F9" i="2"/>
  <c r="E9" i="2"/>
  <c r="E10" i="2"/>
  <c r="D10" i="2"/>
  <c r="D9" i="2"/>
  <c r="EI19" i="9"/>
  <c r="EI17" i="9"/>
  <c r="EI21" i="9"/>
  <c r="EI14" i="9"/>
  <c r="CL18" i="8"/>
  <c r="AB18" i="8"/>
  <c r="EG26" i="4"/>
  <c r="EH26" i="4"/>
  <c r="EH25" i="4"/>
  <c r="EG25" i="4"/>
  <c r="EG24" i="4"/>
  <c r="EH24" i="4"/>
  <c r="EG23" i="4"/>
  <c r="EH23" i="4"/>
  <c r="EH22" i="4"/>
  <c r="EG22" i="4"/>
  <c r="EH21" i="4"/>
  <c r="EG21" i="4"/>
  <c r="EH20" i="4"/>
  <c r="EG20" i="4"/>
  <c r="EH19" i="4"/>
  <c r="EG19" i="4"/>
  <c r="EG18" i="4"/>
  <c r="EH18" i="4"/>
  <c r="EH17" i="4"/>
  <c r="EG17" i="4"/>
  <c r="EH16" i="4"/>
  <c r="EG16" i="4"/>
  <c r="EH15" i="4"/>
  <c r="EG15" i="4"/>
  <c r="EH14" i="4"/>
  <c r="EG14" i="4"/>
  <c r="EE9" i="2"/>
  <c r="EE10" i="2"/>
  <c r="ED9" i="2"/>
  <c r="ED10" i="2"/>
  <c r="EC9" i="2"/>
  <c r="EC10" i="2"/>
  <c r="EB10" i="2"/>
  <c r="EB9" i="2"/>
  <c r="EA10" i="2"/>
  <c r="EA9" i="2"/>
  <c r="DZ10" i="2"/>
  <c r="DZ9" i="2"/>
  <c r="DY10" i="2"/>
  <c r="DY9" i="2"/>
  <c r="DX10" i="2"/>
  <c r="DX9" i="2"/>
  <c r="DW10" i="2"/>
  <c r="DW9" i="2"/>
  <c r="DV10" i="2"/>
  <c r="DV9" i="2"/>
  <c r="DU9" i="2"/>
  <c r="DU10" i="2"/>
  <c r="DT9" i="2"/>
  <c r="DT10" i="2"/>
  <c r="DS10" i="2"/>
  <c r="DS9" i="2"/>
  <c r="DR10" i="2"/>
  <c r="DR9" i="2"/>
  <c r="DQ10" i="2"/>
  <c r="DQ9" i="2"/>
  <c r="DP10" i="2"/>
  <c r="DP9" i="2"/>
  <c r="DO10" i="2"/>
  <c r="DO9" i="2"/>
  <c r="DN9" i="2"/>
  <c r="DN10" i="2"/>
  <c r="DM9" i="2"/>
  <c r="DM10" i="2"/>
  <c r="DL9" i="2"/>
  <c r="DL10" i="2"/>
  <c r="DK9" i="2"/>
  <c r="DK10" i="2"/>
  <c r="DJ9" i="2"/>
  <c r="DJ10" i="2"/>
  <c r="DI9" i="2"/>
  <c r="DI10" i="2"/>
  <c r="DH9" i="2"/>
  <c r="DH10" i="2"/>
  <c r="DG9" i="2"/>
  <c r="DG10" i="2"/>
  <c r="DF9" i="2"/>
  <c r="DF10" i="2"/>
  <c r="DE9" i="2"/>
  <c r="DE10" i="2"/>
  <c r="DD9" i="2"/>
  <c r="DD10" i="2"/>
  <c r="DC9" i="2"/>
  <c r="DC10" i="2"/>
  <c r="DB9" i="2"/>
  <c r="DB10" i="2"/>
  <c r="DA9" i="2"/>
  <c r="DA10" i="2"/>
  <c r="CZ9" i="2"/>
  <c r="CZ10" i="2"/>
  <c r="CY9" i="2"/>
  <c r="CY10" i="2"/>
  <c r="CX9" i="2"/>
  <c r="CX10" i="2"/>
  <c r="CW9" i="2"/>
  <c r="CW10" i="2"/>
  <c r="CV9" i="2"/>
  <c r="CV10" i="2"/>
  <c r="CU9" i="2"/>
  <c r="CU10" i="2"/>
  <c r="CT9" i="2"/>
  <c r="CT10" i="2"/>
  <c r="CS9" i="2"/>
  <c r="CS10" i="2"/>
  <c r="CR9" i="2"/>
  <c r="CR10" i="2"/>
  <c r="CQ9" i="2"/>
  <c r="CQ10" i="2"/>
  <c r="CP9" i="2"/>
  <c r="CP10" i="2"/>
  <c r="CO9" i="2"/>
  <c r="CO10" i="2"/>
  <c r="CN9" i="2"/>
  <c r="CN10" i="2"/>
  <c r="CM9" i="2"/>
  <c r="CM10" i="2"/>
  <c r="CL9" i="2"/>
  <c r="CL10" i="2"/>
  <c r="CK9" i="2"/>
  <c r="CK10" i="2"/>
  <c r="CJ9" i="2"/>
  <c r="CJ10" i="2"/>
  <c r="CI9" i="2"/>
  <c r="CI10" i="2"/>
  <c r="CH9" i="2"/>
  <c r="CH10" i="2"/>
  <c r="CG9" i="2"/>
  <c r="CG10" i="2"/>
  <c r="CF10" i="2"/>
  <c r="CF9" i="2"/>
  <c r="CE9" i="2"/>
  <c r="CE10" i="2"/>
  <c r="CD9" i="2"/>
  <c r="CD10" i="2"/>
  <c r="CC9" i="2"/>
  <c r="CC10" i="2"/>
  <c r="CB10" i="2"/>
  <c r="CB9" i="2"/>
  <c r="CA10" i="2"/>
  <c r="CA9" i="2"/>
  <c r="BZ10" i="2"/>
  <c r="BZ9" i="2"/>
  <c r="BY10" i="2"/>
  <c r="BY9" i="2"/>
  <c r="BX10" i="2"/>
  <c r="BX9" i="2"/>
  <c r="BW10" i="2"/>
  <c r="BW9" i="2"/>
  <c r="BV9" i="2"/>
  <c r="BV10" i="2"/>
  <c r="BU9" i="2"/>
  <c r="BU10" i="2"/>
  <c r="BT9" i="2"/>
  <c r="BT10" i="2"/>
  <c r="BS9" i="2"/>
  <c r="BS10" i="2"/>
  <c r="BR9" i="2"/>
  <c r="BR10" i="2"/>
  <c r="BQ9" i="2"/>
  <c r="BQ10" i="2"/>
  <c r="BP9" i="2"/>
  <c r="BP10" i="2"/>
  <c r="BO9" i="2"/>
  <c r="BO10" i="2"/>
  <c r="BN9" i="2"/>
  <c r="BN10" i="2"/>
  <c r="BM9" i="2"/>
  <c r="BM10" i="2"/>
  <c r="BL9" i="2"/>
  <c r="BL10" i="2"/>
  <c r="BK9" i="2"/>
  <c r="BK10" i="2"/>
  <c r="BJ9" i="2"/>
  <c r="BJ10" i="2"/>
  <c r="BI10" i="2"/>
  <c r="BI9" i="2"/>
  <c r="BH10" i="2"/>
  <c r="BH9" i="2"/>
  <c r="BG10" i="2"/>
  <c r="BG9" i="2"/>
  <c r="BF10" i="2"/>
  <c r="BF9" i="2"/>
  <c r="BE10" i="2"/>
  <c r="BE9" i="2"/>
  <c r="BD10" i="2"/>
  <c r="BD9" i="2"/>
  <c r="BC10" i="2"/>
  <c r="BC9" i="2"/>
  <c r="BB10" i="2"/>
  <c r="BB9" i="2"/>
  <c r="BA10" i="2"/>
  <c r="BA9" i="2"/>
  <c r="AZ10" i="2"/>
  <c r="AZ9" i="2"/>
  <c r="AY10" i="2"/>
  <c r="AY9" i="2"/>
  <c r="AX10" i="2"/>
  <c r="AX9" i="2"/>
  <c r="AW10" i="2"/>
  <c r="AW9" i="2"/>
  <c r="AV10" i="2"/>
  <c r="AV9" i="2"/>
  <c r="AU10" i="2"/>
  <c r="AU9" i="2"/>
  <c r="AT9" i="2"/>
  <c r="AT10" i="2"/>
  <c r="AS9" i="2"/>
  <c r="AS10" i="2"/>
  <c r="AR9" i="2"/>
  <c r="AR10" i="2"/>
  <c r="AQ10" i="2"/>
  <c r="AQ9" i="2"/>
  <c r="AP9" i="2"/>
  <c r="AP10" i="2"/>
  <c r="AO9" i="2"/>
  <c r="AO10" i="2"/>
  <c r="AN9" i="2"/>
  <c r="AN10" i="2"/>
  <c r="AM10" i="2"/>
  <c r="AM9" i="2"/>
  <c r="AL10" i="2"/>
  <c r="AL9" i="2"/>
  <c r="AK9" i="2"/>
  <c r="AK10" i="2"/>
  <c r="AJ9" i="2"/>
  <c r="AJ10" i="2"/>
  <c r="AI9" i="2"/>
  <c r="AI10" i="2"/>
  <c r="AH9" i="2"/>
  <c r="AH10" i="2"/>
  <c r="AG9" i="2"/>
  <c r="AG10" i="2"/>
  <c r="AF10" i="2"/>
  <c r="AF9" i="2"/>
  <c r="AE10" i="2"/>
  <c r="AE9" i="2"/>
  <c r="AD9" i="2"/>
  <c r="AD10" i="2"/>
  <c r="AC9" i="2"/>
  <c r="AC10" i="2"/>
  <c r="AB9" i="2"/>
  <c r="AB10" i="2"/>
  <c r="AA9" i="2"/>
  <c r="AA10" i="2"/>
  <c r="Z9" i="2"/>
  <c r="Z10" i="2"/>
  <c r="Y10" i="2"/>
  <c r="Y9" i="2"/>
  <c r="X10" i="2"/>
  <c r="X9" i="2"/>
  <c r="W10" i="2"/>
  <c r="W9" i="2"/>
  <c r="V10" i="2"/>
  <c r="V9" i="2"/>
  <c r="U10" i="2"/>
  <c r="U9" i="2"/>
  <c r="T9" i="2"/>
  <c r="T10" i="2"/>
  <c r="S9" i="2"/>
  <c r="S10" i="2"/>
  <c r="R9" i="2"/>
  <c r="R10" i="2"/>
  <c r="Q9" i="2"/>
  <c r="Q10" i="2"/>
  <c r="P9" i="2"/>
  <c r="P10" i="2"/>
  <c r="O9" i="2"/>
  <c r="O10" i="2"/>
</calcChain>
</file>

<file path=xl/sharedStrings.xml><?xml version="1.0" encoding="utf-8"?>
<sst xmlns="http://schemas.openxmlformats.org/spreadsheetml/2006/main" count="1963" uniqueCount="258">
  <si>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</si>
  <si>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</si>
  <si>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</si>
  <si>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</si>
  <si>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</si>
  <si>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</si>
  <si>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</si>
  <si>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</si>
  <si>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</si>
  <si>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</si>
  <si>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</si>
  <si>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</si>
  <si>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</si>
  <si>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</si>
  <si>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</si>
  <si>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</si>
  <si>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</si>
  <si>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</si>
  <si>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</si>
  <si>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</si>
  <si>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</si>
  <si>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</si>
  <si>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</si>
  <si>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</si>
  <si>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</si>
  <si>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</si>
  <si>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</si>
  <si>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</si>
  <si>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</si>
  <si>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</si>
  <si>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</si>
  <si>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</si>
  <si>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</si>
  <si>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</si>
  <si>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</si>
  <si>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</si>
  <si>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</si>
  <si>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</si>
  <si>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</si>
  <si>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</si>
  <si>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</si>
  <si>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</si>
  <si>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</si>
  <si>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</si>
  <si>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</si>
  <si>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</si>
  <si>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</si>
  <si>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</si>
  <si>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</si>
  <si>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</si>
  <si>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</si>
  <si>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</si>
  <si>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</si>
  <si>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</si>
  <si>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</si>
  <si>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</si>
  <si>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</si>
  <si>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</si>
  <si>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</si>
  <si>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</si>
  <si>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</si>
  <si>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</si>
  <si>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</si>
  <si>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</si>
  <si>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</si>
  <si>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</si>
  <si>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</si>
  <si>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</si>
  <si>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</si>
  <si>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</si>
  <si>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</si>
  <si>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</si>
  <si>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</si>
  <si>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</si>
  <si>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</si>
  <si>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</si>
  <si>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</si>
  <si>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</si>
  <si>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</si>
  <si>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</si>
  <si>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</si>
  <si>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</si>
  <si>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</si>
  <si>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</si>
  <si>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</si>
  <si>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</si>
  <si>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</si>
  <si>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</si>
  <si>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</si>
  <si>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</si>
  <si>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</si>
  <si>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</si>
  <si>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</si>
  <si>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</si>
  <si>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</si>
  <si>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</si>
  <si>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</si>
  <si>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</si>
  <si>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</si>
  <si>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</si>
  <si>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</si>
  <si>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</si>
  <si>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</si>
  <si>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</si>
  <si>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</si>
  <si>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</si>
  <si>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</si>
  <si>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</si>
  <si>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</si>
  <si>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</si>
  <si>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</si>
  <si>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</si>
  <si>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</si>
  <si>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</si>
  <si>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</si>
  <si>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</si>
  <si>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</si>
  <si>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</si>
  <si>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</si>
  <si>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</si>
  <si>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</si>
  <si>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</si>
  <si>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</si>
  <si>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</si>
  <si>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</si>
  <si>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</si>
  <si>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</si>
  <si>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</si>
  <si>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</si>
  <si>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</si>
  <si>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</si>
  <si>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</si>
  <si>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</si>
  <si>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</si>
  <si>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</si>
  <si>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</si>
  <si>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mom1</t>
  </si>
  <si>
    <t>mom12</t>
  </si>
  <si>
    <t>chmom</t>
  </si>
  <si>
    <t>retvol</t>
  </si>
  <si>
    <t>maxret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</si>
  <si>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</si>
  <si>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</si>
  <si>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</si>
  <si>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</si>
  <si>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</si>
  <si>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</si>
  <si>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</si>
  <si>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</si>
  <si>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台泥</t>
  </si>
  <si>
    <t>希華</t>
  </si>
  <si>
    <t>天仁</t>
  </si>
  <si>
    <t>京城</t>
  </si>
  <si>
    <t>志信</t>
  </si>
  <si>
    <t>瑞昱</t>
  </si>
  <si>
    <t>寶徠</t>
  </si>
  <si>
    <t>基泰</t>
  </si>
  <si>
    <t>威健</t>
  </si>
  <si>
    <t>群光</t>
  </si>
  <si>
    <t>憶聲</t>
  </si>
  <si>
    <t>中石化</t>
  </si>
  <si>
    <t>工信</t>
  </si>
  <si>
    <t>達欣工</t>
  </si>
  <si>
    <t>凱衛</t>
  </si>
  <si>
    <t>松翰</t>
  </si>
  <si>
    <t>燁輝</t>
  </si>
  <si>
    <t>奇鋐</t>
  </si>
  <si>
    <t>得力</t>
  </si>
  <si>
    <t>創見</t>
  </si>
  <si>
    <t>飛寶企業</t>
  </si>
  <si>
    <t>新普</t>
  </si>
  <si>
    <t>三圓</t>
  </si>
  <si>
    <t>豐謙</t>
  </si>
  <si>
    <t>華友聯</t>
  </si>
  <si>
    <t>光罩</t>
  </si>
  <si>
    <t>凌網</t>
  </si>
  <si>
    <t>新潤</t>
  </si>
  <si>
    <t>均豪</t>
  </si>
  <si>
    <t>力特</t>
  </si>
  <si>
    <t>聯上發</t>
  </si>
  <si>
    <t>漢平</t>
  </si>
  <si>
    <t>巨路</t>
  </si>
  <si>
    <t>北基</t>
  </si>
  <si>
    <t>上福</t>
  </si>
  <si>
    <t>歐格</t>
  </si>
  <si>
    <t>三星</t>
  </si>
  <si>
    <t>加捷生醫</t>
  </si>
  <si>
    <t>福華</t>
  </si>
  <si>
    <t>臺鹽</t>
  </si>
  <si>
    <t>立康</t>
  </si>
  <si>
    <t>廣積</t>
  </si>
  <si>
    <t>郡都開發</t>
  </si>
  <si>
    <t>嘉晶</t>
  </si>
  <si>
    <t>神基</t>
  </si>
  <si>
    <t>揚博</t>
  </si>
  <si>
    <t>固緯</t>
  </si>
  <si>
    <t>杏輝</t>
  </si>
  <si>
    <t>桂盟</t>
  </si>
  <si>
    <t>寶成</t>
  </si>
  <si>
    <t>陞泰</t>
  </si>
  <si>
    <t>美好證</t>
  </si>
  <si>
    <t>昱捷</t>
  </si>
  <si>
    <t>統懋</t>
  </si>
  <si>
    <t>大展證</t>
  </si>
  <si>
    <t>台半</t>
  </si>
  <si>
    <t>沛亨</t>
  </si>
  <si>
    <t>新光鋼</t>
  </si>
  <si>
    <t>鉅橡</t>
  </si>
  <si>
    <t>皇田</t>
  </si>
  <si>
    <t>倚強科</t>
  </si>
  <si>
    <t>廣宇</t>
  </si>
  <si>
    <t>瑞軒</t>
  </si>
  <si>
    <t>南紡</t>
  </si>
  <si>
    <t>偉詮電</t>
  </si>
  <si>
    <t>年興</t>
  </si>
  <si>
    <t>新門</t>
  </si>
  <si>
    <t>江興鍛</t>
  </si>
  <si>
    <t>宏璟</t>
  </si>
  <si>
    <t>中鋼</t>
  </si>
  <si>
    <t>聚亨</t>
  </si>
  <si>
    <t>榮運</t>
  </si>
  <si>
    <t>櫻花建</t>
  </si>
  <si>
    <t>光洋科</t>
  </si>
  <si>
    <t>華祺</t>
  </si>
  <si>
    <t>銘異</t>
  </si>
  <si>
    <t>佳總</t>
  </si>
  <si>
    <t>啟碁</t>
  </si>
  <si>
    <t>國產</t>
  </si>
  <si>
    <t>中華食</t>
  </si>
  <si>
    <t>正文</t>
  </si>
  <si>
    <t>來思達</t>
  </si>
  <si>
    <t>南良</t>
  </si>
  <si>
    <t>霖宏</t>
  </si>
  <si>
    <t>久正</t>
  </si>
  <si>
    <t>至上</t>
  </si>
  <si>
    <t>精金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</si>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</sst>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color rgb="FF000000"/>
      <name val="Calibri"/>
      <family val="2"/>
    </font>
    <font>
      <b/>
      <sz val="12"/>
      <color theme="1"/>
      <name val="Noto Sans HK Black"/>
      <charset val="136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10" fillId="3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76" fontId="3" fillId="1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'預測LightGBM累積報酬 '!$A$19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'預測LightGBM累積報酬 '!$B$19:$EE$19</c:f>
              <c:numCache>
                <c:formatCode>General</c:formatCode>
                <c:ptCount val="134"/>
                <c:pt idx="0">
                  <c:v>-8.8942128545151655E-3</c:v>
                </c:pt>
                <c:pt idx="1">
                  <c:v>5.4895232336999E-2</c:v>
                </c:pt>
                <c:pt idx="2">
                  <c:v>4.6754799202967968E-2</c:v>
                </c:pt>
                <c:pt idx="3">
                  <c:v>4.6746238807223381E-3</c:v>
                </c:pt>
                <c:pt idx="4">
                  <c:v>-3.3543458527281605E-3</c:v>
                </c:pt>
                <c:pt idx="5">
                  <c:v>-8.7141067314037198E-3</c:v>
                </c:pt>
                <c:pt idx="6">
                  <c:v>-3.9754442012823379E-3</c:v>
                </c:pt>
                <c:pt idx="7">
                  <c:v>2.8851753738728357E-2</c:v>
                </c:pt>
                <c:pt idx="8">
                  <c:v>-6.8530960947878167E-2</c:v>
                </c:pt>
                <c:pt idx="9">
                  <c:v>-4.0095134441486671E-2</c:v>
                </c:pt>
                <c:pt idx="10">
                  <c:v>6.272971527929963E-2</c:v>
                </c:pt>
                <c:pt idx="11">
                  <c:v>5.3835502424784465E-2</c:v>
                </c:pt>
                <c:pt idx="12">
                  <c:v>2.5795835492222474E-2</c:v>
                </c:pt>
                <c:pt idx="13">
                  <c:v>9.3589773035028259E-2</c:v>
                </c:pt>
                <c:pt idx="14">
                  <c:v>7.1919928919227383E-3</c:v>
                </c:pt>
                <c:pt idx="15">
                  <c:v>0.17438744642916384</c:v>
                </c:pt>
                <c:pt idx="16">
                  <c:v>3.3399609706039335E-2</c:v>
                </c:pt>
                <c:pt idx="17">
                  <c:v>0.10568113736679008</c:v>
                </c:pt>
                <c:pt idx="18">
                  <c:v>-3.0688138078650534E-2</c:v>
                </c:pt>
                <c:pt idx="19">
                  <c:v>4.3383789956753488E-2</c:v>
                </c:pt>
                <c:pt idx="20">
                  <c:v>3.4128649667261007E-2</c:v>
                </c:pt>
                <c:pt idx="21">
                  <c:v>0.32278551759589136</c:v>
                </c:pt>
                <c:pt idx="22">
                  <c:v>0.25096927432461935</c:v>
                </c:pt>
                <c:pt idx="23">
                  <c:v>0.28085100694277482</c:v>
                </c:pt>
                <c:pt idx="24">
                  <c:v>0.4032488606900283</c:v>
                </c:pt>
                <c:pt idx="25">
                  <c:v>0.33950522920953013</c:v>
                </c:pt>
                <c:pt idx="26">
                  <c:v>0.34302851768575904</c:v>
                </c:pt>
                <c:pt idx="27">
                  <c:v>0.30649794100330396</c:v>
                </c:pt>
                <c:pt idx="28">
                  <c:v>0.53967774046165107</c:v>
                </c:pt>
                <c:pt idx="29">
                  <c:v>0.58349713562659922</c:v>
                </c:pt>
                <c:pt idx="30">
                  <c:v>0.57409576160425679</c:v>
                </c:pt>
                <c:pt idx="31">
                  <c:v>0.77639149208324121</c:v>
                </c:pt>
                <c:pt idx="32">
                  <c:v>0.66118066859368241</c:v>
                </c:pt>
                <c:pt idx="33">
                  <c:v>0.69888156175849947</c:v>
                </c:pt>
                <c:pt idx="34">
                  <c:v>0.74403023136238311</c:v>
                </c:pt>
                <c:pt idx="35">
                  <c:v>0.61174431404410623</c:v>
                </c:pt>
                <c:pt idx="36">
                  <c:v>0.67392629589527886</c:v>
                </c:pt>
                <c:pt idx="37">
                  <c:v>0.78823244302125173</c:v>
                </c:pt>
                <c:pt idx="38">
                  <c:v>0.72308457731686915</c:v>
                </c:pt>
                <c:pt idx="39">
                  <c:v>0.6683519861285927</c:v>
                </c:pt>
                <c:pt idx="40">
                  <c:v>0.72627807191095162</c:v>
                </c:pt>
                <c:pt idx="41">
                  <c:v>0.60262097082216415</c:v>
                </c:pt>
                <c:pt idx="42">
                  <c:v>0.67800675188683179</c:v>
                </c:pt>
                <c:pt idx="43">
                  <c:v>0.51059432462806664</c:v>
                </c:pt>
                <c:pt idx="44">
                  <c:v>0.39444301471860455</c:v>
                </c:pt>
                <c:pt idx="45">
                  <c:v>0.35804817029175851</c:v>
                </c:pt>
                <c:pt idx="46">
                  <c:v>0.33394233772713389</c:v>
                </c:pt>
                <c:pt idx="47">
                  <c:v>0.73347169273462631</c:v>
                </c:pt>
                <c:pt idx="48">
                  <c:v>1.0128299563549299</c:v>
                </c:pt>
                <c:pt idx="49">
                  <c:v>0.95562280769718611</c:v>
                </c:pt>
                <c:pt idx="50">
                  <c:v>0.84786866110997239</c:v>
                </c:pt>
                <c:pt idx="51">
                  <c:v>0.65596112435436515</c:v>
                </c:pt>
                <c:pt idx="52">
                  <c:v>0.63113788782858693</c:v>
                </c:pt>
                <c:pt idx="53">
                  <c:v>0.72171797185799147</c:v>
                </c:pt>
                <c:pt idx="54">
                  <c:v>0.74157599004938557</c:v>
                </c:pt>
                <c:pt idx="55">
                  <c:v>0.85442951873582862</c:v>
                </c:pt>
                <c:pt idx="56">
                  <c:v>1.0925775889520961</c:v>
                </c:pt>
                <c:pt idx="57">
                  <c:v>1.1736079675665254</c:v>
                </c:pt>
                <c:pt idx="58">
                  <c:v>1.2098784686827928</c:v>
                </c:pt>
                <c:pt idx="59">
                  <c:v>1.3057551224029502</c:v>
                </c:pt>
                <c:pt idx="60">
                  <c:v>1.3292355061260503</c:v>
                </c:pt>
                <c:pt idx="61">
                  <c:v>1.4012376952118804</c:v>
                </c:pt>
                <c:pt idx="62">
                  <c:v>1.4420289293060973</c:v>
                </c:pt>
                <c:pt idx="63">
                  <c:v>1.4057208365569052</c:v>
                </c:pt>
                <c:pt idx="64">
                  <c:v>1.3543898174769753</c:v>
                </c:pt>
                <c:pt idx="65">
                  <c:v>1.4468667868642437</c:v>
                </c:pt>
                <c:pt idx="66">
                  <c:v>1.3845699763601664</c:v>
                </c:pt>
                <c:pt idx="67">
                  <c:v>1.1908792129292178</c:v>
                </c:pt>
                <c:pt idx="68">
                  <c:v>0.99084734841773559</c:v>
                </c:pt>
                <c:pt idx="69">
                  <c:v>0.87255180674818733</c:v>
                </c:pt>
                <c:pt idx="70">
                  <c:v>0.90658506794116545</c:v>
                </c:pt>
                <c:pt idx="71">
                  <c:v>0.83370850426631549</c:v>
                </c:pt>
                <c:pt idx="72">
                  <c:v>0.95332313006128389</c:v>
                </c:pt>
                <c:pt idx="73">
                  <c:v>0.98419167964520915</c:v>
                </c:pt>
                <c:pt idx="74">
                  <c:v>0.95968267633529236</c:v>
                </c:pt>
                <c:pt idx="75">
                  <c:v>0.74643796627442083</c:v>
                </c:pt>
                <c:pt idx="76">
                  <c:v>0.66740416440942996</c:v>
                </c:pt>
                <c:pt idx="77">
                  <c:v>0.64200543354581052</c:v>
                </c:pt>
                <c:pt idx="78">
                  <c:v>0.59245138414233922</c:v>
                </c:pt>
                <c:pt idx="79">
                  <c:v>0.64100325951767723</c:v>
                </c:pt>
                <c:pt idx="80">
                  <c:v>0.71248166084595843</c:v>
                </c:pt>
                <c:pt idx="81">
                  <c:v>0.65074474886388955</c:v>
                </c:pt>
                <c:pt idx="82">
                  <c:v>0.91139825359329674</c:v>
                </c:pt>
                <c:pt idx="83">
                  <c:v>0.70313236321494721</c:v>
                </c:pt>
                <c:pt idx="84">
                  <c:v>0.75996732883693086</c:v>
                </c:pt>
                <c:pt idx="85">
                  <c:v>0.94334557758536219</c:v>
                </c:pt>
                <c:pt idx="86">
                  <c:v>0.84931742118391729</c:v>
                </c:pt>
                <c:pt idx="87">
                  <c:v>0.73115616756152202</c:v>
                </c:pt>
                <c:pt idx="88">
                  <c:v>0.4738280840295454</c:v>
                </c:pt>
                <c:pt idx="89">
                  <c:v>0.15381869311601382</c:v>
                </c:pt>
                <c:pt idx="90">
                  <c:v>0.39960742213827471</c:v>
                </c:pt>
                <c:pt idx="91">
                  <c:v>0.37084682136195135</c:v>
                </c:pt>
                <c:pt idx="92">
                  <c:v>0.32389596613467825</c:v>
                </c:pt>
                <c:pt idx="93">
                  <c:v>0.10782016354399235</c:v>
                </c:pt>
                <c:pt idx="94">
                  <c:v>-6.6473906849395442E-2</c:v>
                </c:pt>
                <c:pt idx="95">
                  <c:v>-0.10815306765733221</c:v>
                </c:pt>
                <c:pt idx="96">
                  <c:v>-3.9027837761090728E-2</c:v>
                </c:pt>
                <c:pt idx="97">
                  <c:v>-8.8667635155771418E-2</c:v>
                </c:pt>
                <c:pt idx="98">
                  <c:v>-9.5657484512761015E-2</c:v>
                </c:pt>
                <c:pt idx="99">
                  <c:v>-0.13282774347751988</c:v>
                </c:pt>
                <c:pt idx="100">
                  <c:v>-3.0248509071713586E-2</c:v>
                </c:pt>
                <c:pt idx="101">
                  <c:v>7.6651110636315745E-3</c:v>
                </c:pt>
                <c:pt idx="102">
                  <c:v>0.20816091135332937</c:v>
                </c:pt>
                <c:pt idx="103">
                  <c:v>0.21244497812389868</c:v>
                </c:pt>
                <c:pt idx="104">
                  <c:v>0.24473092576071304</c:v>
                </c:pt>
                <c:pt idx="105">
                  <c:v>0.17183788993536966</c:v>
                </c:pt>
                <c:pt idx="106">
                  <c:v>0.1434496479921249</c:v>
                </c:pt>
                <c:pt idx="107">
                  <c:v>7.412197421948058E-2</c:v>
                </c:pt>
                <c:pt idx="108">
                  <c:v>3.72146795856826E-2</c:v>
                </c:pt>
                <c:pt idx="109">
                  <c:v>9.8090229017778585E-2</c:v>
                </c:pt>
                <c:pt idx="110">
                  <c:v>0.13359278603433536</c:v>
                </c:pt>
                <c:pt idx="111">
                  <c:v>0.21441613751661659</c:v>
                </c:pt>
                <c:pt idx="112">
                  <c:v>6.5950654672053577E-2</c:v>
                </c:pt>
                <c:pt idx="113">
                  <c:v>2.6410494546256769E-2</c:v>
                </c:pt>
                <c:pt idx="114">
                  <c:v>-1.7873403630595308E-2</c:v>
                </c:pt>
                <c:pt idx="115">
                  <c:v>0.18537909065597288</c:v>
                </c:pt>
                <c:pt idx="116">
                  <c:v>3.4961285951689097E-2</c:v>
                </c:pt>
                <c:pt idx="117">
                  <c:v>0.12320781467078899</c:v>
                </c:pt>
                <c:pt idx="118">
                  <c:v>0.19776437064841668</c:v>
                </c:pt>
                <c:pt idx="119">
                  <c:v>0.27740953308669108</c:v>
                </c:pt>
                <c:pt idx="120">
                  <c:v>0.395071622929065</c:v>
                </c:pt>
                <c:pt idx="121">
                  <c:v>0.47016377120638397</c:v>
                </c:pt>
                <c:pt idx="122">
                  <c:v>0.61736143873755922</c:v>
                </c:pt>
                <c:pt idx="123">
                  <c:v>0.71067076376602967</c:v>
                </c:pt>
                <c:pt idx="124">
                  <c:v>0.73836962916384175</c:v>
                </c:pt>
                <c:pt idx="125">
                  <c:v>0.52247049742427165</c:v>
                </c:pt>
                <c:pt idx="126">
                  <c:v>0.54475587309665463</c:v>
                </c:pt>
                <c:pt idx="127">
                  <c:v>0.65362419092420398</c:v>
                </c:pt>
                <c:pt idx="128">
                  <c:v>0.76081964536363245</c:v>
                </c:pt>
                <c:pt idx="129">
                  <c:v>0.83237338224217439</c:v>
                </c:pt>
                <c:pt idx="130">
                  <c:v>0.98659997181222092</c:v>
                </c:pt>
                <c:pt idx="131">
                  <c:v>1.2155419608326128</c:v>
                </c:pt>
                <c:pt idx="132">
                  <c:v>1.2745020722288114</c:v>
                </c:pt>
                <c:pt idx="133">
                  <c:v>1.2815701910877415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F-1743-8FC7-2AED2F932A8D}"/>
            </c:ext>
          </c:extLst>
        </c:ser>
        <c:ser>
          <c:idx val="1"/>
          <c:order val="1"/>
          <c:tx>
            <c:strRef>
              <c:f>'預測LightGBM累積報酬 '!$A$20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'預測LightGBM累積報酬 '!$B$20:$EE$20</c:f>
              <c:numCache>
                <c:formatCode>General</c:formatCode>
                <c:ptCount val="134"/>
                <c:pt idx="0">
                  <c:v>-0.13322237415329011</c:v>
                </c:pt>
                <c:pt idx="1">
                  <c:v>-7.6570346506800308E-2</c:v>
                </c:pt>
                <c:pt idx="2">
                  <c:v>-6.4463073045533406E-2</c:v>
                </c:pt>
                <c:pt idx="3">
                  <c:v>-0.10271991861259953</c:v>
                </c:pt>
                <c:pt idx="4">
                  <c:v>-0.17776590340378723</c:v>
                </c:pt>
                <c:pt idx="5">
                  <c:v>-0.18330482285935393</c:v>
                </c:pt>
                <c:pt idx="6">
                  <c:v>-0.17045854693870244</c:v>
                </c:pt>
                <c:pt idx="7">
                  <c:v>-0.14513298253878221</c:v>
                </c:pt>
                <c:pt idx="8">
                  <c:v>-0.1465647889396712</c:v>
                </c:pt>
                <c:pt idx="9">
                  <c:v>-0.17991106880269034</c:v>
                </c:pt>
                <c:pt idx="10">
                  <c:v>-1.3433090583154728E-2</c:v>
                </c:pt>
                <c:pt idx="11">
                  <c:v>-0.14665546473644483</c:v>
                </c:pt>
                <c:pt idx="12">
                  <c:v>-0.1404222463653024</c:v>
                </c:pt>
                <c:pt idx="13">
                  <c:v>-7.2842230272893591E-2</c:v>
                </c:pt>
                <c:pt idx="14">
                  <c:v>-0.28824683724102979</c:v>
                </c:pt>
                <c:pt idx="15">
                  <c:v>-9.7362872249082771E-2</c:v>
                </c:pt>
                <c:pt idx="16">
                  <c:v>-0.24021076645431866</c:v>
                </c:pt>
                <c:pt idx="17">
                  <c:v>-0.17548979892082395</c:v>
                </c:pt>
                <c:pt idx="18">
                  <c:v>-0.41060928436015925</c:v>
                </c:pt>
                <c:pt idx="19">
                  <c:v>-0.34872983147233649</c:v>
                </c:pt>
                <c:pt idx="20">
                  <c:v>-0.39070378434597164</c:v>
                </c:pt>
                <c:pt idx="21">
                  <c:v>-2.9229379998880756E-2</c:v>
                </c:pt>
                <c:pt idx="22">
                  <c:v>-3.3514210159644509E-2</c:v>
                </c:pt>
                <c:pt idx="23">
                  <c:v>3.5821126753485227E-2</c:v>
                </c:pt>
                <c:pt idx="24">
                  <c:v>5.4155817330662478E-2</c:v>
                </c:pt>
                <c:pt idx="25">
                  <c:v>-7.8485924083725608E-2</c:v>
                </c:pt>
                <c:pt idx="26">
                  <c:v>-0.11432064829507337</c:v>
                </c:pt>
                <c:pt idx="27">
                  <c:v>-0.21710294149719916</c:v>
                </c:pt>
                <c:pt idx="28">
                  <c:v>3.7116230762836655E-2</c:v>
                </c:pt>
                <c:pt idx="29">
                  <c:v>4.3635157666947477E-2</c:v>
                </c:pt>
                <c:pt idx="30">
                  <c:v>0.10578967524887517</c:v>
                </c:pt>
                <c:pt idx="31">
                  <c:v>0.39135078650154487</c:v>
                </c:pt>
                <c:pt idx="32">
                  <c:v>0.31390150844529802</c:v>
                </c:pt>
                <c:pt idx="33">
                  <c:v>0.43190269091785444</c:v>
                </c:pt>
                <c:pt idx="34">
                  <c:v>0.50551934907935403</c:v>
                </c:pt>
                <c:pt idx="35">
                  <c:v>0.47816055465867785</c:v>
                </c:pt>
                <c:pt idx="36">
                  <c:v>0.56994566179958261</c:v>
                </c:pt>
                <c:pt idx="37">
                  <c:v>0.69789929722806443</c:v>
                </c:pt>
                <c:pt idx="38">
                  <c:v>0.55979846870465799</c:v>
                </c:pt>
                <c:pt idx="39">
                  <c:v>0.51896861062301558</c:v>
                </c:pt>
                <c:pt idx="40">
                  <c:v>0.54003521737919247</c:v>
                </c:pt>
                <c:pt idx="41">
                  <c:v>0.3517881712239177</c:v>
                </c:pt>
                <c:pt idx="42">
                  <c:v>0.35615154582182362</c:v>
                </c:pt>
                <c:pt idx="43">
                  <c:v>6.995578755199211E-2</c:v>
                </c:pt>
                <c:pt idx="44">
                  <c:v>-8.1217098895936118E-3</c:v>
                </c:pt>
                <c:pt idx="45">
                  <c:v>-5.5044288983339185E-2</c:v>
                </c:pt>
                <c:pt idx="46">
                  <c:v>-9.3997434318646544E-2</c:v>
                </c:pt>
                <c:pt idx="47">
                  <c:v>0.13581024403060335</c:v>
                </c:pt>
                <c:pt idx="48">
                  <c:v>0.33323323971197494</c:v>
                </c:pt>
                <c:pt idx="49">
                  <c:v>0.30928610069023121</c:v>
                </c:pt>
                <c:pt idx="50">
                  <c:v>9.2062735529689604E-2</c:v>
                </c:pt>
                <c:pt idx="51">
                  <c:v>-0.21170327823368681</c:v>
                </c:pt>
                <c:pt idx="52">
                  <c:v>-0.29872547005188466</c:v>
                </c:pt>
                <c:pt idx="53">
                  <c:v>-0.23364776228115833</c:v>
                </c:pt>
                <c:pt idx="54">
                  <c:v>-0.1599633705763053</c:v>
                </c:pt>
                <c:pt idx="55">
                  <c:v>-0.2189263513861173</c:v>
                </c:pt>
                <c:pt idx="56">
                  <c:v>2.1968341751641696E-2</c:v>
                </c:pt>
                <c:pt idx="57">
                  <c:v>6.7616727846129571E-2</c:v>
                </c:pt>
                <c:pt idx="58">
                  <c:v>0.13206940824393121</c:v>
                </c:pt>
                <c:pt idx="59">
                  <c:v>0.15487832824873032</c:v>
                </c:pt>
                <c:pt idx="60">
                  <c:v>0.18748406552294491</c:v>
                </c:pt>
                <c:pt idx="61">
                  <c:v>0.2759228407007297</c:v>
                </c:pt>
                <c:pt idx="62">
                  <c:v>0.2429371784906226</c:v>
                </c:pt>
                <c:pt idx="63">
                  <c:v>0.16033247758330554</c:v>
                </c:pt>
                <c:pt idx="64">
                  <c:v>0.14547341072875264</c:v>
                </c:pt>
                <c:pt idx="65">
                  <c:v>0.24685350311773624</c:v>
                </c:pt>
                <c:pt idx="66">
                  <c:v>0.17848349535178037</c:v>
                </c:pt>
                <c:pt idx="67">
                  <c:v>-8.4669913227161664E-4</c:v>
                </c:pt>
                <c:pt idx="68">
                  <c:v>-0.28733883333201082</c:v>
                </c:pt>
                <c:pt idx="69">
                  <c:v>-0.36429007101056327</c:v>
                </c:pt>
                <c:pt idx="70">
                  <c:v>-0.37534188191463425</c:v>
                </c:pt>
                <c:pt idx="71">
                  <c:v>-0.46726547723449063</c:v>
                </c:pt>
                <c:pt idx="72">
                  <c:v>-0.31783121074497844</c:v>
                </c:pt>
                <c:pt idx="73">
                  <c:v>-0.32793866397210464</c:v>
                </c:pt>
                <c:pt idx="74">
                  <c:v>-0.22179595107402383</c:v>
                </c:pt>
                <c:pt idx="75">
                  <c:v>-0.49341479786405185</c:v>
                </c:pt>
                <c:pt idx="76">
                  <c:v>-0.47564014419837852</c:v>
                </c:pt>
                <c:pt idx="77">
                  <c:v>-0.48819407059253922</c:v>
                </c:pt>
                <c:pt idx="78">
                  <c:v>-0.58399179830854042</c:v>
                </c:pt>
                <c:pt idx="79">
                  <c:v>-0.60176056288676427</c:v>
                </c:pt>
                <c:pt idx="80">
                  <c:v>-0.59378646082315734</c:v>
                </c:pt>
                <c:pt idx="81">
                  <c:v>-0.64870697566322177</c:v>
                </c:pt>
                <c:pt idx="82">
                  <c:v>-0.47130340160328665</c:v>
                </c:pt>
                <c:pt idx="83">
                  <c:v>-0.69878787199303316</c:v>
                </c:pt>
                <c:pt idx="84">
                  <c:v>-0.63008479586514254</c:v>
                </c:pt>
                <c:pt idx="85">
                  <c:v>-0.44322895562539794</c:v>
                </c:pt>
                <c:pt idx="86">
                  <c:v>-0.58019722968886689</c:v>
                </c:pt>
                <c:pt idx="87">
                  <c:v>-0.73023739782583486</c:v>
                </c:pt>
                <c:pt idx="88">
                  <c:v>-0.89452723110799326</c:v>
                </c:pt>
                <c:pt idx="89">
                  <c:v>-1.1980938288524594</c:v>
                </c:pt>
                <c:pt idx="90">
                  <c:v>-0.89117157163731042</c:v>
                </c:pt>
                <c:pt idx="91">
                  <c:v>-0.96960942268147221</c:v>
                </c:pt>
                <c:pt idx="92">
                  <c:v>-0.99619118629719849</c:v>
                </c:pt>
                <c:pt idx="93">
                  <c:v>-1.2318038205807045</c:v>
                </c:pt>
                <c:pt idx="94">
                  <c:v>-1.4624940273923059</c:v>
                </c:pt>
                <c:pt idx="95">
                  <c:v>-1.4661847804797197</c:v>
                </c:pt>
                <c:pt idx="96">
                  <c:v>-1.4326336996519162</c:v>
                </c:pt>
                <c:pt idx="97">
                  <c:v>-1.496896041854338</c:v>
                </c:pt>
                <c:pt idx="98">
                  <c:v>-1.5072364161387413</c:v>
                </c:pt>
                <c:pt idx="99">
                  <c:v>-1.4714072525772739</c:v>
                </c:pt>
                <c:pt idx="100">
                  <c:v>-1.3059087386865109</c:v>
                </c:pt>
                <c:pt idx="101">
                  <c:v>-1.408487206007063</c:v>
                </c:pt>
                <c:pt idx="102">
                  <c:v>-1.2376528699819256</c:v>
                </c:pt>
                <c:pt idx="103">
                  <c:v>-1.2366794731872011</c:v>
                </c:pt>
                <c:pt idx="104">
                  <c:v>-1.1949193341628808</c:v>
                </c:pt>
                <c:pt idx="105">
                  <c:v>-1.3445316743537947</c:v>
                </c:pt>
                <c:pt idx="106">
                  <c:v>-1.3588547071177384</c:v>
                </c:pt>
                <c:pt idx="107">
                  <c:v>-1.4546109477780904</c:v>
                </c:pt>
                <c:pt idx="108">
                  <c:v>-1.4967009233519519</c:v>
                </c:pt>
                <c:pt idx="109">
                  <c:v>-1.4738018819747263</c:v>
                </c:pt>
                <c:pt idx="110">
                  <c:v>-1.455105648559504</c:v>
                </c:pt>
                <c:pt idx="111">
                  <c:v>-1.3883296938248675</c:v>
                </c:pt>
                <c:pt idx="112">
                  <c:v>-1.5191613128441592</c:v>
                </c:pt>
                <c:pt idx="113">
                  <c:v>-1.5972733210287979</c:v>
                </c:pt>
                <c:pt idx="114">
                  <c:v>-1.5825381420526945</c:v>
                </c:pt>
                <c:pt idx="115">
                  <c:v>-1.3422298495948948</c:v>
                </c:pt>
                <c:pt idx="116">
                  <c:v>-1.5258560768125677</c:v>
                </c:pt>
                <c:pt idx="117">
                  <c:v>-1.4740379558019983</c:v>
                </c:pt>
                <c:pt idx="118">
                  <c:v>-1.3863720831010429</c:v>
                </c:pt>
                <c:pt idx="119">
                  <c:v>-1.2404677798309607</c:v>
                </c:pt>
                <c:pt idx="120">
                  <c:v>-1.1174210192594178</c:v>
                </c:pt>
                <c:pt idx="121">
                  <c:v>-1.0236101688835844</c:v>
                </c:pt>
                <c:pt idx="122">
                  <c:v>-0.83811669114891041</c:v>
                </c:pt>
                <c:pt idx="123">
                  <c:v>-0.70879185138291789</c:v>
                </c:pt>
                <c:pt idx="124">
                  <c:v>-0.34245691074938561</c:v>
                </c:pt>
                <c:pt idx="125">
                  <c:v>-0.56956331184032394</c:v>
                </c:pt>
                <c:pt idx="126">
                  <c:v>-0.63463523139864364</c:v>
                </c:pt>
                <c:pt idx="127">
                  <c:v>-0.41375806713176921</c:v>
                </c:pt>
                <c:pt idx="128">
                  <c:v>-0.24744410295855851</c:v>
                </c:pt>
                <c:pt idx="129">
                  <c:v>-0.17421094711805418</c:v>
                </c:pt>
                <c:pt idx="130">
                  <c:v>1.1346030906258214E-2</c:v>
                </c:pt>
                <c:pt idx="131">
                  <c:v>0.36458246380411641</c:v>
                </c:pt>
                <c:pt idx="132">
                  <c:v>0.39522537296151716</c:v>
                </c:pt>
                <c:pt idx="133">
                  <c:v>0.40042173106258433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F-1743-8FC7-2AED2F932A8D}"/>
            </c:ext>
          </c:extLst>
        </c:ser>
        <c:ser>
          <c:idx val="2"/>
          <c:order val="2"/>
          <c:tx>
            <c:strRef>
              <c:f>'預測LightGBM累積報酬 '!$A$21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'預測LightGBM累積報酬 '!$B$21:$EE$21</c:f>
              <c:numCache>
                <c:formatCode>General</c:formatCode>
                <c:ptCount val="134"/>
                <c:pt idx="0">
                  <c:v>-0.14698994176607941</c:v>
                </c:pt>
                <c:pt idx="1">
                  <c:v>-8.4124515156109053E-2</c:v>
                </c:pt>
                <c:pt idx="2">
                  <c:v>4.0559028274999451E-2</c:v>
                </c:pt>
                <c:pt idx="3">
                  <c:v>4.2532442099199402E-2</c:v>
                </c:pt>
                <c:pt idx="4">
                  <c:v>3.6585304481887126E-2</c:v>
                </c:pt>
                <c:pt idx="5">
                  <c:v>2.8212271236950498E-3</c:v>
                </c:pt>
                <c:pt idx="6">
                  <c:v>4.1635387241029179E-2</c:v>
                </c:pt>
                <c:pt idx="7">
                  <c:v>0.11665978039671905</c:v>
                </c:pt>
                <c:pt idx="8">
                  <c:v>0.20299866353910678</c:v>
                </c:pt>
                <c:pt idx="9">
                  <c:v>0.17337293068255885</c:v>
                </c:pt>
                <c:pt idx="10">
                  <c:v>0.51486702391719175</c:v>
                </c:pt>
                <c:pt idx="11">
                  <c:v>0.36787708215111237</c:v>
                </c:pt>
                <c:pt idx="12">
                  <c:v>0.36439322369590771</c:v>
                </c:pt>
                <c:pt idx="13">
                  <c:v>0.49832468616961523</c:v>
                </c:pt>
                <c:pt idx="14">
                  <c:v>0.47970116446731254</c:v>
                </c:pt>
                <c:pt idx="15">
                  <c:v>0.6764659792313783</c:v>
                </c:pt>
                <c:pt idx="16">
                  <c:v>0.63961590404866675</c:v>
                </c:pt>
                <c:pt idx="17">
                  <c:v>0.6871510263353745</c:v>
                </c:pt>
                <c:pt idx="18">
                  <c:v>0.46776680499632539</c:v>
                </c:pt>
                <c:pt idx="19">
                  <c:v>0.44788104464014572</c:v>
                </c:pt>
                <c:pt idx="20">
                  <c:v>0.38041286260533103</c:v>
                </c:pt>
                <c:pt idx="21">
                  <c:v>0.87187443439494061</c:v>
                </c:pt>
                <c:pt idx="22">
                  <c:v>0.84219295020101681</c:v>
                </c:pt>
                <c:pt idx="23">
                  <c:v>0.93436817968655694</c:v>
                </c:pt>
                <c:pt idx="24">
                  <c:v>1.0028899457305835</c:v>
                </c:pt>
                <c:pt idx="25">
                  <c:v>0.73053902392172987</c:v>
                </c:pt>
                <c:pt idx="26">
                  <c:v>0.67205876998369052</c:v>
                </c:pt>
                <c:pt idx="27">
                  <c:v>0.50871076084640343</c:v>
                </c:pt>
                <c:pt idx="28">
                  <c:v>0.56403159842325024</c:v>
                </c:pt>
                <c:pt idx="29">
                  <c:v>0.38609137079651773</c:v>
                </c:pt>
                <c:pt idx="30">
                  <c:v>0.42454687890947523</c:v>
                </c:pt>
                <c:pt idx="31">
                  <c:v>0.40141952257360475</c:v>
                </c:pt>
                <c:pt idx="32">
                  <c:v>0.16481154778945606</c:v>
                </c:pt>
                <c:pt idx="33">
                  <c:v>0.27782391375936427</c:v>
                </c:pt>
                <c:pt idx="34">
                  <c:v>0.33295649358242618</c:v>
                </c:pt>
                <c:pt idx="35">
                  <c:v>0.39748074170905667</c:v>
                </c:pt>
                <c:pt idx="36">
                  <c:v>0.53072276611112112</c:v>
                </c:pt>
                <c:pt idx="37">
                  <c:v>0.60354920048009997</c:v>
                </c:pt>
                <c:pt idx="38">
                  <c:v>0.36663486009148516</c:v>
                </c:pt>
                <c:pt idx="39">
                  <c:v>0.35016526703892498</c:v>
                </c:pt>
                <c:pt idx="40">
                  <c:v>0.33352690832078408</c:v>
                </c:pt>
                <c:pt idx="41">
                  <c:v>3.3066774494885265E-2</c:v>
                </c:pt>
                <c:pt idx="42">
                  <c:v>6.6080703451088074E-2</c:v>
                </c:pt>
                <c:pt idx="43">
                  <c:v>-0.38762088621688534</c:v>
                </c:pt>
                <c:pt idx="44">
                  <c:v>-0.46411525734010683</c:v>
                </c:pt>
                <c:pt idx="45">
                  <c:v>-0.54885842358131809</c:v>
                </c:pt>
                <c:pt idx="46">
                  <c:v>-0.54791980213007008</c:v>
                </c:pt>
                <c:pt idx="47">
                  <c:v>-0.37117442789010008</c:v>
                </c:pt>
                <c:pt idx="48">
                  <c:v>-0.12511887627205068</c:v>
                </c:pt>
                <c:pt idx="49">
                  <c:v>-0.23614903975823076</c:v>
                </c:pt>
                <c:pt idx="50">
                  <c:v>-0.41935108150086986</c:v>
                </c:pt>
                <c:pt idx="51">
                  <c:v>-0.82459694158388452</c:v>
                </c:pt>
                <c:pt idx="52">
                  <c:v>-0.83050764309562708</c:v>
                </c:pt>
                <c:pt idx="53">
                  <c:v>-0.71329045712827654</c:v>
                </c:pt>
                <c:pt idx="54">
                  <c:v>-0.68329055175746434</c:v>
                </c:pt>
                <c:pt idx="55">
                  <c:v>-0.77146775524374134</c:v>
                </c:pt>
                <c:pt idx="56">
                  <c:v>-0.42932144401136951</c:v>
                </c:pt>
                <c:pt idx="57">
                  <c:v>-0.41858828029440126</c:v>
                </c:pt>
                <c:pt idx="58">
                  <c:v>-0.48207537980896042</c:v>
                </c:pt>
                <c:pt idx="59">
                  <c:v>-0.54819734753283733</c:v>
                </c:pt>
                <c:pt idx="60">
                  <c:v>-0.48669254272737705</c:v>
                </c:pt>
                <c:pt idx="61">
                  <c:v>-0.45248886388463427</c:v>
                </c:pt>
                <c:pt idx="62">
                  <c:v>-0.49564179842301559</c:v>
                </c:pt>
                <c:pt idx="63">
                  <c:v>-0.4640871766645982</c:v>
                </c:pt>
                <c:pt idx="64">
                  <c:v>-0.58450292947447924</c:v>
                </c:pt>
                <c:pt idx="65">
                  <c:v>-0.34637625239730008</c:v>
                </c:pt>
                <c:pt idx="66">
                  <c:v>-0.44496924668070992</c:v>
                </c:pt>
                <c:pt idx="67">
                  <c:v>-0.55675736550382371</c:v>
                </c:pt>
                <c:pt idx="68">
                  <c:v>-0.62971466694608846</c:v>
                </c:pt>
                <c:pt idx="69">
                  <c:v>-0.68608514329428572</c:v>
                </c:pt>
                <c:pt idx="70">
                  <c:v>-0.75179781622356967</c:v>
                </c:pt>
                <c:pt idx="71">
                  <c:v>-0.88743591306922043</c:v>
                </c:pt>
                <c:pt idx="72">
                  <c:v>-0.7814789023670673</c:v>
                </c:pt>
                <c:pt idx="73">
                  <c:v>-0.74444774446163264</c:v>
                </c:pt>
                <c:pt idx="74">
                  <c:v>-0.61865137989973484</c:v>
                </c:pt>
                <c:pt idx="75">
                  <c:v>-0.76427016247182677</c:v>
                </c:pt>
                <c:pt idx="76">
                  <c:v>-0.75539167582501821</c:v>
                </c:pt>
                <c:pt idx="77">
                  <c:v>-0.70656958323790608</c:v>
                </c:pt>
                <c:pt idx="78">
                  <c:v>-0.77805072849369494</c:v>
                </c:pt>
                <c:pt idx="79">
                  <c:v>-0.82450213276092776</c:v>
                </c:pt>
                <c:pt idx="80">
                  <c:v>-0.78760744728646148</c:v>
                </c:pt>
                <c:pt idx="81">
                  <c:v>-0.7894750403229871</c:v>
                </c:pt>
                <c:pt idx="82">
                  <c:v>-0.94419248035665071</c:v>
                </c:pt>
                <c:pt idx="83">
                  <c:v>-1.2560354915046246</c:v>
                </c:pt>
                <c:pt idx="84">
                  <c:v>-1.1949968096960975</c:v>
                </c:pt>
                <c:pt idx="85">
                  <c:v>-0.94149881205202135</c:v>
                </c:pt>
                <c:pt idx="86">
                  <c:v>-1.0688320415183536</c:v>
                </c:pt>
                <c:pt idx="87">
                  <c:v>-1.1361500705367271</c:v>
                </c:pt>
                <c:pt idx="88">
                  <c:v>-1.3284901625107932</c:v>
                </c:pt>
                <c:pt idx="89">
                  <c:v>-1.5693677362278307</c:v>
                </c:pt>
                <c:pt idx="90">
                  <c:v>-1.2103527211733809</c:v>
                </c:pt>
                <c:pt idx="91">
                  <c:v>-1.2008216483450793</c:v>
                </c:pt>
                <c:pt idx="92">
                  <c:v>-1.4039263880973425</c:v>
                </c:pt>
                <c:pt idx="93">
                  <c:v>-1.6024513313894948</c:v>
                </c:pt>
                <c:pt idx="94">
                  <c:v>-1.9007574945096579</c:v>
                </c:pt>
                <c:pt idx="95">
                  <c:v>-1.8574033466168594</c:v>
                </c:pt>
                <c:pt idx="96">
                  <c:v>-1.777721025434732</c:v>
                </c:pt>
                <c:pt idx="97">
                  <c:v>-1.8586555190367096</c:v>
                </c:pt>
                <c:pt idx="98">
                  <c:v>-1.868415570186724</c:v>
                </c:pt>
                <c:pt idx="99">
                  <c:v>-1.8416868242496427</c:v>
                </c:pt>
                <c:pt idx="100">
                  <c:v>-1.5696349307385551</c:v>
                </c:pt>
                <c:pt idx="101">
                  <c:v>-1.6425467806179588</c:v>
                </c:pt>
                <c:pt idx="102">
                  <c:v>-1.3229004517406135</c:v>
                </c:pt>
                <c:pt idx="103">
                  <c:v>-1.2455676279307444</c:v>
                </c:pt>
                <c:pt idx="104">
                  <c:v>-1.225421260286931</c:v>
                </c:pt>
                <c:pt idx="105">
                  <c:v>-1.4619105002596524</c:v>
                </c:pt>
                <c:pt idx="106">
                  <c:v>-1.4808427587420858</c:v>
                </c:pt>
                <c:pt idx="107">
                  <c:v>-1.5718369412938564</c:v>
                </c:pt>
                <c:pt idx="108">
                  <c:v>-1.5962257088235003</c:v>
                </c:pt>
                <c:pt idx="109">
                  <c:v>-1.5569831435745802</c:v>
                </c:pt>
                <c:pt idx="110">
                  <c:v>-1.6563409064709522</c:v>
                </c:pt>
                <c:pt idx="111">
                  <c:v>-1.6071351428962677</c:v>
                </c:pt>
                <c:pt idx="112">
                  <c:v>-1.7364863045981895</c:v>
                </c:pt>
                <c:pt idx="113">
                  <c:v>-1.8907277775279521</c:v>
                </c:pt>
                <c:pt idx="114">
                  <c:v>-1.8472703175602185</c:v>
                </c:pt>
                <c:pt idx="115">
                  <c:v>-1.5635244169640672</c:v>
                </c:pt>
                <c:pt idx="116">
                  <c:v>-1.7598899980750378</c:v>
                </c:pt>
                <c:pt idx="117">
                  <c:v>-1.8703389049615105</c:v>
                </c:pt>
                <c:pt idx="118">
                  <c:v>-1.8507793040950105</c:v>
                </c:pt>
                <c:pt idx="119">
                  <c:v>-1.5966305509100298</c:v>
                </c:pt>
                <c:pt idx="120">
                  <c:v>-1.3623046401757848</c:v>
                </c:pt>
                <c:pt idx="121">
                  <c:v>-1.3083051823184795</c:v>
                </c:pt>
                <c:pt idx="122">
                  <c:v>-0.92555091212375062</c:v>
                </c:pt>
                <c:pt idx="123">
                  <c:v>-0.80037687635699162</c:v>
                </c:pt>
                <c:pt idx="124">
                  <c:v>-0.19776720549445448</c:v>
                </c:pt>
                <c:pt idx="125">
                  <c:v>-0.52411607210161892</c:v>
                </c:pt>
                <c:pt idx="126">
                  <c:v>-0.61431587185536873</c:v>
                </c:pt>
                <c:pt idx="127">
                  <c:v>-0.42792987231742385</c:v>
                </c:pt>
                <c:pt idx="128">
                  <c:v>-0.21420176579312106</c:v>
                </c:pt>
                <c:pt idx="129">
                  <c:v>-0.1596769924131172</c:v>
                </c:pt>
                <c:pt idx="130">
                  <c:v>-0.22602715734449952</c:v>
                </c:pt>
                <c:pt idx="131">
                  <c:v>0.21100074951234049</c:v>
                </c:pt>
                <c:pt idx="132">
                  <c:v>0.29265977258938397</c:v>
                </c:pt>
                <c:pt idx="133">
                  <c:v>0.28370503970374289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F-1743-8FC7-2AED2F932A8D}"/>
            </c:ext>
          </c:extLst>
        </c:ser>
        <c:ser>
          <c:idx val="3"/>
          <c:order val="3"/>
          <c:tx>
            <c:strRef>
              <c:f>'預測LightGBM累積報酬 '!$A$22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'預測LightGBM累積報酬 '!$B$22:$EE$22</c:f>
              <c:numCache>
                <c:formatCode>General</c:formatCode>
                <c:ptCount val="134"/>
                <c:pt idx="0">
                  <c:v>-0.25797044854899692</c:v>
                </c:pt>
                <c:pt idx="1">
                  <c:v>-0.12746023713635543</c:v>
                </c:pt>
                <c:pt idx="2">
                  <c:v>-0.19510271628499676</c:v>
                </c:pt>
                <c:pt idx="3">
                  <c:v>-0.15136217184190764</c:v>
                </c:pt>
                <c:pt idx="4">
                  <c:v>-4.7256688545218445E-2</c:v>
                </c:pt>
                <c:pt idx="5">
                  <c:v>-0.18232182310531145</c:v>
                </c:pt>
                <c:pt idx="6">
                  <c:v>-0.28530865123939725</c:v>
                </c:pt>
                <c:pt idx="7">
                  <c:v>2.1548664842885645E-2</c:v>
                </c:pt>
                <c:pt idx="8">
                  <c:v>3.8498824212293004E-2</c:v>
                </c:pt>
                <c:pt idx="9">
                  <c:v>-2.3022790035342043E-2</c:v>
                </c:pt>
                <c:pt idx="10">
                  <c:v>0.32189464565814385</c:v>
                </c:pt>
                <c:pt idx="11">
                  <c:v>6.392419710914693E-2</c:v>
                </c:pt>
                <c:pt idx="12">
                  <c:v>4.844515742668809E-4</c:v>
                </c:pt>
                <c:pt idx="13">
                  <c:v>0.20953357912495338</c:v>
                </c:pt>
                <c:pt idx="14">
                  <c:v>0.18520147846542284</c:v>
                </c:pt>
                <c:pt idx="15">
                  <c:v>0.47698262218442772</c:v>
                </c:pt>
                <c:pt idx="16">
                  <c:v>0.2783747358435994</c:v>
                </c:pt>
                <c:pt idx="17">
                  <c:v>0.39228076670111767</c:v>
                </c:pt>
                <c:pt idx="18">
                  <c:v>0.22308388065274598</c:v>
                </c:pt>
                <c:pt idx="19">
                  <c:v>0.45371168479339874</c:v>
                </c:pt>
                <c:pt idx="20">
                  <c:v>0.36510798170077413</c:v>
                </c:pt>
                <c:pt idx="21">
                  <c:v>1.0212689767611625</c:v>
                </c:pt>
                <c:pt idx="22">
                  <c:v>1.0070476640380863</c:v>
                </c:pt>
                <c:pt idx="23">
                  <c:v>1.3276661761300694</c:v>
                </c:pt>
                <c:pt idx="24">
                  <c:v>1.384992164331533</c:v>
                </c:pt>
                <c:pt idx="25">
                  <c:v>1.1931943433799228</c:v>
                </c:pt>
                <c:pt idx="26">
                  <c:v>1.0923687611445012</c:v>
                </c:pt>
                <c:pt idx="27">
                  <c:v>1.0479320326634662</c:v>
                </c:pt>
                <c:pt idx="28">
                  <c:v>1.2590896586608964</c:v>
                </c:pt>
                <c:pt idx="29">
                  <c:v>1.2008097038037158</c:v>
                </c:pt>
                <c:pt idx="30">
                  <c:v>0.88959253157474349</c:v>
                </c:pt>
                <c:pt idx="31">
                  <c:v>1.0128858907278218</c:v>
                </c:pt>
                <c:pt idx="32">
                  <c:v>0.75514590401390103</c:v>
                </c:pt>
                <c:pt idx="33">
                  <c:v>0.88188443225228696</c:v>
                </c:pt>
                <c:pt idx="34">
                  <c:v>1.0873041637490009</c:v>
                </c:pt>
                <c:pt idx="35">
                  <c:v>1.0212619231300872</c:v>
                </c:pt>
                <c:pt idx="36">
                  <c:v>1.1795011816644851</c:v>
                </c:pt>
                <c:pt idx="37">
                  <c:v>1.2715331337665423</c:v>
                </c:pt>
                <c:pt idx="38">
                  <c:v>0.94164260032530234</c:v>
                </c:pt>
                <c:pt idx="39">
                  <c:v>0.88316266128868071</c:v>
                </c:pt>
                <c:pt idx="40">
                  <c:v>0.86198545332558285</c:v>
                </c:pt>
                <c:pt idx="41">
                  <c:v>0.43986117407316244</c:v>
                </c:pt>
                <c:pt idx="42">
                  <c:v>0.62377306535516042</c:v>
                </c:pt>
                <c:pt idx="43">
                  <c:v>-0.24610562475453013</c:v>
                </c:pt>
                <c:pt idx="44">
                  <c:v>-0.48087163623993356</c:v>
                </c:pt>
                <c:pt idx="45">
                  <c:v>-0.58903327417747164</c:v>
                </c:pt>
                <c:pt idx="46">
                  <c:v>-0.47338161244151067</c:v>
                </c:pt>
                <c:pt idx="47">
                  <c:v>-0.20081631407877609</c:v>
                </c:pt>
                <c:pt idx="48">
                  <c:v>0.40254382026315649</c:v>
                </c:pt>
                <c:pt idx="49">
                  <c:v>0.34113519213451282</c:v>
                </c:pt>
                <c:pt idx="50">
                  <c:v>-9.0827774611647705E-2</c:v>
                </c:pt>
                <c:pt idx="51">
                  <c:v>-0.17836173203052821</c:v>
                </c:pt>
                <c:pt idx="52">
                  <c:v>-4.6451575529927708E-2</c:v>
                </c:pt>
                <c:pt idx="53">
                  <c:v>0.13759701891548748</c:v>
                </c:pt>
                <c:pt idx="54">
                  <c:v>0.20673905392966138</c:v>
                </c:pt>
                <c:pt idx="55">
                  <c:v>-3.7941582528932205E-2</c:v>
                </c:pt>
                <c:pt idx="56">
                  <c:v>0.5264929257194112</c:v>
                </c:pt>
                <c:pt idx="57">
                  <c:v>0.73493624616102404</c:v>
                </c:pt>
                <c:pt idx="58">
                  <c:v>0.62151931667553373</c:v>
                </c:pt>
                <c:pt idx="59">
                  <c:v>0.46258092454048849</c:v>
                </c:pt>
                <c:pt idx="60">
                  <c:v>0.56071828405353541</c:v>
                </c:pt>
                <c:pt idx="61">
                  <c:v>0.49477558875020483</c:v>
                </c:pt>
                <c:pt idx="62">
                  <c:v>0.45104962624388029</c:v>
                </c:pt>
                <c:pt idx="63">
                  <c:v>0.4251775364182851</c:v>
                </c:pt>
                <c:pt idx="64">
                  <c:v>0.29120917634088428</c:v>
                </c:pt>
                <c:pt idx="65">
                  <c:v>0.6100912072353647</c:v>
                </c:pt>
                <c:pt idx="66">
                  <c:v>0.56712602718197114</c:v>
                </c:pt>
                <c:pt idx="67">
                  <c:v>0.41802050768056553</c:v>
                </c:pt>
                <c:pt idx="68">
                  <c:v>0.41781021300437649</c:v>
                </c:pt>
                <c:pt idx="69">
                  <c:v>0.3953460185349052</c:v>
                </c:pt>
                <c:pt idx="70">
                  <c:v>0.22460674939055661</c:v>
                </c:pt>
                <c:pt idx="71">
                  <c:v>0.344046311181533</c:v>
                </c:pt>
                <c:pt idx="72">
                  <c:v>0.32963453252022956</c:v>
                </c:pt>
                <c:pt idx="73">
                  <c:v>0.43492930411965136</c:v>
                </c:pt>
                <c:pt idx="74">
                  <c:v>0.73992590457231655</c:v>
                </c:pt>
                <c:pt idx="75">
                  <c:v>0.6281344985841999</c:v>
                </c:pt>
                <c:pt idx="76">
                  <c:v>0.63011948391242489</c:v>
                </c:pt>
                <c:pt idx="77">
                  <c:v>0.5287824068644984</c:v>
                </c:pt>
                <c:pt idx="78">
                  <c:v>0.31996302502679896</c:v>
                </c:pt>
                <c:pt idx="79">
                  <c:v>0.31723939637327253</c:v>
                </c:pt>
                <c:pt idx="80">
                  <c:v>0.43518035740473582</c:v>
                </c:pt>
                <c:pt idx="81">
                  <c:v>0.4172599647052051</c:v>
                </c:pt>
                <c:pt idx="82">
                  <c:v>0.38857798352678324</c:v>
                </c:pt>
                <c:pt idx="83">
                  <c:v>0.28928667525073715</c:v>
                </c:pt>
                <c:pt idx="84">
                  <c:v>0.68389227518707507</c:v>
                </c:pt>
                <c:pt idx="85">
                  <c:v>1.0269650677445505</c:v>
                </c:pt>
                <c:pt idx="86">
                  <c:v>0.97823008359996344</c:v>
                </c:pt>
                <c:pt idx="87">
                  <c:v>0.85355896877656279</c:v>
                </c:pt>
                <c:pt idx="88">
                  <c:v>0.63571116457992471</c:v>
                </c:pt>
                <c:pt idx="89">
                  <c:v>0.20477770275892132</c:v>
                </c:pt>
                <c:pt idx="90">
                  <c:v>0.77470867317098846</c:v>
                </c:pt>
                <c:pt idx="91">
                  <c:v>1.0406637218506203</c:v>
                </c:pt>
                <c:pt idx="92">
                  <c:v>0.78177877971813325</c:v>
                </c:pt>
                <c:pt idx="93">
                  <c:v>0.68533576755899117</c:v>
                </c:pt>
                <c:pt idx="94">
                  <c:v>0.53996991728746579</c:v>
                </c:pt>
                <c:pt idx="95">
                  <c:v>0.6133097626220736</c:v>
                </c:pt>
                <c:pt idx="96">
                  <c:v>0.7340166614385456</c:v>
                </c:pt>
                <c:pt idx="97">
                  <c:v>0.59078709416212172</c:v>
                </c:pt>
                <c:pt idx="98">
                  <c:v>0.55374582248177262</c:v>
                </c:pt>
                <c:pt idx="99">
                  <c:v>0.56438536716619092</c:v>
                </c:pt>
                <c:pt idx="100">
                  <c:v>0.68688726564223346</c:v>
                </c:pt>
                <c:pt idx="101">
                  <c:v>0.49603988450947067</c:v>
                </c:pt>
                <c:pt idx="102">
                  <c:v>0.51830688674423087</c:v>
                </c:pt>
                <c:pt idx="103">
                  <c:v>0.77922107995974721</c:v>
                </c:pt>
                <c:pt idx="104">
                  <c:v>0.72907576792512718</c:v>
                </c:pt>
                <c:pt idx="105">
                  <c:v>0.58062094553225974</c:v>
                </c:pt>
                <c:pt idx="106">
                  <c:v>0.59435178279676215</c:v>
                </c:pt>
                <c:pt idx="107">
                  <c:v>0.41215257622413964</c:v>
                </c:pt>
                <c:pt idx="108">
                  <c:v>0.26872452307223954</c:v>
                </c:pt>
                <c:pt idx="109">
                  <c:v>0.32408467603852203</c:v>
                </c:pt>
                <c:pt idx="110">
                  <c:v>0.13483686026545483</c:v>
                </c:pt>
                <c:pt idx="111">
                  <c:v>0.17221290903037378</c:v>
                </c:pt>
                <c:pt idx="112">
                  <c:v>-1.1721824877481107E-2</c:v>
                </c:pt>
                <c:pt idx="113">
                  <c:v>7.9615385579860712E-3</c:v>
                </c:pt>
                <c:pt idx="114">
                  <c:v>-3.7412198491032271E-2</c:v>
                </c:pt>
                <c:pt idx="115">
                  <c:v>0.61985669440401114</c:v>
                </c:pt>
                <c:pt idx="116">
                  <c:v>0.60355291673025802</c:v>
                </c:pt>
                <c:pt idx="117">
                  <c:v>0.44261403802133925</c:v>
                </c:pt>
                <c:pt idx="118">
                  <c:v>0.47444090015616008</c:v>
                </c:pt>
                <c:pt idx="119">
                  <c:v>0.83619427798149959</c:v>
                </c:pt>
                <c:pt idx="120">
                  <c:v>1.159646234428829</c:v>
                </c:pt>
                <c:pt idx="121">
                  <c:v>1.356888577265527</c:v>
                </c:pt>
                <c:pt idx="122">
                  <c:v>1.7402724889047279</c:v>
                </c:pt>
                <c:pt idx="123">
                  <c:v>1.7328551109381858</c:v>
                </c:pt>
                <c:pt idx="124">
                  <c:v>2.4331356877164008</c:v>
                </c:pt>
                <c:pt idx="125">
                  <c:v>1.9639969183354731</c:v>
                </c:pt>
                <c:pt idx="126">
                  <c:v>1.7069290531415326</c:v>
                </c:pt>
                <c:pt idx="127">
                  <c:v>1.9137370582121711</c:v>
                </c:pt>
                <c:pt idx="128">
                  <c:v>2.0024436480938852</c:v>
                </c:pt>
                <c:pt idx="129">
                  <c:v>2.18427418751671</c:v>
                </c:pt>
                <c:pt idx="130">
                  <c:v>2.2357089581165019</c:v>
                </c:pt>
                <c:pt idx="131">
                  <c:v>2.3389865548303135</c:v>
                </c:pt>
                <c:pt idx="132">
                  <c:v>2.3941717081418905</c:v>
                </c:pt>
                <c:pt idx="133">
                  <c:v>2.3565859277213632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F-1743-8FC7-2AED2F932A8D}"/>
            </c:ext>
          </c:extLst>
        </c:ser>
        <c:ser>
          <c:idx val="4"/>
          <c:order val="4"/>
          <c:tx>
            <c:strRef>
              <c:f>'預測LightGBM累積報酬 '!$A$23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'預測LightGBM累積報酬 '!$B$23:$EE$23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F-1743-8FC7-2AED2F932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LightGBM再投資累積報酬!$C$23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LightGBM再投資累積報酬!$D$23:$EG$23</c:f>
              <c:numCache>
                <c:formatCode>General</c:formatCode>
                <c:ptCount val="134"/>
                <c:pt idx="0">
                  <c:v>1.9976135343076479E-2</c:v>
                </c:pt>
                <c:pt idx="1">
                  <c:v>7.3136969308418287E-3</c:v>
                </c:pt>
                <c:pt idx="2">
                  <c:v>-5.4534246991562174E-3</c:v>
                </c:pt>
                <c:pt idx="3">
                  <c:v>3.1406350799185745E-3</c:v>
                </c:pt>
                <c:pt idx="4">
                  <c:v>-5.5933524462192796E-3</c:v>
                </c:pt>
                <c:pt idx="5">
                  <c:v>5.9367757974733149E-3</c:v>
                </c:pt>
                <c:pt idx="6">
                  <c:v>-1.045108506918524E-3</c:v>
                </c:pt>
                <c:pt idx="7">
                  <c:v>7.2628751608658781E-3</c:v>
                </c:pt>
                <c:pt idx="8">
                  <c:v>9.2912522681221077E-3</c:v>
                </c:pt>
                <c:pt idx="9">
                  <c:v>-1.6314751745021172E-2</c:v>
                </c:pt>
                <c:pt idx="10">
                  <c:v>-2.2414988509363964E-2</c:v>
                </c:pt>
                <c:pt idx="11">
                  <c:v>-2.8866180104639705E-3</c:v>
                </c:pt>
                <c:pt idx="12">
                  <c:v>1.7200470955565317E-2</c:v>
                </c:pt>
                <c:pt idx="13">
                  <c:v>1.8040048587407487E-2</c:v>
                </c:pt>
                <c:pt idx="14">
                  <c:v>1.505317539439055E-3</c:v>
                </c:pt>
                <c:pt idx="15">
                  <c:v>2.1553191918367798E-2</c:v>
                </c:pt>
                <c:pt idx="16">
                  <c:v>5.7157035185841698E-2</c:v>
                </c:pt>
                <c:pt idx="17">
                  <c:v>5.4501571516009539E-2</c:v>
                </c:pt>
                <c:pt idx="18">
                  <c:v>4.8513646304522817E-2</c:v>
                </c:pt>
                <c:pt idx="19">
                  <c:v>6.2536383013092944E-2</c:v>
                </c:pt>
                <c:pt idx="20">
                  <c:v>6.1875131697134877E-2</c:v>
                </c:pt>
                <c:pt idx="21">
                  <c:v>0.14043892865316998</c:v>
                </c:pt>
                <c:pt idx="22">
                  <c:v>0.11556742061358638</c:v>
                </c:pt>
                <c:pt idx="23">
                  <c:v>0.13419085516283857</c:v>
                </c:pt>
                <c:pt idx="24">
                  <c:v>0.11701350531519616</c:v>
                </c:pt>
                <c:pt idx="25">
                  <c:v>0.13817829893271938</c:v>
                </c:pt>
                <c:pt idx="26">
                  <c:v>0.14210341606588095</c:v>
                </c:pt>
                <c:pt idx="27">
                  <c:v>0.13536820851158882</c:v>
                </c:pt>
                <c:pt idx="28">
                  <c:v>0.14817300658346788</c:v>
                </c:pt>
                <c:pt idx="29">
                  <c:v>0.14032259352971677</c:v>
                </c:pt>
                <c:pt idx="30">
                  <c:v>0.12584341473064486</c:v>
                </c:pt>
                <c:pt idx="31">
                  <c:v>0.14177684641349031</c:v>
                </c:pt>
                <c:pt idx="32">
                  <c:v>0.14319780610200894</c:v>
                </c:pt>
                <c:pt idx="33">
                  <c:v>0.1341361211617631</c:v>
                </c:pt>
                <c:pt idx="34">
                  <c:v>0.1087705134001542</c:v>
                </c:pt>
                <c:pt idx="35">
                  <c:v>0.10278852726376986</c:v>
                </c:pt>
                <c:pt idx="36">
                  <c:v>0.13156100122789005</c:v>
                </c:pt>
                <c:pt idx="37">
                  <c:v>0.10644279321311223</c:v>
                </c:pt>
                <c:pt idx="38">
                  <c:v>0.11933265881714017</c:v>
                </c:pt>
                <c:pt idx="39">
                  <c:v>0.10237484682486198</c:v>
                </c:pt>
                <c:pt idx="40">
                  <c:v>0.10279527489297746</c:v>
                </c:pt>
                <c:pt idx="41">
                  <c:v>0.10876596821185847</c:v>
                </c:pt>
                <c:pt idx="42">
                  <c:v>0.11502217918834012</c:v>
                </c:pt>
                <c:pt idx="43">
                  <c:v>0.10864082685333054</c:v>
                </c:pt>
                <c:pt idx="44">
                  <c:v>0.11196128605595379</c:v>
                </c:pt>
                <c:pt idx="45">
                  <c:v>0.1051604794332901</c:v>
                </c:pt>
                <c:pt idx="46">
                  <c:v>9.3718222544648455E-2</c:v>
                </c:pt>
                <c:pt idx="47">
                  <c:v>5.9111233084373493E-2</c:v>
                </c:pt>
                <c:pt idx="48">
                  <c:v>7.6840076611863761E-2</c:v>
                </c:pt>
                <c:pt idx="49">
                  <c:v>7.602703810360012E-2</c:v>
                </c:pt>
                <c:pt idx="50">
                  <c:v>5.1785676768783651E-2</c:v>
                </c:pt>
                <c:pt idx="51">
                  <c:v>4.4072292932277435E-2</c:v>
                </c:pt>
                <c:pt idx="52">
                  <c:v>4.9836177991050556E-2</c:v>
                </c:pt>
                <c:pt idx="53">
                  <c:v>3.420151953754047E-2</c:v>
                </c:pt>
                <c:pt idx="54">
                  <c:v>2.6730978353037393E-2</c:v>
                </c:pt>
                <c:pt idx="55">
                  <c:v>4.7606029926678284E-2</c:v>
                </c:pt>
                <c:pt idx="56">
                  <c:v>7.3650107418660182E-2</c:v>
                </c:pt>
                <c:pt idx="57">
                  <c:v>0.12042991159713901</c:v>
                </c:pt>
                <c:pt idx="58">
                  <c:v>8.0669772357979674E-2</c:v>
                </c:pt>
                <c:pt idx="59">
                  <c:v>4.3960360197051296E-2</c:v>
                </c:pt>
                <c:pt idx="60">
                  <c:v>5.4270759624808429E-2</c:v>
                </c:pt>
                <c:pt idx="61">
                  <c:v>3.7233813020445705E-2</c:v>
                </c:pt>
                <c:pt idx="62">
                  <c:v>3.9417641597424113E-2</c:v>
                </c:pt>
                <c:pt idx="63">
                  <c:v>3.7403078808140089E-2</c:v>
                </c:pt>
                <c:pt idx="64">
                  <c:v>8.8524474895839145E-3</c:v>
                </c:pt>
                <c:pt idx="65">
                  <c:v>2.0003269810955349E-2</c:v>
                </c:pt>
                <c:pt idx="66">
                  <c:v>1.109413214977395E-2</c:v>
                </c:pt>
                <c:pt idx="67">
                  <c:v>-9.1201091492936204E-3</c:v>
                </c:pt>
                <c:pt idx="68">
                  <c:v>-2.5711571328475458E-2</c:v>
                </c:pt>
                <c:pt idx="69">
                  <c:v>-6.1022142569276183E-2</c:v>
                </c:pt>
                <c:pt idx="70">
                  <c:v>-7.3005533853518267E-2</c:v>
                </c:pt>
                <c:pt idx="71">
                  <c:v>-4.1674424608039384E-2</c:v>
                </c:pt>
                <c:pt idx="72">
                  <c:v>-2.7925088109717722E-2</c:v>
                </c:pt>
                <c:pt idx="73">
                  <c:v>-2.6718483745599375E-2</c:v>
                </c:pt>
                <c:pt idx="74">
                  <c:v>-4.6847429526441942E-2</c:v>
                </c:pt>
                <c:pt idx="75">
                  <c:v>-7.9924331918583835E-2</c:v>
                </c:pt>
                <c:pt idx="76">
                  <c:v>-8.121633538700046E-2</c:v>
                </c:pt>
                <c:pt idx="77">
                  <c:v>-8.0875482411836952E-2</c:v>
                </c:pt>
                <c:pt idx="78">
                  <c:v>-6.4875847735728853E-2</c:v>
                </c:pt>
                <c:pt idx="79">
                  <c:v>-8.6986233738351126E-2</c:v>
                </c:pt>
                <c:pt idx="80">
                  <c:v>-5.6421497879279969E-2</c:v>
                </c:pt>
                <c:pt idx="81">
                  <c:v>-6.8929565977249307E-2</c:v>
                </c:pt>
                <c:pt idx="82">
                  <c:v>-7.3886232066801782E-2</c:v>
                </c:pt>
                <c:pt idx="83">
                  <c:v>-5.653117103665084E-2</c:v>
                </c:pt>
                <c:pt idx="84">
                  <c:v>-6.1645275573428693E-2</c:v>
                </c:pt>
                <c:pt idx="85">
                  <c:v>-5.7527212940190475E-2</c:v>
                </c:pt>
                <c:pt idx="86">
                  <c:v>-4.6836479896695038E-2</c:v>
                </c:pt>
                <c:pt idx="87">
                  <c:v>-8.926486265179312E-2</c:v>
                </c:pt>
                <c:pt idx="88">
                  <c:v>-0.11335816564125412</c:v>
                </c:pt>
                <c:pt idx="89">
                  <c:v>-0.13274331466194489</c:v>
                </c:pt>
                <c:pt idx="90">
                  <c:v>-0.1005835167237813</c:v>
                </c:pt>
                <c:pt idx="91">
                  <c:v>-0.12070647172585203</c:v>
                </c:pt>
                <c:pt idx="92">
                  <c:v>-0.10901418452231815</c:v>
                </c:pt>
                <c:pt idx="93">
                  <c:v>-0.13422426604345905</c:v>
                </c:pt>
                <c:pt idx="94">
                  <c:v>-0.15284579919427443</c:v>
                </c:pt>
                <c:pt idx="95">
                  <c:v>-0.15934461049054283</c:v>
                </c:pt>
                <c:pt idx="96">
                  <c:v>-0.14443264208893347</c:v>
                </c:pt>
                <c:pt idx="97">
                  <c:v>-0.16760976797617677</c:v>
                </c:pt>
                <c:pt idx="98">
                  <c:v>-0.17339945761299791</c:v>
                </c:pt>
                <c:pt idx="99">
                  <c:v>-0.17613566589466012</c:v>
                </c:pt>
                <c:pt idx="100">
                  <c:v>-0.17342495281438119</c:v>
                </c:pt>
                <c:pt idx="101">
                  <c:v>-0.17434644666997545</c:v>
                </c:pt>
                <c:pt idx="102">
                  <c:v>-0.17677037964653242</c:v>
                </c:pt>
                <c:pt idx="103">
                  <c:v>-0.18174056921411452</c:v>
                </c:pt>
                <c:pt idx="104">
                  <c:v>-0.13495213379265858</c:v>
                </c:pt>
                <c:pt idx="105">
                  <c:v>-0.1600205257466516</c:v>
                </c:pt>
                <c:pt idx="106">
                  <c:v>-0.17364352820184081</c:v>
                </c:pt>
                <c:pt idx="107">
                  <c:v>-0.16929981641719127</c:v>
                </c:pt>
                <c:pt idx="108">
                  <c:v>-0.17533441453593279</c:v>
                </c:pt>
                <c:pt idx="109">
                  <c:v>-0.17985104674676511</c:v>
                </c:pt>
                <c:pt idx="110">
                  <c:v>-0.19415977421729436</c:v>
                </c:pt>
                <c:pt idx="111">
                  <c:v>-0.17448317564634885</c:v>
                </c:pt>
                <c:pt idx="112">
                  <c:v>-0.17784096760456014</c:v>
                </c:pt>
                <c:pt idx="113">
                  <c:v>-0.18264786693089119</c:v>
                </c:pt>
                <c:pt idx="114">
                  <c:v>-0.21387689365461471</c:v>
                </c:pt>
                <c:pt idx="115">
                  <c:v>-0.20596210421473871</c:v>
                </c:pt>
                <c:pt idx="116">
                  <c:v>-0.21672018286449335</c:v>
                </c:pt>
                <c:pt idx="117">
                  <c:v>-0.19800040300565214</c:v>
                </c:pt>
                <c:pt idx="118">
                  <c:v>-0.18840435697378277</c:v>
                </c:pt>
                <c:pt idx="119">
                  <c:v>-0.19350035133286714</c:v>
                </c:pt>
                <c:pt idx="120">
                  <c:v>-0.1944508734456537</c:v>
                </c:pt>
                <c:pt idx="121">
                  <c:v>-0.15414864392619732</c:v>
                </c:pt>
                <c:pt idx="122">
                  <c:v>-0.12723896786567324</c:v>
                </c:pt>
                <c:pt idx="123">
                  <c:v>-0.13316100132577291</c:v>
                </c:pt>
                <c:pt idx="124">
                  <c:v>-0.12066826610598202</c:v>
                </c:pt>
                <c:pt idx="125">
                  <c:v>-0.13993085786786141</c:v>
                </c:pt>
                <c:pt idx="126">
                  <c:v>-0.14991469982252326</c:v>
                </c:pt>
                <c:pt idx="127">
                  <c:v>-0.14187368082993734</c:v>
                </c:pt>
                <c:pt idx="128">
                  <c:v>-0.15110562229065172</c:v>
                </c:pt>
                <c:pt idx="129">
                  <c:v>-0.150597586346496</c:v>
                </c:pt>
                <c:pt idx="130">
                  <c:v>-0.15961745117911086</c:v>
                </c:pt>
                <c:pt idx="131">
                  <c:v>-0.1714955798290454</c:v>
                </c:pt>
                <c:pt idx="132">
                  <c:v>-0.16303573430021823</c:v>
                </c:pt>
                <c:pt idx="133">
                  <c:v>-0.14724628624691816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2-2F4D-8DAE-192AF81481EA}"/>
            </c:ext>
          </c:extLst>
        </c:ser>
        <c:ser>
          <c:idx val="1"/>
          <c:order val="1"/>
          <c:tx>
            <c:strRef>
              <c:f>LightGBM再投資累積報酬!$C$24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LightGBM再投資累積報酬!$D$24:$EG$24</c:f>
              <c:numCache>
                <c:formatCode>General</c:formatCode>
                <c:ptCount val="134"/>
                <c:pt idx="0">
                  <c:v>5.9099920037642271E-2</c:v>
                </c:pt>
                <c:pt idx="1">
                  <c:v>7.3273710747004728E-2</c:v>
                </c:pt>
                <c:pt idx="2">
                  <c:v>7.3294362603239627E-2</c:v>
                </c:pt>
                <c:pt idx="3">
                  <c:v>3.5330763916108898E-2</c:v>
                </c:pt>
                <c:pt idx="4">
                  <c:v>8.566980545772207E-3</c:v>
                </c:pt>
                <c:pt idx="5">
                  <c:v>1.4721714773631378E-2</c:v>
                </c:pt>
                <c:pt idx="6">
                  <c:v>1.1626453030828321E-2</c:v>
                </c:pt>
                <c:pt idx="7">
                  <c:v>4.2700125954893142E-2</c:v>
                </c:pt>
                <c:pt idx="8">
                  <c:v>3.285571794146791E-2</c:v>
                </c:pt>
                <c:pt idx="9">
                  <c:v>-4.4007115642872296E-2</c:v>
                </c:pt>
                <c:pt idx="10">
                  <c:v>-3.5210791548400122E-2</c:v>
                </c:pt>
                <c:pt idx="11">
                  <c:v>2.1808173524269669E-2</c:v>
                </c:pt>
                <c:pt idx="12">
                  <c:v>6.0075006352795279E-2</c:v>
                </c:pt>
                <c:pt idx="13">
                  <c:v>6.5836449195008973E-2</c:v>
                </c:pt>
                <c:pt idx="14">
                  <c:v>6.2429793140228229E-2</c:v>
                </c:pt>
                <c:pt idx="15">
                  <c:v>0.12320725625571738</c:v>
                </c:pt>
                <c:pt idx="16">
                  <c:v>0.19298359283484978</c:v>
                </c:pt>
                <c:pt idx="17">
                  <c:v>0.19715988213551427</c:v>
                </c:pt>
                <c:pt idx="18">
                  <c:v>0.16150309351733116</c:v>
                </c:pt>
                <c:pt idx="19">
                  <c:v>0.19593434004344723</c:v>
                </c:pt>
                <c:pt idx="20">
                  <c:v>0.1941340397504363</c:v>
                </c:pt>
                <c:pt idx="21">
                  <c:v>0.28745964922303702</c:v>
                </c:pt>
                <c:pt idx="22">
                  <c:v>0.2742329516446036</c:v>
                </c:pt>
                <c:pt idx="23">
                  <c:v>0.31247196277721545</c:v>
                </c:pt>
                <c:pt idx="24">
                  <c:v>0.28545205898788217</c:v>
                </c:pt>
                <c:pt idx="25">
                  <c:v>0.29121979440759382</c:v>
                </c:pt>
                <c:pt idx="26">
                  <c:v>0.3087116665393701</c:v>
                </c:pt>
                <c:pt idx="27">
                  <c:v>0.26417072946526265</c:v>
                </c:pt>
                <c:pt idx="28">
                  <c:v>0.30950446875355153</c:v>
                </c:pt>
                <c:pt idx="29">
                  <c:v>0.31139569746127727</c:v>
                </c:pt>
                <c:pt idx="30">
                  <c:v>0.29523816994567942</c:v>
                </c:pt>
                <c:pt idx="31">
                  <c:v>0.3133913697773274</c:v>
                </c:pt>
                <c:pt idx="32">
                  <c:v>0.33428175585128117</c:v>
                </c:pt>
                <c:pt idx="33">
                  <c:v>0.3311126103659312</c:v>
                </c:pt>
                <c:pt idx="34">
                  <c:v>0.32533367605362473</c:v>
                </c:pt>
                <c:pt idx="35">
                  <c:v>0.34062143614843032</c:v>
                </c:pt>
                <c:pt idx="36">
                  <c:v>0.39656260043203706</c:v>
                </c:pt>
                <c:pt idx="37">
                  <c:v>0.37105615170391215</c:v>
                </c:pt>
                <c:pt idx="38">
                  <c:v>0.37266895229439601</c:v>
                </c:pt>
                <c:pt idx="39">
                  <c:v>0.35272916867780646</c:v>
                </c:pt>
                <c:pt idx="40">
                  <c:v>0.39207292407290129</c:v>
                </c:pt>
                <c:pt idx="41">
                  <c:v>0.39036015474235253</c:v>
                </c:pt>
                <c:pt idx="42">
                  <c:v>0.41670256091293822</c:v>
                </c:pt>
                <c:pt idx="43">
                  <c:v>0.38530772782606948</c:v>
                </c:pt>
                <c:pt idx="44">
                  <c:v>0.42588447030469689</c:v>
                </c:pt>
                <c:pt idx="45">
                  <c:v>0.42005848526274225</c:v>
                </c:pt>
                <c:pt idx="46">
                  <c:v>0.41876765841437247</c:v>
                </c:pt>
                <c:pt idx="47">
                  <c:v>0.41452205269706788</c:v>
                </c:pt>
                <c:pt idx="48">
                  <c:v>0.50200861381273998</c:v>
                </c:pt>
                <c:pt idx="49">
                  <c:v>0.4835955782340251</c:v>
                </c:pt>
                <c:pt idx="50">
                  <c:v>0.45722348638195887</c:v>
                </c:pt>
                <c:pt idx="51">
                  <c:v>0.46251943789263583</c:v>
                </c:pt>
                <c:pt idx="52">
                  <c:v>0.5001966539667444</c:v>
                </c:pt>
                <c:pt idx="53">
                  <c:v>0.50397775574490034</c:v>
                </c:pt>
                <c:pt idx="54">
                  <c:v>0.52139426917123832</c:v>
                </c:pt>
                <c:pt idx="55">
                  <c:v>0.56893568736197686</c:v>
                </c:pt>
                <c:pt idx="56">
                  <c:v>0.62398882219809715</c:v>
                </c:pt>
                <c:pt idx="57">
                  <c:v>0.69791800296384254</c:v>
                </c:pt>
                <c:pt idx="58">
                  <c:v>0.62474628914480501</c:v>
                </c:pt>
                <c:pt idx="59">
                  <c:v>0.58801371833806715</c:v>
                </c:pt>
                <c:pt idx="60">
                  <c:v>0.61945687991142728</c:v>
                </c:pt>
                <c:pt idx="61">
                  <c:v>0.59907210806012801</c:v>
                </c:pt>
                <c:pt idx="62">
                  <c:v>0.61831318589250106</c:v>
                </c:pt>
                <c:pt idx="63">
                  <c:v>0.56617466687085694</c:v>
                </c:pt>
                <c:pt idx="64">
                  <c:v>0.52011742200116595</c:v>
                </c:pt>
                <c:pt idx="65">
                  <c:v>0.56197296697320209</c:v>
                </c:pt>
                <c:pt idx="66">
                  <c:v>0.55549960591992975</c:v>
                </c:pt>
                <c:pt idx="67">
                  <c:v>0.50571005512452993</c:v>
                </c:pt>
                <c:pt idx="68">
                  <c:v>0.46803422558230112</c:v>
                </c:pt>
                <c:pt idx="69">
                  <c:v>0.41782092943300175</c:v>
                </c:pt>
                <c:pt idx="70">
                  <c:v>0.40017778624624722</c:v>
                </c:pt>
                <c:pt idx="71">
                  <c:v>0.43133915298293668</c:v>
                </c:pt>
                <c:pt idx="72">
                  <c:v>0.44021691462355594</c:v>
                </c:pt>
                <c:pt idx="73">
                  <c:v>0.43776074997343217</c:v>
                </c:pt>
                <c:pt idx="74">
                  <c:v>0.3822883424418273</c:v>
                </c:pt>
                <c:pt idx="75">
                  <c:v>0.32670053435360802</c:v>
                </c:pt>
                <c:pt idx="76">
                  <c:v>0.31438307737841997</c:v>
                </c:pt>
                <c:pt idx="77">
                  <c:v>0.36581878156629388</c:v>
                </c:pt>
                <c:pt idx="78">
                  <c:v>0.39315847672063287</c:v>
                </c:pt>
                <c:pt idx="79">
                  <c:v>0.31701137924522538</c:v>
                </c:pt>
                <c:pt idx="80">
                  <c:v>0.32055353445215307</c:v>
                </c:pt>
                <c:pt idx="81">
                  <c:v>0.30011847912575407</c:v>
                </c:pt>
                <c:pt idx="82">
                  <c:v>0.33464105551253098</c:v>
                </c:pt>
                <c:pt idx="83">
                  <c:v>0.34482852592707713</c:v>
                </c:pt>
                <c:pt idx="84">
                  <c:v>0.37060882426885411</c:v>
                </c:pt>
                <c:pt idx="85">
                  <c:v>0.38926534957368997</c:v>
                </c:pt>
                <c:pt idx="86">
                  <c:v>0.42521665559764621</c:v>
                </c:pt>
                <c:pt idx="87">
                  <c:v>0.34373397909606362</c:v>
                </c:pt>
                <c:pt idx="88">
                  <c:v>0.30715534831423152</c:v>
                </c:pt>
                <c:pt idx="89">
                  <c:v>0.23328022920858071</c:v>
                </c:pt>
                <c:pt idx="90">
                  <c:v>0.30013911896194068</c:v>
                </c:pt>
                <c:pt idx="91">
                  <c:v>0.24579721758386697</c:v>
                </c:pt>
                <c:pt idx="92">
                  <c:v>0.23929756581200667</c:v>
                </c:pt>
                <c:pt idx="93">
                  <c:v>0.16597731922146597</c:v>
                </c:pt>
                <c:pt idx="94">
                  <c:v>0.1287495305283719</c:v>
                </c:pt>
                <c:pt idx="95">
                  <c:v>9.5497029429328251E-2</c:v>
                </c:pt>
                <c:pt idx="96">
                  <c:v>0.12128917077957113</c:v>
                </c:pt>
                <c:pt idx="97">
                  <c:v>6.7807770405034828E-2</c:v>
                </c:pt>
                <c:pt idx="98">
                  <c:v>4.0272128520313144E-2</c:v>
                </c:pt>
                <c:pt idx="99">
                  <c:v>2.3439069207148222E-2</c:v>
                </c:pt>
                <c:pt idx="100">
                  <c:v>3.3912453993552472E-2</c:v>
                </c:pt>
                <c:pt idx="101">
                  <c:v>3.2301464990561746E-2</c:v>
                </c:pt>
                <c:pt idx="102">
                  <c:v>4.2517702571707616E-2</c:v>
                </c:pt>
                <c:pt idx="103">
                  <c:v>1.7698050877653637E-2</c:v>
                </c:pt>
                <c:pt idx="104">
                  <c:v>6.9185536396272562E-2</c:v>
                </c:pt>
                <c:pt idx="105">
                  <c:v>2.9774678007746136E-2</c:v>
                </c:pt>
                <c:pt idx="106">
                  <c:v>-3.8809341952383836E-4</c:v>
                </c:pt>
                <c:pt idx="107">
                  <c:v>-1.5608396623625898E-2</c:v>
                </c:pt>
                <c:pt idx="108">
                  <c:v>-2.4367394071822757E-2</c:v>
                </c:pt>
                <c:pt idx="109">
                  <c:v>-7.8835912325599944E-3</c:v>
                </c:pt>
                <c:pt idx="110">
                  <c:v>-2.310777311379586E-2</c:v>
                </c:pt>
                <c:pt idx="111">
                  <c:v>1.0939232705155177E-2</c:v>
                </c:pt>
                <c:pt idx="112">
                  <c:v>2.5376409190427829E-2</c:v>
                </c:pt>
                <c:pt idx="113">
                  <c:v>1.2217524188517848E-2</c:v>
                </c:pt>
                <c:pt idx="114">
                  <c:v>-3.2078262240248012E-2</c:v>
                </c:pt>
                <c:pt idx="115">
                  <c:v>-3.5765965192975924E-2</c:v>
                </c:pt>
                <c:pt idx="116">
                  <c:v>-5.713920722431387E-2</c:v>
                </c:pt>
                <c:pt idx="117">
                  <c:v>-1.0614490559684109E-2</c:v>
                </c:pt>
                <c:pt idx="118">
                  <c:v>2.0470512808047348E-2</c:v>
                </c:pt>
                <c:pt idx="119">
                  <c:v>1.8036070115712288E-2</c:v>
                </c:pt>
                <c:pt idx="120">
                  <c:v>1.4135363965166015E-2</c:v>
                </c:pt>
                <c:pt idx="121">
                  <c:v>6.336187751130784E-2</c:v>
                </c:pt>
                <c:pt idx="122">
                  <c:v>0.10170726487716397</c:v>
                </c:pt>
                <c:pt idx="123">
                  <c:v>0.11756701000092007</c:v>
                </c:pt>
                <c:pt idx="124">
                  <c:v>0.1683499789589038</c:v>
                </c:pt>
                <c:pt idx="125">
                  <c:v>0.1299799277975191</c:v>
                </c:pt>
                <c:pt idx="126">
                  <c:v>0.11669935170609658</c:v>
                </c:pt>
                <c:pt idx="127">
                  <c:v>0.10968018364883636</c:v>
                </c:pt>
                <c:pt idx="128">
                  <c:v>9.7223810641852371E-2</c:v>
                </c:pt>
                <c:pt idx="129">
                  <c:v>7.9697382484190227E-2</c:v>
                </c:pt>
                <c:pt idx="130">
                  <c:v>6.5848430586360251E-2</c:v>
                </c:pt>
                <c:pt idx="131">
                  <c:v>6.9129224230177977E-2</c:v>
                </c:pt>
                <c:pt idx="132">
                  <c:v>8.0349770422002642E-2</c:v>
                </c:pt>
                <c:pt idx="133">
                  <c:v>8.2353457019089804E-2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2-2F4D-8DAE-192AF81481EA}"/>
            </c:ext>
          </c:extLst>
        </c:ser>
        <c:ser>
          <c:idx val="2"/>
          <c:order val="2"/>
          <c:tx>
            <c:strRef>
              <c:f>LightGBM再投資累積報酬!$C$25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LightGBM再投資累積報酬!$D$25:$EG$25</c:f>
              <c:numCache>
                <c:formatCode>General</c:formatCode>
                <c:ptCount val="134"/>
                <c:pt idx="0">
                  <c:v>5.5126982158774263E-2</c:v>
                </c:pt>
                <c:pt idx="1">
                  <c:v>7.4787550612329667E-2</c:v>
                </c:pt>
                <c:pt idx="2">
                  <c:v>0.10865988950632688</c:v>
                </c:pt>
                <c:pt idx="3">
                  <c:v>0.11204827071459511</c:v>
                </c:pt>
                <c:pt idx="4">
                  <c:v>0.14342011442459013</c:v>
                </c:pt>
                <c:pt idx="5">
                  <c:v>0.1207751495411642</c:v>
                </c:pt>
                <c:pt idx="6">
                  <c:v>0.12386774245850507</c:v>
                </c:pt>
                <c:pt idx="7">
                  <c:v>0.16258901552212501</c:v>
                </c:pt>
                <c:pt idx="8">
                  <c:v>0.1784804291500417</c:v>
                </c:pt>
                <c:pt idx="9">
                  <c:v>0.20305605189269027</c:v>
                </c:pt>
                <c:pt idx="10">
                  <c:v>0.23689551511870777</c:v>
                </c:pt>
                <c:pt idx="11">
                  <c:v>0.30508183211292472</c:v>
                </c:pt>
                <c:pt idx="12">
                  <c:v>0.309140837858213</c:v>
                </c:pt>
                <c:pt idx="13">
                  <c:v>0.2945368601976408</c:v>
                </c:pt>
                <c:pt idx="14">
                  <c:v>0.28377479729783017</c:v>
                </c:pt>
                <c:pt idx="15">
                  <c:v>0.36201669999943809</c:v>
                </c:pt>
                <c:pt idx="16">
                  <c:v>0.47709309393573185</c:v>
                </c:pt>
                <c:pt idx="17">
                  <c:v>0.46796456965378641</c:v>
                </c:pt>
                <c:pt idx="18">
                  <c:v>0.39750057289026386</c:v>
                </c:pt>
                <c:pt idx="19">
                  <c:v>0.44353150172623912</c:v>
                </c:pt>
                <c:pt idx="20">
                  <c:v>0.39818260827760166</c:v>
                </c:pt>
                <c:pt idx="21">
                  <c:v>0.54888410060335668</c:v>
                </c:pt>
                <c:pt idx="22">
                  <c:v>0.52951701333120749</c:v>
                </c:pt>
                <c:pt idx="23">
                  <c:v>0.60110243640379002</c:v>
                </c:pt>
                <c:pt idx="24">
                  <c:v>0.53851953122812568</c:v>
                </c:pt>
                <c:pt idx="25">
                  <c:v>0.51646184051341826</c:v>
                </c:pt>
                <c:pt idx="26">
                  <c:v>0.5772350567301574</c:v>
                </c:pt>
                <c:pt idx="27">
                  <c:v>0.53199208108134255</c:v>
                </c:pt>
                <c:pt idx="28">
                  <c:v>0.66633846261296292</c:v>
                </c:pt>
                <c:pt idx="29">
                  <c:v>0.7040737793447962</c:v>
                </c:pt>
                <c:pt idx="30">
                  <c:v>0.72472867366571725</c:v>
                </c:pt>
                <c:pt idx="31">
                  <c:v>0.77333747897020788</c:v>
                </c:pt>
                <c:pt idx="32">
                  <c:v>0.71679334756574131</c:v>
                </c:pt>
                <c:pt idx="33">
                  <c:v>0.7627977930132166</c:v>
                </c:pt>
                <c:pt idx="34">
                  <c:v>0.77113793919182005</c:v>
                </c:pt>
                <c:pt idx="35">
                  <c:v>0.74445160158171242</c:v>
                </c:pt>
                <c:pt idx="36">
                  <c:v>0.8807244061984576</c:v>
                </c:pt>
                <c:pt idx="37">
                  <c:v>0.89233305228549797</c:v>
                </c:pt>
                <c:pt idx="38">
                  <c:v>0.97445081529767918</c:v>
                </c:pt>
                <c:pt idx="39">
                  <c:v>0.78567480153024793</c:v>
                </c:pt>
                <c:pt idx="40">
                  <c:v>0.86191690322912229</c:v>
                </c:pt>
                <c:pt idx="41">
                  <c:v>0.84203595314545354</c:v>
                </c:pt>
                <c:pt idx="42">
                  <c:v>0.91508106820826196</c:v>
                </c:pt>
                <c:pt idx="43">
                  <c:v>0.73753086776670451</c:v>
                </c:pt>
                <c:pt idx="44">
                  <c:v>0.76852618638633552</c:v>
                </c:pt>
                <c:pt idx="45">
                  <c:v>0.71014167353055035</c:v>
                </c:pt>
                <c:pt idx="46">
                  <c:v>0.75115788301814135</c:v>
                </c:pt>
                <c:pt idx="47">
                  <c:v>0.71360018216867571</c:v>
                </c:pt>
                <c:pt idx="48">
                  <c:v>0.82170144333751294</c:v>
                </c:pt>
                <c:pt idx="49">
                  <c:v>0.74899509151696742</c:v>
                </c:pt>
                <c:pt idx="50">
                  <c:v>0.79597669708285523</c:v>
                </c:pt>
                <c:pt idx="51">
                  <c:v>0.73958455769855447</c:v>
                </c:pt>
                <c:pt idx="52">
                  <c:v>0.68001754230204359</c:v>
                </c:pt>
                <c:pt idx="53">
                  <c:v>0.72171664394028112</c:v>
                </c:pt>
                <c:pt idx="54">
                  <c:v>0.8262697012704574</c:v>
                </c:pt>
                <c:pt idx="55">
                  <c:v>0.93336280860991372</c:v>
                </c:pt>
                <c:pt idx="56">
                  <c:v>0.930308271175188</c:v>
                </c:pt>
                <c:pt idx="57">
                  <c:v>1.0432668572209187</c:v>
                </c:pt>
                <c:pt idx="58">
                  <c:v>0.92877429311504933</c:v>
                </c:pt>
                <c:pt idx="59">
                  <c:v>0.96592787868388919</c:v>
                </c:pt>
                <c:pt idx="60">
                  <c:v>1.0366113040938649</c:v>
                </c:pt>
                <c:pt idx="61">
                  <c:v>1.0261992991770694</c:v>
                </c:pt>
                <c:pt idx="62">
                  <c:v>1.1009358245839476</c:v>
                </c:pt>
                <c:pt idx="63">
                  <c:v>0.99053954895290852</c:v>
                </c:pt>
                <c:pt idx="64">
                  <c:v>0.81028802181103754</c:v>
                </c:pt>
                <c:pt idx="65">
                  <c:v>0.8693643231136241</c:v>
                </c:pt>
                <c:pt idx="66">
                  <c:v>0.83927544973944079</c:v>
                </c:pt>
                <c:pt idx="67">
                  <c:v>0.70389457164465652</c:v>
                </c:pt>
                <c:pt idx="68">
                  <c:v>0.63851831713182472</c:v>
                </c:pt>
                <c:pt idx="69">
                  <c:v>0.50309794843528222</c:v>
                </c:pt>
                <c:pt idx="70">
                  <c:v>0.50262105230224763</c:v>
                </c:pt>
                <c:pt idx="71">
                  <c:v>0.51030853504130658</c:v>
                </c:pt>
                <c:pt idx="72">
                  <c:v>0.51187238986756678</c:v>
                </c:pt>
                <c:pt idx="73">
                  <c:v>0.49623965095225331</c:v>
                </c:pt>
                <c:pt idx="74">
                  <c:v>0.35867137966046703</c:v>
                </c:pt>
                <c:pt idx="75">
                  <c:v>0.36886676041314281</c:v>
                </c:pt>
                <c:pt idx="76">
                  <c:v>0.22575435902077756</c:v>
                </c:pt>
                <c:pt idx="77">
                  <c:v>0.25391182418756109</c:v>
                </c:pt>
                <c:pt idx="78">
                  <c:v>0.27802559053061526</c:v>
                </c:pt>
                <c:pt idx="79">
                  <c:v>0.12256157312536531</c:v>
                </c:pt>
                <c:pt idx="80">
                  <c:v>5.7254009106888715E-2</c:v>
                </c:pt>
                <c:pt idx="81">
                  <c:v>6.6724920247247077E-2</c:v>
                </c:pt>
                <c:pt idx="82">
                  <c:v>0.11822090285545328</c:v>
                </c:pt>
                <c:pt idx="83">
                  <c:v>0.14285896911548934</c:v>
                </c:pt>
                <c:pt idx="84">
                  <c:v>0.18114634994455159</c:v>
                </c:pt>
                <c:pt idx="85">
                  <c:v>0.22296732376303607</c:v>
                </c:pt>
                <c:pt idx="86">
                  <c:v>0.16228479667151774</c:v>
                </c:pt>
                <c:pt idx="87">
                  <c:v>0.15383597774294833</c:v>
                </c:pt>
                <c:pt idx="88">
                  <c:v>0.10253381075383827</c:v>
                </c:pt>
                <c:pt idx="89">
                  <c:v>4.2945079070503711E-2</c:v>
                </c:pt>
                <c:pt idx="90">
                  <c:v>0.11564308242741705</c:v>
                </c:pt>
                <c:pt idx="91">
                  <c:v>7.496679587827404E-2</c:v>
                </c:pt>
                <c:pt idx="92">
                  <c:v>9.3432809636723624E-2</c:v>
                </c:pt>
                <c:pt idx="93">
                  <c:v>-2.9295057132650348E-2</c:v>
                </c:pt>
                <c:pt idx="94">
                  <c:v>-5.2167431323958846E-2</c:v>
                </c:pt>
                <c:pt idx="95">
                  <c:v>-8.7667608542853825E-2</c:v>
                </c:pt>
                <c:pt idx="96">
                  <c:v>-9.089877801779378E-2</c:v>
                </c:pt>
                <c:pt idx="97">
                  <c:v>-0.11742947543001947</c:v>
                </c:pt>
                <c:pt idx="98">
                  <c:v>-0.13481932812082642</c:v>
                </c:pt>
                <c:pt idx="99">
                  <c:v>-0.17618711736861592</c:v>
                </c:pt>
                <c:pt idx="100">
                  <c:v>-0.16307746376557197</c:v>
                </c:pt>
                <c:pt idx="101">
                  <c:v>-0.1811156912059132</c:v>
                </c:pt>
                <c:pt idx="102">
                  <c:v>-0.11935085598483319</c:v>
                </c:pt>
                <c:pt idx="103">
                  <c:v>-0.14158043449444657</c:v>
                </c:pt>
                <c:pt idx="104">
                  <c:v>-9.9465689515945366E-2</c:v>
                </c:pt>
                <c:pt idx="105">
                  <c:v>-0.17997826390522442</c:v>
                </c:pt>
                <c:pt idx="106">
                  <c:v>-0.18041471658844832</c:v>
                </c:pt>
                <c:pt idx="107">
                  <c:v>-0.20881305858490529</c:v>
                </c:pt>
                <c:pt idx="108">
                  <c:v>-0.22978880509189026</c:v>
                </c:pt>
                <c:pt idx="109">
                  <c:v>-0.22050792495382565</c:v>
                </c:pt>
                <c:pt idx="110">
                  <c:v>-0.1382031932100366</c:v>
                </c:pt>
                <c:pt idx="111">
                  <c:v>-5.4511701766896015E-2</c:v>
                </c:pt>
                <c:pt idx="112">
                  <c:v>-5.7350596183124547E-2</c:v>
                </c:pt>
                <c:pt idx="113">
                  <c:v>-0.10721425671144436</c:v>
                </c:pt>
                <c:pt idx="114">
                  <c:v>-0.17397418653395125</c:v>
                </c:pt>
                <c:pt idx="115">
                  <c:v>-0.15153637368171913</c:v>
                </c:pt>
                <c:pt idx="116">
                  <c:v>-0.15461590791134561</c:v>
                </c:pt>
                <c:pt idx="117">
                  <c:v>-6.1279635644095221E-2</c:v>
                </c:pt>
                <c:pt idx="118">
                  <c:v>-2.9957191841530784E-2</c:v>
                </c:pt>
                <c:pt idx="119">
                  <c:v>-3.8402277939452056E-2</c:v>
                </c:pt>
                <c:pt idx="120">
                  <c:v>-3.0913710029045638E-2</c:v>
                </c:pt>
                <c:pt idx="121">
                  <c:v>2.0941358983659342E-3</c:v>
                </c:pt>
                <c:pt idx="122">
                  <c:v>2.8110334980202323E-2</c:v>
                </c:pt>
                <c:pt idx="123">
                  <c:v>6.7482285859799651E-2</c:v>
                </c:pt>
                <c:pt idx="124">
                  <c:v>0.12293467470815433</c:v>
                </c:pt>
                <c:pt idx="125">
                  <c:v>5.4025256650712672E-2</c:v>
                </c:pt>
                <c:pt idx="126">
                  <c:v>5.334827953685406E-2</c:v>
                </c:pt>
                <c:pt idx="127">
                  <c:v>8.0163709398955785E-2</c:v>
                </c:pt>
                <c:pt idx="128">
                  <c:v>7.3167771745513033E-2</c:v>
                </c:pt>
                <c:pt idx="129">
                  <c:v>5.8255003076263412E-2</c:v>
                </c:pt>
                <c:pt idx="130">
                  <c:v>6.9619227268766348E-2</c:v>
                </c:pt>
                <c:pt idx="131">
                  <c:v>0.10923030562577707</c:v>
                </c:pt>
                <c:pt idx="132">
                  <c:v>0.13597047292082842</c:v>
                </c:pt>
                <c:pt idx="133">
                  <c:v>0.14634959911989576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2-2F4D-8DAE-192AF81481EA}"/>
            </c:ext>
          </c:extLst>
        </c:ser>
        <c:ser>
          <c:idx val="3"/>
          <c:order val="3"/>
          <c:tx>
            <c:strRef>
              <c:f>LightGBM再投資累積報酬!$C$26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LightGBM再投資累積報酬!$D$26:$EG$26</c:f>
              <c:numCache>
                <c:formatCode>General</c:formatCode>
                <c:ptCount val="134"/>
                <c:pt idx="0">
                  <c:v>6.6842489650082784E-2</c:v>
                </c:pt>
                <c:pt idx="1">
                  <c:v>0.14103880107198208</c:v>
                </c:pt>
                <c:pt idx="2">
                  <c:v>0.154963521348642</c:v>
                </c:pt>
                <c:pt idx="3">
                  <c:v>0.20059047509870775</c:v>
                </c:pt>
                <c:pt idx="4">
                  <c:v>0.29447961464807926</c:v>
                </c:pt>
                <c:pt idx="5">
                  <c:v>0.21039245686167618</c:v>
                </c:pt>
                <c:pt idx="6">
                  <c:v>0.20364440736501854</c:v>
                </c:pt>
                <c:pt idx="7">
                  <c:v>0.20056500962230772</c:v>
                </c:pt>
                <c:pt idx="8">
                  <c:v>0.16880213335091065</c:v>
                </c:pt>
                <c:pt idx="9">
                  <c:v>0.16757370568331953</c:v>
                </c:pt>
                <c:pt idx="10">
                  <c:v>0.21699876827669362</c:v>
                </c:pt>
                <c:pt idx="11">
                  <c:v>0.29834599584939192</c:v>
                </c:pt>
                <c:pt idx="12">
                  <c:v>0.35172492684454171</c:v>
                </c:pt>
                <c:pt idx="13">
                  <c:v>0.39596798614996342</c:v>
                </c:pt>
                <c:pt idx="14">
                  <c:v>0.41769390050032507</c:v>
                </c:pt>
                <c:pt idx="15">
                  <c:v>0.53960151763776154</c:v>
                </c:pt>
                <c:pt idx="16">
                  <c:v>0.45252990426330908</c:v>
                </c:pt>
                <c:pt idx="17">
                  <c:v>0.4898026152944932</c:v>
                </c:pt>
                <c:pt idx="18">
                  <c:v>0.38475226196164392</c:v>
                </c:pt>
                <c:pt idx="19">
                  <c:v>0.42550656212045834</c:v>
                </c:pt>
                <c:pt idx="20">
                  <c:v>0.41555933530470268</c:v>
                </c:pt>
                <c:pt idx="21">
                  <c:v>0.60793557596402747</c:v>
                </c:pt>
                <c:pt idx="22">
                  <c:v>0.57197461412818029</c:v>
                </c:pt>
                <c:pt idx="23">
                  <c:v>0.67708768875594139</c:v>
                </c:pt>
                <c:pt idx="24">
                  <c:v>0.63408497205668413</c:v>
                </c:pt>
                <c:pt idx="25">
                  <c:v>0.6777774477504841</c:v>
                </c:pt>
                <c:pt idx="26">
                  <c:v>0.70360182223747425</c:v>
                </c:pt>
                <c:pt idx="27">
                  <c:v>0.60809640143823485</c:v>
                </c:pt>
                <c:pt idx="28">
                  <c:v>0.8515831593952774</c:v>
                </c:pt>
                <c:pt idx="29">
                  <c:v>0.88380041000653198</c:v>
                </c:pt>
                <c:pt idx="30">
                  <c:v>0.85680069706139683</c:v>
                </c:pt>
                <c:pt idx="31">
                  <c:v>0.91723049660615374</c:v>
                </c:pt>
                <c:pt idx="32">
                  <c:v>0.79130774097681722</c:v>
                </c:pt>
                <c:pt idx="33">
                  <c:v>0.84282310230684776</c:v>
                </c:pt>
                <c:pt idx="34">
                  <c:v>0.92136459656998881</c:v>
                </c:pt>
                <c:pt idx="35">
                  <c:v>0.76281705301039704</c:v>
                </c:pt>
                <c:pt idx="36">
                  <c:v>0.91541953364188955</c:v>
                </c:pt>
                <c:pt idx="37">
                  <c:v>1.0308643081670059</c:v>
                </c:pt>
                <c:pt idx="38">
                  <c:v>1.0049985168716105</c:v>
                </c:pt>
                <c:pt idx="39">
                  <c:v>0.71881625178861608</c:v>
                </c:pt>
                <c:pt idx="40">
                  <c:v>0.86799063747418503</c:v>
                </c:pt>
                <c:pt idx="41">
                  <c:v>0.73156687884088978</c:v>
                </c:pt>
                <c:pt idx="42">
                  <c:v>0.74317042952680024</c:v>
                </c:pt>
                <c:pt idx="43">
                  <c:v>0.62687833771363999</c:v>
                </c:pt>
                <c:pt idx="44">
                  <c:v>0.54334685526210458</c:v>
                </c:pt>
                <c:pt idx="45">
                  <c:v>0.46211190063051166</c:v>
                </c:pt>
                <c:pt idx="46">
                  <c:v>0.3703012591713728</c:v>
                </c:pt>
                <c:pt idx="47">
                  <c:v>0.46803472465581519</c:v>
                </c:pt>
                <c:pt idx="48">
                  <c:v>0.66701981316632741</c:v>
                </c:pt>
                <c:pt idx="49">
                  <c:v>0.45754346270142365</c:v>
                </c:pt>
                <c:pt idx="50">
                  <c:v>0.56184520346558275</c:v>
                </c:pt>
                <c:pt idx="51">
                  <c:v>0.35132193379082066</c:v>
                </c:pt>
                <c:pt idx="52">
                  <c:v>0.26134585449459502</c:v>
                </c:pt>
                <c:pt idx="53">
                  <c:v>0.24516980254083087</c:v>
                </c:pt>
                <c:pt idx="54">
                  <c:v>0.29268961744941513</c:v>
                </c:pt>
                <c:pt idx="55">
                  <c:v>0.37556009964988535</c:v>
                </c:pt>
                <c:pt idx="56">
                  <c:v>0.47384289350346398</c:v>
                </c:pt>
                <c:pt idx="57">
                  <c:v>0.60412819608634583</c:v>
                </c:pt>
                <c:pt idx="58">
                  <c:v>0.49405314864804706</c:v>
                </c:pt>
                <c:pt idx="59">
                  <c:v>0.51982638358436195</c:v>
                </c:pt>
                <c:pt idx="60">
                  <c:v>0.57107684074067411</c:v>
                </c:pt>
                <c:pt idx="61">
                  <c:v>0.56823237750486899</c:v>
                </c:pt>
                <c:pt idx="62">
                  <c:v>0.6480946937561316</c:v>
                </c:pt>
                <c:pt idx="63">
                  <c:v>0.62568753793522647</c:v>
                </c:pt>
                <c:pt idx="64">
                  <c:v>0.47196355949638136</c:v>
                </c:pt>
                <c:pt idx="65">
                  <c:v>0.54167023148015137</c:v>
                </c:pt>
                <c:pt idx="66">
                  <c:v>0.52762778138816024</c:v>
                </c:pt>
                <c:pt idx="67">
                  <c:v>0.39840735485411005</c:v>
                </c:pt>
                <c:pt idx="68">
                  <c:v>0.31407790318298834</c:v>
                </c:pt>
                <c:pt idx="69">
                  <c:v>0.27779420744263628</c:v>
                </c:pt>
                <c:pt idx="70">
                  <c:v>0.23131107989421418</c:v>
                </c:pt>
                <c:pt idx="71">
                  <c:v>0.1541507155445152</c:v>
                </c:pt>
                <c:pt idx="72">
                  <c:v>0.25117488348759887</c:v>
                </c:pt>
                <c:pt idx="73">
                  <c:v>0.26333082419804543</c:v>
                </c:pt>
                <c:pt idx="74">
                  <c:v>0.13787637718289747</c:v>
                </c:pt>
                <c:pt idx="75">
                  <c:v>0.17659659829713026</c:v>
                </c:pt>
                <c:pt idx="76">
                  <c:v>6.4722619883885724E-3</c:v>
                </c:pt>
                <c:pt idx="77">
                  <c:v>9.0254878987339193E-3</c:v>
                </c:pt>
                <c:pt idx="78">
                  <c:v>-1.4740274543196041E-2</c:v>
                </c:pt>
                <c:pt idx="79">
                  <c:v>-3.3184335426429068E-2</c:v>
                </c:pt>
                <c:pt idx="80">
                  <c:v>-0.1484193125232609</c:v>
                </c:pt>
                <c:pt idx="81">
                  <c:v>-0.15868964678875608</c:v>
                </c:pt>
                <c:pt idx="82">
                  <c:v>-7.7281706367673508E-2</c:v>
                </c:pt>
                <c:pt idx="83">
                  <c:v>-0.11580677738640144</c:v>
                </c:pt>
                <c:pt idx="84">
                  <c:v>-0.17648716524588015</c:v>
                </c:pt>
                <c:pt idx="85">
                  <c:v>-0.16013873706392712</c:v>
                </c:pt>
                <c:pt idx="86">
                  <c:v>-0.20717150045169175</c:v>
                </c:pt>
                <c:pt idx="87">
                  <c:v>-0.11327072542684535</c:v>
                </c:pt>
                <c:pt idx="88">
                  <c:v>-0.15796236436903843</c:v>
                </c:pt>
                <c:pt idx="89">
                  <c:v>-0.30782704967381891</c:v>
                </c:pt>
                <c:pt idx="90">
                  <c:v>-0.25113944344077921</c:v>
                </c:pt>
                <c:pt idx="91">
                  <c:v>-0.3022374156269253</c:v>
                </c:pt>
                <c:pt idx="92">
                  <c:v>-0.30831069662053401</c:v>
                </c:pt>
                <c:pt idx="93">
                  <c:v>-0.36317245498719064</c:v>
                </c:pt>
                <c:pt idx="94">
                  <c:v>-0.37072274677113604</c:v>
                </c:pt>
                <c:pt idx="95">
                  <c:v>-0.3882689591224936</c:v>
                </c:pt>
                <c:pt idx="96">
                  <c:v>-0.34995905549566997</c:v>
                </c:pt>
                <c:pt idx="97">
                  <c:v>-0.37701223871547029</c:v>
                </c:pt>
                <c:pt idx="98">
                  <c:v>-0.38353496615774207</c:v>
                </c:pt>
                <c:pt idx="99">
                  <c:v>-0.39548620456436412</c:v>
                </c:pt>
                <c:pt idx="100">
                  <c:v>-0.38247369005853438</c:v>
                </c:pt>
                <c:pt idx="101">
                  <c:v>-0.38103524865184324</c:v>
                </c:pt>
                <c:pt idx="102">
                  <c:v>-0.29420725195667052</c:v>
                </c:pt>
                <c:pt idx="103">
                  <c:v>-0.33367246401021633</c:v>
                </c:pt>
                <c:pt idx="104">
                  <c:v>-0.29075194122877779</c:v>
                </c:pt>
                <c:pt idx="105">
                  <c:v>-0.36128947428204161</c:v>
                </c:pt>
                <c:pt idx="106">
                  <c:v>-0.37644548647413489</c:v>
                </c:pt>
                <c:pt idx="107">
                  <c:v>-0.39992752057196002</c:v>
                </c:pt>
                <c:pt idx="108">
                  <c:v>-0.43404852968498908</c:v>
                </c:pt>
                <c:pt idx="109">
                  <c:v>-0.40833771751182391</c:v>
                </c:pt>
                <c:pt idx="110">
                  <c:v>-0.3885011731003003</c:v>
                </c:pt>
                <c:pt idx="111">
                  <c:v>-0.36055653001889243</c:v>
                </c:pt>
                <c:pt idx="112">
                  <c:v>-0.3845137476798447</c:v>
                </c:pt>
                <c:pt idx="113">
                  <c:v>-0.39609057561177297</c:v>
                </c:pt>
                <c:pt idx="114">
                  <c:v>-0.45598465911606467</c:v>
                </c:pt>
                <c:pt idx="115">
                  <c:v>-0.43713100372703761</c:v>
                </c:pt>
                <c:pt idx="116">
                  <c:v>-0.45840317382357509</c:v>
                </c:pt>
                <c:pt idx="117">
                  <c:v>-0.41418589764497615</c:v>
                </c:pt>
                <c:pt idx="118">
                  <c:v>-0.41223293850975684</c:v>
                </c:pt>
                <c:pt idx="119">
                  <c:v>-0.40834746007402623</c:v>
                </c:pt>
                <c:pt idx="120">
                  <c:v>-0.39796745082771123</c:v>
                </c:pt>
                <c:pt idx="121">
                  <c:v>-0.40037262664486151</c:v>
                </c:pt>
                <c:pt idx="122">
                  <c:v>-0.37334794984392061</c:v>
                </c:pt>
                <c:pt idx="123">
                  <c:v>-0.35691920120038489</c:v>
                </c:pt>
                <c:pt idx="124">
                  <c:v>-0.31901823326550671</c:v>
                </c:pt>
                <c:pt idx="125">
                  <c:v>-0.37944221030407688</c:v>
                </c:pt>
                <c:pt idx="126">
                  <c:v>-0.34579815246535273</c:v>
                </c:pt>
                <c:pt idx="127">
                  <c:v>-0.30595996073494314</c:v>
                </c:pt>
                <c:pt idx="128">
                  <c:v>-0.30833886608717531</c:v>
                </c:pt>
                <c:pt idx="129">
                  <c:v>-0.27637789534388946</c:v>
                </c:pt>
                <c:pt idx="130">
                  <c:v>-0.26400096060528866</c:v>
                </c:pt>
                <c:pt idx="131">
                  <c:v>-0.20267189098270444</c:v>
                </c:pt>
                <c:pt idx="132">
                  <c:v>-0.17602861525592639</c:v>
                </c:pt>
                <c:pt idx="133">
                  <c:v>-0.16994012103882583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32-2F4D-8DAE-192AF81481EA}"/>
            </c:ext>
          </c:extLst>
        </c:ser>
        <c:ser>
          <c:idx val="4"/>
          <c:order val="4"/>
          <c:tx>
            <c:strRef>
              <c:f>LightGBM再投資累積報酬!$C$27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LightGBM再投資累積報酬!$D$27:$EG$27</c:f>
              <c:numCache>
                <c:formatCode>General</c:formatCode>
                <c:ptCount val="134"/>
                <c:pt idx="0">
                  <c:v>3.6241182215047199E-2</c:v>
                </c:pt>
                <c:pt idx="1">
                  <c:v>0.10373894264098871</c:v>
                </c:pt>
                <c:pt idx="2">
                  <c:v>9.3116903101321036E-2</c:v>
                </c:pt>
                <c:pt idx="3">
                  <c:v>0.14706380717990486</c:v>
                </c:pt>
                <c:pt idx="4">
                  <c:v>0.21781102854980317</c:v>
                </c:pt>
                <c:pt idx="5">
                  <c:v>0.22828631422057399</c:v>
                </c:pt>
                <c:pt idx="6">
                  <c:v>0.22664554502124434</c:v>
                </c:pt>
                <c:pt idx="7">
                  <c:v>0.24747956068496557</c:v>
                </c:pt>
                <c:pt idx="8">
                  <c:v>0.18440137175865479</c:v>
                </c:pt>
                <c:pt idx="9">
                  <c:v>0.25952785619161234</c:v>
                </c:pt>
                <c:pt idx="10">
                  <c:v>0.41990366537067803</c:v>
                </c:pt>
                <c:pt idx="11">
                  <c:v>0.47136265283519019</c:v>
                </c:pt>
                <c:pt idx="12">
                  <c:v>0.46656002794052531</c:v>
                </c:pt>
                <c:pt idx="13">
                  <c:v>0.52534073086611222</c:v>
                </c:pt>
                <c:pt idx="14">
                  <c:v>0.44923116732865376</c:v>
                </c:pt>
                <c:pt idx="15">
                  <c:v>0.63906177923026952</c:v>
                </c:pt>
                <c:pt idx="16">
                  <c:v>0.3652725992121566</c:v>
                </c:pt>
                <c:pt idx="17">
                  <c:v>0.50566388915629212</c:v>
                </c:pt>
                <c:pt idx="18">
                  <c:v>0.41175005118030539</c:v>
                </c:pt>
                <c:pt idx="19">
                  <c:v>0.47909704419453858</c:v>
                </c:pt>
                <c:pt idx="20">
                  <c:v>0.45152005823404662</c:v>
                </c:pt>
                <c:pt idx="21">
                  <c:v>0.72080288819688931</c:v>
                </c:pt>
                <c:pt idx="22">
                  <c:v>0.5748191267312901</c:v>
                </c:pt>
                <c:pt idx="23">
                  <c:v>0.65741299409152565</c:v>
                </c:pt>
                <c:pt idx="24">
                  <c:v>0.80718853078508079</c:v>
                </c:pt>
                <c:pt idx="25">
                  <c:v>0.77212296453348861</c:v>
                </c:pt>
                <c:pt idx="26">
                  <c:v>0.806656197745238</c:v>
                </c:pt>
                <c:pt idx="27">
                  <c:v>0.81304698946095</c:v>
                </c:pt>
                <c:pt idx="28">
                  <c:v>1.2292458422638193</c:v>
                </c:pt>
                <c:pt idx="29">
                  <c:v>1.3720505960726599</c:v>
                </c:pt>
                <c:pt idx="30">
                  <c:v>1.3405176838259938</c:v>
                </c:pt>
                <c:pt idx="31">
                  <c:v>1.4770832382420189</c:v>
                </c:pt>
                <c:pt idx="32">
                  <c:v>1.1089255187812808</c:v>
                </c:pt>
                <c:pt idx="33">
                  <c:v>1.199213983151568</c:v>
                </c:pt>
                <c:pt idx="34">
                  <c:v>1.2068170981582855</c:v>
                </c:pt>
                <c:pt idx="35">
                  <c:v>0.96130558368308727</c:v>
                </c:pt>
                <c:pt idx="36">
                  <c:v>1.0523328075407217</c:v>
                </c:pt>
                <c:pt idx="37">
                  <c:v>1.2045866086626198</c:v>
                </c:pt>
                <c:pt idx="38">
                  <c:v>1.0914130248169602</c:v>
                </c:pt>
                <c:pt idx="39">
                  <c:v>0.60307562982330798</c:v>
                </c:pt>
                <c:pt idx="40">
                  <c:v>0.78458147118133392</c:v>
                </c:pt>
                <c:pt idx="41">
                  <c:v>0.55310178155433687</c:v>
                </c:pt>
                <c:pt idx="42">
                  <c:v>0.60506572116654023</c:v>
                </c:pt>
                <c:pt idx="43">
                  <c:v>0.40190598570189651</c:v>
                </c:pt>
                <c:pt idx="44">
                  <c:v>0.22618064606877031</c:v>
                </c:pt>
                <c:pt idx="45">
                  <c:v>0.13999582325979953</c:v>
                </c:pt>
                <c:pt idx="46">
                  <c:v>0.14469706600112953</c:v>
                </c:pt>
                <c:pt idx="47">
                  <c:v>0.50388903249480621</c:v>
                </c:pt>
                <c:pt idx="48">
                  <c:v>0.88770627490526777</c:v>
                </c:pt>
                <c:pt idx="49">
                  <c:v>0.7949942605482887</c:v>
                </c:pt>
                <c:pt idx="50">
                  <c:v>0.85611044704292327</c:v>
                </c:pt>
                <c:pt idx="51">
                  <c:v>0.58664112114864331</c:v>
                </c:pt>
                <c:pt idx="52">
                  <c:v>0.50512102694774752</c:v>
                </c:pt>
                <c:pt idx="53">
                  <c:v>0.58247215271869757</c:v>
                </c:pt>
                <c:pt idx="54">
                  <c:v>0.61560367431659224</c:v>
                </c:pt>
                <c:pt idx="55">
                  <c:v>0.76942575869897745</c:v>
                </c:pt>
                <c:pt idx="56">
                  <c:v>1.1169654889027889</c:v>
                </c:pt>
                <c:pt idx="57">
                  <c:v>1.2887910117027634</c:v>
                </c:pt>
                <c:pt idx="58">
                  <c:v>1.368147345983115</c:v>
                </c:pt>
                <c:pt idx="59">
                  <c:v>1.5015931779198493</c:v>
                </c:pt>
                <c:pt idx="60">
                  <c:v>1.5942267473533911</c:v>
                </c:pt>
                <c:pt idx="61">
                  <c:v>1.7325294470796053</c:v>
                </c:pt>
                <c:pt idx="62">
                  <c:v>1.8135861342909463</c:v>
                </c:pt>
                <c:pt idx="63">
                  <c:v>1.7971465976171395</c:v>
                </c:pt>
                <c:pt idx="64">
                  <c:v>1.5990810416630006</c:v>
                </c:pt>
                <c:pt idx="65">
                  <c:v>1.8001017645191384</c:v>
                </c:pt>
                <c:pt idx="66">
                  <c:v>1.7151264489915228</c:v>
                </c:pt>
                <c:pt idx="67">
                  <c:v>1.2060031674240292</c:v>
                </c:pt>
                <c:pt idx="68">
                  <c:v>0.81676793127846081</c:v>
                </c:pt>
                <c:pt idx="69">
                  <c:v>0.6700580495259354</c:v>
                </c:pt>
                <c:pt idx="70">
                  <c:v>0.74332431516957009</c:v>
                </c:pt>
                <c:pt idx="71">
                  <c:v>0.64444900632313917</c:v>
                </c:pt>
                <c:pt idx="72">
                  <c:v>0.8753956508040881</c:v>
                </c:pt>
                <c:pt idx="73">
                  <c:v>0.96943597483466082</c:v>
                </c:pt>
                <c:pt idx="74">
                  <c:v>0.87444292505146071</c:v>
                </c:pt>
                <c:pt idx="75">
                  <c:v>0.71894210567634098</c:v>
                </c:pt>
                <c:pt idx="76">
                  <c:v>0.3613788919351606</c:v>
                </c:pt>
                <c:pt idx="77">
                  <c:v>0.33819544455377293</c:v>
                </c:pt>
                <c:pt idx="78">
                  <c:v>0.32001391854271111</c:v>
                </c:pt>
                <c:pt idx="79">
                  <c:v>0.30356299236947426</c:v>
                </c:pt>
                <c:pt idx="80">
                  <c:v>0.31164108380990085</c:v>
                </c:pt>
                <c:pt idx="81">
                  <c:v>0.25324529961802766</c:v>
                </c:pt>
                <c:pt idx="82">
                  <c:v>0.50319224534638818</c:v>
                </c:pt>
                <c:pt idx="83">
                  <c:v>0.2987511539039287</c:v>
                </c:pt>
                <c:pt idx="84">
                  <c:v>0.39753015378823964</c:v>
                </c:pt>
                <c:pt idx="85">
                  <c:v>0.5652818641682622</c:v>
                </c:pt>
                <c:pt idx="86">
                  <c:v>0.38115338786092123</c:v>
                </c:pt>
                <c:pt idx="87">
                  <c:v>0.4008523032156952</c:v>
                </c:pt>
                <c:pt idx="88">
                  <c:v>0.17105189374894114</c:v>
                </c:pt>
                <c:pt idx="89">
                  <c:v>-5.5942095971145411E-2</c:v>
                </c:pt>
                <c:pt idx="90">
                  <c:v>0.1247911078273114</c:v>
                </c:pt>
                <c:pt idx="91">
                  <c:v>9.3412311641970058E-2</c:v>
                </c:pt>
                <c:pt idx="92">
                  <c:v>4.4376795242028422E-2</c:v>
                </c:pt>
                <c:pt idx="93">
                  <c:v>-0.12816254574728625</c:v>
                </c:pt>
                <c:pt idx="94">
                  <c:v>-0.22956022385701602</c:v>
                </c:pt>
                <c:pt idx="95">
                  <c:v>-0.29265140914819288</c:v>
                </c:pt>
                <c:pt idx="96">
                  <c:v>-0.21090246066796758</c:v>
                </c:pt>
                <c:pt idx="97">
                  <c:v>-0.24300533193759555</c:v>
                </c:pt>
                <c:pt idx="98">
                  <c:v>-0.24886008812693228</c:v>
                </c:pt>
                <c:pt idx="99">
                  <c:v>-0.25483621766762332</c:v>
                </c:pt>
                <c:pt idx="100">
                  <c:v>-0.25913911390856581</c:v>
                </c:pt>
                <c:pt idx="101">
                  <c:v>-0.26107031554193805</c:v>
                </c:pt>
                <c:pt idx="102">
                  <c:v>-0.11806254758222734</c:v>
                </c:pt>
                <c:pt idx="103">
                  <c:v>-0.10483805650614531</c:v>
                </c:pt>
                <c:pt idx="104">
                  <c:v>-7.1817380811578513E-2</c:v>
                </c:pt>
                <c:pt idx="105">
                  <c:v>-0.15714296528544269</c:v>
                </c:pt>
                <c:pt idx="106">
                  <c:v>-0.17982317340146214</c:v>
                </c:pt>
                <c:pt idx="107">
                  <c:v>-0.24706632065171474</c:v>
                </c:pt>
                <c:pt idx="108">
                  <c:v>-0.26590685304007367</c:v>
                </c:pt>
                <c:pt idx="109">
                  <c:v>-0.23999524207209855</c:v>
                </c:pt>
                <c:pt idx="110">
                  <c:v>-0.20520560028571211</c:v>
                </c:pt>
                <c:pt idx="111">
                  <c:v>-0.16137610361720633</c:v>
                </c:pt>
                <c:pt idx="112">
                  <c:v>-0.27596244342510479</c:v>
                </c:pt>
                <c:pt idx="113">
                  <c:v>-0.27017286742973323</c:v>
                </c:pt>
                <c:pt idx="114">
                  <c:v>-0.32336985420100117</c:v>
                </c:pt>
                <c:pt idx="115">
                  <c:v>-0.20631423258110537</c:v>
                </c:pt>
                <c:pt idx="116">
                  <c:v>-0.30172650412441449</c:v>
                </c:pt>
                <c:pt idx="117">
                  <c:v>-0.26777167984142181</c:v>
                </c:pt>
                <c:pt idx="118">
                  <c:v>-0.25310972290469536</c:v>
                </c:pt>
                <c:pt idx="119">
                  <c:v>-0.21434817246684812</c:v>
                </c:pt>
                <c:pt idx="120">
                  <c:v>-0.15248184946111398</c:v>
                </c:pt>
                <c:pt idx="121">
                  <c:v>-0.1056189436725804</c:v>
                </c:pt>
                <c:pt idx="122">
                  <c:v>4.036722934321979E-2</c:v>
                </c:pt>
                <c:pt idx="123">
                  <c:v>9.913887130429222E-2</c:v>
                </c:pt>
                <c:pt idx="124">
                  <c:v>0.14929816689694309</c:v>
                </c:pt>
                <c:pt idx="125">
                  <c:v>-9.1816681258581445E-2</c:v>
                </c:pt>
                <c:pt idx="126">
                  <c:v>3.737971065523582E-2</c:v>
                </c:pt>
                <c:pt idx="127">
                  <c:v>0.11078201811151689</c:v>
                </c:pt>
                <c:pt idx="128">
                  <c:v>0.15403676648825226</c:v>
                </c:pt>
                <c:pt idx="129">
                  <c:v>0.19784229407073739</c:v>
                </c:pt>
                <c:pt idx="130">
                  <c:v>0.33116268243837621</c:v>
                </c:pt>
                <c:pt idx="131">
                  <c:v>0.60962751726956044</c:v>
                </c:pt>
                <c:pt idx="132">
                  <c:v>0.71207883290914986</c:v>
                </c:pt>
                <c:pt idx="133">
                  <c:v>0.61568427301397355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32-2F4D-8DAE-192AF81481EA}"/>
            </c:ext>
          </c:extLst>
        </c:ser>
        <c:ser>
          <c:idx val="5"/>
          <c:order val="5"/>
          <c:tx>
            <c:strRef>
              <c:f>LightGBM再投資累積報酬!$C$28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LightGBM再投資累積報酬!$D$28:$EG$28</c:f>
              <c:numCache>
                <c:formatCode>General</c:formatCode>
                <c:ptCount val="134"/>
                <c:pt idx="0">
                  <c:v>-0.25797044854899692</c:v>
                </c:pt>
                <c:pt idx="1">
                  <c:v>-0.16112801491469886</c:v>
                </c:pt>
                <c:pt idx="2">
                  <c:v>-0.21787139567421066</c:v>
                </c:pt>
                <c:pt idx="3">
                  <c:v>-0.18366066469648712</c:v>
                </c:pt>
                <c:pt idx="4">
                  <c:v>-9.8675263660616852E-2</c:v>
                </c:pt>
                <c:pt idx="5">
                  <c:v>-0.22041281045663608</c:v>
                </c:pt>
                <c:pt idx="6">
                  <c:v>-0.30070002236167348</c:v>
                </c:pt>
                <c:pt idx="7">
                  <c:v>-8.6114708087176139E-2</c:v>
                </c:pt>
                <c:pt idx="8">
                  <c:v>-7.0624206743896356E-2</c:v>
                </c:pt>
                <c:pt idx="9">
                  <c:v>-0.12780090578768821</c:v>
                </c:pt>
                <c:pt idx="10">
                  <c:v>0.17303576920220354</c:v>
                </c:pt>
                <c:pt idx="11">
                  <c:v>-0.12957279434290647</c:v>
                </c:pt>
                <c:pt idx="12">
                  <c:v>-0.18479247477642924</c:v>
                </c:pt>
                <c:pt idx="13">
                  <c:v>-1.4374052855687491E-2</c:v>
                </c:pt>
                <c:pt idx="14">
                  <c:v>-3.8356402614247997E-2</c:v>
                </c:pt>
                <c:pt idx="15">
                  <c:v>0.24223306608102502</c:v>
                </c:pt>
                <c:pt idx="16">
                  <c:v>-4.4842175160137998E-3</c:v>
                </c:pt>
                <c:pt idx="17">
                  <c:v>0.1089110339227537</c:v>
                </c:pt>
                <c:pt idx="18">
                  <c:v>-7.8713259921656453E-2</c:v>
                </c:pt>
                <c:pt idx="19">
                  <c:v>0.13376107792651237</c:v>
                </c:pt>
                <c:pt idx="20">
                  <c:v>3.3305647999937626E-2</c:v>
                </c:pt>
                <c:pt idx="21">
                  <c:v>0.71132051019309617</c:v>
                </c:pt>
                <c:pt idx="22">
                  <c:v>0.68698328604822589</c:v>
                </c:pt>
                <c:pt idx="23">
                  <c:v>1.2278613571450525</c:v>
                </c:pt>
                <c:pt idx="24">
                  <c:v>1.3555757110192466</c:v>
                </c:pt>
                <c:pt idx="25">
                  <c:v>0.90378142255921512</c:v>
                </c:pt>
                <c:pt idx="26">
                  <c:v>0.71183155218070326</c:v>
                </c:pt>
                <c:pt idx="27">
                  <c:v>0.6357633582911808</c:v>
                </c:pt>
                <c:pt idx="28">
                  <c:v>0.98116726572153024</c:v>
                </c:pt>
                <c:pt idx="29">
                  <c:v>0.86570492691075551</c:v>
                </c:pt>
                <c:pt idx="30">
                  <c:v>0.28506551534392877</c:v>
                </c:pt>
                <c:pt idx="31">
                  <c:v>0.44350555946246328</c:v>
                </c:pt>
                <c:pt idx="32">
                  <c:v>7.1456455745137371E-2</c:v>
                </c:pt>
                <c:pt idx="33">
                  <c:v>0.20725127001779331</c:v>
                </c:pt>
                <c:pt idx="34">
                  <c:v>0.45524450175391529</c:v>
                </c:pt>
                <c:pt idx="35">
                  <c:v>0.35913689420973216</c:v>
                </c:pt>
                <c:pt idx="36">
                  <c:v>0.57420570859622466</c:v>
                </c:pt>
                <c:pt idx="37">
                  <c:v>0.71908293296853731</c:v>
                </c:pt>
                <c:pt idx="38">
                  <c:v>0.15197374718181522</c:v>
                </c:pt>
                <c:pt idx="39">
                  <c:v>8.4606392674834163E-2</c:v>
                </c:pt>
                <c:pt idx="40">
                  <c:v>6.1637457539053919E-2</c:v>
                </c:pt>
                <c:pt idx="41">
                  <c:v>-0.38650548905199134</c:v>
                </c:pt>
                <c:pt idx="42">
                  <c:v>-0.27367655325241869</c:v>
                </c:pt>
                <c:pt idx="43">
                  <c:v>-0.90548984170516034</c:v>
                </c:pt>
                <c:pt idx="44">
                  <c:v>-0.92767761461289389</c:v>
                </c:pt>
                <c:pt idx="45">
                  <c:v>-0.93550012227591317</c:v>
                </c:pt>
                <c:pt idx="46">
                  <c:v>-0.92804060423535628</c:v>
                </c:pt>
                <c:pt idx="47">
                  <c:v>-0.90842697005876405</c:v>
                </c:pt>
                <c:pt idx="48">
                  <c:v>-0.85317545441132203</c:v>
                </c:pt>
                <c:pt idx="49">
                  <c:v>-0.86219174833153422</c:v>
                </c:pt>
                <c:pt idx="50">
                  <c:v>-0.92171980956434618</c:v>
                </c:pt>
                <c:pt idx="51">
                  <c:v>-0.92857198442068256</c:v>
                </c:pt>
                <c:pt idx="52">
                  <c:v>-0.91914990370708749</c:v>
                </c:pt>
                <c:pt idx="53">
                  <c:v>-0.90426955712360046</c:v>
                </c:pt>
                <c:pt idx="54">
                  <c:v>-0.89765055949031813</c:v>
                </c:pt>
                <c:pt idx="55">
                  <c:v>-0.9226934857354081</c:v>
                </c:pt>
                <c:pt idx="56">
                  <c:v>-0.87905902137207959</c:v>
                </c:pt>
                <c:pt idx="57">
                  <c:v>-0.8538496822094177</c:v>
                </c:pt>
                <c:pt idx="58">
                  <c:v>-0.87042560249655421</c:v>
                </c:pt>
                <c:pt idx="59">
                  <c:v>-0.89101994889761904</c:v>
                </c:pt>
                <c:pt idx="60">
                  <c:v>-0.88032493444283444</c:v>
                </c:pt>
                <c:pt idx="61">
                  <c:v>-0.88821663082627678</c:v>
                </c:pt>
                <c:pt idx="62">
                  <c:v>-0.89310446623559758</c:v>
                </c:pt>
                <c:pt idx="63">
                  <c:v>-0.8958700770871052</c:v>
                </c:pt>
                <c:pt idx="64">
                  <c:v>-0.90982019209473186</c:v>
                </c:pt>
                <c:pt idx="65">
                  <c:v>-0.88106347180422584</c:v>
                </c:pt>
                <c:pt idx="66">
                  <c:v>-0.88617360115308275</c:v>
                </c:pt>
                <c:pt idx="67">
                  <c:v>-0.90314574548612658</c:v>
                </c:pt>
                <c:pt idx="68">
                  <c:v>-0.90316611342021713</c:v>
                </c:pt>
                <c:pt idx="69">
                  <c:v>-0.90534140867958013</c:v>
                </c:pt>
                <c:pt idx="70">
                  <c:v>-0.92150334737986217</c:v>
                </c:pt>
                <c:pt idx="71">
                  <c:v>-0.91212774158885435</c:v>
                </c:pt>
                <c:pt idx="72">
                  <c:v>-0.91339413712754469</c:v>
                </c:pt>
                <c:pt idx="73">
                  <c:v>-0.90427499257721866</c:v>
                </c:pt>
                <c:pt idx="74">
                  <c:v>-0.87507919073496421</c:v>
                </c:pt>
                <c:pt idx="75">
                  <c:v>-0.88904426363987588</c:v>
                </c:pt>
                <c:pt idx="76">
                  <c:v>-0.88882401813111866</c:v>
                </c:pt>
                <c:pt idx="77">
                  <c:v>-0.90009026717164431</c:v>
                </c:pt>
                <c:pt idx="78">
                  <c:v>-0.92095335582043125</c:v>
                </c:pt>
                <c:pt idx="79">
                  <c:v>-0.92116864952548383</c:v>
                </c:pt>
                <c:pt idx="80">
                  <c:v>-0.91187120429111135</c:v>
                </c:pt>
                <c:pt idx="81">
                  <c:v>-0.91345050691835139</c:v>
                </c:pt>
                <c:pt idx="82">
                  <c:v>-0.91593291784992115</c:v>
                </c:pt>
                <c:pt idx="83">
                  <c:v>-0.92428004841955236</c:v>
                </c:pt>
                <c:pt idx="84">
                  <c:v>-0.89440053149899923</c:v>
                </c:pt>
                <c:pt idx="85">
                  <c:v>-0.85817222694777584</c:v>
                </c:pt>
                <c:pt idx="86">
                  <c:v>-0.86508420121873808</c:v>
                </c:pt>
                <c:pt idx="87">
                  <c:v>-0.88190430426008759</c:v>
                </c:pt>
                <c:pt idx="88">
                  <c:v>-0.90763119226210176</c:v>
                </c:pt>
                <c:pt idx="89">
                  <c:v>-0.94743600234487291</c:v>
                </c:pt>
                <c:pt idx="90">
                  <c:v>-0.91747815215254869</c:v>
                </c:pt>
                <c:pt idx="91">
                  <c:v>-0.89553105009114664</c:v>
                </c:pt>
                <c:pt idx="92">
                  <c:v>-0.9225764881429418</c:v>
                </c:pt>
                <c:pt idx="93">
                  <c:v>-0.93004344483837553</c:v>
                </c:pt>
                <c:pt idx="94">
                  <c:v>-0.94021273896151203</c:v>
                </c:pt>
                <c:pt idx="95">
                  <c:v>-0.93582795048396938</c:v>
                </c:pt>
                <c:pt idx="96">
                  <c:v>-0.92808194139619227</c:v>
                </c:pt>
                <c:pt idx="97">
                  <c:v>-0.9383827338093762</c:v>
                </c:pt>
                <c:pt idx="98">
                  <c:v>-0.94066511570654343</c:v>
                </c:pt>
                <c:pt idx="99">
                  <c:v>-0.94003381955375842</c:v>
                </c:pt>
                <c:pt idx="100">
                  <c:v>-0.93268784860473697</c:v>
                </c:pt>
                <c:pt idx="101">
                  <c:v>-0.94553419641693492</c:v>
                </c:pt>
                <c:pt idx="102">
                  <c:v>-0.94432140624683281</c:v>
                </c:pt>
                <c:pt idx="103">
                  <c:v>-0.92979407087835064</c:v>
                </c:pt>
                <c:pt idx="104">
                  <c:v>-0.93331456910083621</c:v>
                </c:pt>
                <c:pt idx="105">
                  <c:v>-0.94321434290116346</c:v>
                </c:pt>
                <c:pt idx="106">
                  <c:v>-0.94243462828458147</c:v>
                </c:pt>
                <c:pt idx="107">
                  <c:v>-0.95292299333718877</c:v>
                </c:pt>
                <c:pt idx="108">
                  <c:v>-0.95967515675105486</c:v>
                </c:pt>
                <c:pt idx="109">
                  <c:v>-0.95744276726045185</c:v>
                </c:pt>
                <c:pt idx="110">
                  <c:v>-0.96549663060175739</c:v>
                </c:pt>
                <c:pt idx="111">
                  <c:v>-0.96420703098457472</c:v>
                </c:pt>
                <c:pt idx="112">
                  <c:v>-0.97079060121619909</c:v>
                </c:pt>
                <c:pt idx="113">
                  <c:v>-0.97021566200420595</c:v>
                </c:pt>
                <c:pt idx="114">
                  <c:v>-0.97156708872460629</c:v>
                </c:pt>
                <c:pt idx="115">
                  <c:v>-0.95287902060884522</c:v>
                </c:pt>
                <c:pt idx="116">
                  <c:v>-0.95364727058060805</c:v>
                </c:pt>
                <c:pt idx="117">
                  <c:v>-0.96110722687846295</c:v>
                </c:pt>
                <c:pt idx="118">
                  <c:v>-0.95986939195028287</c:v>
                </c:pt>
                <c:pt idx="119">
                  <c:v>-0.94535200893411298</c:v>
                </c:pt>
                <c:pt idx="120">
                  <c:v>-0.9276760093079357</c:v>
                </c:pt>
                <c:pt idx="121">
                  <c:v>-0.91341065594053328</c:v>
                </c:pt>
                <c:pt idx="122">
                  <c:v>-0.88021369450874243</c:v>
                </c:pt>
                <c:pt idx="123">
                  <c:v>-0.88110219481178675</c:v>
                </c:pt>
                <c:pt idx="124">
                  <c:v>-0.79784037121692086</c:v>
                </c:pt>
                <c:pt idx="125">
                  <c:v>-0.89268129068271973</c:v>
                </c:pt>
                <c:pt idx="126">
                  <c:v>-0.92026948218228211</c:v>
                </c:pt>
                <c:pt idx="127">
                  <c:v>-0.90378057284915081</c:v>
                </c:pt>
                <c:pt idx="128">
                  <c:v>-0.89524527558622702</c:v>
                </c:pt>
                <c:pt idx="129">
                  <c:v>-0.87619766753898132</c:v>
                </c:pt>
                <c:pt idx="130">
                  <c:v>-0.86982992296912964</c:v>
                </c:pt>
                <c:pt idx="131">
                  <c:v>-0.85638627024932956</c:v>
                </c:pt>
                <c:pt idx="132">
                  <c:v>-0.84846092455539146</c:v>
                </c:pt>
                <c:pt idx="133">
                  <c:v>-0.85415663897018224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32-2F4D-8DAE-192AF81481EA}"/>
            </c:ext>
          </c:extLst>
        </c:ser>
        <c:ser>
          <c:idx val="6"/>
          <c:order val="6"/>
          <c:tx>
            <c:strRef>
              <c:f>LightGBM再投資累積報酬!$C$29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32-2F4D-8DAE-192AF814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51504"/>
        <c:axId val="2104460624"/>
      </c:lineChart>
      <c:catAx>
        <c:axId val="21044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60624"/>
        <c:crosses val="autoZero"/>
        <c:auto val="1"/>
        <c:lblAlgn val="ctr"/>
        <c:lblOffset val="100"/>
        <c:noMultiLvlLbl val="0"/>
      </c:catAx>
      <c:valAx>
        <c:axId val="2104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51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LightGBM再投資累積報酬!$C$23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LightGBM再投資累積報酬!$D$23:$EG$23</c:f>
              <c:numCache>
                <c:formatCode>General</c:formatCode>
                <c:ptCount val="134"/>
                <c:pt idx="0">
                  <c:v>1.9976135343076479E-2</c:v>
                </c:pt>
                <c:pt idx="1">
                  <c:v>7.3136969308418287E-3</c:v>
                </c:pt>
                <c:pt idx="2">
                  <c:v>-5.4534246991562174E-3</c:v>
                </c:pt>
                <c:pt idx="3">
                  <c:v>3.1406350799185745E-3</c:v>
                </c:pt>
                <c:pt idx="4">
                  <c:v>-5.5933524462192796E-3</c:v>
                </c:pt>
                <c:pt idx="5">
                  <c:v>5.9367757974733149E-3</c:v>
                </c:pt>
                <c:pt idx="6">
                  <c:v>-1.045108506918524E-3</c:v>
                </c:pt>
                <c:pt idx="7">
                  <c:v>7.2628751608658781E-3</c:v>
                </c:pt>
                <c:pt idx="8">
                  <c:v>9.2912522681221077E-3</c:v>
                </c:pt>
                <c:pt idx="9">
                  <c:v>-1.6314751745021172E-2</c:v>
                </c:pt>
                <c:pt idx="10">
                  <c:v>-2.2414988509363964E-2</c:v>
                </c:pt>
                <c:pt idx="11">
                  <c:v>-2.8866180104639705E-3</c:v>
                </c:pt>
                <c:pt idx="12">
                  <c:v>1.7200470955565317E-2</c:v>
                </c:pt>
                <c:pt idx="13">
                  <c:v>1.8040048587407487E-2</c:v>
                </c:pt>
                <c:pt idx="14">
                  <c:v>1.505317539439055E-3</c:v>
                </c:pt>
                <c:pt idx="15">
                  <c:v>2.1553191918367798E-2</c:v>
                </c:pt>
                <c:pt idx="16">
                  <c:v>5.7157035185841698E-2</c:v>
                </c:pt>
                <c:pt idx="17">
                  <c:v>5.4501571516009539E-2</c:v>
                </c:pt>
                <c:pt idx="18">
                  <c:v>4.8513646304522817E-2</c:v>
                </c:pt>
                <c:pt idx="19">
                  <c:v>6.2536383013092944E-2</c:v>
                </c:pt>
                <c:pt idx="20">
                  <c:v>6.1875131697134877E-2</c:v>
                </c:pt>
                <c:pt idx="21">
                  <c:v>0.14043892865316998</c:v>
                </c:pt>
                <c:pt idx="22">
                  <c:v>0.11556742061358638</c:v>
                </c:pt>
                <c:pt idx="23">
                  <c:v>0.13419085516283857</c:v>
                </c:pt>
                <c:pt idx="24">
                  <c:v>0.11701350531519616</c:v>
                </c:pt>
                <c:pt idx="25">
                  <c:v>0.13817829893271938</c:v>
                </c:pt>
                <c:pt idx="26">
                  <c:v>0.14210341606588095</c:v>
                </c:pt>
                <c:pt idx="27">
                  <c:v>0.13536820851158882</c:v>
                </c:pt>
                <c:pt idx="28">
                  <c:v>0.14817300658346788</c:v>
                </c:pt>
                <c:pt idx="29">
                  <c:v>0.14032259352971677</c:v>
                </c:pt>
                <c:pt idx="30">
                  <c:v>0.12584341473064486</c:v>
                </c:pt>
                <c:pt idx="31">
                  <c:v>0.14177684641349031</c:v>
                </c:pt>
                <c:pt idx="32">
                  <c:v>0.14319780610200894</c:v>
                </c:pt>
                <c:pt idx="33">
                  <c:v>0.1341361211617631</c:v>
                </c:pt>
                <c:pt idx="34">
                  <c:v>0.1087705134001542</c:v>
                </c:pt>
                <c:pt idx="35">
                  <c:v>0.10278852726376986</c:v>
                </c:pt>
                <c:pt idx="36">
                  <c:v>0.13156100122789005</c:v>
                </c:pt>
                <c:pt idx="37">
                  <c:v>0.10644279321311223</c:v>
                </c:pt>
                <c:pt idx="38">
                  <c:v>0.11933265881714017</c:v>
                </c:pt>
                <c:pt idx="39">
                  <c:v>0.10237484682486198</c:v>
                </c:pt>
                <c:pt idx="40">
                  <c:v>0.10279527489297746</c:v>
                </c:pt>
                <c:pt idx="41">
                  <c:v>0.10876596821185847</c:v>
                </c:pt>
                <c:pt idx="42">
                  <c:v>0.11502217918834012</c:v>
                </c:pt>
                <c:pt idx="43">
                  <c:v>0.10864082685333054</c:v>
                </c:pt>
                <c:pt idx="44">
                  <c:v>0.11196128605595379</c:v>
                </c:pt>
                <c:pt idx="45">
                  <c:v>0.1051604794332901</c:v>
                </c:pt>
                <c:pt idx="46">
                  <c:v>9.3718222544648455E-2</c:v>
                </c:pt>
                <c:pt idx="47">
                  <c:v>5.9111233084373493E-2</c:v>
                </c:pt>
                <c:pt idx="48">
                  <c:v>7.6840076611863761E-2</c:v>
                </c:pt>
                <c:pt idx="49">
                  <c:v>7.602703810360012E-2</c:v>
                </c:pt>
                <c:pt idx="50">
                  <c:v>5.1785676768783651E-2</c:v>
                </c:pt>
                <c:pt idx="51">
                  <c:v>4.4072292932277435E-2</c:v>
                </c:pt>
                <c:pt idx="52">
                  <c:v>4.9836177991050556E-2</c:v>
                </c:pt>
                <c:pt idx="53">
                  <c:v>3.420151953754047E-2</c:v>
                </c:pt>
                <c:pt idx="54">
                  <c:v>2.6730978353037393E-2</c:v>
                </c:pt>
                <c:pt idx="55">
                  <c:v>4.7606029926678284E-2</c:v>
                </c:pt>
                <c:pt idx="56">
                  <c:v>7.3650107418660182E-2</c:v>
                </c:pt>
                <c:pt idx="57">
                  <c:v>0.12042991159713901</c:v>
                </c:pt>
                <c:pt idx="58">
                  <c:v>8.0669772357979674E-2</c:v>
                </c:pt>
                <c:pt idx="59">
                  <c:v>4.3960360197051296E-2</c:v>
                </c:pt>
                <c:pt idx="60">
                  <c:v>5.4270759624808429E-2</c:v>
                </c:pt>
                <c:pt idx="61">
                  <c:v>3.7233813020445705E-2</c:v>
                </c:pt>
                <c:pt idx="62">
                  <c:v>3.9417641597424113E-2</c:v>
                </c:pt>
                <c:pt idx="63">
                  <c:v>3.7403078808140089E-2</c:v>
                </c:pt>
                <c:pt idx="64">
                  <c:v>8.8524474895839145E-3</c:v>
                </c:pt>
                <c:pt idx="65">
                  <c:v>2.0003269810955349E-2</c:v>
                </c:pt>
                <c:pt idx="66">
                  <c:v>1.109413214977395E-2</c:v>
                </c:pt>
                <c:pt idx="67">
                  <c:v>-9.1201091492936204E-3</c:v>
                </c:pt>
                <c:pt idx="68">
                  <c:v>-2.5711571328475458E-2</c:v>
                </c:pt>
                <c:pt idx="69">
                  <c:v>-6.1022142569276183E-2</c:v>
                </c:pt>
                <c:pt idx="70">
                  <c:v>-7.3005533853518267E-2</c:v>
                </c:pt>
                <c:pt idx="71">
                  <c:v>-4.1674424608039384E-2</c:v>
                </c:pt>
                <c:pt idx="72">
                  <c:v>-2.7925088109717722E-2</c:v>
                </c:pt>
                <c:pt idx="73">
                  <c:v>-2.6718483745599375E-2</c:v>
                </c:pt>
                <c:pt idx="74">
                  <c:v>-4.6847429526441942E-2</c:v>
                </c:pt>
                <c:pt idx="75">
                  <c:v>-7.9924331918583835E-2</c:v>
                </c:pt>
                <c:pt idx="76">
                  <c:v>-8.121633538700046E-2</c:v>
                </c:pt>
                <c:pt idx="77">
                  <c:v>-8.0875482411836952E-2</c:v>
                </c:pt>
                <c:pt idx="78">
                  <c:v>-6.4875847735728853E-2</c:v>
                </c:pt>
                <c:pt idx="79">
                  <c:v>-8.6986233738351126E-2</c:v>
                </c:pt>
                <c:pt idx="80">
                  <c:v>-5.6421497879279969E-2</c:v>
                </c:pt>
                <c:pt idx="81">
                  <c:v>-6.8929565977249307E-2</c:v>
                </c:pt>
                <c:pt idx="82">
                  <c:v>-7.3886232066801782E-2</c:v>
                </c:pt>
                <c:pt idx="83">
                  <c:v>-5.653117103665084E-2</c:v>
                </c:pt>
                <c:pt idx="84">
                  <c:v>-6.1645275573428693E-2</c:v>
                </c:pt>
                <c:pt idx="85">
                  <c:v>-5.7527212940190475E-2</c:v>
                </c:pt>
                <c:pt idx="86">
                  <c:v>-4.6836479896695038E-2</c:v>
                </c:pt>
                <c:pt idx="87">
                  <c:v>-8.926486265179312E-2</c:v>
                </c:pt>
                <c:pt idx="88">
                  <c:v>-0.11335816564125412</c:v>
                </c:pt>
                <c:pt idx="89">
                  <c:v>-0.13274331466194489</c:v>
                </c:pt>
                <c:pt idx="90">
                  <c:v>-0.1005835167237813</c:v>
                </c:pt>
                <c:pt idx="91">
                  <c:v>-0.12070647172585203</c:v>
                </c:pt>
                <c:pt idx="92">
                  <c:v>-0.10901418452231815</c:v>
                </c:pt>
                <c:pt idx="93">
                  <c:v>-0.13422426604345905</c:v>
                </c:pt>
                <c:pt idx="94">
                  <c:v>-0.15284579919427443</c:v>
                </c:pt>
                <c:pt idx="95">
                  <c:v>-0.15934461049054283</c:v>
                </c:pt>
                <c:pt idx="96">
                  <c:v>-0.14443264208893347</c:v>
                </c:pt>
                <c:pt idx="97">
                  <c:v>-0.16760976797617677</c:v>
                </c:pt>
                <c:pt idx="98">
                  <c:v>-0.17339945761299791</c:v>
                </c:pt>
                <c:pt idx="99">
                  <c:v>-0.17613566589466012</c:v>
                </c:pt>
                <c:pt idx="100">
                  <c:v>-0.17342495281438119</c:v>
                </c:pt>
                <c:pt idx="101">
                  <c:v>-0.17434644666997545</c:v>
                </c:pt>
                <c:pt idx="102">
                  <c:v>-0.17677037964653242</c:v>
                </c:pt>
                <c:pt idx="103">
                  <c:v>-0.18174056921411452</c:v>
                </c:pt>
                <c:pt idx="104">
                  <c:v>-0.13495213379265858</c:v>
                </c:pt>
                <c:pt idx="105">
                  <c:v>-0.1600205257466516</c:v>
                </c:pt>
                <c:pt idx="106">
                  <c:v>-0.17364352820184081</c:v>
                </c:pt>
                <c:pt idx="107">
                  <c:v>-0.16929981641719127</c:v>
                </c:pt>
                <c:pt idx="108">
                  <c:v>-0.17533441453593279</c:v>
                </c:pt>
                <c:pt idx="109">
                  <c:v>-0.17985104674676511</c:v>
                </c:pt>
                <c:pt idx="110">
                  <c:v>-0.19415977421729436</c:v>
                </c:pt>
                <c:pt idx="111">
                  <c:v>-0.17448317564634885</c:v>
                </c:pt>
                <c:pt idx="112">
                  <c:v>-0.17784096760456014</c:v>
                </c:pt>
                <c:pt idx="113">
                  <c:v>-0.18264786693089119</c:v>
                </c:pt>
                <c:pt idx="114">
                  <c:v>-0.21387689365461471</c:v>
                </c:pt>
                <c:pt idx="115">
                  <c:v>-0.20596210421473871</c:v>
                </c:pt>
                <c:pt idx="116">
                  <c:v>-0.21672018286449335</c:v>
                </c:pt>
                <c:pt idx="117">
                  <c:v>-0.19800040300565214</c:v>
                </c:pt>
                <c:pt idx="118">
                  <c:v>-0.18840435697378277</c:v>
                </c:pt>
                <c:pt idx="119">
                  <c:v>-0.19350035133286714</c:v>
                </c:pt>
                <c:pt idx="120">
                  <c:v>-0.1944508734456537</c:v>
                </c:pt>
                <c:pt idx="121">
                  <c:v>-0.15414864392619732</c:v>
                </c:pt>
                <c:pt idx="122">
                  <c:v>-0.12723896786567324</c:v>
                </c:pt>
                <c:pt idx="123">
                  <c:v>-0.13316100132577291</c:v>
                </c:pt>
                <c:pt idx="124">
                  <c:v>-0.12066826610598202</c:v>
                </c:pt>
                <c:pt idx="125">
                  <c:v>-0.13993085786786141</c:v>
                </c:pt>
                <c:pt idx="126">
                  <c:v>-0.14991469982252326</c:v>
                </c:pt>
                <c:pt idx="127">
                  <c:v>-0.14187368082993734</c:v>
                </c:pt>
                <c:pt idx="128">
                  <c:v>-0.15110562229065172</c:v>
                </c:pt>
                <c:pt idx="129">
                  <c:v>-0.150597586346496</c:v>
                </c:pt>
                <c:pt idx="130">
                  <c:v>-0.15961745117911086</c:v>
                </c:pt>
                <c:pt idx="131">
                  <c:v>-0.1714955798290454</c:v>
                </c:pt>
                <c:pt idx="132">
                  <c:v>-0.16303573430021823</c:v>
                </c:pt>
                <c:pt idx="133">
                  <c:v>-0.14724628624691816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0-7B4C-83A2-2D9A6A607B58}"/>
            </c:ext>
          </c:extLst>
        </c:ser>
        <c:ser>
          <c:idx val="1"/>
          <c:order val="1"/>
          <c:tx>
            <c:strRef>
              <c:f>LightGBM再投資累積報酬!$C$24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LightGBM再投資累積報酬!$D$24:$EG$24</c:f>
              <c:numCache>
                <c:formatCode>General</c:formatCode>
                <c:ptCount val="134"/>
                <c:pt idx="0">
                  <c:v>5.9099920037642271E-2</c:v>
                </c:pt>
                <c:pt idx="1">
                  <c:v>7.3273710747004728E-2</c:v>
                </c:pt>
                <c:pt idx="2">
                  <c:v>7.3294362603239627E-2</c:v>
                </c:pt>
                <c:pt idx="3">
                  <c:v>3.5330763916108898E-2</c:v>
                </c:pt>
                <c:pt idx="4">
                  <c:v>8.566980545772207E-3</c:v>
                </c:pt>
                <c:pt idx="5">
                  <c:v>1.4721714773631378E-2</c:v>
                </c:pt>
                <c:pt idx="6">
                  <c:v>1.1626453030828321E-2</c:v>
                </c:pt>
                <c:pt idx="7">
                  <c:v>4.2700125954893142E-2</c:v>
                </c:pt>
                <c:pt idx="8">
                  <c:v>3.285571794146791E-2</c:v>
                </c:pt>
                <c:pt idx="9">
                  <c:v>-4.4007115642872296E-2</c:v>
                </c:pt>
                <c:pt idx="10">
                  <c:v>-3.5210791548400122E-2</c:v>
                </c:pt>
                <c:pt idx="11">
                  <c:v>2.1808173524269669E-2</c:v>
                </c:pt>
                <c:pt idx="12">
                  <c:v>6.0075006352795279E-2</c:v>
                </c:pt>
                <c:pt idx="13">
                  <c:v>6.5836449195008973E-2</c:v>
                </c:pt>
                <c:pt idx="14">
                  <c:v>6.2429793140228229E-2</c:v>
                </c:pt>
                <c:pt idx="15">
                  <c:v>0.12320725625571738</c:v>
                </c:pt>
                <c:pt idx="16">
                  <c:v>0.19298359283484978</c:v>
                </c:pt>
                <c:pt idx="17">
                  <c:v>0.19715988213551427</c:v>
                </c:pt>
                <c:pt idx="18">
                  <c:v>0.16150309351733116</c:v>
                </c:pt>
                <c:pt idx="19">
                  <c:v>0.19593434004344723</c:v>
                </c:pt>
                <c:pt idx="20">
                  <c:v>0.1941340397504363</c:v>
                </c:pt>
                <c:pt idx="21">
                  <c:v>0.28745964922303702</c:v>
                </c:pt>
                <c:pt idx="22">
                  <c:v>0.2742329516446036</c:v>
                </c:pt>
                <c:pt idx="23">
                  <c:v>0.31247196277721545</c:v>
                </c:pt>
                <c:pt idx="24">
                  <c:v>0.28545205898788217</c:v>
                </c:pt>
                <c:pt idx="25">
                  <c:v>0.29121979440759382</c:v>
                </c:pt>
                <c:pt idx="26">
                  <c:v>0.3087116665393701</c:v>
                </c:pt>
                <c:pt idx="27">
                  <c:v>0.26417072946526265</c:v>
                </c:pt>
                <c:pt idx="28">
                  <c:v>0.30950446875355153</c:v>
                </c:pt>
                <c:pt idx="29">
                  <c:v>0.31139569746127727</c:v>
                </c:pt>
                <c:pt idx="30">
                  <c:v>0.29523816994567942</c:v>
                </c:pt>
                <c:pt idx="31">
                  <c:v>0.3133913697773274</c:v>
                </c:pt>
                <c:pt idx="32">
                  <c:v>0.33428175585128117</c:v>
                </c:pt>
                <c:pt idx="33">
                  <c:v>0.3311126103659312</c:v>
                </c:pt>
                <c:pt idx="34">
                  <c:v>0.32533367605362473</c:v>
                </c:pt>
                <c:pt idx="35">
                  <c:v>0.34062143614843032</c:v>
                </c:pt>
                <c:pt idx="36">
                  <c:v>0.39656260043203706</c:v>
                </c:pt>
                <c:pt idx="37">
                  <c:v>0.37105615170391215</c:v>
                </c:pt>
                <c:pt idx="38">
                  <c:v>0.37266895229439601</c:v>
                </c:pt>
                <c:pt idx="39">
                  <c:v>0.35272916867780646</c:v>
                </c:pt>
                <c:pt idx="40">
                  <c:v>0.39207292407290129</c:v>
                </c:pt>
                <c:pt idx="41">
                  <c:v>0.39036015474235253</c:v>
                </c:pt>
                <c:pt idx="42">
                  <c:v>0.41670256091293822</c:v>
                </c:pt>
                <c:pt idx="43">
                  <c:v>0.38530772782606948</c:v>
                </c:pt>
                <c:pt idx="44">
                  <c:v>0.42588447030469689</c:v>
                </c:pt>
                <c:pt idx="45">
                  <c:v>0.42005848526274225</c:v>
                </c:pt>
                <c:pt idx="46">
                  <c:v>0.41876765841437247</c:v>
                </c:pt>
                <c:pt idx="47">
                  <c:v>0.41452205269706788</c:v>
                </c:pt>
                <c:pt idx="48">
                  <c:v>0.50200861381273998</c:v>
                </c:pt>
                <c:pt idx="49">
                  <c:v>0.4835955782340251</c:v>
                </c:pt>
                <c:pt idx="50">
                  <c:v>0.45722348638195887</c:v>
                </c:pt>
                <c:pt idx="51">
                  <c:v>0.46251943789263583</c:v>
                </c:pt>
                <c:pt idx="52">
                  <c:v>0.5001966539667444</c:v>
                </c:pt>
                <c:pt idx="53">
                  <c:v>0.50397775574490034</c:v>
                </c:pt>
                <c:pt idx="54">
                  <c:v>0.52139426917123832</c:v>
                </c:pt>
                <c:pt idx="55">
                  <c:v>0.56893568736197686</c:v>
                </c:pt>
                <c:pt idx="56">
                  <c:v>0.62398882219809715</c:v>
                </c:pt>
                <c:pt idx="57">
                  <c:v>0.69791800296384254</c:v>
                </c:pt>
                <c:pt idx="58">
                  <c:v>0.62474628914480501</c:v>
                </c:pt>
                <c:pt idx="59">
                  <c:v>0.58801371833806715</c:v>
                </c:pt>
                <c:pt idx="60">
                  <c:v>0.61945687991142728</c:v>
                </c:pt>
                <c:pt idx="61">
                  <c:v>0.59907210806012801</c:v>
                </c:pt>
                <c:pt idx="62">
                  <c:v>0.61831318589250106</c:v>
                </c:pt>
                <c:pt idx="63">
                  <c:v>0.56617466687085694</c:v>
                </c:pt>
                <c:pt idx="64">
                  <c:v>0.52011742200116595</c:v>
                </c:pt>
                <c:pt idx="65">
                  <c:v>0.56197296697320209</c:v>
                </c:pt>
                <c:pt idx="66">
                  <c:v>0.55549960591992975</c:v>
                </c:pt>
                <c:pt idx="67">
                  <c:v>0.50571005512452993</c:v>
                </c:pt>
                <c:pt idx="68">
                  <c:v>0.46803422558230112</c:v>
                </c:pt>
                <c:pt idx="69">
                  <c:v>0.41782092943300175</c:v>
                </c:pt>
                <c:pt idx="70">
                  <c:v>0.40017778624624722</c:v>
                </c:pt>
                <c:pt idx="71">
                  <c:v>0.43133915298293668</c:v>
                </c:pt>
                <c:pt idx="72">
                  <c:v>0.44021691462355594</c:v>
                </c:pt>
                <c:pt idx="73">
                  <c:v>0.43776074997343217</c:v>
                </c:pt>
                <c:pt idx="74">
                  <c:v>0.3822883424418273</c:v>
                </c:pt>
                <c:pt idx="75">
                  <c:v>0.32670053435360802</c:v>
                </c:pt>
                <c:pt idx="76">
                  <c:v>0.31438307737841997</c:v>
                </c:pt>
                <c:pt idx="77">
                  <c:v>0.36581878156629388</c:v>
                </c:pt>
                <c:pt idx="78">
                  <c:v>0.39315847672063287</c:v>
                </c:pt>
                <c:pt idx="79">
                  <c:v>0.31701137924522538</c:v>
                </c:pt>
                <c:pt idx="80">
                  <c:v>0.32055353445215307</c:v>
                </c:pt>
                <c:pt idx="81">
                  <c:v>0.30011847912575407</c:v>
                </c:pt>
                <c:pt idx="82">
                  <c:v>0.33464105551253098</c:v>
                </c:pt>
                <c:pt idx="83">
                  <c:v>0.34482852592707713</c:v>
                </c:pt>
                <c:pt idx="84">
                  <c:v>0.37060882426885411</c:v>
                </c:pt>
                <c:pt idx="85">
                  <c:v>0.38926534957368997</c:v>
                </c:pt>
                <c:pt idx="86">
                  <c:v>0.42521665559764621</c:v>
                </c:pt>
                <c:pt idx="87">
                  <c:v>0.34373397909606362</c:v>
                </c:pt>
                <c:pt idx="88">
                  <c:v>0.30715534831423152</c:v>
                </c:pt>
                <c:pt idx="89">
                  <c:v>0.23328022920858071</c:v>
                </c:pt>
                <c:pt idx="90">
                  <c:v>0.30013911896194068</c:v>
                </c:pt>
                <c:pt idx="91">
                  <c:v>0.24579721758386697</c:v>
                </c:pt>
                <c:pt idx="92">
                  <c:v>0.23929756581200667</c:v>
                </c:pt>
                <c:pt idx="93">
                  <c:v>0.16597731922146597</c:v>
                </c:pt>
                <c:pt idx="94">
                  <c:v>0.1287495305283719</c:v>
                </c:pt>
                <c:pt idx="95">
                  <c:v>9.5497029429328251E-2</c:v>
                </c:pt>
                <c:pt idx="96">
                  <c:v>0.12128917077957113</c:v>
                </c:pt>
                <c:pt idx="97">
                  <c:v>6.7807770405034828E-2</c:v>
                </c:pt>
                <c:pt idx="98">
                  <c:v>4.0272128520313144E-2</c:v>
                </c:pt>
                <c:pt idx="99">
                  <c:v>2.3439069207148222E-2</c:v>
                </c:pt>
                <c:pt idx="100">
                  <c:v>3.3912453993552472E-2</c:v>
                </c:pt>
                <c:pt idx="101">
                  <c:v>3.2301464990561746E-2</c:v>
                </c:pt>
                <c:pt idx="102">
                  <c:v>4.2517702571707616E-2</c:v>
                </c:pt>
                <c:pt idx="103">
                  <c:v>1.7698050877653637E-2</c:v>
                </c:pt>
                <c:pt idx="104">
                  <c:v>6.9185536396272562E-2</c:v>
                </c:pt>
                <c:pt idx="105">
                  <c:v>2.9774678007746136E-2</c:v>
                </c:pt>
                <c:pt idx="106">
                  <c:v>-3.8809341952383836E-4</c:v>
                </c:pt>
                <c:pt idx="107">
                  <c:v>-1.5608396623625898E-2</c:v>
                </c:pt>
                <c:pt idx="108">
                  <c:v>-2.4367394071822757E-2</c:v>
                </c:pt>
                <c:pt idx="109">
                  <c:v>-7.8835912325599944E-3</c:v>
                </c:pt>
                <c:pt idx="110">
                  <c:v>-2.310777311379586E-2</c:v>
                </c:pt>
                <c:pt idx="111">
                  <c:v>1.0939232705155177E-2</c:v>
                </c:pt>
                <c:pt idx="112">
                  <c:v>2.5376409190427829E-2</c:v>
                </c:pt>
                <c:pt idx="113">
                  <c:v>1.2217524188517848E-2</c:v>
                </c:pt>
                <c:pt idx="114">
                  <c:v>-3.2078262240248012E-2</c:v>
                </c:pt>
                <c:pt idx="115">
                  <c:v>-3.5765965192975924E-2</c:v>
                </c:pt>
                <c:pt idx="116">
                  <c:v>-5.713920722431387E-2</c:v>
                </c:pt>
                <c:pt idx="117">
                  <c:v>-1.0614490559684109E-2</c:v>
                </c:pt>
                <c:pt idx="118">
                  <c:v>2.0470512808047348E-2</c:v>
                </c:pt>
                <c:pt idx="119">
                  <c:v>1.8036070115712288E-2</c:v>
                </c:pt>
                <c:pt idx="120">
                  <c:v>1.4135363965166015E-2</c:v>
                </c:pt>
                <c:pt idx="121">
                  <c:v>6.336187751130784E-2</c:v>
                </c:pt>
                <c:pt idx="122">
                  <c:v>0.10170726487716397</c:v>
                </c:pt>
                <c:pt idx="123">
                  <c:v>0.11756701000092007</c:v>
                </c:pt>
                <c:pt idx="124">
                  <c:v>0.1683499789589038</c:v>
                </c:pt>
                <c:pt idx="125">
                  <c:v>0.1299799277975191</c:v>
                </c:pt>
                <c:pt idx="126">
                  <c:v>0.11669935170609658</c:v>
                </c:pt>
                <c:pt idx="127">
                  <c:v>0.10968018364883636</c:v>
                </c:pt>
                <c:pt idx="128">
                  <c:v>9.7223810641852371E-2</c:v>
                </c:pt>
                <c:pt idx="129">
                  <c:v>7.9697382484190227E-2</c:v>
                </c:pt>
                <c:pt idx="130">
                  <c:v>6.5848430586360251E-2</c:v>
                </c:pt>
                <c:pt idx="131">
                  <c:v>6.9129224230177977E-2</c:v>
                </c:pt>
                <c:pt idx="132">
                  <c:v>8.0349770422002642E-2</c:v>
                </c:pt>
                <c:pt idx="133">
                  <c:v>8.2353457019089804E-2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0-7B4C-83A2-2D9A6A607B58}"/>
            </c:ext>
          </c:extLst>
        </c:ser>
        <c:ser>
          <c:idx val="2"/>
          <c:order val="2"/>
          <c:tx>
            <c:strRef>
              <c:f>LightGBM再投資累積報酬!$C$25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LightGBM再投資累積報酬!$D$25:$EG$25</c:f>
              <c:numCache>
                <c:formatCode>General</c:formatCode>
                <c:ptCount val="134"/>
                <c:pt idx="0">
                  <c:v>5.5126982158774263E-2</c:v>
                </c:pt>
                <c:pt idx="1">
                  <c:v>7.4787550612329667E-2</c:v>
                </c:pt>
                <c:pt idx="2">
                  <c:v>0.10865988950632688</c:v>
                </c:pt>
                <c:pt idx="3">
                  <c:v>0.11204827071459511</c:v>
                </c:pt>
                <c:pt idx="4">
                  <c:v>0.14342011442459013</c:v>
                </c:pt>
                <c:pt idx="5">
                  <c:v>0.1207751495411642</c:v>
                </c:pt>
                <c:pt idx="6">
                  <c:v>0.12386774245850507</c:v>
                </c:pt>
                <c:pt idx="7">
                  <c:v>0.16258901552212501</c:v>
                </c:pt>
                <c:pt idx="8">
                  <c:v>0.1784804291500417</c:v>
                </c:pt>
                <c:pt idx="9">
                  <c:v>0.20305605189269027</c:v>
                </c:pt>
                <c:pt idx="10">
                  <c:v>0.23689551511870777</c:v>
                </c:pt>
                <c:pt idx="11">
                  <c:v>0.30508183211292472</c:v>
                </c:pt>
                <c:pt idx="12">
                  <c:v>0.309140837858213</c:v>
                </c:pt>
                <c:pt idx="13">
                  <c:v>0.2945368601976408</c:v>
                </c:pt>
                <c:pt idx="14">
                  <c:v>0.28377479729783017</c:v>
                </c:pt>
                <c:pt idx="15">
                  <c:v>0.36201669999943809</c:v>
                </c:pt>
                <c:pt idx="16">
                  <c:v>0.47709309393573185</c:v>
                </c:pt>
                <c:pt idx="17">
                  <c:v>0.46796456965378641</c:v>
                </c:pt>
                <c:pt idx="18">
                  <c:v>0.39750057289026386</c:v>
                </c:pt>
                <c:pt idx="19">
                  <c:v>0.44353150172623912</c:v>
                </c:pt>
                <c:pt idx="20">
                  <c:v>0.39818260827760166</c:v>
                </c:pt>
                <c:pt idx="21">
                  <c:v>0.54888410060335668</c:v>
                </c:pt>
                <c:pt idx="22">
                  <c:v>0.52951701333120749</c:v>
                </c:pt>
                <c:pt idx="23">
                  <c:v>0.60110243640379002</c:v>
                </c:pt>
                <c:pt idx="24">
                  <c:v>0.53851953122812568</c:v>
                </c:pt>
                <c:pt idx="25">
                  <c:v>0.51646184051341826</c:v>
                </c:pt>
                <c:pt idx="26">
                  <c:v>0.5772350567301574</c:v>
                </c:pt>
                <c:pt idx="27">
                  <c:v>0.53199208108134255</c:v>
                </c:pt>
                <c:pt idx="28">
                  <c:v>0.66633846261296292</c:v>
                </c:pt>
                <c:pt idx="29">
                  <c:v>0.7040737793447962</c:v>
                </c:pt>
                <c:pt idx="30">
                  <c:v>0.72472867366571725</c:v>
                </c:pt>
                <c:pt idx="31">
                  <c:v>0.77333747897020788</c:v>
                </c:pt>
                <c:pt idx="32">
                  <c:v>0.71679334756574131</c:v>
                </c:pt>
                <c:pt idx="33">
                  <c:v>0.7627977930132166</c:v>
                </c:pt>
                <c:pt idx="34">
                  <c:v>0.77113793919182005</c:v>
                </c:pt>
                <c:pt idx="35">
                  <c:v>0.74445160158171242</c:v>
                </c:pt>
                <c:pt idx="36">
                  <c:v>0.8807244061984576</c:v>
                </c:pt>
                <c:pt idx="37">
                  <c:v>0.89233305228549797</c:v>
                </c:pt>
                <c:pt idx="38">
                  <c:v>0.97445081529767918</c:v>
                </c:pt>
                <c:pt idx="39">
                  <c:v>0.78567480153024793</c:v>
                </c:pt>
                <c:pt idx="40">
                  <c:v>0.86191690322912229</c:v>
                </c:pt>
                <c:pt idx="41">
                  <c:v>0.84203595314545354</c:v>
                </c:pt>
                <c:pt idx="42">
                  <c:v>0.91508106820826196</c:v>
                </c:pt>
                <c:pt idx="43">
                  <c:v>0.73753086776670451</c:v>
                </c:pt>
                <c:pt idx="44">
                  <c:v>0.76852618638633552</c:v>
                </c:pt>
                <c:pt idx="45">
                  <c:v>0.71014167353055035</c:v>
                </c:pt>
                <c:pt idx="46">
                  <c:v>0.75115788301814135</c:v>
                </c:pt>
                <c:pt idx="47">
                  <c:v>0.71360018216867571</c:v>
                </c:pt>
                <c:pt idx="48">
                  <c:v>0.82170144333751294</c:v>
                </c:pt>
                <c:pt idx="49">
                  <c:v>0.74899509151696742</c:v>
                </c:pt>
                <c:pt idx="50">
                  <c:v>0.79597669708285523</c:v>
                </c:pt>
                <c:pt idx="51">
                  <c:v>0.73958455769855447</c:v>
                </c:pt>
                <c:pt idx="52">
                  <c:v>0.68001754230204359</c:v>
                </c:pt>
                <c:pt idx="53">
                  <c:v>0.72171664394028112</c:v>
                </c:pt>
                <c:pt idx="54">
                  <c:v>0.8262697012704574</c:v>
                </c:pt>
                <c:pt idx="55">
                  <c:v>0.93336280860991372</c:v>
                </c:pt>
                <c:pt idx="56">
                  <c:v>0.930308271175188</c:v>
                </c:pt>
                <c:pt idx="57">
                  <c:v>1.0432668572209187</c:v>
                </c:pt>
                <c:pt idx="58">
                  <c:v>0.92877429311504933</c:v>
                </c:pt>
                <c:pt idx="59">
                  <c:v>0.96592787868388919</c:v>
                </c:pt>
                <c:pt idx="60">
                  <c:v>1.0366113040938649</c:v>
                </c:pt>
                <c:pt idx="61">
                  <c:v>1.0261992991770694</c:v>
                </c:pt>
                <c:pt idx="62">
                  <c:v>1.1009358245839476</c:v>
                </c:pt>
                <c:pt idx="63">
                  <c:v>0.99053954895290852</c:v>
                </c:pt>
                <c:pt idx="64">
                  <c:v>0.81028802181103754</c:v>
                </c:pt>
                <c:pt idx="65">
                  <c:v>0.8693643231136241</c:v>
                </c:pt>
                <c:pt idx="66">
                  <c:v>0.83927544973944079</c:v>
                </c:pt>
                <c:pt idx="67">
                  <c:v>0.70389457164465652</c:v>
                </c:pt>
                <c:pt idx="68">
                  <c:v>0.63851831713182472</c:v>
                </c:pt>
                <c:pt idx="69">
                  <c:v>0.50309794843528222</c:v>
                </c:pt>
                <c:pt idx="70">
                  <c:v>0.50262105230224763</c:v>
                </c:pt>
                <c:pt idx="71">
                  <c:v>0.51030853504130658</c:v>
                </c:pt>
                <c:pt idx="72">
                  <c:v>0.51187238986756678</c:v>
                </c:pt>
                <c:pt idx="73">
                  <c:v>0.49623965095225331</c:v>
                </c:pt>
                <c:pt idx="74">
                  <c:v>0.35867137966046703</c:v>
                </c:pt>
                <c:pt idx="75">
                  <c:v>0.36886676041314281</c:v>
                </c:pt>
                <c:pt idx="76">
                  <c:v>0.22575435902077756</c:v>
                </c:pt>
                <c:pt idx="77">
                  <c:v>0.25391182418756109</c:v>
                </c:pt>
                <c:pt idx="78">
                  <c:v>0.27802559053061526</c:v>
                </c:pt>
                <c:pt idx="79">
                  <c:v>0.12256157312536531</c:v>
                </c:pt>
                <c:pt idx="80">
                  <c:v>5.7254009106888715E-2</c:v>
                </c:pt>
                <c:pt idx="81">
                  <c:v>6.6724920247247077E-2</c:v>
                </c:pt>
                <c:pt idx="82">
                  <c:v>0.11822090285545328</c:v>
                </c:pt>
                <c:pt idx="83">
                  <c:v>0.14285896911548934</c:v>
                </c:pt>
                <c:pt idx="84">
                  <c:v>0.18114634994455159</c:v>
                </c:pt>
                <c:pt idx="85">
                  <c:v>0.22296732376303607</c:v>
                </c:pt>
                <c:pt idx="86">
                  <c:v>0.16228479667151774</c:v>
                </c:pt>
                <c:pt idx="87">
                  <c:v>0.15383597774294833</c:v>
                </c:pt>
                <c:pt idx="88">
                  <c:v>0.10253381075383827</c:v>
                </c:pt>
                <c:pt idx="89">
                  <c:v>4.2945079070503711E-2</c:v>
                </c:pt>
                <c:pt idx="90">
                  <c:v>0.11564308242741705</c:v>
                </c:pt>
                <c:pt idx="91">
                  <c:v>7.496679587827404E-2</c:v>
                </c:pt>
                <c:pt idx="92">
                  <c:v>9.3432809636723624E-2</c:v>
                </c:pt>
                <c:pt idx="93">
                  <c:v>-2.9295057132650348E-2</c:v>
                </c:pt>
                <c:pt idx="94">
                  <c:v>-5.2167431323958846E-2</c:v>
                </c:pt>
                <c:pt idx="95">
                  <c:v>-8.7667608542853825E-2</c:v>
                </c:pt>
                <c:pt idx="96">
                  <c:v>-9.089877801779378E-2</c:v>
                </c:pt>
                <c:pt idx="97">
                  <c:v>-0.11742947543001947</c:v>
                </c:pt>
                <c:pt idx="98">
                  <c:v>-0.13481932812082642</c:v>
                </c:pt>
                <c:pt idx="99">
                  <c:v>-0.17618711736861592</c:v>
                </c:pt>
                <c:pt idx="100">
                  <c:v>-0.16307746376557197</c:v>
                </c:pt>
                <c:pt idx="101">
                  <c:v>-0.1811156912059132</c:v>
                </c:pt>
                <c:pt idx="102">
                  <c:v>-0.11935085598483319</c:v>
                </c:pt>
                <c:pt idx="103">
                  <c:v>-0.14158043449444657</c:v>
                </c:pt>
                <c:pt idx="104">
                  <c:v>-9.9465689515945366E-2</c:v>
                </c:pt>
                <c:pt idx="105">
                  <c:v>-0.17997826390522442</c:v>
                </c:pt>
                <c:pt idx="106">
                  <c:v>-0.18041471658844832</c:v>
                </c:pt>
                <c:pt idx="107">
                  <c:v>-0.20881305858490529</c:v>
                </c:pt>
                <c:pt idx="108">
                  <c:v>-0.22978880509189026</c:v>
                </c:pt>
                <c:pt idx="109">
                  <c:v>-0.22050792495382565</c:v>
                </c:pt>
                <c:pt idx="110">
                  <c:v>-0.1382031932100366</c:v>
                </c:pt>
                <c:pt idx="111">
                  <c:v>-5.4511701766896015E-2</c:v>
                </c:pt>
                <c:pt idx="112">
                  <c:v>-5.7350596183124547E-2</c:v>
                </c:pt>
                <c:pt idx="113">
                  <c:v>-0.10721425671144436</c:v>
                </c:pt>
                <c:pt idx="114">
                  <c:v>-0.17397418653395125</c:v>
                </c:pt>
                <c:pt idx="115">
                  <c:v>-0.15153637368171913</c:v>
                </c:pt>
                <c:pt idx="116">
                  <c:v>-0.15461590791134561</c:v>
                </c:pt>
                <c:pt idx="117">
                  <c:v>-6.1279635644095221E-2</c:v>
                </c:pt>
                <c:pt idx="118">
                  <c:v>-2.9957191841530784E-2</c:v>
                </c:pt>
                <c:pt idx="119">
                  <c:v>-3.8402277939452056E-2</c:v>
                </c:pt>
                <c:pt idx="120">
                  <c:v>-3.0913710029045638E-2</c:v>
                </c:pt>
                <c:pt idx="121">
                  <c:v>2.0941358983659342E-3</c:v>
                </c:pt>
                <c:pt idx="122">
                  <c:v>2.8110334980202323E-2</c:v>
                </c:pt>
                <c:pt idx="123">
                  <c:v>6.7482285859799651E-2</c:v>
                </c:pt>
                <c:pt idx="124">
                  <c:v>0.12293467470815433</c:v>
                </c:pt>
                <c:pt idx="125">
                  <c:v>5.4025256650712672E-2</c:v>
                </c:pt>
                <c:pt idx="126">
                  <c:v>5.334827953685406E-2</c:v>
                </c:pt>
                <c:pt idx="127">
                  <c:v>8.0163709398955785E-2</c:v>
                </c:pt>
                <c:pt idx="128">
                  <c:v>7.3167771745513033E-2</c:v>
                </c:pt>
                <c:pt idx="129">
                  <c:v>5.8255003076263412E-2</c:v>
                </c:pt>
                <c:pt idx="130">
                  <c:v>6.9619227268766348E-2</c:v>
                </c:pt>
                <c:pt idx="131">
                  <c:v>0.10923030562577707</c:v>
                </c:pt>
                <c:pt idx="132">
                  <c:v>0.13597047292082842</c:v>
                </c:pt>
                <c:pt idx="133">
                  <c:v>0.14634959911989576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0-7B4C-83A2-2D9A6A607B58}"/>
            </c:ext>
          </c:extLst>
        </c:ser>
        <c:ser>
          <c:idx val="3"/>
          <c:order val="3"/>
          <c:tx>
            <c:strRef>
              <c:f>LightGBM再投資累積報酬!$C$26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LightGBM再投資累積報酬!$D$26:$EG$26</c:f>
              <c:numCache>
                <c:formatCode>General</c:formatCode>
                <c:ptCount val="134"/>
                <c:pt idx="0">
                  <c:v>6.6842489650082784E-2</c:v>
                </c:pt>
                <c:pt idx="1">
                  <c:v>0.14103880107198208</c:v>
                </c:pt>
                <c:pt idx="2">
                  <c:v>0.154963521348642</c:v>
                </c:pt>
                <c:pt idx="3">
                  <c:v>0.20059047509870775</c:v>
                </c:pt>
                <c:pt idx="4">
                  <c:v>0.29447961464807926</c:v>
                </c:pt>
                <c:pt idx="5">
                  <c:v>0.21039245686167618</c:v>
                </c:pt>
                <c:pt idx="6">
                  <c:v>0.20364440736501854</c:v>
                </c:pt>
                <c:pt idx="7">
                  <c:v>0.20056500962230772</c:v>
                </c:pt>
                <c:pt idx="8">
                  <c:v>0.16880213335091065</c:v>
                </c:pt>
                <c:pt idx="9">
                  <c:v>0.16757370568331953</c:v>
                </c:pt>
                <c:pt idx="10">
                  <c:v>0.21699876827669362</c:v>
                </c:pt>
                <c:pt idx="11">
                  <c:v>0.29834599584939192</c:v>
                </c:pt>
                <c:pt idx="12">
                  <c:v>0.35172492684454171</c:v>
                </c:pt>
                <c:pt idx="13">
                  <c:v>0.39596798614996342</c:v>
                </c:pt>
                <c:pt idx="14">
                  <c:v>0.41769390050032507</c:v>
                </c:pt>
                <c:pt idx="15">
                  <c:v>0.53960151763776154</c:v>
                </c:pt>
                <c:pt idx="16">
                  <c:v>0.45252990426330908</c:v>
                </c:pt>
                <c:pt idx="17">
                  <c:v>0.4898026152944932</c:v>
                </c:pt>
                <c:pt idx="18">
                  <c:v>0.38475226196164392</c:v>
                </c:pt>
                <c:pt idx="19">
                  <c:v>0.42550656212045834</c:v>
                </c:pt>
                <c:pt idx="20">
                  <c:v>0.41555933530470268</c:v>
                </c:pt>
                <c:pt idx="21">
                  <c:v>0.60793557596402747</c:v>
                </c:pt>
                <c:pt idx="22">
                  <c:v>0.57197461412818029</c:v>
                </c:pt>
                <c:pt idx="23">
                  <c:v>0.67708768875594139</c:v>
                </c:pt>
                <c:pt idx="24">
                  <c:v>0.63408497205668413</c:v>
                </c:pt>
                <c:pt idx="25">
                  <c:v>0.6777774477504841</c:v>
                </c:pt>
                <c:pt idx="26">
                  <c:v>0.70360182223747425</c:v>
                </c:pt>
                <c:pt idx="27">
                  <c:v>0.60809640143823485</c:v>
                </c:pt>
                <c:pt idx="28">
                  <c:v>0.8515831593952774</c:v>
                </c:pt>
                <c:pt idx="29">
                  <c:v>0.88380041000653198</c:v>
                </c:pt>
                <c:pt idx="30">
                  <c:v>0.85680069706139683</c:v>
                </c:pt>
                <c:pt idx="31">
                  <c:v>0.91723049660615374</c:v>
                </c:pt>
                <c:pt idx="32">
                  <c:v>0.79130774097681722</c:v>
                </c:pt>
                <c:pt idx="33">
                  <c:v>0.84282310230684776</c:v>
                </c:pt>
                <c:pt idx="34">
                  <c:v>0.92136459656998881</c:v>
                </c:pt>
                <c:pt idx="35">
                  <c:v>0.76281705301039704</c:v>
                </c:pt>
                <c:pt idx="36">
                  <c:v>0.91541953364188955</c:v>
                </c:pt>
                <c:pt idx="37">
                  <c:v>1.0308643081670059</c:v>
                </c:pt>
                <c:pt idx="38">
                  <c:v>1.0049985168716105</c:v>
                </c:pt>
                <c:pt idx="39">
                  <c:v>0.71881625178861608</c:v>
                </c:pt>
                <c:pt idx="40">
                  <c:v>0.86799063747418503</c:v>
                </c:pt>
                <c:pt idx="41">
                  <c:v>0.73156687884088978</c:v>
                </c:pt>
                <c:pt idx="42">
                  <c:v>0.74317042952680024</c:v>
                </c:pt>
                <c:pt idx="43">
                  <c:v>0.62687833771363999</c:v>
                </c:pt>
                <c:pt idx="44">
                  <c:v>0.54334685526210458</c:v>
                </c:pt>
                <c:pt idx="45">
                  <c:v>0.46211190063051166</c:v>
                </c:pt>
                <c:pt idx="46">
                  <c:v>0.3703012591713728</c:v>
                </c:pt>
                <c:pt idx="47">
                  <c:v>0.46803472465581519</c:v>
                </c:pt>
                <c:pt idx="48">
                  <c:v>0.66701981316632741</c:v>
                </c:pt>
                <c:pt idx="49">
                  <c:v>0.45754346270142365</c:v>
                </c:pt>
                <c:pt idx="50">
                  <c:v>0.56184520346558275</c:v>
                </c:pt>
                <c:pt idx="51">
                  <c:v>0.35132193379082066</c:v>
                </c:pt>
                <c:pt idx="52">
                  <c:v>0.26134585449459502</c:v>
                </c:pt>
                <c:pt idx="53">
                  <c:v>0.24516980254083087</c:v>
                </c:pt>
                <c:pt idx="54">
                  <c:v>0.29268961744941513</c:v>
                </c:pt>
                <c:pt idx="55">
                  <c:v>0.37556009964988535</c:v>
                </c:pt>
                <c:pt idx="56">
                  <c:v>0.47384289350346398</c:v>
                </c:pt>
                <c:pt idx="57">
                  <c:v>0.60412819608634583</c:v>
                </c:pt>
                <c:pt idx="58">
                  <c:v>0.49405314864804706</c:v>
                </c:pt>
                <c:pt idx="59">
                  <c:v>0.51982638358436195</c:v>
                </c:pt>
                <c:pt idx="60">
                  <c:v>0.57107684074067411</c:v>
                </c:pt>
                <c:pt idx="61">
                  <c:v>0.56823237750486899</c:v>
                </c:pt>
                <c:pt idx="62">
                  <c:v>0.6480946937561316</c:v>
                </c:pt>
                <c:pt idx="63">
                  <c:v>0.62568753793522647</c:v>
                </c:pt>
                <c:pt idx="64">
                  <c:v>0.47196355949638136</c:v>
                </c:pt>
                <c:pt idx="65">
                  <c:v>0.54167023148015137</c:v>
                </c:pt>
                <c:pt idx="66">
                  <c:v>0.52762778138816024</c:v>
                </c:pt>
                <c:pt idx="67">
                  <c:v>0.39840735485411005</c:v>
                </c:pt>
                <c:pt idx="68">
                  <c:v>0.31407790318298834</c:v>
                </c:pt>
                <c:pt idx="69">
                  <c:v>0.27779420744263628</c:v>
                </c:pt>
                <c:pt idx="70">
                  <c:v>0.23131107989421418</c:v>
                </c:pt>
                <c:pt idx="71">
                  <c:v>0.1541507155445152</c:v>
                </c:pt>
                <c:pt idx="72">
                  <c:v>0.25117488348759887</c:v>
                </c:pt>
                <c:pt idx="73">
                  <c:v>0.26333082419804543</c:v>
                </c:pt>
                <c:pt idx="74">
                  <c:v>0.13787637718289747</c:v>
                </c:pt>
                <c:pt idx="75">
                  <c:v>0.17659659829713026</c:v>
                </c:pt>
                <c:pt idx="76">
                  <c:v>6.4722619883885724E-3</c:v>
                </c:pt>
                <c:pt idx="77">
                  <c:v>9.0254878987339193E-3</c:v>
                </c:pt>
                <c:pt idx="78">
                  <c:v>-1.4740274543196041E-2</c:v>
                </c:pt>
                <c:pt idx="79">
                  <c:v>-3.3184335426429068E-2</c:v>
                </c:pt>
                <c:pt idx="80">
                  <c:v>-0.1484193125232609</c:v>
                </c:pt>
                <c:pt idx="81">
                  <c:v>-0.15868964678875608</c:v>
                </c:pt>
                <c:pt idx="82">
                  <c:v>-7.7281706367673508E-2</c:v>
                </c:pt>
                <c:pt idx="83">
                  <c:v>-0.11580677738640144</c:v>
                </c:pt>
                <c:pt idx="84">
                  <c:v>-0.17648716524588015</c:v>
                </c:pt>
                <c:pt idx="85">
                  <c:v>-0.16013873706392712</c:v>
                </c:pt>
                <c:pt idx="86">
                  <c:v>-0.20717150045169175</c:v>
                </c:pt>
                <c:pt idx="87">
                  <c:v>-0.11327072542684535</c:v>
                </c:pt>
                <c:pt idx="88">
                  <c:v>-0.15796236436903843</c:v>
                </c:pt>
                <c:pt idx="89">
                  <c:v>-0.30782704967381891</c:v>
                </c:pt>
                <c:pt idx="90">
                  <c:v>-0.25113944344077921</c:v>
                </c:pt>
                <c:pt idx="91">
                  <c:v>-0.3022374156269253</c:v>
                </c:pt>
                <c:pt idx="92">
                  <c:v>-0.30831069662053401</c:v>
                </c:pt>
                <c:pt idx="93">
                  <c:v>-0.36317245498719064</c:v>
                </c:pt>
                <c:pt idx="94">
                  <c:v>-0.37072274677113604</c:v>
                </c:pt>
                <c:pt idx="95">
                  <c:v>-0.3882689591224936</c:v>
                </c:pt>
                <c:pt idx="96">
                  <c:v>-0.34995905549566997</c:v>
                </c:pt>
                <c:pt idx="97">
                  <c:v>-0.37701223871547029</c:v>
                </c:pt>
                <c:pt idx="98">
                  <c:v>-0.38353496615774207</c:v>
                </c:pt>
                <c:pt idx="99">
                  <c:v>-0.39548620456436412</c:v>
                </c:pt>
                <c:pt idx="100">
                  <c:v>-0.38247369005853438</c:v>
                </c:pt>
                <c:pt idx="101">
                  <c:v>-0.38103524865184324</c:v>
                </c:pt>
                <c:pt idx="102">
                  <c:v>-0.29420725195667052</c:v>
                </c:pt>
                <c:pt idx="103">
                  <c:v>-0.33367246401021633</c:v>
                </c:pt>
                <c:pt idx="104">
                  <c:v>-0.29075194122877779</c:v>
                </c:pt>
                <c:pt idx="105">
                  <c:v>-0.36128947428204161</c:v>
                </c:pt>
                <c:pt idx="106">
                  <c:v>-0.37644548647413489</c:v>
                </c:pt>
                <c:pt idx="107">
                  <c:v>-0.39992752057196002</c:v>
                </c:pt>
                <c:pt idx="108">
                  <c:v>-0.43404852968498908</c:v>
                </c:pt>
                <c:pt idx="109">
                  <c:v>-0.40833771751182391</c:v>
                </c:pt>
                <c:pt idx="110">
                  <c:v>-0.3885011731003003</c:v>
                </c:pt>
                <c:pt idx="111">
                  <c:v>-0.36055653001889243</c:v>
                </c:pt>
                <c:pt idx="112">
                  <c:v>-0.3845137476798447</c:v>
                </c:pt>
                <c:pt idx="113">
                  <c:v>-0.39609057561177297</c:v>
                </c:pt>
                <c:pt idx="114">
                  <c:v>-0.45598465911606467</c:v>
                </c:pt>
                <c:pt idx="115">
                  <c:v>-0.43713100372703761</c:v>
                </c:pt>
                <c:pt idx="116">
                  <c:v>-0.45840317382357509</c:v>
                </c:pt>
                <c:pt idx="117">
                  <c:v>-0.41418589764497615</c:v>
                </c:pt>
                <c:pt idx="118">
                  <c:v>-0.41223293850975684</c:v>
                </c:pt>
                <c:pt idx="119">
                  <c:v>-0.40834746007402623</c:v>
                </c:pt>
                <c:pt idx="120">
                  <c:v>-0.39796745082771123</c:v>
                </c:pt>
                <c:pt idx="121">
                  <c:v>-0.40037262664486151</c:v>
                </c:pt>
                <c:pt idx="122">
                  <c:v>-0.37334794984392061</c:v>
                </c:pt>
                <c:pt idx="123">
                  <c:v>-0.35691920120038489</c:v>
                </c:pt>
                <c:pt idx="124">
                  <c:v>-0.31901823326550671</c:v>
                </c:pt>
                <c:pt idx="125">
                  <c:v>-0.37944221030407688</c:v>
                </c:pt>
                <c:pt idx="126">
                  <c:v>-0.34579815246535273</c:v>
                </c:pt>
                <c:pt idx="127">
                  <c:v>-0.30595996073494314</c:v>
                </c:pt>
                <c:pt idx="128">
                  <c:v>-0.30833886608717531</c:v>
                </c:pt>
                <c:pt idx="129">
                  <c:v>-0.27637789534388946</c:v>
                </c:pt>
                <c:pt idx="130">
                  <c:v>-0.26400096060528866</c:v>
                </c:pt>
                <c:pt idx="131">
                  <c:v>-0.20267189098270444</c:v>
                </c:pt>
                <c:pt idx="132">
                  <c:v>-0.17602861525592639</c:v>
                </c:pt>
                <c:pt idx="133">
                  <c:v>-0.16994012103882583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A0-7B4C-83A2-2D9A6A607B58}"/>
            </c:ext>
          </c:extLst>
        </c:ser>
        <c:ser>
          <c:idx val="4"/>
          <c:order val="4"/>
          <c:tx>
            <c:strRef>
              <c:f>LightGBM再投資累積報酬!$C$27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LightGBM再投資累積報酬!$D$27:$EG$27</c:f>
              <c:numCache>
                <c:formatCode>General</c:formatCode>
                <c:ptCount val="134"/>
                <c:pt idx="0">
                  <c:v>3.6241182215047199E-2</c:v>
                </c:pt>
                <c:pt idx="1">
                  <c:v>0.10373894264098871</c:v>
                </c:pt>
                <c:pt idx="2">
                  <c:v>9.3116903101321036E-2</c:v>
                </c:pt>
                <c:pt idx="3">
                  <c:v>0.14706380717990486</c:v>
                </c:pt>
                <c:pt idx="4">
                  <c:v>0.21781102854980317</c:v>
                </c:pt>
                <c:pt idx="5">
                  <c:v>0.22828631422057399</c:v>
                </c:pt>
                <c:pt idx="6">
                  <c:v>0.22664554502124434</c:v>
                </c:pt>
                <c:pt idx="7">
                  <c:v>0.24747956068496557</c:v>
                </c:pt>
                <c:pt idx="8">
                  <c:v>0.18440137175865479</c:v>
                </c:pt>
                <c:pt idx="9">
                  <c:v>0.25952785619161234</c:v>
                </c:pt>
                <c:pt idx="10">
                  <c:v>0.41990366537067803</c:v>
                </c:pt>
                <c:pt idx="11">
                  <c:v>0.47136265283519019</c:v>
                </c:pt>
                <c:pt idx="12">
                  <c:v>0.46656002794052531</c:v>
                </c:pt>
                <c:pt idx="13">
                  <c:v>0.52534073086611222</c:v>
                </c:pt>
                <c:pt idx="14">
                  <c:v>0.44923116732865376</c:v>
                </c:pt>
                <c:pt idx="15">
                  <c:v>0.63906177923026952</c:v>
                </c:pt>
                <c:pt idx="16">
                  <c:v>0.3652725992121566</c:v>
                </c:pt>
                <c:pt idx="17">
                  <c:v>0.50566388915629212</c:v>
                </c:pt>
                <c:pt idx="18">
                  <c:v>0.41175005118030539</c:v>
                </c:pt>
                <c:pt idx="19">
                  <c:v>0.47909704419453858</c:v>
                </c:pt>
                <c:pt idx="20">
                  <c:v>0.45152005823404662</c:v>
                </c:pt>
                <c:pt idx="21">
                  <c:v>0.72080288819688931</c:v>
                </c:pt>
                <c:pt idx="22">
                  <c:v>0.5748191267312901</c:v>
                </c:pt>
                <c:pt idx="23">
                  <c:v>0.65741299409152565</c:v>
                </c:pt>
                <c:pt idx="24">
                  <c:v>0.80718853078508079</c:v>
                </c:pt>
                <c:pt idx="25">
                  <c:v>0.77212296453348861</c:v>
                </c:pt>
                <c:pt idx="26">
                  <c:v>0.806656197745238</c:v>
                </c:pt>
                <c:pt idx="27">
                  <c:v>0.81304698946095</c:v>
                </c:pt>
                <c:pt idx="28">
                  <c:v>1.2292458422638193</c:v>
                </c:pt>
                <c:pt idx="29">
                  <c:v>1.3720505960726599</c:v>
                </c:pt>
                <c:pt idx="30">
                  <c:v>1.3405176838259938</c:v>
                </c:pt>
                <c:pt idx="31">
                  <c:v>1.4770832382420189</c:v>
                </c:pt>
                <c:pt idx="32">
                  <c:v>1.1089255187812808</c:v>
                </c:pt>
                <c:pt idx="33">
                  <c:v>1.199213983151568</c:v>
                </c:pt>
                <c:pt idx="34">
                  <c:v>1.2068170981582855</c:v>
                </c:pt>
                <c:pt idx="35">
                  <c:v>0.96130558368308727</c:v>
                </c:pt>
                <c:pt idx="36">
                  <c:v>1.0523328075407217</c:v>
                </c:pt>
                <c:pt idx="37">
                  <c:v>1.2045866086626198</c:v>
                </c:pt>
                <c:pt idx="38">
                  <c:v>1.0914130248169602</c:v>
                </c:pt>
                <c:pt idx="39">
                  <c:v>0.60307562982330798</c:v>
                </c:pt>
                <c:pt idx="40">
                  <c:v>0.78458147118133392</c:v>
                </c:pt>
                <c:pt idx="41">
                  <c:v>0.55310178155433687</c:v>
                </c:pt>
                <c:pt idx="42">
                  <c:v>0.60506572116654023</c:v>
                </c:pt>
                <c:pt idx="43">
                  <c:v>0.40190598570189651</c:v>
                </c:pt>
                <c:pt idx="44">
                  <c:v>0.22618064606877031</c:v>
                </c:pt>
                <c:pt idx="45">
                  <c:v>0.13999582325979953</c:v>
                </c:pt>
                <c:pt idx="46">
                  <c:v>0.14469706600112953</c:v>
                </c:pt>
                <c:pt idx="47">
                  <c:v>0.50388903249480621</c:v>
                </c:pt>
                <c:pt idx="48">
                  <c:v>0.88770627490526777</c:v>
                </c:pt>
                <c:pt idx="49">
                  <c:v>0.7949942605482887</c:v>
                </c:pt>
                <c:pt idx="50">
                  <c:v>0.85611044704292327</c:v>
                </c:pt>
                <c:pt idx="51">
                  <c:v>0.58664112114864331</c:v>
                </c:pt>
                <c:pt idx="52">
                  <c:v>0.50512102694774752</c:v>
                </c:pt>
                <c:pt idx="53">
                  <c:v>0.58247215271869757</c:v>
                </c:pt>
                <c:pt idx="54">
                  <c:v>0.61560367431659224</c:v>
                </c:pt>
                <c:pt idx="55">
                  <c:v>0.76942575869897745</c:v>
                </c:pt>
                <c:pt idx="56">
                  <c:v>1.1169654889027889</c:v>
                </c:pt>
                <c:pt idx="57">
                  <c:v>1.2887910117027634</c:v>
                </c:pt>
                <c:pt idx="58">
                  <c:v>1.368147345983115</c:v>
                </c:pt>
                <c:pt idx="59">
                  <c:v>1.5015931779198493</c:v>
                </c:pt>
                <c:pt idx="60">
                  <c:v>1.5942267473533911</c:v>
                </c:pt>
                <c:pt idx="61">
                  <c:v>1.7325294470796053</c:v>
                </c:pt>
                <c:pt idx="62">
                  <c:v>1.8135861342909463</c:v>
                </c:pt>
                <c:pt idx="63">
                  <c:v>1.7971465976171395</c:v>
                </c:pt>
                <c:pt idx="64">
                  <c:v>1.5990810416630006</c:v>
                </c:pt>
                <c:pt idx="65">
                  <c:v>1.8001017645191384</c:v>
                </c:pt>
                <c:pt idx="66">
                  <c:v>1.7151264489915228</c:v>
                </c:pt>
                <c:pt idx="67">
                  <c:v>1.2060031674240292</c:v>
                </c:pt>
                <c:pt idx="68">
                  <c:v>0.81676793127846081</c:v>
                </c:pt>
                <c:pt idx="69">
                  <c:v>0.6700580495259354</c:v>
                </c:pt>
                <c:pt idx="70">
                  <c:v>0.74332431516957009</c:v>
                </c:pt>
                <c:pt idx="71">
                  <c:v>0.64444900632313917</c:v>
                </c:pt>
                <c:pt idx="72">
                  <c:v>0.8753956508040881</c:v>
                </c:pt>
                <c:pt idx="73">
                  <c:v>0.96943597483466082</c:v>
                </c:pt>
                <c:pt idx="74">
                  <c:v>0.87444292505146071</c:v>
                </c:pt>
                <c:pt idx="75">
                  <c:v>0.71894210567634098</c:v>
                </c:pt>
                <c:pt idx="76">
                  <c:v>0.3613788919351606</c:v>
                </c:pt>
                <c:pt idx="77">
                  <c:v>0.33819544455377293</c:v>
                </c:pt>
                <c:pt idx="78">
                  <c:v>0.32001391854271111</c:v>
                </c:pt>
                <c:pt idx="79">
                  <c:v>0.30356299236947426</c:v>
                </c:pt>
                <c:pt idx="80">
                  <c:v>0.31164108380990085</c:v>
                </c:pt>
                <c:pt idx="81">
                  <c:v>0.25324529961802766</c:v>
                </c:pt>
                <c:pt idx="82">
                  <c:v>0.50319224534638818</c:v>
                </c:pt>
                <c:pt idx="83">
                  <c:v>0.2987511539039287</c:v>
                </c:pt>
                <c:pt idx="84">
                  <c:v>0.39753015378823964</c:v>
                </c:pt>
                <c:pt idx="85">
                  <c:v>0.5652818641682622</c:v>
                </c:pt>
                <c:pt idx="86">
                  <c:v>0.38115338786092123</c:v>
                </c:pt>
                <c:pt idx="87">
                  <c:v>0.4008523032156952</c:v>
                </c:pt>
                <c:pt idx="88">
                  <c:v>0.17105189374894114</c:v>
                </c:pt>
                <c:pt idx="89">
                  <c:v>-5.5942095971145411E-2</c:v>
                </c:pt>
                <c:pt idx="90">
                  <c:v>0.1247911078273114</c:v>
                </c:pt>
                <c:pt idx="91">
                  <c:v>9.3412311641970058E-2</c:v>
                </c:pt>
                <c:pt idx="92">
                  <c:v>4.4376795242028422E-2</c:v>
                </c:pt>
                <c:pt idx="93">
                  <c:v>-0.12816254574728625</c:v>
                </c:pt>
                <c:pt idx="94">
                  <c:v>-0.22956022385701602</c:v>
                </c:pt>
                <c:pt idx="95">
                  <c:v>-0.29265140914819288</c:v>
                </c:pt>
                <c:pt idx="96">
                  <c:v>-0.21090246066796758</c:v>
                </c:pt>
                <c:pt idx="97">
                  <c:v>-0.24300533193759555</c:v>
                </c:pt>
                <c:pt idx="98">
                  <c:v>-0.24886008812693228</c:v>
                </c:pt>
                <c:pt idx="99">
                  <c:v>-0.25483621766762332</c:v>
                </c:pt>
                <c:pt idx="100">
                  <c:v>-0.25913911390856581</c:v>
                </c:pt>
                <c:pt idx="101">
                  <c:v>-0.26107031554193805</c:v>
                </c:pt>
                <c:pt idx="102">
                  <c:v>-0.11806254758222734</c:v>
                </c:pt>
                <c:pt idx="103">
                  <c:v>-0.10483805650614531</c:v>
                </c:pt>
                <c:pt idx="104">
                  <c:v>-7.1817380811578513E-2</c:v>
                </c:pt>
                <c:pt idx="105">
                  <c:v>-0.15714296528544269</c:v>
                </c:pt>
                <c:pt idx="106">
                  <c:v>-0.17982317340146214</c:v>
                </c:pt>
                <c:pt idx="107">
                  <c:v>-0.24706632065171474</c:v>
                </c:pt>
                <c:pt idx="108">
                  <c:v>-0.26590685304007367</c:v>
                </c:pt>
                <c:pt idx="109">
                  <c:v>-0.23999524207209855</c:v>
                </c:pt>
                <c:pt idx="110">
                  <c:v>-0.20520560028571211</c:v>
                </c:pt>
                <c:pt idx="111">
                  <c:v>-0.16137610361720633</c:v>
                </c:pt>
                <c:pt idx="112">
                  <c:v>-0.27596244342510479</c:v>
                </c:pt>
                <c:pt idx="113">
                  <c:v>-0.27017286742973323</c:v>
                </c:pt>
                <c:pt idx="114">
                  <c:v>-0.32336985420100117</c:v>
                </c:pt>
                <c:pt idx="115">
                  <c:v>-0.20631423258110537</c:v>
                </c:pt>
                <c:pt idx="116">
                  <c:v>-0.30172650412441449</c:v>
                </c:pt>
                <c:pt idx="117">
                  <c:v>-0.26777167984142181</c:v>
                </c:pt>
                <c:pt idx="118">
                  <c:v>-0.25310972290469536</c:v>
                </c:pt>
                <c:pt idx="119">
                  <c:v>-0.21434817246684812</c:v>
                </c:pt>
                <c:pt idx="120">
                  <c:v>-0.15248184946111398</c:v>
                </c:pt>
                <c:pt idx="121">
                  <c:v>-0.1056189436725804</c:v>
                </c:pt>
                <c:pt idx="122">
                  <c:v>4.036722934321979E-2</c:v>
                </c:pt>
                <c:pt idx="123">
                  <c:v>9.913887130429222E-2</c:v>
                </c:pt>
                <c:pt idx="124">
                  <c:v>0.14929816689694309</c:v>
                </c:pt>
                <c:pt idx="125">
                  <c:v>-9.1816681258581445E-2</c:v>
                </c:pt>
                <c:pt idx="126">
                  <c:v>3.737971065523582E-2</c:v>
                </c:pt>
                <c:pt idx="127">
                  <c:v>0.11078201811151689</c:v>
                </c:pt>
                <c:pt idx="128">
                  <c:v>0.15403676648825226</c:v>
                </c:pt>
                <c:pt idx="129">
                  <c:v>0.19784229407073739</c:v>
                </c:pt>
                <c:pt idx="130">
                  <c:v>0.33116268243837621</c:v>
                </c:pt>
                <c:pt idx="131">
                  <c:v>0.60962751726956044</c:v>
                </c:pt>
                <c:pt idx="132">
                  <c:v>0.71207883290914986</c:v>
                </c:pt>
                <c:pt idx="133">
                  <c:v>0.61568427301397355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A0-7B4C-83A2-2D9A6A607B58}"/>
            </c:ext>
          </c:extLst>
        </c:ser>
        <c:ser>
          <c:idx val="5"/>
          <c:order val="5"/>
          <c:tx>
            <c:strRef>
              <c:f>LightGBM再投資累積報酬!$C$28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LightGBM再投資累積報酬!$D$28:$EG$28</c:f>
              <c:numCache>
                <c:formatCode>General</c:formatCode>
                <c:ptCount val="134"/>
                <c:pt idx="0">
                  <c:v>-0.25797044854899692</c:v>
                </c:pt>
                <c:pt idx="1">
                  <c:v>-0.16112801491469886</c:v>
                </c:pt>
                <c:pt idx="2">
                  <c:v>-0.21787139567421066</c:v>
                </c:pt>
                <c:pt idx="3">
                  <c:v>-0.18366066469648712</c:v>
                </c:pt>
                <c:pt idx="4">
                  <c:v>-9.8675263660616852E-2</c:v>
                </c:pt>
                <c:pt idx="5">
                  <c:v>-0.22041281045663608</c:v>
                </c:pt>
                <c:pt idx="6">
                  <c:v>-0.30070002236167348</c:v>
                </c:pt>
                <c:pt idx="7">
                  <c:v>-8.6114708087176139E-2</c:v>
                </c:pt>
                <c:pt idx="8">
                  <c:v>-7.0624206743896356E-2</c:v>
                </c:pt>
                <c:pt idx="9">
                  <c:v>-0.12780090578768821</c:v>
                </c:pt>
                <c:pt idx="10">
                  <c:v>0.17303576920220354</c:v>
                </c:pt>
                <c:pt idx="11">
                  <c:v>-0.12957279434290647</c:v>
                </c:pt>
                <c:pt idx="12">
                  <c:v>-0.18479247477642924</c:v>
                </c:pt>
                <c:pt idx="13">
                  <c:v>-1.4374052855687491E-2</c:v>
                </c:pt>
                <c:pt idx="14">
                  <c:v>-3.8356402614247997E-2</c:v>
                </c:pt>
                <c:pt idx="15">
                  <c:v>0.24223306608102502</c:v>
                </c:pt>
                <c:pt idx="16">
                  <c:v>-4.4842175160137998E-3</c:v>
                </c:pt>
                <c:pt idx="17">
                  <c:v>0.1089110339227537</c:v>
                </c:pt>
                <c:pt idx="18">
                  <c:v>-7.8713259921656453E-2</c:v>
                </c:pt>
                <c:pt idx="19">
                  <c:v>0.13376107792651237</c:v>
                </c:pt>
                <c:pt idx="20">
                  <c:v>3.3305647999937626E-2</c:v>
                </c:pt>
                <c:pt idx="21">
                  <c:v>0.71132051019309617</c:v>
                </c:pt>
                <c:pt idx="22">
                  <c:v>0.68698328604822589</c:v>
                </c:pt>
                <c:pt idx="23">
                  <c:v>1.2278613571450525</c:v>
                </c:pt>
                <c:pt idx="24">
                  <c:v>1.3555757110192466</c:v>
                </c:pt>
                <c:pt idx="25">
                  <c:v>0.90378142255921512</c:v>
                </c:pt>
                <c:pt idx="26">
                  <c:v>0.71183155218070326</c:v>
                </c:pt>
                <c:pt idx="27">
                  <c:v>0.6357633582911808</c:v>
                </c:pt>
                <c:pt idx="28">
                  <c:v>0.98116726572153024</c:v>
                </c:pt>
                <c:pt idx="29">
                  <c:v>0.86570492691075551</c:v>
                </c:pt>
                <c:pt idx="30">
                  <c:v>0.28506551534392877</c:v>
                </c:pt>
                <c:pt idx="31">
                  <c:v>0.44350555946246328</c:v>
                </c:pt>
                <c:pt idx="32">
                  <c:v>7.1456455745137371E-2</c:v>
                </c:pt>
                <c:pt idx="33">
                  <c:v>0.20725127001779331</c:v>
                </c:pt>
                <c:pt idx="34">
                  <c:v>0.45524450175391529</c:v>
                </c:pt>
                <c:pt idx="35">
                  <c:v>0.35913689420973216</c:v>
                </c:pt>
                <c:pt idx="36">
                  <c:v>0.57420570859622466</c:v>
                </c:pt>
                <c:pt idx="37">
                  <c:v>0.71908293296853731</c:v>
                </c:pt>
                <c:pt idx="38">
                  <c:v>0.15197374718181522</c:v>
                </c:pt>
                <c:pt idx="39">
                  <c:v>8.4606392674834163E-2</c:v>
                </c:pt>
                <c:pt idx="40">
                  <c:v>6.1637457539053919E-2</c:v>
                </c:pt>
                <c:pt idx="41">
                  <c:v>-0.38650548905199134</c:v>
                </c:pt>
                <c:pt idx="42">
                  <c:v>-0.27367655325241869</c:v>
                </c:pt>
                <c:pt idx="43">
                  <c:v>-0.90548984170516034</c:v>
                </c:pt>
                <c:pt idx="44">
                  <c:v>-0.92767761461289389</c:v>
                </c:pt>
                <c:pt idx="45">
                  <c:v>-0.93550012227591317</c:v>
                </c:pt>
                <c:pt idx="46">
                  <c:v>-0.92804060423535628</c:v>
                </c:pt>
                <c:pt idx="47">
                  <c:v>-0.90842697005876405</c:v>
                </c:pt>
                <c:pt idx="48">
                  <c:v>-0.85317545441132203</c:v>
                </c:pt>
                <c:pt idx="49">
                  <c:v>-0.86219174833153422</c:v>
                </c:pt>
                <c:pt idx="50">
                  <c:v>-0.92171980956434618</c:v>
                </c:pt>
                <c:pt idx="51">
                  <c:v>-0.92857198442068256</c:v>
                </c:pt>
                <c:pt idx="52">
                  <c:v>-0.91914990370708749</c:v>
                </c:pt>
                <c:pt idx="53">
                  <c:v>-0.90426955712360046</c:v>
                </c:pt>
                <c:pt idx="54">
                  <c:v>-0.89765055949031813</c:v>
                </c:pt>
                <c:pt idx="55">
                  <c:v>-0.9226934857354081</c:v>
                </c:pt>
                <c:pt idx="56">
                  <c:v>-0.87905902137207959</c:v>
                </c:pt>
                <c:pt idx="57">
                  <c:v>-0.8538496822094177</c:v>
                </c:pt>
                <c:pt idx="58">
                  <c:v>-0.87042560249655421</c:v>
                </c:pt>
                <c:pt idx="59">
                  <c:v>-0.89101994889761904</c:v>
                </c:pt>
                <c:pt idx="60">
                  <c:v>-0.88032493444283444</c:v>
                </c:pt>
                <c:pt idx="61">
                  <c:v>-0.88821663082627678</c:v>
                </c:pt>
                <c:pt idx="62">
                  <c:v>-0.89310446623559758</c:v>
                </c:pt>
                <c:pt idx="63">
                  <c:v>-0.8958700770871052</c:v>
                </c:pt>
                <c:pt idx="64">
                  <c:v>-0.90982019209473186</c:v>
                </c:pt>
                <c:pt idx="65">
                  <c:v>-0.88106347180422584</c:v>
                </c:pt>
                <c:pt idx="66">
                  <c:v>-0.88617360115308275</c:v>
                </c:pt>
                <c:pt idx="67">
                  <c:v>-0.90314574548612658</c:v>
                </c:pt>
                <c:pt idx="68">
                  <c:v>-0.90316611342021713</c:v>
                </c:pt>
                <c:pt idx="69">
                  <c:v>-0.90534140867958013</c:v>
                </c:pt>
                <c:pt idx="70">
                  <c:v>-0.92150334737986217</c:v>
                </c:pt>
                <c:pt idx="71">
                  <c:v>-0.91212774158885435</c:v>
                </c:pt>
                <c:pt idx="72">
                  <c:v>-0.91339413712754469</c:v>
                </c:pt>
                <c:pt idx="73">
                  <c:v>-0.90427499257721866</c:v>
                </c:pt>
                <c:pt idx="74">
                  <c:v>-0.87507919073496421</c:v>
                </c:pt>
                <c:pt idx="75">
                  <c:v>-0.88904426363987588</c:v>
                </c:pt>
                <c:pt idx="76">
                  <c:v>-0.88882401813111866</c:v>
                </c:pt>
                <c:pt idx="77">
                  <c:v>-0.90009026717164431</c:v>
                </c:pt>
                <c:pt idx="78">
                  <c:v>-0.92095335582043125</c:v>
                </c:pt>
                <c:pt idx="79">
                  <c:v>-0.92116864952548383</c:v>
                </c:pt>
                <c:pt idx="80">
                  <c:v>-0.91187120429111135</c:v>
                </c:pt>
                <c:pt idx="81">
                  <c:v>-0.91345050691835139</c:v>
                </c:pt>
                <c:pt idx="82">
                  <c:v>-0.91593291784992115</c:v>
                </c:pt>
                <c:pt idx="83">
                  <c:v>-0.92428004841955236</c:v>
                </c:pt>
                <c:pt idx="84">
                  <c:v>-0.89440053149899923</c:v>
                </c:pt>
                <c:pt idx="85">
                  <c:v>-0.85817222694777584</c:v>
                </c:pt>
                <c:pt idx="86">
                  <c:v>-0.86508420121873808</c:v>
                </c:pt>
                <c:pt idx="87">
                  <c:v>-0.88190430426008759</c:v>
                </c:pt>
                <c:pt idx="88">
                  <c:v>-0.90763119226210176</c:v>
                </c:pt>
                <c:pt idx="89">
                  <c:v>-0.94743600234487291</c:v>
                </c:pt>
                <c:pt idx="90">
                  <c:v>-0.91747815215254869</c:v>
                </c:pt>
                <c:pt idx="91">
                  <c:v>-0.89553105009114664</c:v>
                </c:pt>
                <c:pt idx="92">
                  <c:v>-0.9225764881429418</c:v>
                </c:pt>
                <c:pt idx="93">
                  <c:v>-0.93004344483837553</c:v>
                </c:pt>
                <c:pt idx="94">
                  <c:v>-0.94021273896151203</c:v>
                </c:pt>
                <c:pt idx="95">
                  <c:v>-0.93582795048396938</c:v>
                </c:pt>
                <c:pt idx="96">
                  <c:v>-0.92808194139619227</c:v>
                </c:pt>
                <c:pt idx="97">
                  <c:v>-0.9383827338093762</c:v>
                </c:pt>
                <c:pt idx="98">
                  <c:v>-0.94066511570654343</c:v>
                </c:pt>
                <c:pt idx="99">
                  <c:v>-0.94003381955375842</c:v>
                </c:pt>
                <c:pt idx="100">
                  <c:v>-0.93268784860473697</c:v>
                </c:pt>
                <c:pt idx="101">
                  <c:v>-0.94553419641693492</c:v>
                </c:pt>
                <c:pt idx="102">
                  <c:v>-0.94432140624683281</c:v>
                </c:pt>
                <c:pt idx="103">
                  <c:v>-0.92979407087835064</c:v>
                </c:pt>
                <c:pt idx="104">
                  <c:v>-0.93331456910083621</c:v>
                </c:pt>
                <c:pt idx="105">
                  <c:v>-0.94321434290116346</c:v>
                </c:pt>
                <c:pt idx="106">
                  <c:v>-0.94243462828458147</c:v>
                </c:pt>
                <c:pt idx="107">
                  <c:v>-0.95292299333718877</c:v>
                </c:pt>
                <c:pt idx="108">
                  <c:v>-0.95967515675105486</c:v>
                </c:pt>
                <c:pt idx="109">
                  <c:v>-0.95744276726045185</c:v>
                </c:pt>
                <c:pt idx="110">
                  <c:v>-0.96549663060175739</c:v>
                </c:pt>
                <c:pt idx="111">
                  <c:v>-0.96420703098457472</c:v>
                </c:pt>
                <c:pt idx="112">
                  <c:v>-0.97079060121619909</c:v>
                </c:pt>
                <c:pt idx="113">
                  <c:v>-0.97021566200420595</c:v>
                </c:pt>
                <c:pt idx="114">
                  <c:v>-0.97156708872460629</c:v>
                </c:pt>
                <c:pt idx="115">
                  <c:v>-0.95287902060884522</c:v>
                </c:pt>
                <c:pt idx="116">
                  <c:v>-0.95364727058060805</c:v>
                </c:pt>
                <c:pt idx="117">
                  <c:v>-0.96110722687846295</c:v>
                </c:pt>
                <c:pt idx="118">
                  <c:v>-0.95986939195028287</c:v>
                </c:pt>
                <c:pt idx="119">
                  <c:v>-0.94535200893411298</c:v>
                </c:pt>
                <c:pt idx="120">
                  <c:v>-0.9276760093079357</c:v>
                </c:pt>
                <c:pt idx="121">
                  <c:v>-0.91341065594053328</c:v>
                </c:pt>
                <c:pt idx="122">
                  <c:v>-0.88021369450874243</c:v>
                </c:pt>
                <c:pt idx="123">
                  <c:v>-0.88110219481178675</c:v>
                </c:pt>
                <c:pt idx="124">
                  <c:v>-0.79784037121692086</c:v>
                </c:pt>
                <c:pt idx="125">
                  <c:v>-0.89268129068271973</c:v>
                </c:pt>
                <c:pt idx="126">
                  <c:v>-0.92026948218228211</c:v>
                </c:pt>
                <c:pt idx="127">
                  <c:v>-0.90378057284915081</c:v>
                </c:pt>
                <c:pt idx="128">
                  <c:v>-0.89524527558622702</c:v>
                </c:pt>
                <c:pt idx="129">
                  <c:v>-0.87619766753898132</c:v>
                </c:pt>
                <c:pt idx="130">
                  <c:v>-0.86982992296912964</c:v>
                </c:pt>
                <c:pt idx="131">
                  <c:v>-0.85638627024932956</c:v>
                </c:pt>
                <c:pt idx="132">
                  <c:v>-0.84846092455539146</c:v>
                </c:pt>
                <c:pt idx="133">
                  <c:v>-0.85415663897018224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A0-7B4C-83A2-2D9A6A607B58}"/>
            </c:ext>
          </c:extLst>
        </c:ser>
        <c:ser>
          <c:idx val="6"/>
          <c:order val="6"/>
          <c:tx>
            <c:strRef>
              <c:f>LightGBM再投資累積報酬!$C$29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LightGBM再投資累積報酬!$D$22:$EG$22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LightGBM再投資累積報酬!$D$29:$EG$29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A0-7B4C-83A2-2D9A6A60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03024"/>
        <c:axId val="2104419824"/>
      </c:lineChart>
      <c:catAx>
        <c:axId val="21044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9824"/>
        <c:crosses val="autoZero"/>
        <c:auto val="1"/>
        <c:lblAlgn val="ctr"/>
        <c:lblOffset val="100"/>
        <c:noMultiLvlLbl val="0"/>
      </c:catAx>
      <c:valAx>
        <c:axId val="2104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030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7838</xdr:colOff>
      <xdr:row>29</xdr:row>
      <xdr:rowOff>180309</xdr:rowOff>
    </xdr:from>
    <xdr:to>
      <xdr:col>124</xdr:col>
      <xdr:colOff>650677</xdr:colOff>
      <xdr:row>45</xdr:row>
      <xdr:rowOff>54875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168188</xdr:colOff>
      <xdr:row>31</xdr:row>
      <xdr:rowOff>14244</xdr:rowOff>
    </xdr:from>
    <xdr:to>
      <xdr:col>128</xdr:col>
      <xdr:colOff>420472</xdr:colOff>
      <xdr:row>46</xdr:row>
      <xdr:rowOff>163040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442783</xdr:colOff>
      <xdr:row>31</xdr:row>
      <xdr:rowOff>74312</xdr:rowOff>
    </xdr:from>
    <xdr:to>
      <xdr:col>18</xdr:col>
      <xdr:colOff>94392</xdr:colOff>
      <xdr:row>48</xdr:row>
      <xdr:rowOff>42905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31</xdr:row>
      <xdr:rowOff>193609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FF22B4B7-1967-C443-BC5E-ECD2E8A23148}"/>
                </a:ext>
              </a:extLst>
            </xdr:cNvPr>
            <xdr:cNvSpPr txBox="1"/>
          </xdr:nvSpPr>
          <xdr:spPr>
            <a:xfrm>
              <a:off x="180310" y="65182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FF22B4B7-1967-C443-BC5E-ECD2E8A23148}"/>
                </a:ext>
              </a:extLst>
            </xdr:cNvPr>
            <xdr:cNvSpPr txBox="1"/>
          </xdr:nvSpPr>
          <xdr:spPr>
            <a:xfrm>
              <a:off x="180310" y="65182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2"/>
  <sheetViews>
    <sheetView workbookViewId="0">
      <selection activeCell="N15" sqref="N15"/>
    </sheetView>
  </sheetViews>
  <sheetFormatPr baseColWidth="10" defaultColWidth="8.83203125" defaultRowHeight="15"/>
  <cols>
    <col min="1" max="1" width="8.83203125" style="39" customWidth="1"/>
    <col min="2" max="2" width="8.33203125" style="39" customWidth="1"/>
    <col min="3" max="10" width="8.83203125" style="3" bestFit="1" customWidth="1"/>
    <col min="11" max="11" width="8.1640625" style="39" customWidth="1"/>
    <col min="12" max="55" width="8.83203125" style="3" bestFit="1" customWidth="1"/>
    <col min="56" max="56" width="13.83203125" style="3" bestFit="1" customWidth="1"/>
    <col min="57" max="136" width="8.83203125" style="3" bestFit="1" customWidth="1"/>
    <col min="137" max="137" width="8.83203125" style="3" customWidth="1"/>
    <col min="138" max="16384" width="8.83203125" style="3"/>
  </cols>
  <sheetData>
    <row r="1" spans="1:137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ht="16" customHeight="1">
      <c r="A2" s="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4" t="s">
        <v>134</v>
      </c>
      <c r="EF2" s="14" t="s">
        <v>135</v>
      </c>
    </row>
    <row r="3" spans="1:137" ht="16" customHeight="1">
      <c r="A3" s="5"/>
      <c r="B3" s="25" t="s">
        <v>136</v>
      </c>
      <c r="C3" s="48">
        <v>-2.8421104727028079E-2</v>
      </c>
      <c r="D3" s="48">
        <v>-3.208685313736968E-3</v>
      </c>
      <c r="E3" s="48">
        <v>-4.5759688901152902E-2</v>
      </c>
      <c r="F3" s="48">
        <v>-6.2181712981082209E-2</v>
      </c>
      <c r="G3" s="48">
        <v>-5.9567677599250919E-2</v>
      </c>
      <c r="H3" s="48">
        <v>-1.0649054962210049E-2</v>
      </c>
      <c r="I3" s="48">
        <v>-1.2760090112012221E-2</v>
      </c>
      <c r="J3" s="48">
        <v>-4.7600297468212593E-2</v>
      </c>
      <c r="K3" s="48">
        <v>-3.1071014688411759E-2</v>
      </c>
      <c r="L3" s="48">
        <v>-2.8040118872059011E-2</v>
      </c>
      <c r="M3" s="48">
        <v>-9.0825358275516809E-3</v>
      </c>
      <c r="N3" s="48">
        <v>-4.5141758400028507E-2</v>
      </c>
      <c r="O3" s="48">
        <v>-4.4270345992493187E-2</v>
      </c>
      <c r="P3" s="48">
        <v>-3.1684381036210657E-2</v>
      </c>
      <c r="Q3" s="48">
        <v>-5.5433013198764709E-2</v>
      </c>
      <c r="R3" s="48">
        <v>-2.7109949698370769E-2</v>
      </c>
      <c r="S3" s="48">
        <v>-1.6227495678406239E-2</v>
      </c>
      <c r="T3" s="48">
        <v>-2.74668876836252E-3</v>
      </c>
      <c r="U3" s="48">
        <v>-2.037061400083346E-2</v>
      </c>
      <c r="V3" s="48">
        <v>3.766180674277577E-3</v>
      </c>
      <c r="W3" s="48">
        <v>-1.4262473329693571E-2</v>
      </c>
      <c r="X3" s="48">
        <v>-9.1735799598149578E-2</v>
      </c>
      <c r="Y3" s="48">
        <v>-3.1277664631821453E-2</v>
      </c>
      <c r="Z3" s="48">
        <v>1.311693819413791E-2</v>
      </c>
      <c r="AA3" s="48">
        <v>-9.563686783649987E-3</v>
      </c>
      <c r="AB3" s="48">
        <v>-6.3454765548039589E-3</v>
      </c>
      <c r="AC3" s="48">
        <v>9.0571962108722519E-4</v>
      </c>
      <c r="AD3" s="48">
        <v>-2.5965432198374501E-2</v>
      </c>
      <c r="AE3" s="48">
        <v>-9.6560945003596813E-3</v>
      </c>
      <c r="AF3" s="48">
        <v>3.0675596150326521E-3</v>
      </c>
      <c r="AG3" s="48">
        <v>-3.2383393857567819E-2</v>
      </c>
      <c r="AH3" s="48">
        <v>-7.4773786196781636E-3</v>
      </c>
      <c r="AI3" s="48">
        <v>-1.9157841267026701E-3</v>
      </c>
      <c r="AJ3" s="48">
        <v>-9.5868529908732826E-3</v>
      </c>
      <c r="AK3" s="48">
        <v>-1.2509583798462591E-2</v>
      </c>
      <c r="AL3" s="48">
        <v>-3.2067834700604307E-2</v>
      </c>
      <c r="AM3" s="48">
        <v>-2.3857075122378169E-2</v>
      </c>
      <c r="AN3" s="48">
        <v>-5.5529021076396907E-2</v>
      </c>
      <c r="AO3" s="48">
        <v>-5.4187593089638872E-2</v>
      </c>
      <c r="AP3" s="48">
        <v>-2.0805825997175689E-2</v>
      </c>
      <c r="AQ3" s="48">
        <v>-5.4464581053930053E-2</v>
      </c>
      <c r="AR3" s="48">
        <v>-7.9251422099666322E-3</v>
      </c>
      <c r="AS3" s="48">
        <v>-8.0704945759022553E-2</v>
      </c>
      <c r="AT3" s="48">
        <v>-3.328658775348309E-3</v>
      </c>
      <c r="AU3" s="48">
        <v>-1.673037286716203E-2</v>
      </c>
      <c r="AV3" s="48">
        <v>-4.0662307095684212E-2</v>
      </c>
      <c r="AW3" s="48">
        <v>-1.334959003324303E-2</v>
      </c>
      <c r="AX3" s="48">
        <v>4.1132674754426791E-4</v>
      </c>
      <c r="AY3" s="48">
        <v>-1.5450972886281691E-2</v>
      </c>
      <c r="AZ3" s="48">
        <v>-3.4346740119606443E-2</v>
      </c>
      <c r="BA3" s="48">
        <v>-1.172194731248649E-2</v>
      </c>
      <c r="BB3" s="48">
        <v>-8.6451379632099118E-3</v>
      </c>
      <c r="BC3" s="48">
        <v>9.3133168808856109E-2</v>
      </c>
      <c r="BD3" s="48">
        <v>2.1270749367482099E-2</v>
      </c>
      <c r="BE3" s="48">
        <v>4.1896161475669588E-3</v>
      </c>
      <c r="BF3" s="48">
        <v>8.7493562675177813E-2</v>
      </c>
      <c r="BG3" s="48">
        <v>-8.6101779527626363E-3</v>
      </c>
      <c r="BH3" s="48">
        <v>-2.1536216700937989E-2</v>
      </c>
      <c r="BI3" s="48">
        <v>7.6523316715502762E-2</v>
      </c>
      <c r="BJ3" s="48">
        <v>0.1105314383779499</v>
      </c>
      <c r="BK3" s="48">
        <v>4.3903811589380011E-2</v>
      </c>
      <c r="BL3" s="48">
        <v>-5.7341143531256843E-3</v>
      </c>
      <c r="BM3" s="48">
        <v>8.5239265989366125E-2</v>
      </c>
      <c r="BN3" s="48">
        <v>-2.7413590832266299E-2</v>
      </c>
      <c r="BO3" s="48">
        <v>-2.6194248952995901E-2</v>
      </c>
      <c r="BP3" s="48">
        <v>-5.0536531526184283E-3</v>
      </c>
      <c r="BQ3" s="48">
        <v>-1.5635983929226511E-2</v>
      </c>
      <c r="BR3" s="48">
        <v>-2.8605950694547541E-3</v>
      </c>
      <c r="BS3" s="48">
        <v>-2.2503841216196401E-2</v>
      </c>
      <c r="BT3" s="48">
        <v>-2.8888225833718351E-2</v>
      </c>
      <c r="BU3" s="48">
        <v>4.6852266700261853E-4</v>
      </c>
      <c r="BV3" s="48">
        <v>-1.434301187800616E-2</v>
      </c>
      <c r="BW3" s="48">
        <v>-2.476540620532651E-3</v>
      </c>
      <c r="BX3" s="48">
        <v>-3.3669345441934952E-3</v>
      </c>
      <c r="BY3" s="48">
        <v>9.878153251198861E-3</v>
      </c>
      <c r="BZ3" s="48">
        <v>5.9334882536814217E-2</v>
      </c>
      <c r="CA3" s="48">
        <v>-1.6962408602272262E-2</v>
      </c>
      <c r="CB3" s="48">
        <v>1.5768732669022449E-2</v>
      </c>
      <c r="CC3" s="48">
        <v>-4.5796910393069067E-2</v>
      </c>
      <c r="CD3" s="48">
        <v>-1.6834237307913519E-2</v>
      </c>
      <c r="CE3" s="48">
        <v>-2.8685122363867881E-2</v>
      </c>
      <c r="CF3" s="48">
        <v>-6.1571374856701562E-2</v>
      </c>
      <c r="CG3" s="48">
        <v>-9.3795888365886398E-3</v>
      </c>
      <c r="CH3" s="48">
        <v>-2.7363970600978789E-2</v>
      </c>
      <c r="CI3" s="48">
        <v>-5.6179208511147891E-3</v>
      </c>
      <c r="CJ3" s="48">
        <v>-1.8410730271478559E-2</v>
      </c>
      <c r="CK3" s="48">
        <v>-6.0048442412961353E-2</v>
      </c>
      <c r="CL3" s="48">
        <v>5.1031673893922727E-2</v>
      </c>
      <c r="CM3" s="48">
        <v>-3.1853466568491057E-2</v>
      </c>
      <c r="CN3" s="48">
        <v>-3.4014778206449461E-3</v>
      </c>
      <c r="CO3" s="48">
        <v>-5.9588482604922052E-3</v>
      </c>
      <c r="CP3" s="48">
        <v>-5.2511427801071153E-2</v>
      </c>
      <c r="CQ3" s="48">
        <v>-1.81922829211262E-2</v>
      </c>
      <c r="CR3" s="48">
        <v>-1.3835788420544949E-2</v>
      </c>
      <c r="CS3" s="48">
        <v>6.6811103890358353E-2</v>
      </c>
      <c r="CT3" s="48">
        <v>-4.3738322901373791E-2</v>
      </c>
      <c r="CU3" s="48">
        <v>-2.7281598360886401E-2</v>
      </c>
      <c r="CV3" s="48">
        <v>-1.4720715071893559E-2</v>
      </c>
      <c r="CW3" s="48">
        <v>-9.6698956514705437E-3</v>
      </c>
      <c r="CX3" s="48">
        <v>-5.6823075813148147E-2</v>
      </c>
      <c r="CY3" s="48">
        <v>-7.71432646033405E-3</v>
      </c>
      <c r="CZ3" s="48">
        <v>-1.360085913032304E-2</v>
      </c>
      <c r="DA3" s="48">
        <v>-1.983200582931768E-2</v>
      </c>
      <c r="DB3" s="48">
        <v>-2.8697643425269939E-2</v>
      </c>
      <c r="DC3" s="48">
        <v>-4.2602948643396192E-2</v>
      </c>
      <c r="DD3" s="48">
        <v>-3.7717335072620199E-2</v>
      </c>
      <c r="DE3" s="48">
        <v>-1.8655422969598889E-2</v>
      </c>
      <c r="DF3" s="48">
        <v>4.4044419885649562E-2</v>
      </c>
      <c r="DG3" s="48">
        <v>2.4808363511006081E-2</v>
      </c>
      <c r="DH3" s="48">
        <v>-9.0166159090774526E-3</v>
      </c>
      <c r="DI3" s="48">
        <v>4.1737322123146237E-3</v>
      </c>
      <c r="DJ3" s="48">
        <v>-2.1302416984057548E-2</v>
      </c>
      <c r="DK3" s="48">
        <v>-3.5212077756554078E-2</v>
      </c>
      <c r="DL3" s="48">
        <v>-2.5285552316213971E-2</v>
      </c>
      <c r="DM3" s="48">
        <v>-1.8070447111021359E-2</v>
      </c>
      <c r="DN3" s="48">
        <v>-2.445959145376856E-2</v>
      </c>
      <c r="DO3" s="48">
        <v>-2.2975005725779631E-2</v>
      </c>
      <c r="DP3" s="48">
        <v>-2.2725345387276379E-2</v>
      </c>
      <c r="DQ3" s="48">
        <v>-3.4792527601013153E-2</v>
      </c>
      <c r="DR3" s="48">
        <v>-1.4517742632896411E-2</v>
      </c>
      <c r="DS3" s="48">
        <v>3.9697576627326217E-2</v>
      </c>
      <c r="DT3" s="48">
        <v>-2.552860479851593E-2</v>
      </c>
      <c r="DU3" s="48">
        <v>-1.396552243236936E-2</v>
      </c>
      <c r="DV3" s="48">
        <v>-1.1635769288527879E-2</v>
      </c>
      <c r="DW3" s="48">
        <v>-1.9578166886271411E-2</v>
      </c>
      <c r="DX3" s="48">
        <v>-1.672923296838821E-2</v>
      </c>
      <c r="DY3" s="48">
        <v>-1.3926629463653891E-2</v>
      </c>
      <c r="DZ3" s="48">
        <v>-6.4078276717765906E-2</v>
      </c>
      <c r="EA3" s="48">
        <v>-1.117408238719104E-2</v>
      </c>
      <c r="EB3" s="48">
        <v>-3.2139420854206367E-2</v>
      </c>
      <c r="EC3" s="48">
        <v>-6.5260958854404501E-3</v>
      </c>
      <c r="ED3" s="48">
        <v>-3.3025344707347623E-2</v>
      </c>
      <c r="EE3" s="48">
        <v>-4.2642098369574E-2</v>
      </c>
      <c r="EF3" s="48">
        <v>4.6335983637172957E-2</v>
      </c>
    </row>
    <row r="4" spans="1:137" ht="16" customHeight="1">
      <c r="A4" s="5"/>
      <c r="B4" s="25" t="s">
        <v>137</v>
      </c>
      <c r="C4" s="48">
        <v>3.2149527084856369E-2</v>
      </c>
      <c r="D4" s="48">
        <v>3.105823310338086E-2</v>
      </c>
      <c r="E4" s="48">
        <v>2.1920012492185049E-2</v>
      </c>
      <c r="F4" s="48">
        <v>2.691981605032728E-2</v>
      </c>
      <c r="G4" s="48">
        <v>3.5273391801589921E-2</v>
      </c>
      <c r="H4" s="48">
        <v>7.2960052853962912E-2</v>
      </c>
      <c r="I4" s="48">
        <v>8.370043064766719E-2</v>
      </c>
      <c r="J4" s="48">
        <v>5.495260713794909E-2</v>
      </c>
      <c r="K4" s="48">
        <v>6.5819170342395678E-2</v>
      </c>
      <c r="L4" s="48">
        <v>4.1291150417782981E-2</v>
      </c>
      <c r="M4" s="48">
        <v>3.1112425393556051E-2</v>
      </c>
      <c r="N4" s="48">
        <v>1.5944504229597981E-2</v>
      </c>
      <c r="O4" s="48">
        <v>2.8902999389272929E-3</v>
      </c>
      <c r="P4" s="48">
        <v>-2.0143455102547021E-2</v>
      </c>
      <c r="Q4" s="48">
        <v>4.4313997804930469E-3</v>
      </c>
      <c r="R4" s="48">
        <v>-3.224181865720778E-2</v>
      </c>
      <c r="S4" s="48">
        <v>-1.46021568898697E-2</v>
      </c>
      <c r="T4" s="48">
        <v>4.4119439715052987E-3</v>
      </c>
      <c r="U4" s="48">
        <v>-1.292089384418894E-2</v>
      </c>
      <c r="V4" s="48">
        <v>-5.8865342492954789E-3</v>
      </c>
      <c r="W4" s="48">
        <v>2.54736714700604E-2</v>
      </c>
      <c r="X4" s="48">
        <v>-5.2639646135125258E-3</v>
      </c>
      <c r="Y4" s="48">
        <v>-1.6245666614879931E-2</v>
      </c>
      <c r="Z4" s="48">
        <v>-3.9122599829060356E-3</v>
      </c>
      <c r="AA4" s="48">
        <v>1.0350439256341919E-2</v>
      </c>
      <c r="AB4" s="48">
        <v>4.3275859692831327E-2</v>
      </c>
      <c r="AC4" s="48">
        <v>2.8867700583139332E-2</v>
      </c>
      <c r="AD4" s="48">
        <v>4.1043584630013029E-2</v>
      </c>
      <c r="AE4" s="48">
        <v>2.3302438782104511E-2</v>
      </c>
      <c r="AF4" s="48">
        <v>2.9358021178190408E-2</v>
      </c>
      <c r="AG4" s="48">
        <v>1.6663025097451951E-2</v>
      </c>
      <c r="AH4" s="48">
        <v>1.526857378577275E-2</v>
      </c>
      <c r="AI4" s="48">
        <v>1.4681378114002689E-2</v>
      </c>
      <c r="AJ4" s="48">
        <v>3.3443265762379722E-3</v>
      </c>
      <c r="AK4" s="48">
        <v>1.899701826950519E-2</v>
      </c>
      <c r="AL4" s="48">
        <v>2.4881633411433471E-2</v>
      </c>
      <c r="AM4" s="48">
        <v>1.378765224315145E-2</v>
      </c>
      <c r="AN4" s="48">
        <v>4.0164410358838913E-3</v>
      </c>
      <c r="AO4" s="48">
        <v>1.185301211492496E-2</v>
      </c>
      <c r="AP4" s="48">
        <v>-2.400252940240577E-2</v>
      </c>
      <c r="AQ4" s="48">
        <v>-8.6616031918082519E-3</v>
      </c>
      <c r="AR4" s="48">
        <v>-4.9291308205635737E-2</v>
      </c>
      <c r="AS4" s="48">
        <v>-4.6612021224546857E-2</v>
      </c>
      <c r="AT4" s="48">
        <v>-1.366930300035602E-2</v>
      </c>
      <c r="AU4" s="48">
        <v>-7.1382331643124273E-3</v>
      </c>
      <c r="AV4" s="48">
        <v>-1.2807856371098341E-2</v>
      </c>
      <c r="AW4" s="48">
        <v>1.0745088545015611E-2</v>
      </c>
      <c r="AX4" s="48">
        <v>-1.1321088629540599E-3</v>
      </c>
      <c r="AY4" s="48">
        <v>1.6647319343567529E-2</v>
      </c>
      <c r="AZ4" s="48">
        <v>1.8617873365772891E-2</v>
      </c>
      <c r="BA4" s="48">
        <v>2.3323984711130591E-2</v>
      </c>
      <c r="BB4" s="48">
        <v>8.2449341885643904E-3</v>
      </c>
      <c r="BC4" s="48">
        <v>8.8282725652130169E-3</v>
      </c>
      <c r="BD4" s="48">
        <v>1.8147155672696359E-2</v>
      </c>
      <c r="BE4" s="48">
        <v>6.1555981266258868E-3</v>
      </c>
      <c r="BF4" s="48">
        <v>-1.229064455734249E-2</v>
      </c>
      <c r="BG4" s="48">
        <v>-5.9310580541937002E-3</v>
      </c>
      <c r="BH4" s="48">
        <v>-4.2727280286792013E-3</v>
      </c>
      <c r="BI4" s="48">
        <v>1.4160548000307071E-2</v>
      </c>
      <c r="BJ4" s="48">
        <v>8.3678246380819027E-3</v>
      </c>
      <c r="BK4" s="48">
        <v>-1.8798857360029252E-2</v>
      </c>
      <c r="BL4" s="48">
        <v>-5.8491424170947449E-3</v>
      </c>
      <c r="BM4" s="48">
        <v>-1.3166786480675159E-2</v>
      </c>
      <c r="BN4" s="48">
        <v>1.388555131204235E-2</v>
      </c>
      <c r="BO4" s="48">
        <v>1.6162147350699579E-2</v>
      </c>
      <c r="BP4" s="48">
        <v>3.9650518321837379E-2</v>
      </c>
      <c r="BQ4" s="48">
        <v>3.1389726178375613E-2</v>
      </c>
      <c r="BR4" s="48">
        <v>4.0897547442941981E-2</v>
      </c>
      <c r="BS4" s="48">
        <v>1.367635426070231E-2</v>
      </c>
      <c r="BT4" s="48">
        <v>1.6915816793389899E-2</v>
      </c>
      <c r="BU4" s="48">
        <v>1.7996776268584352E-2</v>
      </c>
      <c r="BV4" s="48">
        <v>1.69136245347128E-2</v>
      </c>
      <c r="BW4" s="48">
        <v>5.4921253193510999E-3</v>
      </c>
      <c r="BX4" s="48">
        <v>1.170878101820127E-2</v>
      </c>
      <c r="BY4" s="48">
        <v>1.249350926070799E-2</v>
      </c>
      <c r="BZ4" s="48">
        <v>1.7018808576172651E-2</v>
      </c>
      <c r="CA4" s="48">
        <v>1.4260342294680669E-2</v>
      </c>
      <c r="CB4" s="48">
        <v>5.0213231193390407E-3</v>
      </c>
      <c r="CC4" s="48">
        <v>-1.868269587538764E-3</v>
      </c>
      <c r="CD4" s="48">
        <v>2.045841222857829E-2</v>
      </c>
      <c r="CE4" s="48">
        <v>2.0683321016735281E-2</v>
      </c>
      <c r="CF4" s="48">
        <v>-9.5815188786293436E-3</v>
      </c>
      <c r="CG4" s="48">
        <v>-2.8466592549503771E-2</v>
      </c>
      <c r="CH4" s="48">
        <v>-3.2564910892747849E-3</v>
      </c>
      <c r="CI4" s="48">
        <v>1.9169051095262791E-3</v>
      </c>
      <c r="CJ4" s="48">
        <v>1.1528987188833519E-2</v>
      </c>
      <c r="CK4" s="48">
        <v>1.006828635293071E-2</v>
      </c>
      <c r="CL4" s="48">
        <v>1.2952232423862351E-2</v>
      </c>
      <c r="CM4" s="48">
        <v>4.3310723839016961E-3</v>
      </c>
      <c r="CN4" s="48">
        <v>-2.9342906660342599E-3</v>
      </c>
      <c r="CO4" s="48">
        <v>-7.4118525748900349E-3</v>
      </c>
      <c r="CP4" s="48">
        <v>-8.4165338484879088E-3</v>
      </c>
      <c r="CQ4" s="48">
        <v>2.6063257135203318E-4</v>
      </c>
      <c r="CR4" s="48">
        <v>-4.5614667611052406E-3</v>
      </c>
      <c r="CS4" s="48">
        <v>-1.5033045218345869E-2</v>
      </c>
      <c r="CT4" s="48">
        <v>-6.4041876456897373E-3</v>
      </c>
      <c r="CU4" s="48">
        <v>-5.2180227541617002E-3</v>
      </c>
      <c r="CV4" s="48">
        <v>1.476681113641032E-2</v>
      </c>
      <c r="CW4" s="48">
        <v>7.9096072335034275E-3</v>
      </c>
      <c r="CX4" s="48">
        <v>9.1865944707425796E-3</v>
      </c>
      <c r="CY4" s="48">
        <v>7.9215283147466183E-3</v>
      </c>
      <c r="CZ4" s="48">
        <v>2.591144793400731E-2</v>
      </c>
      <c r="DA4" s="48">
        <v>-3.3181029063199328E-2</v>
      </c>
      <c r="DB4" s="48">
        <v>1.0437975848499559E-2</v>
      </c>
      <c r="DC4" s="48">
        <v>3.6289702048972229E-2</v>
      </c>
      <c r="DD4" s="48">
        <v>-2.733366229117298E-2</v>
      </c>
      <c r="DE4" s="48">
        <v>5.3204379349536573E-5</v>
      </c>
      <c r="DF4" s="48">
        <v>1.193428879192393E-2</v>
      </c>
      <c r="DG4" s="48">
        <v>-6.8727258376211778E-3</v>
      </c>
      <c r="DH4" s="48">
        <v>3.881353748085382E-3</v>
      </c>
      <c r="DI4" s="48">
        <v>8.9454077666745666E-3</v>
      </c>
      <c r="DJ4" s="48">
        <v>1.4739475713264789E-2</v>
      </c>
      <c r="DK4" s="48">
        <v>-9.5534372883526401E-3</v>
      </c>
      <c r="DL4" s="48">
        <v>4.5369163136782471E-2</v>
      </c>
      <c r="DM4" s="48">
        <v>5.2420327587513388E-2</v>
      </c>
      <c r="DN4" s="48">
        <v>4.6322268325848508E-2</v>
      </c>
      <c r="DO4" s="48">
        <v>3.8793460338852753E-2</v>
      </c>
      <c r="DP4" s="48">
        <v>3.1593983972767588E-2</v>
      </c>
      <c r="DQ4" s="48">
        <v>2.797446011579121E-2</v>
      </c>
      <c r="DR4" s="48">
        <v>4.167004625571382E-2</v>
      </c>
      <c r="DS4" s="48">
        <v>3.9311670857282079E-2</v>
      </c>
      <c r="DT4" s="48">
        <v>4.1756820117327051E-2</v>
      </c>
      <c r="DU4" s="48">
        <v>4.0857076088111163E-2</v>
      </c>
      <c r="DV4" s="48">
        <v>2.9541589437123771E-2</v>
      </c>
      <c r="DW4" s="48">
        <v>4.8580647466298171E-2</v>
      </c>
      <c r="DX4" s="48">
        <v>2.1294874454294649E-2</v>
      </c>
      <c r="DY4" s="48">
        <v>2.2110302181442752E-2</v>
      </c>
      <c r="DZ4" s="48">
        <v>1.8187961118967151E-2</v>
      </c>
      <c r="EA4" s="48">
        <v>1.8972921510954831E-2</v>
      </c>
      <c r="EB4" s="48">
        <v>1.2440641938269241E-2</v>
      </c>
      <c r="EC4" s="48">
        <v>1.9440548145298161E-2</v>
      </c>
      <c r="ED4" s="48">
        <v>1.7895222088173131E-2</v>
      </c>
      <c r="EE4" s="48">
        <v>1.9741134860367049E-2</v>
      </c>
      <c r="EF4" s="48">
        <v>1.6674021797905329E-2</v>
      </c>
      <c r="EG4" s="16"/>
    </row>
    <row r="5" spans="1:137" ht="16" customHeight="1">
      <c r="A5" s="5"/>
      <c r="B5" s="25" t="s">
        <v>138</v>
      </c>
      <c r="C5" s="48">
        <v>3.2149527084856369E-2</v>
      </c>
      <c r="D5" s="48">
        <v>3.105823310338086E-2</v>
      </c>
      <c r="E5" s="48">
        <v>2.1920012492185049E-2</v>
      </c>
      <c r="F5" s="48">
        <v>2.691981605032728E-2</v>
      </c>
      <c r="G5" s="48">
        <v>3.5273391801589921E-2</v>
      </c>
      <c r="H5" s="48">
        <v>7.2960052853962912E-2</v>
      </c>
      <c r="I5" s="48">
        <v>8.370043064766719E-2</v>
      </c>
      <c r="J5" s="48">
        <v>5.495260713794909E-2</v>
      </c>
      <c r="K5" s="48">
        <v>6.5819170342395678E-2</v>
      </c>
      <c r="L5" s="48">
        <v>4.1291150417782981E-2</v>
      </c>
      <c r="M5" s="48">
        <v>3.1112425393556051E-2</v>
      </c>
      <c r="N5" s="48">
        <v>1.5944504229597981E-2</v>
      </c>
      <c r="O5" s="48">
        <v>2.8902999389272929E-3</v>
      </c>
      <c r="P5" s="48">
        <v>-2.0143455102547021E-2</v>
      </c>
      <c r="Q5" s="48">
        <v>4.4313997804930469E-3</v>
      </c>
      <c r="R5" s="48">
        <v>-3.224181865720778E-2</v>
      </c>
      <c r="S5" s="48">
        <v>-1.46021568898697E-2</v>
      </c>
      <c r="T5" s="48">
        <v>4.4119439715052987E-3</v>
      </c>
      <c r="U5" s="48">
        <v>-1.292089384418894E-2</v>
      </c>
      <c r="V5" s="48">
        <v>-5.8865342492954789E-3</v>
      </c>
      <c r="W5" s="48">
        <v>2.54736714700604E-2</v>
      </c>
      <c r="X5" s="48">
        <v>-5.2639646135125258E-3</v>
      </c>
      <c r="Y5" s="48">
        <v>-1.6245666614879931E-2</v>
      </c>
      <c r="Z5" s="48">
        <v>-3.9122599829060356E-3</v>
      </c>
      <c r="AA5" s="48">
        <v>1.0350439256341919E-2</v>
      </c>
      <c r="AB5" s="48">
        <v>4.3275859692831327E-2</v>
      </c>
      <c r="AC5" s="48">
        <v>2.8867700583139332E-2</v>
      </c>
      <c r="AD5" s="48">
        <v>4.1043584630013029E-2</v>
      </c>
      <c r="AE5" s="48">
        <v>2.3302438782104511E-2</v>
      </c>
      <c r="AF5" s="48">
        <v>2.9358021178190408E-2</v>
      </c>
      <c r="AG5" s="48">
        <v>1.6663025097451951E-2</v>
      </c>
      <c r="AH5" s="48">
        <v>1.526857378577275E-2</v>
      </c>
      <c r="AI5" s="48">
        <v>1.4681378114002689E-2</v>
      </c>
      <c r="AJ5" s="48">
        <v>3.3443265762379722E-3</v>
      </c>
      <c r="AK5" s="48">
        <v>1.899701826950519E-2</v>
      </c>
      <c r="AL5" s="48">
        <v>2.4881633411433471E-2</v>
      </c>
      <c r="AM5" s="48">
        <v>1.378765224315145E-2</v>
      </c>
      <c r="AN5" s="48">
        <v>4.0164410358838913E-3</v>
      </c>
      <c r="AO5" s="48">
        <v>1.185301211492496E-2</v>
      </c>
      <c r="AP5" s="48">
        <v>-2.400252940240577E-2</v>
      </c>
      <c r="AQ5" s="48">
        <v>-8.6616031918082519E-3</v>
      </c>
      <c r="AR5" s="48">
        <v>-4.9291308205635737E-2</v>
      </c>
      <c r="AS5" s="48">
        <v>-4.6612021224546857E-2</v>
      </c>
      <c r="AT5" s="48">
        <v>-1.366930300035602E-2</v>
      </c>
      <c r="AU5" s="48">
        <v>-7.1382331643124273E-3</v>
      </c>
      <c r="AV5" s="48">
        <v>-1.2807856371098341E-2</v>
      </c>
      <c r="AW5" s="48">
        <v>1.0745088545015611E-2</v>
      </c>
      <c r="AX5" s="48">
        <v>-1.1321088629540599E-3</v>
      </c>
      <c r="AY5" s="48">
        <v>1.6647319343567529E-2</v>
      </c>
      <c r="AZ5" s="48">
        <v>1.8617873365772891E-2</v>
      </c>
      <c r="BA5" s="48">
        <v>2.3323984711130591E-2</v>
      </c>
      <c r="BB5" s="48">
        <v>8.2449341885643904E-3</v>
      </c>
      <c r="BC5" s="48">
        <v>8.8282725652130169E-3</v>
      </c>
      <c r="BD5" s="48">
        <v>1.8147155672696359E-2</v>
      </c>
      <c r="BE5" s="48">
        <v>6.1555981266258868E-3</v>
      </c>
      <c r="BF5" s="48">
        <v>-1.229064455734249E-2</v>
      </c>
      <c r="BG5" s="48">
        <v>-5.9310580541937002E-3</v>
      </c>
      <c r="BH5" s="48">
        <v>-4.2727280286792013E-3</v>
      </c>
      <c r="BI5" s="48">
        <v>1.4160548000307071E-2</v>
      </c>
      <c r="BJ5" s="48">
        <v>8.3678246380819027E-3</v>
      </c>
      <c r="BK5" s="48">
        <v>-1.8798857360029252E-2</v>
      </c>
      <c r="BL5" s="48">
        <v>-5.8491424170947449E-3</v>
      </c>
      <c r="BM5" s="48">
        <v>-1.3166786480675159E-2</v>
      </c>
      <c r="BN5" s="48">
        <v>1.388555131204235E-2</v>
      </c>
      <c r="BO5" s="48">
        <v>1.6162147350699579E-2</v>
      </c>
      <c r="BP5" s="48">
        <v>3.9650518321837379E-2</v>
      </c>
      <c r="BQ5" s="48">
        <v>3.1389726178375613E-2</v>
      </c>
      <c r="BR5" s="48">
        <v>4.0897547442941981E-2</v>
      </c>
      <c r="BS5" s="48">
        <v>1.367635426070231E-2</v>
      </c>
      <c r="BT5" s="48">
        <v>1.6915816793389899E-2</v>
      </c>
      <c r="BU5" s="48">
        <v>1.7996776268584352E-2</v>
      </c>
      <c r="BV5" s="48">
        <v>1.69136245347128E-2</v>
      </c>
      <c r="BW5" s="48">
        <v>5.4921253193510999E-3</v>
      </c>
      <c r="BX5" s="48">
        <v>1.170878101820127E-2</v>
      </c>
      <c r="BY5" s="48">
        <v>1.249350926070799E-2</v>
      </c>
      <c r="BZ5" s="48">
        <v>1.7018808576172651E-2</v>
      </c>
      <c r="CA5" s="48">
        <v>1.4260342294680669E-2</v>
      </c>
      <c r="CB5" s="48">
        <v>5.0213231193390407E-3</v>
      </c>
      <c r="CC5" s="48">
        <v>-1.868269587538764E-3</v>
      </c>
      <c r="CD5" s="48">
        <v>2.045841222857829E-2</v>
      </c>
      <c r="CE5" s="48">
        <v>2.0683321016735281E-2</v>
      </c>
      <c r="CF5" s="48">
        <v>-9.5815188786293436E-3</v>
      </c>
      <c r="CG5" s="48">
        <v>-2.8466592549503771E-2</v>
      </c>
      <c r="CH5" s="48">
        <v>-3.2564910892747849E-3</v>
      </c>
      <c r="CI5" s="48">
        <v>1.9169051095262791E-3</v>
      </c>
      <c r="CJ5" s="48">
        <v>1.1528987188833519E-2</v>
      </c>
      <c r="CK5" s="48">
        <v>1.006828635293071E-2</v>
      </c>
      <c r="CL5" s="48">
        <v>1.2952232423862351E-2</v>
      </c>
      <c r="CM5" s="48">
        <v>4.3310723839016961E-3</v>
      </c>
      <c r="CN5" s="48">
        <v>-2.9342906660342599E-3</v>
      </c>
      <c r="CO5" s="48">
        <v>-7.4118525748900349E-3</v>
      </c>
      <c r="CP5" s="48">
        <v>-8.4165338484879088E-3</v>
      </c>
      <c r="CQ5" s="48">
        <v>2.6063257135203318E-4</v>
      </c>
      <c r="CR5" s="48">
        <v>-4.5614667611052406E-3</v>
      </c>
      <c r="CS5" s="48">
        <v>-1.5033045218345869E-2</v>
      </c>
      <c r="CT5" s="48">
        <v>-6.4041876456897373E-3</v>
      </c>
      <c r="CU5" s="48">
        <v>-5.2180227541617002E-3</v>
      </c>
      <c r="CV5" s="48">
        <v>1.476681113641032E-2</v>
      </c>
      <c r="CW5" s="48">
        <v>7.9096072335034275E-3</v>
      </c>
      <c r="CX5" s="48">
        <v>9.1865944707425796E-3</v>
      </c>
      <c r="CY5" s="48">
        <v>7.9215283147466183E-3</v>
      </c>
      <c r="CZ5" s="48">
        <v>2.591144793400731E-2</v>
      </c>
      <c r="DA5" s="48">
        <v>-3.3181029063199328E-2</v>
      </c>
      <c r="DB5" s="48">
        <v>1.0437975848499559E-2</v>
      </c>
      <c r="DC5" s="48">
        <v>3.6289702048972229E-2</v>
      </c>
      <c r="DD5" s="48">
        <v>-2.733366229117298E-2</v>
      </c>
      <c r="DE5" s="48">
        <v>5.3204379349536573E-5</v>
      </c>
      <c r="DF5" s="48">
        <v>1.193428879192393E-2</v>
      </c>
      <c r="DG5" s="48">
        <v>-6.8727258376211778E-3</v>
      </c>
      <c r="DH5" s="48">
        <v>3.881353748085382E-3</v>
      </c>
      <c r="DI5" s="48">
        <v>8.9454077666745666E-3</v>
      </c>
      <c r="DJ5" s="48">
        <v>1.4739475713264789E-2</v>
      </c>
      <c r="DK5" s="48">
        <v>-9.5534372883526401E-3</v>
      </c>
      <c r="DL5" s="48">
        <v>4.5369163136782471E-2</v>
      </c>
      <c r="DM5" s="48">
        <v>5.2420327587513388E-2</v>
      </c>
      <c r="DN5" s="48">
        <v>4.6322268325848508E-2</v>
      </c>
      <c r="DO5" s="48">
        <v>3.8793460338852753E-2</v>
      </c>
      <c r="DP5" s="48">
        <v>3.1593983972767588E-2</v>
      </c>
      <c r="DQ5" s="48">
        <v>2.797446011579121E-2</v>
      </c>
      <c r="DR5" s="48">
        <v>4.167004625571382E-2</v>
      </c>
      <c r="DS5" s="48">
        <v>3.9311670857282079E-2</v>
      </c>
      <c r="DT5" s="48">
        <v>4.1756820117327051E-2</v>
      </c>
      <c r="DU5" s="48">
        <v>4.0857076088111163E-2</v>
      </c>
      <c r="DV5" s="48">
        <v>2.9541589437123771E-2</v>
      </c>
      <c r="DW5" s="48">
        <v>4.8580647466298171E-2</v>
      </c>
      <c r="DX5" s="48">
        <v>2.1294874454294649E-2</v>
      </c>
      <c r="DY5" s="48">
        <v>2.2110302181442752E-2</v>
      </c>
      <c r="DZ5" s="48">
        <v>1.8187961118967151E-2</v>
      </c>
      <c r="EA5" s="48">
        <v>1.8972921510954831E-2</v>
      </c>
      <c r="EB5" s="48">
        <v>1.2440641938269241E-2</v>
      </c>
      <c r="EC5" s="48">
        <v>1.9440548145298161E-2</v>
      </c>
      <c r="ED5" s="48">
        <v>1.7895222088173131E-2</v>
      </c>
      <c r="EE5" s="48">
        <v>1.9741134860367049E-2</v>
      </c>
      <c r="EF5" s="48">
        <v>1.6674021797905329E-2</v>
      </c>
      <c r="EG5" s="16"/>
    </row>
    <row r="6" spans="1:137" ht="16" customHeight="1">
      <c r="A6" s="5"/>
      <c r="B6" s="25" t="s">
        <v>139</v>
      </c>
      <c r="C6" s="48">
        <v>2.8280704390300108E-2</v>
      </c>
      <c r="D6" s="48">
        <v>4.5024379406202811E-2</v>
      </c>
      <c r="E6" s="48">
        <v>2.280546154566029E-2</v>
      </c>
      <c r="F6" s="48">
        <v>3.0473304732819891E-2</v>
      </c>
      <c r="G6" s="48">
        <v>2.5801966428159521E-2</v>
      </c>
      <c r="H6" s="48">
        <v>2.6407937107940899E-2</v>
      </c>
      <c r="I6" s="48">
        <v>3.8669716350454943E-2</v>
      </c>
      <c r="J6" s="48">
        <v>3.6013740919409433E-2</v>
      </c>
      <c r="K6" s="48">
        <v>3.9669623528856057E-2</v>
      </c>
      <c r="L6" s="48">
        <v>2.3215573984984521E-2</v>
      </c>
      <c r="M6" s="48">
        <v>1.443988111013441E-2</v>
      </c>
      <c r="N6" s="48">
        <v>2.0245466042714239E-2</v>
      </c>
      <c r="O6" s="48">
        <v>1.6677705064860882E-2</v>
      </c>
      <c r="P6" s="48">
        <v>1.5979593695735188E-2</v>
      </c>
      <c r="Q6" s="48">
        <v>1.7689819464201791E-2</v>
      </c>
      <c r="R6" s="48">
        <v>8.9443821713221256E-3</v>
      </c>
      <c r="S6" s="48">
        <v>2.792923199543073E-2</v>
      </c>
      <c r="T6" s="48">
        <v>1.209786800858016E-2</v>
      </c>
      <c r="U6" s="48">
        <v>1.6471196206096831E-2</v>
      </c>
      <c r="V6" s="48">
        <v>1.4996151179327261E-2</v>
      </c>
      <c r="W6" s="48">
        <v>1.3040458454964571E-2</v>
      </c>
      <c r="X6" s="48">
        <v>1.8810073915180608E-2</v>
      </c>
      <c r="Y6" s="48">
        <v>1.158288054556257E-3</v>
      </c>
      <c r="Z6" s="48">
        <v>8.0285515287233655E-3</v>
      </c>
      <c r="AA6" s="48">
        <v>5.5331159975171573E-3</v>
      </c>
      <c r="AB6" s="48">
        <v>5.573420018015249E-3</v>
      </c>
      <c r="AC6" s="48">
        <v>1.5292132549204871E-2</v>
      </c>
      <c r="AD6" s="48">
        <v>1.3483450542514789E-2</v>
      </c>
      <c r="AE6" s="48">
        <v>1.510214991618563E-2</v>
      </c>
      <c r="AF6" s="48">
        <v>8.3251923757372403E-3</v>
      </c>
      <c r="AG6" s="48">
        <v>2.0406204578778019E-2</v>
      </c>
      <c r="AH6" s="48">
        <v>4.2947612703153337E-2</v>
      </c>
      <c r="AI6" s="48">
        <v>1.323410067682834E-2</v>
      </c>
      <c r="AJ6" s="48">
        <v>1.075877099074184E-2</v>
      </c>
      <c r="AK6" s="48">
        <v>7.1831978536905398E-3</v>
      </c>
      <c r="AL6" s="48">
        <v>1.450761294280168E-2</v>
      </c>
      <c r="AM6" s="48">
        <v>1.7219896365006749E-2</v>
      </c>
      <c r="AN6" s="48">
        <v>1.6130185149697621E-2</v>
      </c>
      <c r="AO6" s="48">
        <v>2.732854240220621E-3</v>
      </c>
      <c r="AP6" s="48">
        <v>1.081133870521986E-2</v>
      </c>
      <c r="AQ6" s="48">
        <v>1.426900216662433E-2</v>
      </c>
      <c r="AR6" s="48">
        <v>1.667197357403552E-2</v>
      </c>
      <c r="AS6" s="48">
        <v>1.090389377080783E-2</v>
      </c>
      <c r="AT6" s="48">
        <v>1.935260392944748E-2</v>
      </c>
      <c r="AU6" s="48">
        <v>3.3369060224650617E-2</v>
      </c>
      <c r="AV6" s="48">
        <v>3.3609502156027621E-2</v>
      </c>
      <c r="AW6" s="48">
        <v>3.6213351831718532E-2</v>
      </c>
      <c r="AX6" s="48">
        <v>1.075540870992654E-2</v>
      </c>
      <c r="AY6" s="48">
        <v>2.228162631166182E-2</v>
      </c>
      <c r="AZ6" s="48">
        <v>2.9838240938399079E-2</v>
      </c>
      <c r="BA6" s="48">
        <v>9.2262385039285858E-3</v>
      </c>
      <c r="BB6" s="48">
        <v>2.0435759456122079E-2</v>
      </c>
      <c r="BC6" s="48">
        <v>2.0621794196915101E-2</v>
      </c>
      <c r="BD6" s="48">
        <v>2.420526434008009E-2</v>
      </c>
      <c r="BE6" s="48">
        <v>1.577829935459233E-2</v>
      </c>
      <c r="BF6" s="48">
        <v>1.458734424161524E-2</v>
      </c>
      <c r="BG6" s="48">
        <v>2.052339978280324E-2</v>
      </c>
      <c r="BH6" s="48">
        <v>2.2897761270398449E-2</v>
      </c>
      <c r="BI6" s="48">
        <v>2.458736290064131E-2</v>
      </c>
      <c r="BJ6" s="48">
        <v>1.8443814847197159E-2</v>
      </c>
      <c r="BK6" s="48">
        <v>1.9702031446763722E-2</v>
      </c>
      <c r="BL6" s="48">
        <v>4.5770525666685904E-3</v>
      </c>
      <c r="BM6" s="48">
        <v>7.2036967440205167E-4</v>
      </c>
      <c r="BN6" s="48">
        <v>6.8383365665755534E-3</v>
      </c>
      <c r="BO6" s="48">
        <v>8.4956029922433427E-3</v>
      </c>
      <c r="BP6" s="48">
        <v>6.8676054900509154E-3</v>
      </c>
      <c r="BQ6" s="48">
        <v>1.2148289618567591E-2</v>
      </c>
      <c r="BR6" s="48">
        <v>1.272996590241009E-2</v>
      </c>
      <c r="BS6" s="48">
        <v>1.5897603947235609E-2</v>
      </c>
      <c r="BT6" s="48">
        <v>1.535717099537764E-2</v>
      </c>
      <c r="BU6" s="48">
        <v>1.653479654924242E-2</v>
      </c>
      <c r="BV6" s="48">
        <v>1.7159038106958641E-2</v>
      </c>
      <c r="BW6" s="48">
        <v>1.314773306418953E-2</v>
      </c>
      <c r="BX6" s="48">
        <v>2.939109635761903E-2</v>
      </c>
      <c r="BY6" s="48">
        <v>2.9697604085524441E-2</v>
      </c>
      <c r="BZ6" s="48">
        <v>2.316941921911005E-2</v>
      </c>
      <c r="CA6" s="48">
        <v>2.1585326316878831E-2</v>
      </c>
      <c r="CB6" s="48">
        <v>3.6279979095123968E-2</v>
      </c>
      <c r="CC6" s="48">
        <v>2.24714142327703E-3</v>
      </c>
      <c r="CD6" s="48">
        <v>1.1431404503374249E-2</v>
      </c>
      <c r="CE6" s="48">
        <v>9.7325277895349595E-3</v>
      </c>
      <c r="CF6" s="48">
        <v>1.2918742683982029E-2</v>
      </c>
      <c r="CG6" s="48">
        <v>1.679152234501648E-2</v>
      </c>
      <c r="CH6" s="48">
        <v>2.6978401746142321E-2</v>
      </c>
      <c r="CI6" s="48">
        <v>1.9743050223818691E-2</v>
      </c>
      <c r="CJ6" s="48">
        <v>3.6282558564842249E-2</v>
      </c>
      <c r="CK6" s="48">
        <v>3.7565589418902638E-2</v>
      </c>
      <c r="CL6" s="48">
        <v>2.740697958967192E-2</v>
      </c>
      <c r="CM6" s="48">
        <v>2.325233325484765E-2</v>
      </c>
      <c r="CN6" s="48">
        <v>7.2236254921702048E-3</v>
      </c>
      <c r="CO6" s="48">
        <v>8.6283922206096923E-3</v>
      </c>
      <c r="CP6" s="48">
        <v>8.2387791199042704E-3</v>
      </c>
      <c r="CQ6" s="48">
        <v>9.0960544024770631E-3</v>
      </c>
      <c r="CR6" s="48">
        <v>-1.9608093339342981E-2</v>
      </c>
      <c r="CS6" s="48">
        <v>8.0383363695047411E-3</v>
      </c>
      <c r="CT6" s="48">
        <v>3.14043458231934E-3</v>
      </c>
      <c r="CU6" s="48">
        <v>-7.3210795615850158E-3</v>
      </c>
      <c r="CV6" s="48">
        <v>-2.3633032702838948E-3</v>
      </c>
      <c r="CW6" s="48">
        <v>1.023429987799437E-2</v>
      </c>
      <c r="CX6" s="48">
        <v>2.8585785078917941E-2</v>
      </c>
      <c r="CY6" s="48">
        <v>3.109417214844766E-2</v>
      </c>
      <c r="CZ6" s="48">
        <v>3.1553415263575198E-2</v>
      </c>
      <c r="DA6" s="48">
        <v>4.2270886728509323E-2</v>
      </c>
      <c r="DB6" s="48">
        <v>3.9805308014501918E-2</v>
      </c>
      <c r="DC6" s="48">
        <v>1.557560219775511E-2</v>
      </c>
      <c r="DD6" s="48">
        <v>3.4946221058153717E-2</v>
      </c>
      <c r="DE6" s="48">
        <v>8.3616852855228976E-2</v>
      </c>
      <c r="DF6" s="48">
        <v>7.2050125510547611E-2</v>
      </c>
      <c r="DG6" s="48">
        <v>4.0272677130846493E-2</v>
      </c>
      <c r="DH6" s="48">
        <v>2.0352821268463939E-2</v>
      </c>
      <c r="DI6" s="48">
        <v>1.228975335635323E-2</v>
      </c>
      <c r="DJ6" s="48">
        <v>3.3017883957847508E-2</v>
      </c>
      <c r="DK6" s="48">
        <v>4.1169359348369053E-3</v>
      </c>
      <c r="DL6" s="48">
        <v>3.2895248691254468E-3</v>
      </c>
      <c r="DM6" s="48">
        <v>1.6270140785815131E-2</v>
      </c>
      <c r="DN6" s="48">
        <v>1.9067256637630769E-2</v>
      </c>
      <c r="DO6" s="48">
        <v>4.3813887986982297E-2</v>
      </c>
      <c r="DP6" s="48">
        <v>4.2895956818593893E-2</v>
      </c>
      <c r="DQ6" s="48">
        <v>3.9102398189050869E-2</v>
      </c>
      <c r="DR6" s="48">
        <v>3.5268576901428733E-2</v>
      </c>
      <c r="DS6" s="48">
        <v>4.1220381049105567E-2</v>
      </c>
      <c r="DT6" s="48">
        <v>4.4856574666399682E-2</v>
      </c>
      <c r="DU6" s="48">
        <v>3.8425398498108519E-2</v>
      </c>
      <c r="DV6" s="48">
        <v>4.2252549163176681E-2</v>
      </c>
      <c r="DW6" s="48">
        <v>4.3956924811984613E-2</v>
      </c>
      <c r="DX6" s="48">
        <v>5.1589606010046578E-2</v>
      </c>
      <c r="DY6" s="48">
        <v>5.2634911428860967E-2</v>
      </c>
      <c r="DZ6" s="48">
        <v>5.2838321136823047E-2</v>
      </c>
      <c r="EA6" s="48">
        <v>4.6836472657296901E-2</v>
      </c>
      <c r="EB6" s="48">
        <v>4.6645625379892482E-2</v>
      </c>
      <c r="EC6" s="48">
        <v>5.3388726772712801E-2</v>
      </c>
      <c r="ED6" s="48">
        <v>1.5378748008182411E-2</v>
      </c>
      <c r="EE6" s="48">
        <v>2.0959300625386042E-2</v>
      </c>
      <c r="EF6" s="48">
        <v>2.3158289217307421E-2</v>
      </c>
      <c r="EG6" s="16"/>
    </row>
    <row r="7" spans="1:137" ht="16" customHeight="1">
      <c r="A7" s="5"/>
      <c r="B7" s="25" t="s">
        <v>140</v>
      </c>
      <c r="C7" s="48">
        <v>7.4353344920649912E-3</v>
      </c>
      <c r="D7" s="48">
        <v>-2.875530068057508E-2</v>
      </c>
      <c r="E7" s="48">
        <v>2.625497867669729E-5</v>
      </c>
      <c r="F7" s="48">
        <v>8.1230332968671316E-3</v>
      </c>
      <c r="G7" s="48">
        <v>1.9214540442550889E-3</v>
      </c>
      <c r="H7" s="48">
        <v>1.6301272049747701E-2</v>
      </c>
      <c r="I7" s="48">
        <v>-1.480155196575862E-2</v>
      </c>
      <c r="J7" s="48">
        <v>5.0232192907431993E-3</v>
      </c>
      <c r="K7" s="48">
        <v>-2.0936214975503121E-2</v>
      </c>
      <c r="L7" s="48">
        <v>1.2283281425310341E-2</v>
      </c>
      <c r="M7" s="48">
        <v>-4.2762316054741227E-2</v>
      </c>
      <c r="N7" s="48">
        <v>-2.5475367443900412E-2</v>
      </c>
      <c r="O7" s="48">
        <v>-2.5329165903842241E-2</v>
      </c>
      <c r="P7" s="48">
        <v>-9.2756308486722488E-3</v>
      </c>
      <c r="Q7" s="48">
        <v>2.9479018409818959E-2</v>
      </c>
      <c r="R7" s="48">
        <v>-1.2899916393192721E-2</v>
      </c>
      <c r="S7" s="48">
        <v>5.5302829808812218E-3</v>
      </c>
      <c r="T7" s="48">
        <v>-4.972007095610944E-2</v>
      </c>
      <c r="U7" s="48">
        <v>4.1650928252120932E-2</v>
      </c>
      <c r="V7" s="48">
        <v>-2.406089484220705E-2</v>
      </c>
      <c r="W7" s="48">
        <v>-1.9445980940141869E-2</v>
      </c>
      <c r="X7" s="48">
        <v>4.1013326566466468E-3</v>
      </c>
      <c r="Y7" s="48">
        <v>3.1114671232387051E-2</v>
      </c>
      <c r="Z7" s="48">
        <v>-4.1235056326330968E-2</v>
      </c>
      <c r="AA7" s="48">
        <v>2.7015095628730008E-2</v>
      </c>
      <c r="AB7" s="48">
        <v>5.2994812282613378E-3</v>
      </c>
      <c r="AC7" s="48">
        <v>3.0553440597628979E-2</v>
      </c>
      <c r="AD7" s="48">
        <v>-8.6666010613358178E-3</v>
      </c>
      <c r="AE7" s="48">
        <v>4.9092226186769963E-3</v>
      </c>
      <c r="AF7" s="48">
        <v>-1.7946305269344501E-2</v>
      </c>
      <c r="AG7" s="48">
        <v>3.3899837834784549E-2</v>
      </c>
      <c r="AH7" s="48">
        <v>-6.1240908137658598E-3</v>
      </c>
      <c r="AI7" s="48">
        <v>1.8774453302671981E-2</v>
      </c>
      <c r="AJ7" s="48">
        <v>2.938275775808824E-2</v>
      </c>
      <c r="AK7" s="48">
        <v>-3.368656900130175E-2</v>
      </c>
      <c r="AL7" s="48">
        <v>-3.2280316607107153E-2</v>
      </c>
      <c r="AM7" s="48">
        <v>3.2138735356312871E-3</v>
      </c>
      <c r="AN7" s="48">
        <v>0.11408471417581161</v>
      </c>
      <c r="AO7" s="48">
        <v>2.7994180019419529E-2</v>
      </c>
      <c r="AP7" s="48">
        <v>2.9917062101934871E-2</v>
      </c>
      <c r="AQ7" s="48">
        <v>-4.1139472151922561E-2</v>
      </c>
      <c r="AR7" s="48">
        <v>-8.7443991551450283E-4</v>
      </c>
      <c r="AS7" s="48">
        <v>1.502608283696439E-2</v>
      </c>
      <c r="AT7" s="48">
        <v>-1.5190474934199231E-2</v>
      </c>
      <c r="AU7" s="48">
        <v>-3.8575340693890993E-2</v>
      </c>
      <c r="AV7" s="48">
        <v>1.531241271810335E-2</v>
      </c>
      <c r="AW7" s="48">
        <v>3.5025743999815222E-2</v>
      </c>
      <c r="AX7" s="48">
        <v>3.590173364689983E-3</v>
      </c>
      <c r="AY7" s="48">
        <v>-3.065631299094055E-2</v>
      </c>
      <c r="AZ7" s="48">
        <v>-2.9025724989795482E-3</v>
      </c>
      <c r="BA7" s="48">
        <v>5.6352578453261514E-3</v>
      </c>
      <c r="BB7" s="48">
        <v>-3.4053290330317877E-2</v>
      </c>
      <c r="BC7" s="48">
        <v>-1.3759947850461611E-2</v>
      </c>
      <c r="BD7" s="48">
        <v>-2.2573769580000971E-2</v>
      </c>
      <c r="BE7" s="48">
        <v>5.5568102709927314E-3</v>
      </c>
      <c r="BF7" s="48">
        <v>9.3798251039498865E-3</v>
      </c>
      <c r="BG7" s="48">
        <v>-1.60466931531477E-2</v>
      </c>
      <c r="BH7" s="48">
        <v>5.8929576271515877E-2</v>
      </c>
      <c r="BI7" s="48">
        <v>-2.823597838973416E-2</v>
      </c>
      <c r="BJ7" s="48">
        <v>-3.7545426088099339E-3</v>
      </c>
      <c r="BK7" s="48">
        <v>1.12947175469627E-2</v>
      </c>
      <c r="BL7" s="48">
        <v>-4.6188342024757433E-2</v>
      </c>
      <c r="BM7" s="48">
        <v>-2.044314799513371E-2</v>
      </c>
      <c r="BN7" s="48">
        <v>-1.792646745728519E-2</v>
      </c>
      <c r="BO7" s="48">
        <v>1.158253890261654E-2</v>
      </c>
      <c r="BP7" s="48">
        <v>-2.8645742093634549E-3</v>
      </c>
      <c r="BQ7" s="48">
        <v>-9.2485502185910728E-2</v>
      </c>
      <c r="BR7" s="48">
        <v>-8.0970017756655851E-3</v>
      </c>
      <c r="BS7" s="48">
        <v>-1.1301579823575729E-2</v>
      </c>
      <c r="BT7" s="48">
        <v>1.4912762440003859E-2</v>
      </c>
      <c r="BU7" s="48">
        <v>1.6618493226359519E-2</v>
      </c>
      <c r="BV7" s="48">
        <v>1.6276276334500898E-2</v>
      </c>
      <c r="BW7" s="48">
        <v>-4.4854207433119388E-2</v>
      </c>
      <c r="BX7" s="48">
        <v>1.9136159961214861E-2</v>
      </c>
      <c r="BY7" s="48">
        <v>-2.107664624880163E-2</v>
      </c>
      <c r="BZ7" s="48">
        <v>-2.3497155431378629E-2</v>
      </c>
      <c r="CA7" s="48">
        <v>-4.1401721265350293E-2</v>
      </c>
      <c r="CB7" s="48">
        <v>-4.2780938699972879E-3</v>
      </c>
      <c r="CC7" s="48">
        <v>2.2498145722948681E-2</v>
      </c>
      <c r="CD7" s="48">
        <v>-1.1710732511261991E-2</v>
      </c>
      <c r="CE7" s="48">
        <v>5.8979172864941969E-2</v>
      </c>
      <c r="CF7" s="48">
        <v>-1.9429796609135502E-2</v>
      </c>
      <c r="CG7" s="48">
        <v>1.8692101182787961E-2</v>
      </c>
      <c r="CH7" s="48">
        <v>-5.8114522995312574E-3</v>
      </c>
      <c r="CI7" s="48">
        <v>-4.1834283948482813E-2</v>
      </c>
      <c r="CJ7" s="48">
        <v>-1.2841469113402511E-2</v>
      </c>
      <c r="CK7" s="48">
        <v>1.3618815078573061E-2</v>
      </c>
      <c r="CL7" s="48">
        <v>-3.5360868995728541E-3</v>
      </c>
      <c r="CM7" s="48">
        <v>-4.2807171723793259E-2</v>
      </c>
      <c r="CN7" s="48">
        <v>2.064292964608282E-2</v>
      </c>
      <c r="CO7" s="48">
        <v>-4.1396506261787688E-2</v>
      </c>
      <c r="CP7" s="48">
        <v>4.3251404098826073E-2</v>
      </c>
      <c r="CQ7" s="48">
        <v>-2.546857644765994E-2</v>
      </c>
      <c r="CR7" s="48">
        <v>-9.7805463431371586E-3</v>
      </c>
      <c r="CS7" s="48">
        <v>-3.6398624987035312E-2</v>
      </c>
      <c r="CT7" s="48">
        <v>-4.7913536663523437E-2</v>
      </c>
      <c r="CU7" s="48">
        <v>-1.8724998041787351E-2</v>
      </c>
      <c r="CV7" s="48">
        <v>1.36718807374523E-2</v>
      </c>
      <c r="CW7" s="48">
        <v>-5.8236048899234158E-2</v>
      </c>
      <c r="CX7" s="48">
        <v>5.9009893373537403E-2</v>
      </c>
      <c r="CY7" s="48">
        <v>3.1124682354760212E-2</v>
      </c>
      <c r="CZ7" s="48">
        <v>-3.696200527749352E-2</v>
      </c>
      <c r="DA7" s="48">
        <v>2.6875190968902112E-2</v>
      </c>
      <c r="DB7" s="48">
        <v>4.9460523373424121E-3</v>
      </c>
      <c r="DC7" s="48">
        <v>1.327321928751905E-2</v>
      </c>
      <c r="DD7" s="48">
        <v>1.811079241602016E-2</v>
      </c>
      <c r="DE7" s="48">
        <v>-5.0468456418839023E-3</v>
      </c>
      <c r="DF7" s="48">
        <v>5.1712811986852174E-3</v>
      </c>
      <c r="DG7" s="48">
        <v>-8.5517408256228482E-3</v>
      </c>
      <c r="DH7" s="48">
        <v>-3.9740828521319348E-3</v>
      </c>
      <c r="DI7" s="48">
        <v>3.5094373735543492E-2</v>
      </c>
      <c r="DJ7" s="48">
        <v>4.2093320963441858E-2</v>
      </c>
      <c r="DK7" s="48">
        <v>4.1605226339579797E-2</v>
      </c>
      <c r="DL7" s="48">
        <v>3.7424470213210513E-2</v>
      </c>
      <c r="DM7" s="48">
        <v>6.4227276481688533E-3</v>
      </c>
      <c r="DN7" s="48">
        <v>5.0342978659012168E-2</v>
      </c>
      <c r="DO7" s="48">
        <v>3.4076576882112013E-2</v>
      </c>
      <c r="DP7" s="48">
        <v>-1.8457856987143272E-2</v>
      </c>
      <c r="DQ7" s="48">
        <v>-3.2019899650875462E-2</v>
      </c>
      <c r="DR7" s="48">
        <v>-1.421425426399614E-2</v>
      </c>
      <c r="DS7" s="48">
        <v>-1.884113695410098E-2</v>
      </c>
      <c r="DT7" s="48">
        <v>5.2764154374947123E-2</v>
      </c>
      <c r="DU7" s="48">
        <v>3.7587698497860852E-2</v>
      </c>
      <c r="DV7" s="48">
        <v>5.5246083188534377E-2</v>
      </c>
      <c r="DW7" s="48">
        <v>1.054102283846642E-2</v>
      </c>
      <c r="DX7" s="48">
        <v>-2.1472143975396211E-2</v>
      </c>
      <c r="DY7" s="48">
        <v>-2.3409169727012881E-2</v>
      </c>
      <c r="DZ7" s="48">
        <v>-3.7468140597677113E-2</v>
      </c>
      <c r="EA7" s="48">
        <v>1.5257175400854689E-2</v>
      </c>
      <c r="EB7" s="48">
        <v>1.732424109392391E-3</v>
      </c>
      <c r="EC7" s="48">
        <v>1.877110794649945E-3</v>
      </c>
      <c r="ED7" s="48">
        <v>-1.036048693426336E-2</v>
      </c>
      <c r="EE7" s="48">
        <v>-2.0699837142126348E-3</v>
      </c>
      <c r="EF7" s="48">
        <v>-1.0624359083820879E-3</v>
      </c>
    </row>
    <row r="8" spans="1:137" ht="16" customHeight="1">
      <c r="A8" s="50" t="s">
        <v>141</v>
      </c>
      <c r="B8" s="51"/>
      <c r="C8" s="19">
        <f t="array" ref="C8">MATCH(MAX(ABS(C3:C7)), ABS(C3:C7), 0)</f>
        <v>2</v>
      </c>
      <c r="D8" s="19">
        <f t="array" ref="D8">MATCH(MAX(ABS(D3:D7)), ABS(D3:D7), 0)</f>
        <v>4</v>
      </c>
      <c r="E8" s="19">
        <f t="array" ref="E8">MATCH(MAX(ABS(E3:E7)), ABS(E3:E7), 0)</f>
        <v>1</v>
      </c>
      <c r="F8" s="19">
        <f t="array" ref="F8">MATCH(MAX(ABS(F3:F7)), ABS(F3:F7), 0)</f>
        <v>1</v>
      </c>
      <c r="G8" s="19">
        <f t="array" ref="G8">MATCH(MAX(ABS(G3:G7)), ABS(G3:G7), 0)</f>
        <v>1</v>
      </c>
      <c r="H8" s="19">
        <f t="array" ref="H8">MATCH(MAX(ABS(H3:H7)), ABS(H3:H7), 0)</f>
        <v>2</v>
      </c>
      <c r="I8" s="19">
        <f t="array" ref="I8">MATCH(MAX(ABS(I3:I7)), ABS(I3:I7), 0)</f>
        <v>2</v>
      </c>
      <c r="J8" s="19">
        <f t="array" ref="J8">MATCH(MAX(ABS(J3:J7)), ABS(J3:J7), 0)</f>
        <v>2</v>
      </c>
      <c r="K8" s="19">
        <f t="array" ref="K8">MATCH(MAX(ABS(K3:K7)), ABS(K3:K7), 0)</f>
        <v>2</v>
      </c>
      <c r="L8" s="19">
        <f t="array" ref="L8">MATCH(MAX(ABS(L3:L7)), ABS(L3:L7), 0)</f>
        <v>2</v>
      </c>
      <c r="M8" s="19">
        <f t="array" ref="M8">MATCH(MAX(ABS(M3:M7)), ABS(M3:M7), 0)</f>
        <v>5</v>
      </c>
      <c r="N8" s="19">
        <f t="array" ref="N8">MATCH(MAX(ABS(N3:N7)), ABS(N3:N7), 0)</f>
        <v>1</v>
      </c>
      <c r="O8" s="19">
        <f t="array" ref="O8">MATCH(MAX(ABS(O3:O7)), ABS(O3:O7), 0)</f>
        <v>1</v>
      </c>
      <c r="P8" s="19">
        <f t="array" ref="P8">MATCH(MAX(ABS(P3:P7)), ABS(P3:P7), 0)</f>
        <v>1</v>
      </c>
      <c r="Q8" s="19">
        <f t="array" ref="Q8">MATCH(MAX(ABS(Q3:Q7)), ABS(Q3:Q7), 0)</f>
        <v>1</v>
      </c>
      <c r="R8" s="19">
        <f t="array" ref="R8">MATCH(MAX(ABS(R3:R7)), ABS(R3:R7), 0)</f>
        <v>2</v>
      </c>
      <c r="S8" s="19">
        <f t="array" ref="S8">MATCH(MAX(ABS(S3:S7)), ABS(S3:S7), 0)</f>
        <v>4</v>
      </c>
      <c r="T8" s="19">
        <f t="array" ref="T8">MATCH(MAX(ABS(T3:T7)), ABS(T3:T7), 0)</f>
        <v>5</v>
      </c>
      <c r="U8" s="19">
        <f t="array" ref="U8">MATCH(MAX(ABS(U3:U7)), ABS(U3:U7), 0)</f>
        <v>5</v>
      </c>
      <c r="V8" s="19">
        <f t="array" ref="V8">MATCH(MAX(ABS(V3:V7)), ABS(V3:V7), 0)</f>
        <v>5</v>
      </c>
      <c r="W8" s="19">
        <f t="array" ref="W8">MATCH(MAX(ABS(W3:W7)), ABS(W3:W7), 0)</f>
        <v>2</v>
      </c>
      <c r="X8" s="19">
        <f t="array" ref="X8">MATCH(MAX(ABS(X3:X7)), ABS(X3:X7), 0)</f>
        <v>1</v>
      </c>
      <c r="Y8" s="19">
        <f t="array" ref="Y8">MATCH(MAX(ABS(Y3:Y7)), ABS(Y3:Y7), 0)</f>
        <v>1</v>
      </c>
      <c r="Z8" s="19">
        <f t="array" ref="Z8">MATCH(MAX(ABS(Z3:Z7)), ABS(Z3:Z7), 0)</f>
        <v>5</v>
      </c>
      <c r="AA8" s="19">
        <f t="array" ref="AA8">MATCH(MAX(ABS(AA3:AA7)), ABS(AA3:AA7), 0)</f>
        <v>5</v>
      </c>
      <c r="AB8" s="19">
        <f t="array" ref="AB8">MATCH(MAX(ABS(AB3:AB7)), ABS(AB3:AB7), 0)</f>
        <v>2</v>
      </c>
      <c r="AC8" s="19">
        <f t="array" ref="AC8">MATCH(MAX(ABS(AC3:AC7)), ABS(AC3:AC7), 0)</f>
        <v>5</v>
      </c>
      <c r="AD8" s="19">
        <f t="array" ref="AD8">MATCH(MAX(ABS(AD3:AD7)), ABS(AD3:AD7), 0)</f>
        <v>2</v>
      </c>
      <c r="AE8" s="19">
        <f t="array" ref="AE8">MATCH(MAX(ABS(AE3:AE7)), ABS(AE3:AE7), 0)</f>
        <v>2</v>
      </c>
      <c r="AF8" s="19">
        <f t="array" ref="AF8">MATCH(MAX(ABS(AF3:AF7)), ABS(AF3:AF7), 0)</f>
        <v>2</v>
      </c>
      <c r="AG8" s="19">
        <f t="array" ref="AG8">MATCH(MAX(ABS(AG3:AG7)), ABS(AG3:AG7), 0)</f>
        <v>5</v>
      </c>
      <c r="AH8" s="19">
        <f t="array" ref="AH8">MATCH(MAX(ABS(AH3:AH7)), ABS(AH3:AH7), 0)</f>
        <v>4</v>
      </c>
      <c r="AI8" s="19">
        <f t="array" ref="AI8">MATCH(MAX(ABS(AI3:AI7)), ABS(AI3:AI7), 0)</f>
        <v>5</v>
      </c>
      <c r="AJ8" s="19">
        <f t="array" ref="AJ8">MATCH(MAX(ABS(AJ3:AJ7)), ABS(AJ3:AJ7), 0)</f>
        <v>5</v>
      </c>
      <c r="AK8" s="19">
        <f t="array" ref="AK8">MATCH(MAX(ABS(AK3:AK7)), ABS(AK3:AK7), 0)</f>
        <v>5</v>
      </c>
      <c r="AL8" s="19">
        <f t="array" ref="AL8">MATCH(MAX(ABS(AL3:AL7)), ABS(AL3:AL7), 0)</f>
        <v>5</v>
      </c>
      <c r="AM8" s="19">
        <f t="array" ref="AM8">MATCH(MAX(ABS(AM3:AM7)), ABS(AM3:AM7), 0)</f>
        <v>1</v>
      </c>
      <c r="AN8" s="19">
        <f t="array" ref="AN8">MATCH(MAX(ABS(AN3:AN7)), ABS(AN3:AN7), 0)</f>
        <v>5</v>
      </c>
      <c r="AO8" s="19">
        <f t="array" ref="AO8">MATCH(MAX(ABS(AO3:AO7)), ABS(AO3:AO7), 0)</f>
        <v>1</v>
      </c>
      <c r="AP8" s="19">
        <f t="array" ref="AP8">MATCH(MAX(ABS(AP3:AP7)), ABS(AP3:AP7), 0)</f>
        <v>5</v>
      </c>
      <c r="AQ8" s="19">
        <f t="array" ref="AQ8">MATCH(MAX(ABS(AQ3:AQ7)), ABS(AQ3:AQ7), 0)</f>
        <v>1</v>
      </c>
      <c r="AR8" s="19">
        <f t="array" ref="AR8">MATCH(MAX(ABS(AR3:AR7)), ABS(AR3:AR7), 0)</f>
        <v>2</v>
      </c>
      <c r="AS8" s="19">
        <f t="array" ref="AS8">MATCH(MAX(ABS(AS3:AS7)), ABS(AS3:AS7), 0)</f>
        <v>1</v>
      </c>
      <c r="AT8" s="19">
        <f t="array" ref="AT8">MATCH(MAX(ABS(AT3:AT7)), ABS(AT3:AT7), 0)</f>
        <v>4</v>
      </c>
      <c r="AU8" s="19">
        <f t="array" ref="AU8">MATCH(MAX(ABS(AU3:AU7)), ABS(AU3:AU7), 0)</f>
        <v>5</v>
      </c>
      <c r="AV8" s="19">
        <f t="array" ref="AV8">MATCH(MAX(ABS(AV3:AV7)), ABS(AV3:AV7), 0)</f>
        <v>1</v>
      </c>
      <c r="AW8" s="19">
        <f t="array" ref="AW8">MATCH(MAX(ABS(AW3:AW7)), ABS(AW3:AW7), 0)</f>
        <v>4</v>
      </c>
      <c r="AX8" s="19">
        <f t="array" ref="AX8">MATCH(MAX(ABS(AX3:AX7)), ABS(AX3:AX7), 0)</f>
        <v>4</v>
      </c>
      <c r="AY8" s="19">
        <f t="array" ref="AY8">MATCH(MAX(ABS(AY3:AY7)), ABS(AY3:AY7), 0)</f>
        <v>5</v>
      </c>
      <c r="AZ8" s="19">
        <f t="array" ref="AZ8">MATCH(MAX(ABS(AZ3:AZ7)), ABS(AZ3:AZ7), 0)</f>
        <v>1</v>
      </c>
      <c r="BA8" s="19">
        <f t="array" ref="BA8">MATCH(MAX(ABS(BA3:BA7)), ABS(BA3:BA7), 0)</f>
        <v>2</v>
      </c>
      <c r="BB8" s="19">
        <f t="array" ref="BB8">MATCH(MAX(ABS(BB3:BB7)), ABS(BB3:BB7), 0)</f>
        <v>5</v>
      </c>
      <c r="BC8" s="19">
        <f t="array" ref="BC8">MATCH(MAX(ABS(BC3:BC7)), ABS(BC3:BC7), 0)</f>
        <v>1</v>
      </c>
      <c r="BD8" s="19">
        <f t="array" ref="BD8">MATCH(MAX(ABS(BD3:BD7)), ABS(BD3:BD7), 0)</f>
        <v>4</v>
      </c>
      <c r="BE8" s="19">
        <f t="array" ref="BE8">MATCH(MAX(ABS(BE3:BE7)), ABS(BE3:BE7), 0)</f>
        <v>4</v>
      </c>
      <c r="BF8" s="19">
        <f t="array" ref="BF8">MATCH(MAX(ABS(BF3:BF7)), ABS(BF3:BF7), 0)</f>
        <v>1</v>
      </c>
      <c r="BG8" s="19">
        <f t="array" ref="BG8">MATCH(MAX(ABS(BG3:BG7)), ABS(BG3:BG7), 0)</f>
        <v>4</v>
      </c>
      <c r="BH8" s="19">
        <f t="array" ref="BH8">MATCH(MAX(ABS(BH3:BH7)), ABS(BH3:BH7), 0)</f>
        <v>5</v>
      </c>
      <c r="BI8" s="19">
        <f t="array" ref="BI8">MATCH(MAX(ABS(BI3:BI7)), ABS(BI3:BI7), 0)</f>
        <v>1</v>
      </c>
      <c r="BJ8" s="19">
        <f t="array" ref="BJ8">MATCH(MAX(ABS(BJ3:BJ7)), ABS(BJ3:BJ7), 0)</f>
        <v>1</v>
      </c>
      <c r="BK8" s="19">
        <f t="array" ref="BK8">MATCH(MAX(ABS(BK3:BK7)), ABS(BK3:BK7), 0)</f>
        <v>1</v>
      </c>
      <c r="BL8" s="19">
        <f t="array" ref="BL8">MATCH(MAX(ABS(BL3:BL7)), ABS(BL3:BL7), 0)</f>
        <v>5</v>
      </c>
      <c r="BM8" s="19">
        <f t="array" ref="BM8">MATCH(MAX(ABS(BM3:BM7)), ABS(BM3:BM7), 0)</f>
        <v>1</v>
      </c>
      <c r="BN8" s="19">
        <f t="array" ref="BN8">MATCH(MAX(ABS(BN3:BN7)), ABS(BN3:BN7), 0)</f>
        <v>1</v>
      </c>
      <c r="BO8" s="19">
        <f t="array" ref="BO8">MATCH(MAX(ABS(BO3:BO7)), ABS(BO3:BO7), 0)</f>
        <v>1</v>
      </c>
      <c r="BP8" s="19">
        <f t="array" ref="BP8">MATCH(MAX(ABS(BP3:BP7)), ABS(BP3:BP7), 0)</f>
        <v>2</v>
      </c>
      <c r="BQ8" s="19">
        <f t="array" ref="BQ8">MATCH(MAX(ABS(BQ3:BQ7)), ABS(BQ3:BQ7), 0)</f>
        <v>5</v>
      </c>
      <c r="BR8" s="19">
        <f t="array" ref="BR8">MATCH(MAX(ABS(BR3:BR7)), ABS(BR3:BR7), 0)</f>
        <v>2</v>
      </c>
      <c r="BS8" s="19">
        <f t="array" ref="BS8">MATCH(MAX(ABS(BS3:BS7)), ABS(BS3:BS7), 0)</f>
        <v>1</v>
      </c>
      <c r="BT8" s="19">
        <f t="array" ref="BT8">MATCH(MAX(ABS(BT3:BT7)), ABS(BT3:BT7), 0)</f>
        <v>1</v>
      </c>
      <c r="BU8" s="19">
        <f t="array" ref="BU8">MATCH(MAX(ABS(BU3:BU7)), ABS(BU3:BU7), 0)</f>
        <v>2</v>
      </c>
      <c r="BV8" s="19">
        <f t="array" ref="BV8">MATCH(MAX(ABS(BV3:BV7)), ABS(BV3:BV7), 0)</f>
        <v>4</v>
      </c>
      <c r="BW8" s="19">
        <f t="array" ref="BW8">MATCH(MAX(ABS(BW3:BW7)), ABS(BW3:BW7), 0)</f>
        <v>5</v>
      </c>
      <c r="BX8" s="19">
        <f t="array" ref="BX8">MATCH(MAX(ABS(BX3:BX7)), ABS(BX3:BX7), 0)</f>
        <v>4</v>
      </c>
      <c r="BY8" s="19">
        <f t="array" ref="BY8">MATCH(MAX(ABS(BY3:BY7)), ABS(BY3:BY7), 0)</f>
        <v>4</v>
      </c>
      <c r="BZ8" s="19">
        <f t="array" ref="BZ8">MATCH(MAX(ABS(BZ3:BZ7)), ABS(BZ3:BZ7), 0)</f>
        <v>1</v>
      </c>
      <c r="CA8" s="19">
        <f t="array" ref="CA8">MATCH(MAX(ABS(CA3:CA7)), ABS(CA3:CA7), 0)</f>
        <v>5</v>
      </c>
      <c r="CB8" s="19">
        <f t="array" ref="CB8">MATCH(MAX(ABS(CB3:CB7)), ABS(CB3:CB7), 0)</f>
        <v>4</v>
      </c>
      <c r="CC8" s="19">
        <f t="array" ref="CC8">MATCH(MAX(ABS(CC3:CC7)), ABS(CC3:CC7), 0)</f>
        <v>1</v>
      </c>
      <c r="CD8" s="19">
        <f t="array" ref="CD8">MATCH(MAX(ABS(CD3:CD7)), ABS(CD3:CD7), 0)</f>
        <v>2</v>
      </c>
      <c r="CE8" s="19">
        <f t="array" ref="CE8">MATCH(MAX(ABS(CE3:CE7)), ABS(CE3:CE7), 0)</f>
        <v>5</v>
      </c>
      <c r="CF8" s="19">
        <f t="array" ref="CF8">MATCH(MAX(ABS(CF3:CF7)), ABS(CF3:CF7), 0)</f>
        <v>1</v>
      </c>
      <c r="CG8" s="19">
        <f t="array" ref="CG8">MATCH(MAX(ABS(CG3:CG7)), ABS(CG3:CG7), 0)</f>
        <v>2</v>
      </c>
      <c r="CH8" s="19">
        <f t="array" ref="CH8">MATCH(MAX(ABS(CH3:CH7)), ABS(CH3:CH7), 0)</f>
        <v>1</v>
      </c>
      <c r="CI8" s="19">
        <f t="array" ref="CI8">MATCH(MAX(ABS(CI3:CI7)), ABS(CI3:CI7), 0)</f>
        <v>5</v>
      </c>
      <c r="CJ8" s="19">
        <f t="array" ref="CJ8">MATCH(MAX(ABS(CJ3:CJ7)), ABS(CJ3:CJ7), 0)</f>
        <v>4</v>
      </c>
      <c r="CK8" s="19">
        <f t="array" ref="CK8">MATCH(MAX(ABS(CK3:CK7)), ABS(CK3:CK7), 0)</f>
        <v>1</v>
      </c>
      <c r="CL8" s="19">
        <f t="array" ref="CL8">MATCH(MAX(ABS(CL3:CL7)), ABS(CL3:CL7), 0)</f>
        <v>1</v>
      </c>
      <c r="CM8" s="19">
        <f t="array" ref="CM8">MATCH(MAX(ABS(CM3:CM7)), ABS(CM3:CM7), 0)</f>
        <v>5</v>
      </c>
      <c r="CN8" s="19">
        <f t="array" ref="CN8">MATCH(MAX(ABS(CN3:CN7)), ABS(CN3:CN7), 0)</f>
        <v>5</v>
      </c>
      <c r="CO8" s="19">
        <f t="array" ref="CO8">MATCH(MAX(ABS(CO3:CO7)), ABS(CO3:CO7), 0)</f>
        <v>5</v>
      </c>
      <c r="CP8" s="19">
        <f t="array" ref="CP8">MATCH(MAX(ABS(CP3:CP7)), ABS(CP3:CP7), 0)</f>
        <v>1</v>
      </c>
      <c r="CQ8" s="19">
        <f t="array" ref="CQ8">MATCH(MAX(ABS(CQ3:CQ7)), ABS(CQ3:CQ7), 0)</f>
        <v>5</v>
      </c>
      <c r="CR8" s="19">
        <f t="array" ref="CR8">MATCH(MAX(ABS(CR3:CR7)), ABS(CR3:CR7), 0)</f>
        <v>4</v>
      </c>
      <c r="CS8" s="19">
        <f t="array" ref="CS8">MATCH(MAX(ABS(CS3:CS7)), ABS(CS3:CS7), 0)</f>
        <v>1</v>
      </c>
      <c r="CT8" s="19">
        <f t="array" ref="CT8">MATCH(MAX(ABS(CT3:CT7)), ABS(CT3:CT7), 0)</f>
        <v>5</v>
      </c>
      <c r="CU8" s="19">
        <f t="array" ref="CU8">MATCH(MAX(ABS(CU3:CU7)), ABS(CU3:CU7), 0)</f>
        <v>1</v>
      </c>
      <c r="CV8" s="19">
        <f t="array" ref="CV8">MATCH(MAX(ABS(CV3:CV7)), ABS(CV3:CV7), 0)</f>
        <v>2</v>
      </c>
      <c r="CW8" s="19">
        <f t="array" ref="CW8">MATCH(MAX(ABS(CW3:CW7)), ABS(CW3:CW7), 0)</f>
        <v>5</v>
      </c>
      <c r="CX8" s="19">
        <f t="array" ref="CX8">MATCH(MAX(ABS(CX3:CX7)), ABS(CX3:CX7), 0)</f>
        <v>5</v>
      </c>
      <c r="CY8" s="19">
        <f t="array" ref="CY8">MATCH(MAX(ABS(CY3:CY7)), ABS(CY3:CY7), 0)</f>
        <v>5</v>
      </c>
      <c r="CZ8" s="19">
        <f t="array" ref="CZ8">MATCH(MAX(ABS(CZ3:CZ7)), ABS(CZ3:CZ7), 0)</f>
        <v>5</v>
      </c>
      <c r="DA8" s="19">
        <f t="array" ref="DA8">MATCH(MAX(ABS(DA3:DA7)), ABS(DA3:DA7), 0)</f>
        <v>4</v>
      </c>
      <c r="DB8" s="19">
        <f t="array" ref="DB8">MATCH(MAX(ABS(DB3:DB7)), ABS(DB3:DB7), 0)</f>
        <v>4</v>
      </c>
      <c r="DC8" s="19">
        <f t="array" ref="DC8">MATCH(MAX(ABS(DC3:DC7)), ABS(DC3:DC7), 0)</f>
        <v>1</v>
      </c>
      <c r="DD8" s="19">
        <f t="array" ref="DD8">MATCH(MAX(ABS(DD3:DD7)), ABS(DD3:DD7), 0)</f>
        <v>1</v>
      </c>
      <c r="DE8" s="19">
        <f t="array" ref="DE8">MATCH(MAX(ABS(DE3:DE7)), ABS(DE3:DE7), 0)</f>
        <v>4</v>
      </c>
      <c r="DF8" s="19">
        <f t="array" ref="DF8">MATCH(MAX(ABS(DF3:DF7)), ABS(DF3:DF7), 0)</f>
        <v>4</v>
      </c>
      <c r="DG8" s="19">
        <f t="array" ref="DG8">MATCH(MAX(ABS(DG3:DG7)), ABS(DG3:DG7), 0)</f>
        <v>4</v>
      </c>
      <c r="DH8" s="19">
        <f t="array" ref="DH8">MATCH(MAX(ABS(DH3:DH7)), ABS(DH3:DH7), 0)</f>
        <v>4</v>
      </c>
      <c r="DI8" s="19">
        <f t="array" ref="DI8">MATCH(MAX(ABS(DI3:DI7)), ABS(DI3:DI7), 0)</f>
        <v>5</v>
      </c>
      <c r="DJ8" s="19">
        <f t="array" ref="DJ8">MATCH(MAX(ABS(DJ3:DJ7)), ABS(DJ3:DJ7), 0)</f>
        <v>5</v>
      </c>
      <c r="DK8" s="19">
        <f t="array" ref="DK8">MATCH(MAX(ABS(DK3:DK7)), ABS(DK3:DK7), 0)</f>
        <v>5</v>
      </c>
      <c r="DL8" s="19">
        <f t="array" ref="DL8">MATCH(MAX(ABS(DL3:DL7)), ABS(DL3:DL7), 0)</f>
        <v>2</v>
      </c>
      <c r="DM8" s="19">
        <f t="array" ref="DM8">MATCH(MAX(ABS(DM3:DM7)), ABS(DM3:DM7), 0)</f>
        <v>2</v>
      </c>
      <c r="DN8" s="19">
        <f t="array" ref="DN8">MATCH(MAX(ABS(DN3:DN7)), ABS(DN3:DN7), 0)</f>
        <v>5</v>
      </c>
      <c r="DO8" s="19">
        <f t="array" ref="DO8">MATCH(MAX(ABS(DO3:DO7)), ABS(DO3:DO7), 0)</f>
        <v>4</v>
      </c>
      <c r="DP8" s="19">
        <f t="array" ref="DP8">MATCH(MAX(ABS(DP3:DP7)), ABS(DP3:DP7), 0)</f>
        <v>4</v>
      </c>
      <c r="DQ8" s="19">
        <f t="array" ref="DQ8">MATCH(MAX(ABS(DQ3:DQ7)), ABS(DQ3:DQ7), 0)</f>
        <v>4</v>
      </c>
      <c r="DR8" s="19">
        <f t="array" ref="DR8">MATCH(MAX(ABS(DR3:DR7)), ABS(DR3:DR7), 0)</f>
        <v>2</v>
      </c>
      <c r="DS8" s="19">
        <f t="array" ref="DS8">MATCH(MAX(ABS(DS3:DS7)), ABS(DS3:DS7), 0)</f>
        <v>4</v>
      </c>
      <c r="DT8" s="19">
        <f t="array" ref="DT8">MATCH(MAX(ABS(DT3:DT7)), ABS(DT3:DT7), 0)</f>
        <v>5</v>
      </c>
      <c r="DU8" s="19">
        <f t="array" ref="DU8">MATCH(MAX(ABS(DU3:DU7)), ABS(DU3:DU7), 0)</f>
        <v>2</v>
      </c>
      <c r="DV8" s="19">
        <f t="array" ref="DV8">MATCH(MAX(ABS(DV3:DV7)), ABS(DV3:DV7), 0)</f>
        <v>5</v>
      </c>
      <c r="DW8" s="19">
        <f t="array" ref="DW8">MATCH(MAX(ABS(DW3:DW7)), ABS(DW3:DW7), 0)</f>
        <v>2</v>
      </c>
      <c r="DX8" s="19">
        <f t="array" ref="DX8">MATCH(MAX(ABS(DX3:DX7)), ABS(DX3:DX7), 0)</f>
        <v>4</v>
      </c>
      <c r="DY8" s="19">
        <f t="array" ref="DY8">MATCH(MAX(ABS(DY3:DY7)), ABS(DY3:DY7), 0)</f>
        <v>4</v>
      </c>
      <c r="DZ8" s="19">
        <f t="array" ref="DZ8">MATCH(MAX(ABS(DZ3:DZ7)), ABS(DZ3:DZ7), 0)</f>
        <v>1</v>
      </c>
      <c r="EA8" s="19">
        <f t="array" ref="EA8">MATCH(MAX(ABS(EA3:EA7)), ABS(EA3:EA7), 0)</f>
        <v>4</v>
      </c>
      <c r="EB8" s="19">
        <f t="array" ref="EB8">MATCH(MAX(ABS(EB3:EB7)), ABS(EB3:EB7), 0)</f>
        <v>4</v>
      </c>
      <c r="EC8" s="19">
        <f t="array" ref="EC8">MATCH(MAX(ABS(EC3:EC7)), ABS(EC3:EC7), 0)</f>
        <v>4</v>
      </c>
      <c r="ED8" s="19">
        <f t="array" ref="ED8">MATCH(MAX(ABS(ED3:ED7)), ABS(ED3:ED7), 0)</f>
        <v>1</v>
      </c>
      <c r="EE8" s="19">
        <f t="array" ref="EE8">MATCH(MAX(ABS(EE3:EE7)), ABS(EE3:EE7), 0)</f>
        <v>1</v>
      </c>
      <c r="EF8" s="19">
        <f t="array" ref="EF8">MATCH(MAX(ABS(EF3:EF7)), ABS(EF3:EF7), 0)</f>
        <v>1</v>
      </c>
    </row>
    <row r="9" spans="1:137" ht="16" customHeight="1">
      <c r="A9" s="5"/>
      <c r="B9" s="17"/>
      <c r="C9" s="19" t="str">
        <f t="shared" ref="C9:AH9" si="0">IF(C8=1,"mom1",
IF(C8=2,"mom12",
IF(C8=3,"chmom",
IF(C8=4,"retvol",
IF(C8=5,"maxret","")))))</f>
        <v>mom12</v>
      </c>
      <c r="D9" s="19" t="str">
        <f t="shared" si="0"/>
        <v>retvol</v>
      </c>
      <c r="E9" s="19" t="str">
        <f t="shared" si="0"/>
        <v>mom1</v>
      </c>
      <c r="F9" s="19" t="str">
        <f t="shared" si="0"/>
        <v>mom1</v>
      </c>
      <c r="G9" s="19" t="str">
        <f t="shared" si="0"/>
        <v>mom1</v>
      </c>
      <c r="H9" s="19" t="str">
        <f t="shared" si="0"/>
        <v>mom12</v>
      </c>
      <c r="I9" s="19" t="str">
        <f t="shared" si="0"/>
        <v>mom12</v>
      </c>
      <c r="J9" s="19" t="str">
        <f t="shared" si="0"/>
        <v>mom12</v>
      </c>
      <c r="K9" s="19" t="str">
        <f t="shared" si="0"/>
        <v>mom12</v>
      </c>
      <c r="L9" s="19" t="str">
        <f t="shared" si="0"/>
        <v>mom12</v>
      </c>
      <c r="M9" s="19" t="str">
        <f t="shared" si="0"/>
        <v>maxret</v>
      </c>
      <c r="N9" s="19" t="str">
        <f t="shared" si="0"/>
        <v>mom1</v>
      </c>
      <c r="O9" s="19" t="str">
        <f t="shared" si="0"/>
        <v>mom1</v>
      </c>
      <c r="P9" s="19" t="str">
        <f t="shared" si="0"/>
        <v>mom1</v>
      </c>
      <c r="Q9" s="19" t="str">
        <f t="shared" si="0"/>
        <v>mom1</v>
      </c>
      <c r="R9" s="19" t="str">
        <f t="shared" si="0"/>
        <v>mom12</v>
      </c>
      <c r="S9" s="19" t="str">
        <f t="shared" si="0"/>
        <v>retvol</v>
      </c>
      <c r="T9" s="19" t="str">
        <f t="shared" si="0"/>
        <v>maxret</v>
      </c>
      <c r="U9" s="19" t="str">
        <f t="shared" si="0"/>
        <v>maxret</v>
      </c>
      <c r="V9" s="19" t="str">
        <f t="shared" si="0"/>
        <v>maxret</v>
      </c>
      <c r="W9" s="19" t="str">
        <f t="shared" si="0"/>
        <v>mom12</v>
      </c>
      <c r="X9" s="19" t="str">
        <f t="shared" si="0"/>
        <v>mom1</v>
      </c>
      <c r="Y9" s="19" t="str">
        <f t="shared" si="0"/>
        <v>mom1</v>
      </c>
      <c r="Z9" s="19" t="str">
        <f t="shared" si="0"/>
        <v>maxret</v>
      </c>
      <c r="AA9" s="19" t="str">
        <f t="shared" si="0"/>
        <v>maxret</v>
      </c>
      <c r="AB9" s="19" t="str">
        <f t="shared" si="0"/>
        <v>mom12</v>
      </c>
      <c r="AC9" s="19" t="str">
        <f t="shared" si="0"/>
        <v>maxret</v>
      </c>
      <c r="AD9" s="19" t="str">
        <f t="shared" si="0"/>
        <v>mom12</v>
      </c>
      <c r="AE9" s="19" t="str">
        <f t="shared" si="0"/>
        <v>mom12</v>
      </c>
      <c r="AF9" s="19" t="str">
        <f t="shared" si="0"/>
        <v>mom12</v>
      </c>
      <c r="AG9" s="19" t="str">
        <f t="shared" si="0"/>
        <v>maxret</v>
      </c>
      <c r="AH9" s="19" t="str">
        <f t="shared" si="0"/>
        <v>retvol</v>
      </c>
      <c r="AI9" s="19" t="str">
        <f t="shared" ref="AI9:BN9" si="1">IF(AI8=1,"mom1",
IF(AI8=2,"mom12",
IF(AI8=3,"chmom",
IF(AI8=4,"retvol",
IF(AI8=5,"maxret","")))))</f>
        <v>maxret</v>
      </c>
      <c r="AJ9" s="19" t="str">
        <f t="shared" si="1"/>
        <v>maxret</v>
      </c>
      <c r="AK9" s="19" t="str">
        <f t="shared" si="1"/>
        <v>maxret</v>
      </c>
      <c r="AL9" s="19" t="str">
        <f t="shared" si="1"/>
        <v>maxret</v>
      </c>
      <c r="AM9" s="19" t="str">
        <f t="shared" si="1"/>
        <v>mom1</v>
      </c>
      <c r="AN9" s="19" t="str">
        <f t="shared" si="1"/>
        <v>maxret</v>
      </c>
      <c r="AO9" s="19" t="str">
        <f t="shared" si="1"/>
        <v>mom1</v>
      </c>
      <c r="AP9" s="19" t="str">
        <f t="shared" si="1"/>
        <v>maxret</v>
      </c>
      <c r="AQ9" s="19" t="str">
        <f t="shared" si="1"/>
        <v>mom1</v>
      </c>
      <c r="AR9" s="19" t="str">
        <f t="shared" si="1"/>
        <v>mom12</v>
      </c>
      <c r="AS9" s="19" t="str">
        <f t="shared" si="1"/>
        <v>mom1</v>
      </c>
      <c r="AT9" s="19" t="str">
        <f t="shared" si="1"/>
        <v>retvol</v>
      </c>
      <c r="AU9" s="19" t="str">
        <f t="shared" si="1"/>
        <v>maxret</v>
      </c>
      <c r="AV9" s="19" t="str">
        <f t="shared" si="1"/>
        <v>mom1</v>
      </c>
      <c r="AW9" s="19" t="str">
        <f t="shared" si="1"/>
        <v>retvol</v>
      </c>
      <c r="AX9" s="19" t="str">
        <f t="shared" si="1"/>
        <v>retvol</v>
      </c>
      <c r="AY9" s="19" t="str">
        <f t="shared" si="1"/>
        <v>maxret</v>
      </c>
      <c r="AZ9" s="19" t="str">
        <f t="shared" si="1"/>
        <v>mom1</v>
      </c>
      <c r="BA9" s="19" t="str">
        <f t="shared" si="1"/>
        <v>mom12</v>
      </c>
      <c r="BB9" s="19" t="str">
        <f t="shared" si="1"/>
        <v>maxret</v>
      </c>
      <c r="BC9" s="19" t="str">
        <f t="shared" si="1"/>
        <v>mom1</v>
      </c>
      <c r="BD9" s="19" t="str">
        <f t="shared" si="1"/>
        <v>retvol</v>
      </c>
      <c r="BE9" s="19" t="str">
        <f t="shared" si="1"/>
        <v>retvol</v>
      </c>
      <c r="BF9" s="19" t="str">
        <f t="shared" si="1"/>
        <v>mom1</v>
      </c>
      <c r="BG9" s="19" t="str">
        <f t="shared" si="1"/>
        <v>retvol</v>
      </c>
      <c r="BH9" s="19" t="str">
        <f t="shared" si="1"/>
        <v>maxret</v>
      </c>
      <c r="BI9" s="19" t="str">
        <f t="shared" si="1"/>
        <v>mom1</v>
      </c>
      <c r="BJ9" s="19" t="str">
        <f t="shared" si="1"/>
        <v>mom1</v>
      </c>
      <c r="BK9" s="19" t="str">
        <f t="shared" si="1"/>
        <v>mom1</v>
      </c>
      <c r="BL9" s="19" t="str">
        <f t="shared" si="1"/>
        <v>maxret</v>
      </c>
      <c r="BM9" s="19" t="str">
        <f t="shared" si="1"/>
        <v>mom1</v>
      </c>
      <c r="BN9" s="19" t="str">
        <f t="shared" si="1"/>
        <v>mom1</v>
      </c>
      <c r="BO9" s="19" t="str">
        <f t="shared" ref="BO9:CT9" si="2">IF(BO8=1,"mom1",
IF(BO8=2,"mom12",
IF(BO8=3,"chmom",
IF(BO8=4,"retvol",
IF(BO8=5,"maxret","")))))</f>
        <v>mom1</v>
      </c>
      <c r="BP9" s="19" t="str">
        <f t="shared" si="2"/>
        <v>mom12</v>
      </c>
      <c r="BQ9" s="19" t="str">
        <f t="shared" si="2"/>
        <v>maxret</v>
      </c>
      <c r="BR9" s="19" t="str">
        <f t="shared" si="2"/>
        <v>mom12</v>
      </c>
      <c r="BS9" s="19" t="str">
        <f t="shared" si="2"/>
        <v>mom1</v>
      </c>
      <c r="BT9" s="19" t="str">
        <f t="shared" si="2"/>
        <v>mom1</v>
      </c>
      <c r="BU9" s="19" t="str">
        <f t="shared" si="2"/>
        <v>mom12</v>
      </c>
      <c r="BV9" s="19" t="str">
        <f t="shared" si="2"/>
        <v>retvol</v>
      </c>
      <c r="BW9" s="19" t="str">
        <f t="shared" si="2"/>
        <v>maxret</v>
      </c>
      <c r="BX9" s="19" t="str">
        <f t="shared" si="2"/>
        <v>retvol</v>
      </c>
      <c r="BY9" s="19" t="str">
        <f t="shared" si="2"/>
        <v>retvol</v>
      </c>
      <c r="BZ9" s="19" t="str">
        <f t="shared" si="2"/>
        <v>mom1</v>
      </c>
      <c r="CA9" s="19" t="str">
        <f t="shared" si="2"/>
        <v>maxret</v>
      </c>
      <c r="CB9" s="19" t="str">
        <f t="shared" si="2"/>
        <v>retvol</v>
      </c>
      <c r="CC9" s="19" t="str">
        <f t="shared" si="2"/>
        <v>mom1</v>
      </c>
      <c r="CD9" s="19" t="str">
        <f t="shared" si="2"/>
        <v>mom12</v>
      </c>
      <c r="CE9" s="19" t="str">
        <f t="shared" si="2"/>
        <v>maxret</v>
      </c>
      <c r="CF9" s="19" t="str">
        <f t="shared" si="2"/>
        <v>mom1</v>
      </c>
      <c r="CG9" s="19" t="str">
        <f t="shared" si="2"/>
        <v>mom12</v>
      </c>
      <c r="CH9" s="19" t="str">
        <f t="shared" si="2"/>
        <v>mom1</v>
      </c>
      <c r="CI9" s="19" t="str">
        <f t="shared" si="2"/>
        <v>maxret</v>
      </c>
      <c r="CJ9" s="19" t="str">
        <f t="shared" si="2"/>
        <v>retvol</v>
      </c>
      <c r="CK9" s="19" t="str">
        <f t="shared" si="2"/>
        <v>mom1</v>
      </c>
      <c r="CL9" s="19" t="str">
        <f t="shared" si="2"/>
        <v>mom1</v>
      </c>
      <c r="CM9" s="19" t="str">
        <f t="shared" si="2"/>
        <v>maxret</v>
      </c>
      <c r="CN9" s="19" t="str">
        <f t="shared" si="2"/>
        <v>maxret</v>
      </c>
      <c r="CO9" s="19" t="str">
        <f t="shared" si="2"/>
        <v>maxret</v>
      </c>
      <c r="CP9" s="19" t="str">
        <f t="shared" si="2"/>
        <v>mom1</v>
      </c>
      <c r="CQ9" s="19" t="str">
        <f t="shared" si="2"/>
        <v>maxret</v>
      </c>
      <c r="CR9" s="19" t="str">
        <f t="shared" si="2"/>
        <v>retvol</v>
      </c>
      <c r="CS9" s="19" t="str">
        <f t="shared" si="2"/>
        <v>mom1</v>
      </c>
      <c r="CT9" s="19" t="str">
        <f t="shared" si="2"/>
        <v>maxret</v>
      </c>
      <c r="CU9" s="19" t="str">
        <f t="shared" ref="CU9:DZ9" si="3">IF(CU8=1,"mom1",
IF(CU8=2,"mom12",
IF(CU8=3,"chmom",
IF(CU8=4,"retvol",
IF(CU8=5,"maxret","")))))</f>
        <v>mom1</v>
      </c>
      <c r="CV9" s="19" t="str">
        <f t="shared" si="3"/>
        <v>mom12</v>
      </c>
      <c r="CW9" s="19" t="str">
        <f t="shared" si="3"/>
        <v>maxret</v>
      </c>
      <c r="CX9" s="19" t="str">
        <f t="shared" si="3"/>
        <v>maxret</v>
      </c>
      <c r="CY9" s="19" t="str">
        <f t="shared" si="3"/>
        <v>maxret</v>
      </c>
      <c r="CZ9" s="19" t="str">
        <f t="shared" si="3"/>
        <v>maxret</v>
      </c>
      <c r="DA9" s="19" t="str">
        <f t="shared" si="3"/>
        <v>retvol</v>
      </c>
      <c r="DB9" s="19" t="str">
        <f t="shared" si="3"/>
        <v>retvol</v>
      </c>
      <c r="DC9" s="19" t="str">
        <f t="shared" si="3"/>
        <v>mom1</v>
      </c>
      <c r="DD9" s="19" t="str">
        <f t="shared" si="3"/>
        <v>mom1</v>
      </c>
      <c r="DE9" s="19" t="str">
        <f t="shared" si="3"/>
        <v>retvol</v>
      </c>
      <c r="DF9" s="19" t="str">
        <f t="shared" si="3"/>
        <v>retvol</v>
      </c>
      <c r="DG9" s="19" t="str">
        <f t="shared" si="3"/>
        <v>retvol</v>
      </c>
      <c r="DH9" s="19" t="str">
        <f t="shared" si="3"/>
        <v>retvol</v>
      </c>
      <c r="DI9" s="19" t="str">
        <f t="shared" si="3"/>
        <v>maxret</v>
      </c>
      <c r="DJ9" s="19" t="str">
        <f t="shared" si="3"/>
        <v>maxret</v>
      </c>
      <c r="DK9" s="19" t="str">
        <f t="shared" si="3"/>
        <v>maxret</v>
      </c>
      <c r="DL9" s="19" t="str">
        <f t="shared" si="3"/>
        <v>mom12</v>
      </c>
      <c r="DM9" s="19" t="str">
        <f t="shared" si="3"/>
        <v>mom12</v>
      </c>
      <c r="DN9" s="19" t="str">
        <f t="shared" si="3"/>
        <v>maxret</v>
      </c>
      <c r="DO9" s="19" t="str">
        <f t="shared" si="3"/>
        <v>retvol</v>
      </c>
      <c r="DP9" s="19" t="str">
        <f t="shared" si="3"/>
        <v>retvol</v>
      </c>
      <c r="DQ9" s="19" t="str">
        <f t="shared" si="3"/>
        <v>retvol</v>
      </c>
      <c r="DR9" s="19" t="str">
        <f t="shared" si="3"/>
        <v>mom12</v>
      </c>
      <c r="DS9" s="19" t="str">
        <f t="shared" si="3"/>
        <v>retvol</v>
      </c>
      <c r="DT9" s="19" t="str">
        <f t="shared" si="3"/>
        <v>maxret</v>
      </c>
      <c r="DU9" s="19" t="str">
        <f t="shared" si="3"/>
        <v>mom12</v>
      </c>
      <c r="DV9" s="19" t="str">
        <f t="shared" si="3"/>
        <v>maxret</v>
      </c>
      <c r="DW9" s="19" t="str">
        <f t="shared" si="3"/>
        <v>mom12</v>
      </c>
      <c r="DX9" s="19" t="str">
        <f t="shared" si="3"/>
        <v>retvol</v>
      </c>
      <c r="DY9" s="19" t="str">
        <f t="shared" si="3"/>
        <v>retvol</v>
      </c>
      <c r="DZ9" s="19" t="str">
        <f t="shared" si="3"/>
        <v>mom1</v>
      </c>
      <c r="EA9" s="19" t="str">
        <f t="shared" ref="EA9:EF9" si="4">IF(EA8=1,"mom1",
IF(EA8=2,"mom12",
IF(EA8=3,"chmom",
IF(EA8=4,"retvol",
IF(EA8=5,"maxret","")))))</f>
        <v>retvol</v>
      </c>
      <c r="EB9" s="19" t="str">
        <f t="shared" si="4"/>
        <v>retvol</v>
      </c>
      <c r="EC9" s="19" t="str">
        <f t="shared" si="4"/>
        <v>retvol</v>
      </c>
      <c r="ED9" s="19" t="str">
        <f t="shared" si="4"/>
        <v>mom1</v>
      </c>
      <c r="EE9" s="19" t="str">
        <f t="shared" si="4"/>
        <v>mom1</v>
      </c>
      <c r="EF9" s="19" t="str">
        <f t="shared" si="4"/>
        <v>mom1</v>
      </c>
    </row>
    <row r="10" spans="1:137" ht="16" customHeight="1">
      <c r="A10" s="5"/>
      <c r="B10" s="17"/>
      <c r="C10" s="32">
        <f t="shared" ref="C10:AH10" si="5">IF(C8=1,C3,IF(C8=2,C4,IF(C8=3,C5,IF(C8=4,C6,IF(C8=5,C7)))))</f>
        <v>3.2149527084856369E-2</v>
      </c>
      <c r="D10" s="32">
        <f t="shared" si="5"/>
        <v>4.5024379406202811E-2</v>
      </c>
      <c r="E10" s="32">
        <f t="shared" si="5"/>
        <v>-4.5759688901152902E-2</v>
      </c>
      <c r="F10" s="32">
        <f t="shared" si="5"/>
        <v>-6.2181712981082209E-2</v>
      </c>
      <c r="G10" s="32">
        <f t="shared" si="5"/>
        <v>-5.9567677599250919E-2</v>
      </c>
      <c r="H10" s="32">
        <f t="shared" si="5"/>
        <v>7.2960052853962912E-2</v>
      </c>
      <c r="I10" s="32">
        <f t="shared" si="5"/>
        <v>8.370043064766719E-2</v>
      </c>
      <c r="J10" s="32">
        <f t="shared" si="5"/>
        <v>5.495260713794909E-2</v>
      </c>
      <c r="K10" s="32">
        <f t="shared" si="5"/>
        <v>6.5819170342395678E-2</v>
      </c>
      <c r="L10" s="32">
        <f t="shared" si="5"/>
        <v>4.1291150417782981E-2</v>
      </c>
      <c r="M10" s="32">
        <f t="shared" si="5"/>
        <v>-4.2762316054741227E-2</v>
      </c>
      <c r="N10" s="32">
        <f t="shared" si="5"/>
        <v>-4.5141758400028507E-2</v>
      </c>
      <c r="O10" s="32">
        <f t="shared" si="5"/>
        <v>-4.4270345992493187E-2</v>
      </c>
      <c r="P10" s="32">
        <f t="shared" si="5"/>
        <v>-3.1684381036210657E-2</v>
      </c>
      <c r="Q10" s="32">
        <f t="shared" si="5"/>
        <v>-5.5433013198764709E-2</v>
      </c>
      <c r="R10" s="32">
        <f t="shared" si="5"/>
        <v>-3.224181865720778E-2</v>
      </c>
      <c r="S10" s="32">
        <f t="shared" si="5"/>
        <v>2.792923199543073E-2</v>
      </c>
      <c r="T10" s="32">
        <f t="shared" si="5"/>
        <v>-4.972007095610944E-2</v>
      </c>
      <c r="U10" s="32">
        <f t="shared" si="5"/>
        <v>4.1650928252120932E-2</v>
      </c>
      <c r="V10" s="32">
        <f t="shared" si="5"/>
        <v>-2.406089484220705E-2</v>
      </c>
      <c r="W10" s="32">
        <f t="shared" si="5"/>
        <v>2.54736714700604E-2</v>
      </c>
      <c r="X10" s="32">
        <f t="shared" si="5"/>
        <v>-9.1735799598149578E-2</v>
      </c>
      <c r="Y10" s="32">
        <f t="shared" si="5"/>
        <v>-3.1277664631821453E-2</v>
      </c>
      <c r="Z10" s="32">
        <f t="shared" si="5"/>
        <v>-4.1235056326330968E-2</v>
      </c>
      <c r="AA10" s="32">
        <f t="shared" si="5"/>
        <v>2.7015095628730008E-2</v>
      </c>
      <c r="AB10" s="32">
        <f t="shared" si="5"/>
        <v>4.3275859692831327E-2</v>
      </c>
      <c r="AC10" s="32">
        <f t="shared" si="5"/>
        <v>3.0553440597628979E-2</v>
      </c>
      <c r="AD10" s="32">
        <f t="shared" si="5"/>
        <v>4.1043584630013029E-2</v>
      </c>
      <c r="AE10" s="32">
        <f t="shared" si="5"/>
        <v>2.3302438782104511E-2</v>
      </c>
      <c r="AF10" s="32">
        <f t="shared" si="5"/>
        <v>2.9358021178190408E-2</v>
      </c>
      <c r="AG10" s="32">
        <f t="shared" si="5"/>
        <v>3.3899837834784549E-2</v>
      </c>
      <c r="AH10" s="32">
        <f t="shared" si="5"/>
        <v>4.2947612703153337E-2</v>
      </c>
      <c r="AI10" s="32">
        <f t="shared" ref="AI10:BN10" si="6">IF(AI8=1,AI3,IF(AI8=2,AI4,IF(AI8=3,AI5,IF(AI8=4,AI6,IF(AI8=5,AI7)))))</f>
        <v>1.8774453302671981E-2</v>
      </c>
      <c r="AJ10" s="32">
        <f t="shared" si="6"/>
        <v>2.938275775808824E-2</v>
      </c>
      <c r="AK10" s="32">
        <f t="shared" si="6"/>
        <v>-3.368656900130175E-2</v>
      </c>
      <c r="AL10" s="32">
        <f t="shared" si="6"/>
        <v>-3.2280316607107153E-2</v>
      </c>
      <c r="AM10" s="32">
        <f t="shared" si="6"/>
        <v>-2.3857075122378169E-2</v>
      </c>
      <c r="AN10" s="32">
        <f t="shared" si="6"/>
        <v>0.11408471417581161</v>
      </c>
      <c r="AO10" s="32">
        <f t="shared" si="6"/>
        <v>-5.4187593089638872E-2</v>
      </c>
      <c r="AP10" s="32">
        <f t="shared" si="6"/>
        <v>2.9917062101934871E-2</v>
      </c>
      <c r="AQ10" s="32">
        <f t="shared" si="6"/>
        <v>-5.4464581053930053E-2</v>
      </c>
      <c r="AR10" s="32">
        <f t="shared" si="6"/>
        <v>-4.9291308205635737E-2</v>
      </c>
      <c r="AS10" s="32">
        <f t="shared" si="6"/>
        <v>-8.0704945759022553E-2</v>
      </c>
      <c r="AT10" s="32">
        <f t="shared" si="6"/>
        <v>1.935260392944748E-2</v>
      </c>
      <c r="AU10" s="32">
        <f t="shared" si="6"/>
        <v>-3.8575340693890993E-2</v>
      </c>
      <c r="AV10" s="32">
        <f t="shared" si="6"/>
        <v>-4.0662307095684212E-2</v>
      </c>
      <c r="AW10" s="32">
        <f t="shared" si="6"/>
        <v>3.6213351831718532E-2</v>
      </c>
      <c r="AX10" s="32">
        <f t="shared" si="6"/>
        <v>1.075540870992654E-2</v>
      </c>
      <c r="AY10" s="32">
        <f t="shared" si="6"/>
        <v>-3.065631299094055E-2</v>
      </c>
      <c r="AZ10" s="32">
        <f t="shared" si="6"/>
        <v>-3.4346740119606443E-2</v>
      </c>
      <c r="BA10" s="32">
        <f t="shared" si="6"/>
        <v>2.3323984711130591E-2</v>
      </c>
      <c r="BB10" s="32">
        <f t="shared" si="6"/>
        <v>-3.4053290330317877E-2</v>
      </c>
      <c r="BC10" s="32">
        <f t="shared" si="6"/>
        <v>9.3133168808856109E-2</v>
      </c>
      <c r="BD10" s="32">
        <f t="shared" si="6"/>
        <v>2.420526434008009E-2</v>
      </c>
      <c r="BE10" s="32">
        <f t="shared" si="6"/>
        <v>1.577829935459233E-2</v>
      </c>
      <c r="BF10" s="32">
        <f t="shared" si="6"/>
        <v>8.7493562675177813E-2</v>
      </c>
      <c r="BG10" s="32">
        <f t="shared" si="6"/>
        <v>2.052339978280324E-2</v>
      </c>
      <c r="BH10" s="32">
        <f t="shared" si="6"/>
        <v>5.8929576271515877E-2</v>
      </c>
      <c r="BI10" s="32">
        <f t="shared" si="6"/>
        <v>7.6523316715502762E-2</v>
      </c>
      <c r="BJ10" s="32">
        <f t="shared" si="6"/>
        <v>0.1105314383779499</v>
      </c>
      <c r="BK10" s="32">
        <f t="shared" si="6"/>
        <v>4.3903811589380011E-2</v>
      </c>
      <c r="BL10" s="32">
        <f t="shared" si="6"/>
        <v>-4.6188342024757433E-2</v>
      </c>
      <c r="BM10" s="32">
        <f t="shared" si="6"/>
        <v>8.5239265989366125E-2</v>
      </c>
      <c r="BN10" s="32">
        <f t="shared" si="6"/>
        <v>-2.7413590832266299E-2</v>
      </c>
      <c r="BO10" s="32">
        <f t="shared" ref="BO10:CT10" si="7">IF(BO8=1,BO3,IF(BO8=2,BO4,IF(BO8=3,BO5,IF(BO8=4,BO6,IF(BO8=5,BO7)))))</f>
        <v>-2.6194248952995901E-2</v>
      </c>
      <c r="BP10" s="32">
        <f t="shared" si="7"/>
        <v>3.9650518321837379E-2</v>
      </c>
      <c r="BQ10" s="32">
        <f t="shared" si="7"/>
        <v>-9.2485502185910728E-2</v>
      </c>
      <c r="BR10" s="32">
        <f t="shared" si="7"/>
        <v>4.0897547442941981E-2</v>
      </c>
      <c r="BS10" s="32">
        <f t="shared" si="7"/>
        <v>-2.2503841216196401E-2</v>
      </c>
      <c r="BT10" s="32">
        <f t="shared" si="7"/>
        <v>-2.8888225833718351E-2</v>
      </c>
      <c r="BU10" s="32">
        <f t="shared" si="7"/>
        <v>1.7996776268584352E-2</v>
      </c>
      <c r="BV10" s="32">
        <f t="shared" si="7"/>
        <v>1.7159038106958641E-2</v>
      </c>
      <c r="BW10" s="32">
        <f t="shared" si="7"/>
        <v>-4.4854207433119388E-2</v>
      </c>
      <c r="BX10" s="32">
        <f t="shared" si="7"/>
        <v>2.939109635761903E-2</v>
      </c>
      <c r="BY10" s="32">
        <f t="shared" si="7"/>
        <v>2.9697604085524441E-2</v>
      </c>
      <c r="BZ10" s="32">
        <f t="shared" si="7"/>
        <v>5.9334882536814217E-2</v>
      </c>
      <c r="CA10" s="32">
        <f t="shared" si="7"/>
        <v>-4.1401721265350293E-2</v>
      </c>
      <c r="CB10" s="32">
        <f t="shared" si="7"/>
        <v>3.6279979095123968E-2</v>
      </c>
      <c r="CC10" s="32">
        <f t="shared" si="7"/>
        <v>-4.5796910393069067E-2</v>
      </c>
      <c r="CD10" s="32">
        <f t="shared" si="7"/>
        <v>2.045841222857829E-2</v>
      </c>
      <c r="CE10" s="32">
        <f t="shared" si="7"/>
        <v>5.8979172864941969E-2</v>
      </c>
      <c r="CF10" s="32">
        <f t="shared" si="7"/>
        <v>-6.1571374856701562E-2</v>
      </c>
      <c r="CG10" s="32">
        <f t="shared" si="7"/>
        <v>-2.8466592549503771E-2</v>
      </c>
      <c r="CH10" s="32">
        <f t="shared" si="7"/>
        <v>-2.7363970600978789E-2</v>
      </c>
      <c r="CI10" s="32">
        <f t="shared" si="7"/>
        <v>-4.1834283948482813E-2</v>
      </c>
      <c r="CJ10" s="32">
        <f t="shared" si="7"/>
        <v>3.6282558564842249E-2</v>
      </c>
      <c r="CK10" s="32">
        <f t="shared" si="7"/>
        <v>-6.0048442412961353E-2</v>
      </c>
      <c r="CL10" s="32">
        <f t="shared" si="7"/>
        <v>5.1031673893922727E-2</v>
      </c>
      <c r="CM10" s="32">
        <f t="shared" si="7"/>
        <v>-4.2807171723793259E-2</v>
      </c>
      <c r="CN10" s="32">
        <f t="shared" si="7"/>
        <v>2.064292964608282E-2</v>
      </c>
      <c r="CO10" s="32">
        <f t="shared" si="7"/>
        <v>-4.1396506261787688E-2</v>
      </c>
      <c r="CP10" s="32">
        <f t="shared" si="7"/>
        <v>-5.2511427801071153E-2</v>
      </c>
      <c r="CQ10" s="32">
        <f t="shared" si="7"/>
        <v>-2.546857644765994E-2</v>
      </c>
      <c r="CR10" s="32">
        <f t="shared" si="7"/>
        <v>-1.9608093339342981E-2</v>
      </c>
      <c r="CS10" s="32">
        <f t="shared" si="7"/>
        <v>6.6811103890358353E-2</v>
      </c>
      <c r="CT10" s="32">
        <f t="shared" si="7"/>
        <v>-4.7913536663523437E-2</v>
      </c>
      <c r="CU10" s="32">
        <f t="shared" ref="CU10:DZ10" si="8">IF(CU8=1,CU3,IF(CU8=2,CU4,IF(CU8=3,CU5,IF(CU8=4,CU6,IF(CU8=5,CU7)))))</f>
        <v>-2.7281598360886401E-2</v>
      </c>
      <c r="CV10" s="32">
        <f t="shared" si="8"/>
        <v>1.476681113641032E-2</v>
      </c>
      <c r="CW10" s="32">
        <f t="shared" si="8"/>
        <v>-5.8236048899234158E-2</v>
      </c>
      <c r="CX10" s="32">
        <f t="shared" si="8"/>
        <v>5.9009893373537403E-2</v>
      </c>
      <c r="CY10" s="32">
        <f t="shared" si="8"/>
        <v>3.1124682354760212E-2</v>
      </c>
      <c r="CZ10" s="32">
        <f t="shared" si="8"/>
        <v>-3.696200527749352E-2</v>
      </c>
      <c r="DA10" s="32">
        <f t="shared" si="8"/>
        <v>4.2270886728509323E-2</v>
      </c>
      <c r="DB10" s="32">
        <f t="shared" si="8"/>
        <v>3.9805308014501918E-2</v>
      </c>
      <c r="DC10" s="32">
        <f t="shared" si="8"/>
        <v>-4.2602948643396192E-2</v>
      </c>
      <c r="DD10" s="32">
        <f t="shared" si="8"/>
        <v>-3.7717335072620199E-2</v>
      </c>
      <c r="DE10" s="32">
        <f t="shared" si="8"/>
        <v>8.3616852855228976E-2</v>
      </c>
      <c r="DF10" s="32">
        <f t="shared" si="8"/>
        <v>7.2050125510547611E-2</v>
      </c>
      <c r="DG10" s="32">
        <f t="shared" si="8"/>
        <v>4.0272677130846493E-2</v>
      </c>
      <c r="DH10" s="32">
        <f t="shared" si="8"/>
        <v>2.0352821268463939E-2</v>
      </c>
      <c r="DI10" s="32">
        <f t="shared" si="8"/>
        <v>3.5094373735543492E-2</v>
      </c>
      <c r="DJ10" s="32">
        <f t="shared" si="8"/>
        <v>4.2093320963441858E-2</v>
      </c>
      <c r="DK10" s="32">
        <f t="shared" si="8"/>
        <v>4.1605226339579797E-2</v>
      </c>
      <c r="DL10" s="32">
        <f t="shared" si="8"/>
        <v>4.5369163136782471E-2</v>
      </c>
      <c r="DM10" s="32">
        <f t="shared" si="8"/>
        <v>5.2420327587513388E-2</v>
      </c>
      <c r="DN10" s="32">
        <f t="shared" si="8"/>
        <v>5.0342978659012168E-2</v>
      </c>
      <c r="DO10" s="32">
        <f t="shared" si="8"/>
        <v>4.3813887986982297E-2</v>
      </c>
      <c r="DP10" s="32">
        <f t="shared" si="8"/>
        <v>4.2895956818593893E-2</v>
      </c>
      <c r="DQ10" s="32">
        <f t="shared" si="8"/>
        <v>3.9102398189050869E-2</v>
      </c>
      <c r="DR10" s="32">
        <f t="shared" si="8"/>
        <v>4.167004625571382E-2</v>
      </c>
      <c r="DS10" s="32">
        <f t="shared" si="8"/>
        <v>4.1220381049105567E-2</v>
      </c>
      <c r="DT10" s="32">
        <f t="shared" si="8"/>
        <v>5.2764154374947123E-2</v>
      </c>
      <c r="DU10" s="32">
        <f t="shared" si="8"/>
        <v>4.0857076088111163E-2</v>
      </c>
      <c r="DV10" s="32">
        <f t="shared" si="8"/>
        <v>5.5246083188534377E-2</v>
      </c>
      <c r="DW10" s="32">
        <f t="shared" si="8"/>
        <v>4.8580647466298171E-2</v>
      </c>
      <c r="DX10" s="32">
        <f t="shared" si="8"/>
        <v>5.1589606010046578E-2</v>
      </c>
      <c r="DY10" s="32">
        <f t="shared" si="8"/>
        <v>5.2634911428860967E-2</v>
      </c>
      <c r="DZ10" s="32">
        <f t="shared" si="8"/>
        <v>-6.4078276717765906E-2</v>
      </c>
      <c r="EA10" s="32">
        <f t="shared" ref="EA10:EF10" si="9">IF(EA8=1,EA3,IF(EA8=2,EA4,IF(EA8=3,EA5,IF(EA8=4,EA6,IF(EA8=5,EA7)))))</f>
        <v>4.6836472657296901E-2</v>
      </c>
      <c r="EB10" s="32">
        <f t="shared" si="9"/>
        <v>4.6645625379892482E-2</v>
      </c>
      <c r="EC10" s="32">
        <f t="shared" si="9"/>
        <v>5.3388726772712801E-2</v>
      </c>
      <c r="ED10" s="32">
        <f t="shared" si="9"/>
        <v>-3.3025344707347623E-2</v>
      </c>
      <c r="EE10" s="32">
        <f t="shared" si="9"/>
        <v>-4.2642098369574E-2</v>
      </c>
      <c r="EF10" s="32">
        <f t="shared" si="9"/>
        <v>4.6335983637172957E-2</v>
      </c>
    </row>
    <row r="12" spans="1:137" ht="16" customHeight="1">
      <c r="A12" s="50" t="s">
        <v>142</v>
      </c>
      <c r="B12" s="51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ht="18" customHeight="1">
      <c r="A13" s="7" t="s">
        <v>144</v>
      </c>
      <c r="B13" s="8" t="s">
        <v>145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135</v>
      </c>
      <c r="EF13" s="14" t="s">
        <v>146</v>
      </c>
    </row>
    <row r="14" spans="1:137" ht="16" customHeight="1">
      <c r="A14" s="6">
        <v>10</v>
      </c>
      <c r="B14" s="6">
        <v>96</v>
      </c>
      <c r="C14" s="2">
        <v>1.99761353430765E-2</v>
      </c>
      <c r="D14" s="9">
        <v>-1.241444576345477E-2</v>
      </c>
      <c r="E14" s="9">
        <v>-1.267442472875915E-2</v>
      </c>
      <c r="F14" s="9">
        <v>8.6411838243725426E-3</v>
      </c>
      <c r="G14" s="9">
        <v>-8.7066431372726447E-3</v>
      </c>
      <c r="H14" s="9">
        <v>1.159498307061458E-2</v>
      </c>
      <c r="I14" s="9">
        <v>-6.9406790489957258E-3</v>
      </c>
      <c r="J14" s="9">
        <v>8.3166754960945048E-3</v>
      </c>
      <c r="K14" s="9">
        <v>2.013751481640159E-3</v>
      </c>
      <c r="L14" s="2">
        <v>-2.5370282319994691E-2</v>
      </c>
      <c r="M14" s="2">
        <v>-6.2014112493445741E-3</v>
      </c>
      <c r="N14" s="2">
        <v>1.9976135343076479E-2</v>
      </c>
      <c r="O14" s="1">
        <v>2.0145240580313539E-2</v>
      </c>
      <c r="P14" s="1">
        <v>8.2538069516774467E-4</v>
      </c>
      <c r="Q14" s="1">
        <v>-1.624172945937765E-2</v>
      </c>
      <c r="R14" s="1">
        <v>2.0017741321816929E-2</v>
      </c>
      <c r="S14" s="1">
        <v>3.485265725675394E-2</v>
      </c>
      <c r="T14" s="1">
        <v>-2.5118914044452781E-3</v>
      </c>
      <c r="U14" s="1">
        <v>-5.6784412401378742E-3</v>
      </c>
      <c r="V14" s="1">
        <v>1.3373919126368259E-2</v>
      </c>
      <c r="W14" s="1">
        <v>-6.2233286928306542E-4</v>
      </c>
      <c r="X14" s="1">
        <v>7.3985909087512958E-2</v>
      </c>
      <c r="Y14" s="1">
        <v>-2.1808715411842601E-2</v>
      </c>
      <c r="Z14" s="1">
        <v>1.669413628000075E-2</v>
      </c>
      <c r="AA14" s="1">
        <v>-1.514502587412973E-2</v>
      </c>
      <c r="AB14" s="1">
        <v>1.8947661345912831E-2</v>
      </c>
      <c r="AC14" s="1">
        <v>3.4485960036685671E-3</v>
      </c>
      <c r="AD14" s="1">
        <v>-5.8971958752145476E-3</v>
      </c>
      <c r="AE14" s="1">
        <v>1.127810165537897E-2</v>
      </c>
      <c r="AF14" s="1">
        <v>-6.8373084968362252E-3</v>
      </c>
      <c r="AG14" s="1">
        <v>-1.269744095331257E-2</v>
      </c>
      <c r="AH14" s="1">
        <v>1.41524402722179E-2</v>
      </c>
      <c r="AI14" s="1">
        <v>1.244516117998237E-3</v>
      </c>
      <c r="AJ14" s="1">
        <v>-7.9266115556533914E-3</v>
      </c>
      <c r="AK14" s="1">
        <v>-2.2365576131748111E-2</v>
      </c>
      <c r="AL14" s="1">
        <v>-5.3951526164237448E-3</v>
      </c>
      <c r="AM14" s="1">
        <v>2.6090654058135741E-2</v>
      </c>
      <c r="AN14" s="1">
        <v>-2.2197838196545649E-2</v>
      </c>
      <c r="AO14" s="1">
        <v>1.164982562414792E-2</v>
      </c>
      <c r="AP14" s="1">
        <v>-1.514993050430462E-2</v>
      </c>
      <c r="AQ14" s="1">
        <v>3.8138394514946011E-4</v>
      </c>
      <c r="AR14" s="1">
        <v>5.4141448143767822E-3</v>
      </c>
      <c r="AS14" s="1">
        <v>5.6424990988596536E-3</v>
      </c>
      <c r="AT14" s="1">
        <v>-5.7230721093412054E-3</v>
      </c>
      <c r="AU14" s="1">
        <v>2.9950720938610518E-3</v>
      </c>
      <c r="AV14" s="1">
        <v>-6.1160462220638256E-3</v>
      </c>
      <c r="AW14" s="1">
        <v>-1.0353479971079891E-2</v>
      </c>
      <c r="AX14" s="1">
        <v>-3.1641595382545899E-2</v>
      </c>
      <c r="AY14" s="1">
        <v>1.6739359354975121E-2</v>
      </c>
      <c r="AZ14" s="1">
        <v>-7.5502251998443848E-4</v>
      </c>
      <c r="BA14" s="1">
        <v>-2.252858011592317E-2</v>
      </c>
      <c r="BB14" s="1">
        <v>-7.3336079839027707E-3</v>
      </c>
      <c r="BC14" s="1">
        <v>5.5205804212899862E-3</v>
      </c>
      <c r="BD14" s="1">
        <v>-1.4892474446278191E-2</v>
      </c>
      <c r="BE14" s="1">
        <v>-7.2234869543061908E-3</v>
      </c>
      <c r="BF14" s="1">
        <v>2.0331568846910831E-2</v>
      </c>
      <c r="BG14" s="1">
        <v>2.4860564704657761E-2</v>
      </c>
      <c r="BH14" s="1">
        <v>4.3570809386821542E-2</v>
      </c>
      <c r="BI14" s="1">
        <v>-3.5486502839327458E-2</v>
      </c>
      <c r="BJ14" s="1">
        <v>-3.3969130163444737E-2</v>
      </c>
      <c r="BK14" s="1">
        <v>9.87623651324376E-3</v>
      </c>
      <c r="BL14" s="1">
        <v>-1.615993467411141E-2</v>
      </c>
      <c r="BM14" s="1">
        <v>2.1054351965437939E-3</v>
      </c>
      <c r="BN14" s="1">
        <v>-1.938164899902873E-3</v>
      </c>
      <c r="BO14" s="1">
        <v>-2.7521251769714868E-2</v>
      </c>
      <c r="BP14" s="1">
        <v>1.105297642793945E-2</v>
      </c>
      <c r="BQ14" s="1">
        <v>-8.7344206875263428E-3</v>
      </c>
      <c r="BR14" s="1">
        <v>-1.9992442499976091E-2</v>
      </c>
      <c r="BS14" s="1">
        <v>-1.67441708449018E-2</v>
      </c>
      <c r="BT14" s="1">
        <v>-3.6242420829063857E-2</v>
      </c>
      <c r="BU14" s="1">
        <v>-1.276216599721698E-2</v>
      </c>
      <c r="BV14" s="1">
        <v>3.379859361590612E-2</v>
      </c>
      <c r="BW14" s="1">
        <v>1.434724988185582E-2</v>
      </c>
      <c r="BX14" s="1">
        <v>1.2412668502801529E-3</v>
      </c>
      <c r="BY14" s="1">
        <v>-2.0681524764085999E-2</v>
      </c>
      <c r="BZ14" s="1">
        <v>-3.4702631474526867E-2</v>
      </c>
      <c r="CA14" s="1">
        <v>-1.404236100614079E-3</v>
      </c>
      <c r="CB14" s="1">
        <v>3.7098284208948729E-4</v>
      </c>
      <c r="CC14" s="1">
        <v>1.740747240438326E-2</v>
      </c>
      <c r="CD14" s="1">
        <v>-2.3644332091182871E-2</v>
      </c>
      <c r="CE14" s="1">
        <v>3.347675247463032E-2</v>
      </c>
      <c r="CF14" s="1">
        <v>-1.325599096403442E-2</v>
      </c>
      <c r="CG14" s="1">
        <v>-5.3236209726227326E-3</v>
      </c>
      <c r="CH14" s="1">
        <v>1.8739664208731278E-2</v>
      </c>
      <c r="CI14" s="1">
        <v>-5.4205336517551411E-3</v>
      </c>
      <c r="CJ14" s="1">
        <v>4.3885990298122854E-3</v>
      </c>
      <c r="CK14" s="1">
        <v>1.134328034748561E-2</v>
      </c>
      <c r="CL14" s="1">
        <v>-4.4513225548644259E-2</v>
      </c>
      <c r="CM14" s="1">
        <v>-2.6454785811398068E-2</v>
      </c>
      <c r="CN14" s="1">
        <v>-2.1863562342183989E-2</v>
      </c>
      <c r="CO14" s="1">
        <v>3.7082213930271002E-2</v>
      </c>
      <c r="CP14" s="1">
        <v>-2.237334469207275E-2</v>
      </c>
      <c r="CQ14" s="1">
        <v>1.329736524557748E-2</v>
      </c>
      <c r="CR14" s="1">
        <v>-2.8294593565022161E-2</v>
      </c>
      <c r="CS14" s="1">
        <v>-2.1508495122306268E-2</v>
      </c>
      <c r="CT14" s="1">
        <v>-7.6713440009946732E-3</v>
      </c>
      <c r="CU14" s="1">
        <v>1.773850330075305E-2</v>
      </c>
      <c r="CV14" s="1">
        <v>-2.708977343856599E-2</v>
      </c>
      <c r="CW14" s="1">
        <v>-6.9554992527296657E-3</v>
      </c>
      <c r="CX14" s="1">
        <v>-3.3101941522572791E-3</v>
      </c>
      <c r="CY14" s="1">
        <v>3.2902420557171948E-3</v>
      </c>
      <c r="CZ14" s="1">
        <v>-1.114833866243309E-3</v>
      </c>
      <c r="DA14" s="1">
        <v>-2.935774898298083E-3</v>
      </c>
      <c r="DB14" s="1">
        <v>-6.0374280087833257E-3</v>
      </c>
      <c r="DC14" s="1">
        <v>5.7180441387053429E-2</v>
      </c>
      <c r="DD14" s="1">
        <v>-2.8979196334997279E-2</v>
      </c>
      <c r="DE14" s="1">
        <v>-1.6218256365488719E-2</v>
      </c>
      <c r="DF14" s="1">
        <v>5.256462474599613E-3</v>
      </c>
      <c r="DG14" s="1">
        <v>-7.2644718732507163E-3</v>
      </c>
      <c r="DH14" s="1">
        <v>-5.4769257871851926E-3</v>
      </c>
      <c r="DI14" s="1">
        <v>-1.7446498485149259E-2</v>
      </c>
      <c r="DJ14" s="1">
        <v>2.4417493618953762E-2</v>
      </c>
      <c r="DK14" s="1">
        <v>-4.0675027560344926E-3</v>
      </c>
      <c r="DL14" s="1">
        <v>-5.8466782421956638E-3</v>
      </c>
      <c r="DM14" s="1">
        <v>-3.8207555177546738E-2</v>
      </c>
      <c r="DN14" s="1">
        <v>1.0068129757273021E-2</v>
      </c>
      <c r="DO14" s="1">
        <v>-1.3548570801038939E-2</v>
      </c>
      <c r="DP14" s="1">
        <v>2.3899224069503559E-2</v>
      </c>
      <c r="DQ14" s="1">
        <v>1.1965150690639409E-2</v>
      </c>
      <c r="DR14" s="1">
        <v>-6.2789819078905972E-3</v>
      </c>
      <c r="DS14" s="1">
        <v>-1.1785772186726001E-3</v>
      </c>
      <c r="DT14" s="1">
        <v>5.0030753173111987E-2</v>
      </c>
      <c r="DU14" s="1">
        <v>3.1813717466188149E-2</v>
      </c>
      <c r="DV14" s="1">
        <v>-6.7854008623842816E-3</v>
      </c>
      <c r="DW14" s="1">
        <v>1.441182876969979E-2</v>
      </c>
      <c r="DX14" s="1">
        <v>-2.1905944047506669E-2</v>
      </c>
      <c r="DY14" s="1">
        <v>-1.160818527904816E-2</v>
      </c>
      <c r="DZ14" s="1">
        <v>9.4590730964377069E-3</v>
      </c>
      <c r="EA14" s="1">
        <v>-1.075825464675538E-2</v>
      </c>
      <c r="EB14" s="1">
        <v>5.9846779233783953E-4</v>
      </c>
      <c r="EC14" s="1">
        <v>-1.061907134666361E-2</v>
      </c>
      <c r="ED14" s="1">
        <v>-1.41341924182032E-2</v>
      </c>
      <c r="EE14" s="1">
        <v>1.021098418169146E-2</v>
      </c>
      <c r="EF14" s="1">
        <v>1.886514000702123E-2</v>
      </c>
    </row>
    <row r="15" spans="1:137" ht="16" customHeight="1">
      <c r="A15" s="6">
        <v>20</v>
      </c>
      <c r="B15" s="6">
        <v>48</v>
      </c>
      <c r="C15" s="2">
        <v>5.9099920037642271E-2</v>
      </c>
      <c r="D15" s="9">
        <v>1.33828644882332E-2</v>
      </c>
      <c r="E15" s="9">
        <v>1.9241928716006579E-5</v>
      </c>
      <c r="F15" s="9">
        <v>-3.5371096699931777E-2</v>
      </c>
      <c r="G15" s="9">
        <v>-2.5850466636481859E-2</v>
      </c>
      <c r="H15" s="9">
        <v>6.1024546178665836E-3</v>
      </c>
      <c r="I15" s="9">
        <v>-3.05035528237773E-3</v>
      </c>
      <c r="J15" s="9">
        <v>3.0716548416629571E-2</v>
      </c>
      <c r="K15" s="9">
        <v>-9.4412648165837013E-3</v>
      </c>
      <c r="L15" s="2">
        <v>-7.4417783867752246E-2</v>
      </c>
      <c r="M15" s="2">
        <v>9.2012443171974184E-3</v>
      </c>
      <c r="N15" s="2">
        <v>5.9099920037642271E-2</v>
      </c>
      <c r="O15" s="1">
        <v>3.7450114238704257E-2</v>
      </c>
      <c r="P15" s="1">
        <v>5.4349388559173399E-3</v>
      </c>
      <c r="Q15" s="1">
        <v>-3.1962277677346292E-3</v>
      </c>
      <c r="R15" s="1">
        <v>5.7206098236241107E-2</v>
      </c>
      <c r="S15" s="1">
        <v>6.2122405451453637E-2</v>
      </c>
      <c r="T15" s="1">
        <v>3.5007097547255991E-3</v>
      </c>
      <c r="U15" s="1">
        <v>-2.9784483384606968E-2</v>
      </c>
      <c r="V15" s="1">
        <v>2.9643697652021919E-2</v>
      </c>
      <c r="W15" s="1">
        <v>-1.505350446702358E-3</v>
      </c>
      <c r="X15" s="1">
        <v>7.815337840306863E-2</v>
      </c>
      <c r="Y15" s="1">
        <v>-1.0273485142944591E-2</v>
      </c>
      <c r="Z15" s="1">
        <v>3.0009435153327629E-2</v>
      </c>
      <c r="AA15" s="1">
        <v>-2.05870331371945E-2</v>
      </c>
      <c r="AB15" s="1">
        <v>4.4869315657350348E-3</v>
      </c>
      <c r="AC15" s="1">
        <v>1.354678127421477E-2</v>
      </c>
      <c r="AD15" s="1">
        <v>-3.4034186607266398E-2</v>
      </c>
      <c r="AE15" s="1">
        <v>3.5860456370054368E-2</v>
      </c>
      <c r="AF15" s="1">
        <v>1.444232343495611E-3</v>
      </c>
      <c r="AG15" s="1">
        <v>-1.232086360118234E-2</v>
      </c>
      <c r="AH15" s="1">
        <v>1.401533729693063E-2</v>
      </c>
      <c r="AI15" s="1">
        <v>1.5905682460434979E-2</v>
      </c>
      <c r="AJ15" s="1">
        <v>-2.3751696157517719E-3</v>
      </c>
      <c r="AK15" s="1">
        <v>-4.3414315718320389E-3</v>
      </c>
      <c r="AL15" s="1">
        <v>1.1535027269756739E-2</v>
      </c>
      <c r="AM15" s="1">
        <v>4.1727785917196898E-2</v>
      </c>
      <c r="AN15" s="1">
        <v>-1.826373462975046E-2</v>
      </c>
      <c r="AO15" s="1">
        <v>1.1763198673368351E-3</v>
      </c>
      <c r="AP15" s="1">
        <v>-1.4526287334801611E-2</v>
      </c>
      <c r="AQ15" s="1">
        <v>2.9084724648578749E-2</v>
      </c>
      <c r="AR15" s="1">
        <v>-1.2303732806882119E-3</v>
      </c>
      <c r="AS15" s="1">
        <v>1.8946462239107589E-2</v>
      </c>
      <c r="AT15" s="1">
        <v>-2.2160497166488911E-2</v>
      </c>
      <c r="AU15" s="1">
        <v>2.929077898259003E-2</v>
      </c>
      <c r="AV15" s="1">
        <v>-4.0858745314125604E-3</v>
      </c>
      <c r="AW15" s="1">
        <v>-9.0899555318740832E-4</v>
      </c>
      <c r="AX15" s="1">
        <v>-2.9924601763543189E-3</v>
      </c>
      <c r="AY15" s="1">
        <v>6.1848849191754547E-2</v>
      </c>
      <c r="AZ15" s="1">
        <v>-1.2258941399793111E-2</v>
      </c>
      <c r="BA15" s="1">
        <v>-1.7775795667615751E-2</v>
      </c>
      <c r="BB15" s="1">
        <v>3.6342754286962792E-3</v>
      </c>
      <c r="BC15" s="1">
        <v>2.576185662762772E-2</v>
      </c>
      <c r="BD15" s="1">
        <v>2.5204040871295921E-3</v>
      </c>
      <c r="BE15" s="1">
        <v>1.1580299881305061E-2</v>
      </c>
      <c r="BF15" s="1">
        <v>3.1248585034197709E-2</v>
      </c>
      <c r="BG15" s="1">
        <v>3.5089478351204538E-2</v>
      </c>
      <c r="BH15" s="1">
        <v>4.5523207891099149E-2</v>
      </c>
      <c r="BI15" s="1">
        <v>-4.3094963179205761E-2</v>
      </c>
      <c r="BJ15" s="1">
        <v>-2.2608188769012251E-2</v>
      </c>
      <c r="BK15" s="1">
        <v>1.980030853024814E-2</v>
      </c>
      <c r="BL15" s="1">
        <v>-1.2587412548097161E-2</v>
      </c>
      <c r="BM15" s="1">
        <v>1.2032651770604081E-2</v>
      </c>
      <c r="BN15" s="1">
        <v>-3.2217817586952337E-2</v>
      </c>
      <c r="BO15" s="1">
        <v>-2.940747660138774E-2</v>
      </c>
      <c r="BP15" s="1">
        <v>2.7534415674899199E-2</v>
      </c>
      <c r="BQ15" s="1">
        <v>-4.1443489677139081E-3</v>
      </c>
      <c r="BR15" s="1">
        <v>-3.2008719646029173E-2</v>
      </c>
      <c r="BS15" s="1">
        <v>-2.5021968481915229E-2</v>
      </c>
      <c r="BT15" s="1">
        <v>-3.4204445151394293E-2</v>
      </c>
      <c r="BU15" s="1">
        <v>-1.244384450849529E-2</v>
      </c>
      <c r="BV15" s="1">
        <v>2.2255292894076139E-2</v>
      </c>
      <c r="BW15" s="1">
        <v>6.2024165426607172E-3</v>
      </c>
      <c r="BX15" s="1">
        <v>-1.7054130007670509E-3</v>
      </c>
      <c r="BY15" s="1">
        <v>-3.8582502361835941E-2</v>
      </c>
      <c r="BZ15" s="1">
        <v>-4.0214336171006747E-2</v>
      </c>
      <c r="CA15" s="1">
        <v>-9.2842782950935225E-3</v>
      </c>
      <c r="CB15" s="1">
        <v>3.9132962888158908E-2</v>
      </c>
      <c r="CC15" s="1">
        <v>2.001707365818051E-2</v>
      </c>
      <c r="CD15" s="1">
        <v>-5.465788619730523E-2</v>
      </c>
      <c r="CE15" s="1">
        <v>2.689540320416716E-3</v>
      </c>
      <c r="CF15" s="1">
        <v>-1.547461332938441E-2</v>
      </c>
      <c r="CG15" s="1">
        <v>2.65534079709344E-2</v>
      </c>
      <c r="CH15" s="1">
        <v>7.633116314284108E-3</v>
      </c>
      <c r="CI15" s="1">
        <v>1.9169952038312909E-2</v>
      </c>
      <c r="CJ15" s="1">
        <v>1.361185261213255E-2</v>
      </c>
      <c r="CK15" s="1">
        <v>2.587792608157128E-2</v>
      </c>
      <c r="CL15" s="1">
        <v>-5.7172133220274528E-2</v>
      </c>
      <c r="CM15" s="1">
        <v>-2.7221631179140549E-2</v>
      </c>
      <c r="CN15" s="1">
        <v>-5.6515944490395598E-2</v>
      </c>
      <c r="CO15" s="1">
        <v>5.4212244849059538E-2</v>
      </c>
      <c r="CP15" s="1">
        <v>-4.179698971096367E-2</v>
      </c>
      <c r="CQ15" s="1">
        <v>-5.2172630345618393E-3</v>
      </c>
      <c r="CR15" s="1">
        <v>-5.9162745585238159E-2</v>
      </c>
      <c r="CS15" s="1">
        <v>-3.1928398674128083E-2</v>
      </c>
      <c r="CT15" s="1">
        <v>-2.9459592407075481E-2</v>
      </c>
      <c r="CU15" s="1">
        <v>2.354378027266639E-2</v>
      </c>
      <c r="CV15" s="1">
        <v>-4.7696349673433107E-2</v>
      </c>
      <c r="CW15" s="1">
        <v>-2.578707764439387E-2</v>
      </c>
      <c r="CX15" s="1">
        <v>-1.6181399896879261E-2</v>
      </c>
      <c r="CY15" s="1">
        <v>1.0233520589083981E-2</v>
      </c>
      <c r="CZ15" s="1">
        <v>-1.5581483681410819E-3</v>
      </c>
      <c r="DA15" s="1">
        <v>9.8965640635211745E-3</v>
      </c>
      <c r="DB15" s="1">
        <v>-2.3807415099837879E-2</v>
      </c>
      <c r="DC15" s="1">
        <v>5.0592103889966857E-2</v>
      </c>
      <c r="DD15" s="1">
        <v>-3.6860635546345027E-2</v>
      </c>
      <c r="DE15" s="1">
        <v>-2.9290651704142131E-2</v>
      </c>
      <c r="DF15" s="1">
        <v>-1.5226212396937611E-2</v>
      </c>
      <c r="DG15" s="1">
        <v>-8.8978790738911614E-3</v>
      </c>
      <c r="DH15" s="1">
        <v>1.6895502199396919E-2</v>
      </c>
      <c r="DI15" s="1">
        <v>-1.534515682504399E-2</v>
      </c>
      <c r="DJ15" s="1">
        <v>3.4852366394063902E-2</v>
      </c>
      <c r="DK15" s="1">
        <v>1.428095380831188E-2</v>
      </c>
      <c r="DL15" s="1">
        <v>-1.2833223861956631E-2</v>
      </c>
      <c r="DM15" s="1">
        <v>-4.376113371903656E-2</v>
      </c>
      <c r="DN15" s="1">
        <v>-3.8099185180643651E-3</v>
      </c>
      <c r="DO15" s="1">
        <v>-2.21660315440073E-2</v>
      </c>
      <c r="DP15" s="1">
        <v>4.9344205444862947E-2</v>
      </c>
      <c r="DQ15" s="1">
        <v>3.1418494682943068E-2</v>
      </c>
      <c r="DR15" s="1">
        <v>-2.3856080717473299E-3</v>
      </c>
      <c r="DS15" s="1">
        <v>-3.8315991594510758E-3</v>
      </c>
      <c r="DT15" s="1">
        <v>4.8540377641177343E-2</v>
      </c>
      <c r="DU15" s="1">
        <v>3.6060524809860148E-2</v>
      </c>
      <c r="DV15" s="1">
        <v>1.439560728096344E-2</v>
      </c>
      <c r="DW15" s="1">
        <v>4.5440647856938667E-2</v>
      </c>
      <c r="DX15" s="1">
        <v>-3.284123066923459E-2</v>
      </c>
      <c r="DY15" s="1">
        <v>-1.175293097224144E-2</v>
      </c>
      <c r="DZ15" s="1">
        <v>-6.2856381590410508E-3</v>
      </c>
      <c r="EA15" s="1">
        <v>-1.122519189810622E-2</v>
      </c>
      <c r="EB15" s="1">
        <v>-1.5973430386467331E-2</v>
      </c>
      <c r="EC15" s="1">
        <v>-1.28266976677909E-2</v>
      </c>
      <c r="ED15" s="1">
        <v>3.0781052443009942E-3</v>
      </c>
      <c r="EE15" s="1">
        <v>1.049503272151594E-2</v>
      </c>
      <c r="EF15" s="1">
        <v>1.85466471317397E-3</v>
      </c>
    </row>
    <row r="16" spans="1:137" ht="16" customHeight="1">
      <c r="A16" s="6">
        <v>50</v>
      </c>
      <c r="B16" s="6">
        <v>19</v>
      </c>
      <c r="C16" s="2">
        <v>5.5126982158774263E-2</v>
      </c>
      <c r="D16" s="9">
        <v>1.8633367154851969E-2</v>
      </c>
      <c r="E16" s="9">
        <v>3.1515380760318117E-2</v>
      </c>
      <c r="F16" s="9">
        <v>3.0562855573110091E-3</v>
      </c>
      <c r="G16" s="9">
        <v>2.8210865064189631E-2</v>
      </c>
      <c r="H16" s="9">
        <v>-1.9804588530280949E-2</v>
      </c>
      <c r="I16" s="9">
        <v>2.759333947230012E-3</v>
      </c>
      <c r="J16" s="9">
        <v>3.4453585240302162E-2</v>
      </c>
      <c r="K16" s="9">
        <v>1.366898655994922E-2</v>
      </c>
      <c r="L16" s="2">
        <v>2.0853653683814869E-2</v>
      </c>
      <c r="M16" s="2">
        <v>2.8127919038169549E-2</v>
      </c>
      <c r="N16" s="2">
        <v>5.5126982158774263E-2</v>
      </c>
      <c r="O16" s="1">
        <v>3.1101542029105789E-3</v>
      </c>
      <c r="P16" s="1">
        <v>-1.115539080154635E-2</v>
      </c>
      <c r="Q16" s="1">
        <v>-8.3134464770415872E-3</v>
      </c>
      <c r="R16" s="1">
        <v>6.0946750836904109E-2</v>
      </c>
      <c r="S16" s="1">
        <v>8.4489708486203657E-2</v>
      </c>
      <c r="T16" s="1">
        <v>-6.1800602273633654E-3</v>
      </c>
      <c r="U16" s="1">
        <v>-4.8001156308657589E-2</v>
      </c>
      <c r="V16" s="1">
        <v>3.2938039331730402E-2</v>
      </c>
      <c r="W16" s="1">
        <v>-3.1415243376682188E-2</v>
      </c>
      <c r="X16" s="1">
        <v>0.10778384127621329</v>
      </c>
      <c r="Y16" s="1">
        <v>-1.250389700856561E-2</v>
      </c>
      <c r="Z16" s="1">
        <v>4.6802632758346008E-2</v>
      </c>
      <c r="AA16" s="1">
        <v>-3.9087383638132883E-2</v>
      </c>
      <c r="AB16" s="1">
        <v>-1.4336958528631561E-2</v>
      </c>
      <c r="AC16" s="1">
        <v>4.0075664677565237E-2</v>
      </c>
      <c r="AD16" s="1">
        <v>-2.86849924212377E-2</v>
      </c>
      <c r="AE16" s="1">
        <v>8.7693913820228758E-2</v>
      </c>
      <c r="AF16" s="1">
        <v>2.2645649475473911E-2</v>
      </c>
      <c r="AG16" s="1">
        <v>1.2120892047797869E-2</v>
      </c>
      <c r="AH16" s="1">
        <v>2.818345056047452E-2</v>
      </c>
      <c r="AI16" s="1">
        <v>-3.1885713844666617E-2</v>
      </c>
      <c r="AJ16" s="1">
        <v>2.679672862939815E-2</v>
      </c>
      <c r="AK16" s="1">
        <v>4.7311984458224161E-3</v>
      </c>
      <c r="AL16" s="1">
        <v>-1.5067340052737389E-2</v>
      </c>
      <c r="AM16" s="1">
        <v>7.8117847748361183E-2</v>
      </c>
      <c r="AN16" s="1">
        <v>6.1724333713014598E-3</v>
      </c>
      <c r="AO16" s="1">
        <v>4.3394984256604437E-2</v>
      </c>
      <c r="AP16" s="1">
        <v>-9.5609377708894827E-2</v>
      </c>
      <c r="AQ16" s="1">
        <v>4.2696521020254168E-2</v>
      </c>
      <c r="AR16" s="1">
        <v>-1.0677678498535129E-2</v>
      </c>
      <c r="AS16" s="1">
        <v>3.965455448254239E-2</v>
      </c>
      <c r="AT16" s="1">
        <v>-9.2711584584600534E-2</v>
      </c>
      <c r="AU16" s="1">
        <v>1.7838715383209448E-2</v>
      </c>
      <c r="AV16" s="1">
        <v>-3.3013089263373242E-2</v>
      </c>
      <c r="AW16" s="1">
        <v>2.3984100336502522E-2</v>
      </c>
      <c r="AX16" s="1">
        <v>-2.1447352756528471E-2</v>
      </c>
      <c r="AY16" s="1">
        <v>6.3084296029910558E-2</v>
      </c>
      <c r="AZ16" s="1">
        <v>-3.9911233581360783E-2</v>
      </c>
      <c r="BA16" s="1">
        <v>2.6862056842674779E-2</v>
      </c>
      <c r="BB16" s="1">
        <v>-3.1399148706047507E-2</v>
      </c>
      <c r="BC16" s="1">
        <v>-3.4242092534620537E-2</v>
      </c>
      <c r="BD16" s="1">
        <v>2.4820634659028319E-2</v>
      </c>
      <c r="BE16" s="1">
        <v>6.0726053673326057E-2</v>
      </c>
      <c r="BF16" s="1">
        <v>5.8640357043078607E-2</v>
      </c>
      <c r="BG16" s="1">
        <v>-1.5799090688632671E-3</v>
      </c>
      <c r="BH16" s="1">
        <v>5.8518417877865991E-2</v>
      </c>
      <c r="BI16" s="1">
        <v>-5.6034072936313642E-2</v>
      </c>
      <c r="BJ16" s="1">
        <v>1.9262795912130939E-2</v>
      </c>
      <c r="BK16" s="1">
        <v>3.5954231168080879E-2</v>
      </c>
      <c r="BL16" s="1">
        <v>-5.1124163436910841E-3</v>
      </c>
      <c r="BM16" s="1">
        <v>3.68850810664242E-2</v>
      </c>
      <c r="BN16" s="1">
        <v>-5.2546238842350657E-2</v>
      </c>
      <c r="BO16" s="1">
        <v>-9.0554104909239028E-2</v>
      </c>
      <c r="BP16" s="1">
        <v>3.263364756923362E-2</v>
      </c>
      <c r="BQ16" s="1">
        <v>-1.6095778122087599E-2</v>
      </c>
      <c r="BR16" s="1">
        <v>-7.3605548377195434E-2</v>
      </c>
      <c r="BS16" s="1">
        <v>-3.8368720460050847E-2</v>
      </c>
      <c r="BT16" s="1">
        <v>-8.2648065194407885E-2</v>
      </c>
      <c r="BU16" s="1">
        <v>-3.1727548662488497E-4</v>
      </c>
      <c r="BV16" s="1">
        <v>5.1160488715903674E-3</v>
      </c>
      <c r="BW16" s="1">
        <v>1.0354538757985569E-3</v>
      </c>
      <c r="BX16" s="1">
        <v>-1.0339985715780479E-2</v>
      </c>
      <c r="BY16" s="1">
        <v>-9.1942671886975774E-2</v>
      </c>
      <c r="BZ16" s="1">
        <v>7.5039342885279692E-3</v>
      </c>
      <c r="CA16" s="1">
        <v>-0.10454808717042111</v>
      </c>
      <c r="CB16" s="1">
        <v>2.297153990076586E-2</v>
      </c>
      <c r="CC16" s="1">
        <v>1.9230830970653069E-2</v>
      </c>
      <c r="CD16" s="1">
        <v>-0.12164390021384761</v>
      </c>
      <c r="CE16" s="1">
        <v>-5.8177266692508743E-2</v>
      </c>
      <c r="CF16" s="1">
        <v>8.9580281169695554E-3</v>
      </c>
      <c r="CG16" s="1">
        <v>4.8274847273906657E-2</v>
      </c>
      <c r="CH16" s="1">
        <v>2.2033272850758939E-2</v>
      </c>
      <c r="CI16" s="1">
        <v>3.3501404690987037E-2</v>
      </c>
      <c r="CJ16" s="1">
        <v>3.5407105834469828E-2</v>
      </c>
      <c r="CK16" s="1">
        <v>-4.9619091133849713E-2</v>
      </c>
      <c r="CL16" s="1">
        <v>-7.2691469016584603E-3</v>
      </c>
      <c r="CM16" s="1">
        <v>-4.446227018285874E-2</v>
      </c>
      <c r="CN16" s="1">
        <v>-5.4047078740008747E-2</v>
      </c>
      <c r="CO16" s="1">
        <v>6.970453652430425E-2</v>
      </c>
      <c r="CP16" s="1">
        <v>-3.6459946007677907E-2</v>
      </c>
      <c r="CQ16" s="1">
        <v>1.7178217810311439E-2</v>
      </c>
      <c r="CR16" s="1">
        <v>-0.1122408854826191</v>
      </c>
      <c r="CS16" s="1">
        <v>-2.3562643169144779E-2</v>
      </c>
      <c r="CT16" s="1">
        <v>-3.7454059284418313E-2</v>
      </c>
      <c r="CU16" s="1">
        <v>-3.541658177650842E-3</v>
      </c>
      <c r="CV16" s="1">
        <v>-2.9183436091283679E-2</v>
      </c>
      <c r="CW16" s="1">
        <v>-1.9703640906521169E-2</v>
      </c>
      <c r="CX16" s="1">
        <v>-4.7814046929572078E-2</v>
      </c>
      <c r="CY16" s="1">
        <v>1.5913387468729241E-2</v>
      </c>
      <c r="CZ16" s="1">
        <v>-2.1553043034903491E-2</v>
      </c>
      <c r="DA16" s="1">
        <v>7.5425593771648536E-2</v>
      </c>
      <c r="DB16" s="1">
        <v>-2.5242264369055609E-2</v>
      </c>
      <c r="DC16" s="1">
        <v>4.906079342879191E-2</v>
      </c>
      <c r="DD16" s="1">
        <v>-8.9405337977630159E-2</v>
      </c>
      <c r="DE16" s="1">
        <v>-5.3224526132983341E-4</v>
      </c>
      <c r="DF16" s="1">
        <v>-3.4649648512779449E-2</v>
      </c>
      <c r="DG16" s="1">
        <v>-2.6511745087031309E-2</v>
      </c>
      <c r="DH16" s="1">
        <v>1.204978608389594E-2</v>
      </c>
      <c r="DI16" s="1">
        <v>0.1055876440294964</v>
      </c>
      <c r="DJ16" s="1">
        <v>9.7112788981983222E-2</v>
      </c>
      <c r="DK16" s="1">
        <v>-3.0025695944981491E-3</v>
      </c>
      <c r="DL16" s="1">
        <v>-5.2897355396839173E-2</v>
      </c>
      <c r="DM16" s="1">
        <v>-7.4777101140300825E-2</v>
      </c>
      <c r="DN16" s="1">
        <v>2.7163573445824641E-2</v>
      </c>
      <c r="DO16" s="1">
        <v>-3.6295418378622501E-3</v>
      </c>
      <c r="DP16" s="1">
        <v>0.1104069418158183</v>
      </c>
      <c r="DQ16" s="1">
        <v>3.3367171941620907E-2</v>
      </c>
      <c r="DR16" s="1">
        <v>-8.7058901183478341E-3</v>
      </c>
      <c r="DS16" s="1">
        <v>7.7876306678010786E-3</v>
      </c>
      <c r="DT16" s="1">
        <v>3.4060791354710913E-2</v>
      </c>
      <c r="DU16" s="1">
        <v>2.5961831478549871E-2</v>
      </c>
      <c r="DV16" s="1">
        <v>3.8295452871170053E-2</v>
      </c>
      <c r="DW16" s="1">
        <v>5.1946893717014338E-2</v>
      </c>
      <c r="DX16" s="1">
        <v>-6.1365473530640598E-2</v>
      </c>
      <c r="DY16" s="1">
        <v>-6.422778862146851E-4</v>
      </c>
      <c r="DZ16" s="1">
        <v>2.545732535291385E-2</v>
      </c>
      <c r="EA16" s="1">
        <v>-6.4767382875098034E-3</v>
      </c>
      <c r="EB16" s="1">
        <v>-1.3896027314530711E-2</v>
      </c>
      <c r="EC16" s="1">
        <v>1.0738644428297431E-2</v>
      </c>
      <c r="ED16" s="1">
        <v>3.7032878006649401E-2</v>
      </c>
      <c r="EE16" s="1">
        <v>2.4106957012832182E-2</v>
      </c>
      <c r="EF16" s="1">
        <v>9.1367922375485688E-3</v>
      </c>
    </row>
    <row r="17" spans="1:136" ht="16" customHeight="1">
      <c r="A17" s="6">
        <v>100</v>
      </c>
      <c r="B17" s="6">
        <v>10</v>
      </c>
      <c r="C17" s="2">
        <v>6.6842489650082784E-2</v>
      </c>
      <c r="D17" s="9">
        <v>6.9547578149268555E-2</v>
      </c>
      <c r="E17" s="9">
        <v>1.220354668358169E-2</v>
      </c>
      <c r="F17" s="9">
        <v>3.9505103760149519E-2</v>
      </c>
      <c r="G17" s="9">
        <v>7.8202469115584455E-2</v>
      </c>
      <c r="H17" s="9">
        <v>-6.4958271134507695E-2</v>
      </c>
      <c r="I17" s="9">
        <v>-5.5750921599050443E-3</v>
      </c>
      <c r="J17" s="9">
        <v>-2.5583949245044919E-3</v>
      </c>
      <c r="K17" s="9">
        <v>-2.6456606695034E-2</v>
      </c>
      <c r="L17" s="2">
        <v>-1.0510142243402749E-3</v>
      </c>
      <c r="M17" s="2">
        <v>4.23314282882453E-2</v>
      </c>
      <c r="N17" s="2">
        <v>6.6842489650082784E-2</v>
      </c>
      <c r="O17" s="1">
        <v>4.1113024698958348E-2</v>
      </c>
      <c r="P17" s="1">
        <v>3.2730815587386178E-2</v>
      </c>
      <c r="Q17" s="1">
        <v>1.556333280269633E-2</v>
      </c>
      <c r="R17" s="1">
        <v>8.5990083680555857E-2</v>
      </c>
      <c r="S17" s="1">
        <v>-5.6554642468817543E-2</v>
      </c>
      <c r="T17" s="1">
        <v>2.5660546417519591E-2</v>
      </c>
      <c r="U17" s="1">
        <v>-7.0512933897678515E-2</v>
      </c>
      <c r="V17" s="1">
        <v>2.9430751823493528E-2</v>
      </c>
      <c r="W17" s="1">
        <v>-6.9780294809439342E-3</v>
      </c>
      <c r="X17" s="1">
        <v>0.13590122000637661</v>
      </c>
      <c r="Y17" s="1">
        <v>-2.236467827032633E-2</v>
      </c>
      <c r="Z17" s="1">
        <v>6.6866903373027295E-2</v>
      </c>
      <c r="AA17" s="1">
        <v>-2.5641304856967081E-2</v>
      </c>
      <c r="AB17" s="1">
        <v>2.6738190755654562E-2</v>
      </c>
      <c r="AC17" s="1">
        <v>1.53920143113229E-2</v>
      </c>
      <c r="AD17" s="1">
        <v>-5.606088203979763E-2</v>
      </c>
      <c r="AE17" s="1">
        <v>0.15141303577277759</v>
      </c>
      <c r="AF17" s="1">
        <v>1.739983994117596E-2</v>
      </c>
      <c r="AG17" s="1">
        <v>-1.433257621227594E-2</v>
      </c>
      <c r="AH17" s="1">
        <v>3.2545118945934252E-2</v>
      </c>
      <c r="AI17" s="1">
        <v>-6.56795079424424E-2</v>
      </c>
      <c r="AJ17" s="1">
        <v>2.8758521024387879E-2</v>
      </c>
      <c r="AK17" s="1">
        <v>4.2620202755664797E-2</v>
      </c>
      <c r="AL17" s="1">
        <v>-8.2518197661511028E-2</v>
      </c>
      <c r="AM17" s="1">
        <v>8.6567395278421069E-2</v>
      </c>
      <c r="AN17" s="1">
        <v>6.0271273471674033E-2</v>
      </c>
      <c r="AO17" s="1">
        <v>-1.273634638778069E-2</v>
      </c>
      <c r="AP17" s="1">
        <v>-0.1427344023822637</v>
      </c>
      <c r="AQ17" s="1">
        <v>8.6789024440708282E-2</v>
      </c>
      <c r="AR17" s="1">
        <v>-7.3032356745514268E-2</v>
      </c>
      <c r="AS17" s="1">
        <v>6.7011853990172386E-3</v>
      </c>
      <c r="AT17" s="1">
        <v>-6.6712978744556117E-2</v>
      </c>
      <c r="AU17" s="1">
        <v>-5.1344639924905358E-2</v>
      </c>
      <c r="AV17" s="1">
        <v>-5.2635578551003627E-2</v>
      </c>
      <c r="AW17" s="1">
        <v>-6.2793170221476874E-2</v>
      </c>
      <c r="AX17" s="1">
        <v>7.132261233091336E-2</v>
      </c>
      <c r="AY17" s="1">
        <v>0.1355452191753603</v>
      </c>
      <c r="AZ17" s="1">
        <v>-0.12565918461822331</v>
      </c>
      <c r="BA17" s="1">
        <v>7.1559952367283464E-2</v>
      </c>
      <c r="BB17" s="1">
        <v>-0.13479137958590989</v>
      </c>
      <c r="BC17" s="1">
        <v>-6.658374814047352E-2</v>
      </c>
      <c r="BD17" s="1">
        <v>-1.2824438195221031E-2</v>
      </c>
      <c r="BE17" s="1">
        <v>3.816332102787736E-2</v>
      </c>
      <c r="BF17" s="1">
        <v>6.4107022352342058E-2</v>
      </c>
      <c r="BG17" s="1">
        <v>7.1449291004147236E-2</v>
      </c>
      <c r="BH17" s="1">
        <v>8.8398365359812214E-2</v>
      </c>
      <c r="BI17" s="1">
        <v>-6.8619857008219931E-2</v>
      </c>
      <c r="BJ17" s="1">
        <v>1.7250547585697908E-2</v>
      </c>
      <c r="BK17" s="1">
        <v>3.3721257710662228E-2</v>
      </c>
      <c r="BL17" s="1">
        <v>-1.810518214032081E-3</v>
      </c>
      <c r="BM17" s="1">
        <v>5.0925052560340127E-2</v>
      </c>
      <c r="BN17" s="1">
        <v>-1.359579392239744E-2</v>
      </c>
      <c r="BO17" s="1">
        <v>-9.4559363255062451E-2</v>
      </c>
      <c r="BP17" s="1">
        <v>4.7356248416652078E-2</v>
      </c>
      <c r="BQ17" s="1">
        <v>-9.1085952139770589E-3</v>
      </c>
      <c r="BR17" s="1">
        <v>-8.458894771907538E-2</v>
      </c>
      <c r="BS17" s="1">
        <v>-6.0303924588496843E-2</v>
      </c>
      <c r="BT17" s="1">
        <v>-2.7611525658003091E-2</v>
      </c>
      <c r="BU17" s="1">
        <v>-3.6377632076962423E-2</v>
      </c>
      <c r="BV17" s="1">
        <v>-6.2665207525240477E-2</v>
      </c>
      <c r="BW17" s="1">
        <v>8.406542285710833E-2</v>
      </c>
      <c r="BX17" s="1">
        <v>9.7156207904064845E-3</v>
      </c>
      <c r="BY17" s="1">
        <v>-9.9304508852450263E-2</v>
      </c>
      <c r="BZ17" s="1">
        <v>3.4028495441740858E-2</v>
      </c>
      <c r="CA17" s="1">
        <v>-0.14459019901549941</v>
      </c>
      <c r="CB17" s="1">
        <v>2.5368070306290638E-3</v>
      </c>
      <c r="CC17" s="1">
        <v>-2.3553183469548891E-2</v>
      </c>
      <c r="CD17" s="1">
        <v>-1.8719998805068031E-2</v>
      </c>
      <c r="CE17" s="1">
        <v>-0.11919022552004049</v>
      </c>
      <c r="CF17" s="1">
        <v>-1.2060318436678621E-2</v>
      </c>
      <c r="CG17" s="1">
        <v>9.6763269476421068E-2</v>
      </c>
      <c r="CH17" s="1">
        <v>-4.175171478076152E-2</v>
      </c>
      <c r="CI17" s="1">
        <v>-6.8627972153092076E-2</v>
      </c>
      <c r="CJ17" s="1">
        <v>1.9852062399044759E-2</v>
      </c>
      <c r="CK17" s="1">
        <v>-5.6000634227780392E-2</v>
      </c>
      <c r="CL17" s="1">
        <v>0.11843768870360211</v>
      </c>
      <c r="CM17" s="1">
        <v>-5.040054526643023E-2</v>
      </c>
      <c r="CN17" s="1">
        <v>-0.17797860684989791</v>
      </c>
      <c r="CO17" s="1">
        <v>8.1898037486622402E-2</v>
      </c>
      <c r="CP17" s="1">
        <v>-6.823429507480705E-2</v>
      </c>
      <c r="CQ17" s="1">
        <v>-8.7039361662898662E-3</v>
      </c>
      <c r="CR17" s="1">
        <v>-7.9315609043847074E-2</v>
      </c>
      <c r="CS17" s="1">
        <v>-1.1856101142411439E-2</v>
      </c>
      <c r="CT17" s="1">
        <v>-2.7883118706940008E-2</v>
      </c>
      <c r="CU17" s="1">
        <v>6.2625404085869821E-2</v>
      </c>
      <c r="CV17" s="1">
        <v>-4.1617660315888177E-2</v>
      </c>
      <c r="CW17" s="1">
        <v>-1.0470073166160851E-2</v>
      </c>
      <c r="CX17" s="1">
        <v>-1.938672552461447E-2</v>
      </c>
      <c r="CY17" s="1">
        <v>2.1525587346526098E-2</v>
      </c>
      <c r="CZ17" s="1">
        <v>2.3293605204085101E-3</v>
      </c>
      <c r="DA17" s="1">
        <v>0.14027938829481651</v>
      </c>
      <c r="DB17" s="1">
        <v>-5.5916148420276673E-2</v>
      </c>
      <c r="DC17" s="1">
        <v>6.4413551088929655E-2</v>
      </c>
      <c r="DD17" s="1">
        <v>-9.9453967030196266E-2</v>
      </c>
      <c r="DE17" s="1">
        <v>-2.372907848208208E-2</v>
      </c>
      <c r="DF17" s="1">
        <v>-3.7658349973359803E-2</v>
      </c>
      <c r="DG17" s="1">
        <v>-5.6861479709170423E-2</v>
      </c>
      <c r="DH17" s="1">
        <v>4.542935838448213E-2</v>
      </c>
      <c r="DI17" s="1">
        <v>3.3526802364523073E-2</v>
      </c>
      <c r="DJ17" s="1">
        <v>4.5698604563294581E-2</v>
      </c>
      <c r="DK17" s="1">
        <v>-3.74657319773085E-2</v>
      </c>
      <c r="DL17" s="1">
        <v>-1.880923885511325E-2</v>
      </c>
      <c r="DM17" s="1">
        <v>-9.9177262492576024E-2</v>
      </c>
      <c r="DN17" s="1">
        <v>3.4656477441229842E-2</v>
      </c>
      <c r="DO17" s="1">
        <v>-3.779239971892432E-2</v>
      </c>
      <c r="DP17" s="1">
        <v>8.1642421154431058E-2</v>
      </c>
      <c r="DQ17" s="1">
        <v>3.3337523411749591E-3</v>
      </c>
      <c r="DR17" s="1">
        <v>6.6105753287352444E-3</v>
      </c>
      <c r="DS17" s="1">
        <v>1.7544096485436821E-2</v>
      </c>
      <c r="DT17" s="1">
        <v>-3.9950926581246091E-3</v>
      </c>
      <c r="DU17" s="1">
        <v>4.5069117925233777E-2</v>
      </c>
      <c r="DV17" s="1">
        <v>2.621669974500818E-2</v>
      </c>
      <c r="DW17" s="1">
        <v>5.8936556659170608E-2</v>
      </c>
      <c r="DX17" s="1">
        <v>-8.873068265589662E-2</v>
      </c>
      <c r="DY17" s="1">
        <v>5.4215833557113062E-2</v>
      </c>
      <c r="DZ17" s="1">
        <v>6.0895871634327359E-2</v>
      </c>
      <c r="EA17" s="1">
        <v>-3.4276197591587292E-3</v>
      </c>
      <c r="EB17" s="1">
        <v>4.6209002033232888E-2</v>
      </c>
      <c r="EC17" s="1">
        <v>1.710414131763249E-2</v>
      </c>
      <c r="ED17" s="1">
        <v>8.3327649004843227E-2</v>
      </c>
      <c r="EE17" s="1">
        <v>3.341569853797819E-2</v>
      </c>
      <c r="EF17" s="1">
        <v>7.3892058994157114E-3</v>
      </c>
    </row>
    <row r="18" spans="1:136" ht="16" customHeight="1">
      <c r="A18" s="6">
        <v>107</v>
      </c>
      <c r="B18" s="6">
        <v>9</v>
      </c>
      <c r="C18" s="2">
        <v>4.467463327290154E-2</v>
      </c>
      <c r="D18" s="9">
        <v>7.3315452879455609E-2</v>
      </c>
      <c r="E18" s="9">
        <v>4.3253309439355639E-3</v>
      </c>
      <c r="F18" s="9">
        <v>-2.2317515170411022E-2</v>
      </c>
      <c r="G18" s="9">
        <v>8.1990193753066404E-2</v>
      </c>
      <c r="H18" s="9">
        <v>-5.4254626493417557E-2</v>
      </c>
      <c r="I18" s="9">
        <v>-2.6819032026068342E-2</v>
      </c>
      <c r="J18" s="9">
        <v>5.0890819313643837E-3</v>
      </c>
      <c r="K18" s="9">
        <v>-6.2993877990114439E-2</v>
      </c>
      <c r="L18" s="2">
        <v>1.9907212084724301E-2</v>
      </c>
      <c r="M18" s="2">
        <v>6.3290494893927879E-2</v>
      </c>
      <c r="N18" s="2">
        <v>4.467463327290154E-2</v>
      </c>
      <c r="O18" s="1">
        <v>2.6084284333540431E-2</v>
      </c>
      <c r="P18" s="1">
        <v>2.4365434615880931E-2</v>
      </c>
      <c r="Q18" s="1">
        <v>6.2416257820356574E-3</v>
      </c>
      <c r="R18" s="1">
        <v>9.576707126672547E-2</v>
      </c>
      <c r="S18" s="1">
        <v>-5.1186661335793041E-2</v>
      </c>
      <c r="T18" s="1">
        <v>1.0747845883067351E-2</v>
      </c>
      <c r="U18" s="1">
        <v>-9.026661013759002E-2</v>
      </c>
      <c r="V18" s="1">
        <v>3.820139307518032E-2</v>
      </c>
      <c r="W18" s="1">
        <v>-2.9775840374796909E-3</v>
      </c>
      <c r="X18" s="1">
        <v>0.11953448329573391</v>
      </c>
      <c r="Y18" s="1">
        <v>-3.268824181868997E-2</v>
      </c>
      <c r="Z18" s="1">
        <v>7.9580174886594995E-2</v>
      </c>
      <c r="AA18" s="1">
        <v>2.0507786116549569E-2</v>
      </c>
      <c r="AB18" s="1">
        <v>2.620773697755956E-2</v>
      </c>
      <c r="AC18" s="1">
        <v>3.6258623994600961E-2</v>
      </c>
      <c r="AD18" s="1">
        <v>-5.2483987019442242E-2</v>
      </c>
      <c r="AE18" s="1">
        <v>0.1662872404716059</v>
      </c>
      <c r="AF18" s="1">
        <v>7.6785158446953279E-3</v>
      </c>
      <c r="AG18" s="1">
        <v>-1.5639465434319311E-3</v>
      </c>
      <c r="AH18" s="1">
        <v>3.1473363259082857E-2</v>
      </c>
      <c r="AI18" s="1">
        <v>-6.8286729010030731E-2</v>
      </c>
      <c r="AJ18" s="1">
        <v>2.178802527006166E-2</v>
      </c>
      <c r="AK18" s="1">
        <v>4.2068969330071218E-2</v>
      </c>
      <c r="AL18" s="1">
        <v>-8.7187980351250347E-2</v>
      </c>
      <c r="AM18" s="1">
        <v>5.4769115786927669E-2</v>
      </c>
      <c r="AN18" s="1">
        <v>6.8247365029288201E-2</v>
      </c>
      <c r="AO18" s="1">
        <v>2.805755719544382E-3</v>
      </c>
      <c r="AP18" s="1">
        <v>-0.15621967913633361</v>
      </c>
      <c r="AQ18" s="1">
        <v>7.5475062000735074E-2</v>
      </c>
      <c r="AR18" s="1">
        <v>-7.3247653003767316E-2</v>
      </c>
      <c r="AS18" s="1">
        <v>1.0790861191004201E-2</v>
      </c>
      <c r="AT18" s="1">
        <v>-8.2690447438917916E-2</v>
      </c>
      <c r="AU18" s="1">
        <v>-5.2132890767556561E-2</v>
      </c>
      <c r="AV18" s="1">
        <v>-4.5732250025440041E-2</v>
      </c>
      <c r="AW18" s="1">
        <v>-4.3690573926988933E-2</v>
      </c>
      <c r="AX18" s="1">
        <v>9.8853617850076694E-2</v>
      </c>
      <c r="AY18" s="1">
        <v>0.13491975384157151</v>
      </c>
      <c r="AZ18" s="1">
        <v>-0.1313569128998337</v>
      </c>
      <c r="BA18" s="1">
        <v>6.919382471227481E-2</v>
      </c>
      <c r="BB18" s="1">
        <v>-0.1284171790983247</v>
      </c>
      <c r="BC18" s="1">
        <v>-7.6482772966948859E-2</v>
      </c>
      <c r="BD18" s="1">
        <v>1.19841621550355E-2</v>
      </c>
      <c r="BE18" s="1">
        <v>3.4483010307921988E-2</v>
      </c>
      <c r="BF18" s="1">
        <v>7.5691455323516899E-2</v>
      </c>
      <c r="BG18" s="1">
        <v>0.1080279711266539</v>
      </c>
      <c r="BH18" s="1">
        <v>7.4403650470210025E-2</v>
      </c>
      <c r="BI18" s="1">
        <v>-4.987681022094459E-2</v>
      </c>
      <c r="BJ18" s="1">
        <v>1.8779530404174429E-2</v>
      </c>
      <c r="BK18" s="1">
        <v>4.2252615176388023E-2</v>
      </c>
      <c r="BL18" s="1">
        <v>5.1769012040383394E-3</v>
      </c>
      <c r="BM18" s="1">
        <v>4.7694340355854313E-2</v>
      </c>
      <c r="BN18" s="1">
        <v>-1.219630292900298E-2</v>
      </c>
      <c r="BO18" s="1">
        <v>-8.2426800698087305E-2</v>
      </c>
      <c r="BP18" s="1">
        <v>5.9012503534148393E-2</v>
      </c>
      <c r="BQ18" s="1">
        <v>-1.9630753120001392E-3</v>
      </c>
      <c r="BR18" s="1">
        <v>-0.1005881531736591</v>
      </c>
      <c r="BS18" s="1">
        <v>-4.8679245915754357E-2</v>
      </c>
      <c r="BT18" s="1">
        <v>-3.3970011854593828E-2</v>
      </c>
      <c r="BU18" s="1">
        <v>-3.8645432808201562E-2</v>
      </c>
      <c r="BV18" s="1">
        <v>-7.9965904961775539E-2</v>
      </c>
      <c r="BW18" s="1">
        <v>9.5122554198017184E-2</v>
      </c>
      <c r="BX18" s="1">
        <v>1.8802411820479939E-2</v>
      </c>
      <c r="BY18" s="1">
        <v>-0.1026756073360135</v>
      </c>
      <c r="BZ18" s="1">
        <v>-5.9631270827454341E-3</v>
      </c>
      <c r="CA18" s="1">
        <v>-0.166496508439609</v>
      </c>
      <c r="CB18" s="1">
        <v>1.454768657601112E-2</v>
      </c>
      <c r="CC18" s="1">
        <v>-2.9211584376522881E-2</v>
      </c>
      <c r="CD18" s="1">
        <v>-2.2761200659623539E-2</v>
      </c>
      <c r="CE18" s="1">
        <v>-9.4507522303248825E-2</v>
      </c>
      <c r="CF18" s="1">
        <v>-1.8594557375851351E-2</v>
      </c>
      <c r="CG18" s="1">
        <v>0.1064780169875105</v>
      </c>
      <c r="CH18" s="1">
        <v>-7.6175820723704074E-2</v>
      </c>
      <c r="CI18" s="1">
        <v>-6.0170161498863381E-2</v>
      </c>
      <c r="CJ18" s="1">
        <v>5.4434000107634627E-2</v>
      </c>
      <c r="CK18" s="1">
        <v>-7.1737979955843717E-2</v>
      </c>
      <c r="CL18" s="1">
        <v>6.6336934059110952E-2</v>
      </c>
      <c r="CM18" s="1">
        <v>-7.2844734497468422E-2</v>
      </c>
      <c r="CN18" s="1">
        <v>-0.19363647625869329</v>
      </c>
      <c r="CO18" s="1">
        <v>7.5142553413798843E-2</v>
      </c>
      <c r="CP18" s="1">
        <v>-3.9243235360434267E-2</v>
      </c>
      <c r="CQ18" s="1">
        <v>-2.1604836981958839E-2</v>
      </c>
      <c r="CR18" s="1">
        <v>-7.5916769759873368E-2</v>
      </c>
      <c r="CS18" s="1">
        <v>-2.164092447695859E-3</v>
      </c>
      <c r="CT18" s="1">
        <v>-5.4524350992788302E-2</v>
      </c>
      <c r="CU18" s="1">
        <v>8.1316229421553268E-2</v>
      </c>
      <c r="CV18" s="1">
        <v>-5.1712324882648888E-2</v>
      </c>
      <c r="CW18" s="1">
        <v>-7.8340178372584505E-3</v>
      </c>
      <c r="CX18" s="1">
        <v>-1.7781464692262518E-2</v>
      </c>
      <c r="CY18" s="1">
        <v>2.3312294098751019E-2</v>
      </c>
      <c r="CZ18" s="1">
        <v>2.73162415634505E-3</v>
      </c>
      <c r="DA18" s="1">
        <v>0.165776606861404</v>
      </c>
      <c r="DB18" s="1">
        <v>-5.5565328694349818E-2</v>
      </c>
      <c r="DC18" s="1">
        <v>3.9375679691534833E-2</v>
      </c>
      <c r="DD18" s="1">
        <v>-8.4115771200224038E-2</v>
      </c>
      <c r="DE18" s="1">
        <v>-2.0444983521800918E-2</v>
      </c>
      <c r="DF18" s="1">
        <v>-3.8097391830805023E-2</v>
      </c>
      <c r="DG18" s="1">
        <v>-2.1342233769680578E-2</v>
      </c>
      <c r="DH18" s="1">
        <v>4.19165526744186E-2</v>
      </c>
      <c r="DI18" s="1">
        <v>5.5323004985865558E-2</v>
      </c>
      <c r="DJ18" s="1">
        <v>4.3364011355476587E-2</v>
      </c>
      <c r="DK18" s="1">
        <v>-3.168050286309608E-2</v>
      </c>
      <c r="DL18" s="1">
        <v>-2.6834821142482309E-2</v>
      </c>
      <c r="DM18" s="1">
        <v>-0.113450866136934</v>
      </c>
      <c r="DN18" s="1">
        <v>5.0072672336127583E-2</v>
      </c>
      <c r="DO18" s="1">
        <v>-4.5762873558762893E-2</v>
      </c>
      <c r="DP18" s="1">
        <v>8.0502538806721008E-2</v>
      </c>
      <c r="DQ18" s="1">
        <v>1.179393733686972E-2</v>
      </c>
      <c r="DR18" s="1">
        <v>6.0234646025910162E-3</v>
      </c>
      <c r="DS18" s="1">
        <v>2.7002609473682129E-2</v>
      </c>
      <c r="DT18" s="1">
        <v>-1.8188697594179671E-2</v>
      </c>
      <c r="DU18" s="1">
        <v>9.5864937459560817E-2</v>
      </c>
      <c r="DV18" s="1">
        <v>1.5717756825458899E-2</v>
      </c>
      <c r="DW18" s="1">
        <v>7.1406329148548858E-2</v>
      </c>
      <c r="DX18" s="1">
        <v>-9.6762420139283128E-2</v>
      </c>
      <c r="DY18" s="1">
        <v>6.6842447016338014E-2</v>
      </c>
      <c r="DZ18" s="1">
        <v>5.8797072044992717E-2</v>
      </c>
      <c r="EA18" s="1">
        <v>-5.5139525731411716E-3</v>
      </c>
      <c r="EB18" s="1">
        <v>6.4568280119641913E-2</v>
      </c>
      <c r="EC18" s="1">
        <v>3.6425179749762553E-2</v>
      </c>
      <c r="ED18" s="1">
        <v>8.5230074478399698E-2</v>
      </c>
      <c r="EE18" s="1">
        <v>4.074798364097381E-2</v>
      </c>
      <c r="EF18" s="1">
        <v>-1.0628315694647811E-3</v>
      </c>
    </row>
    <row r="19" spans="1:136" ht="16" customHeight="1">
      <c r="A19" s="6">
        <v>120</v>
      </c>
      <c r="B19" s="6">
        <v>8</v>
      </c>
      <c r="C19" s="2">
        <v>3.7740370201682062E-2</v>
      </c>
      <c r="D19" s="9">
        <v>7.4693454088851419E-2</v>
      </c>
      <c r="E19" s="9">
        <v>6.0723422819614188E-2</v>
      </c>
      <c r="F19" s="9">
        <v>-5.5420907105597356E-3</v>
      </c>
      <c r="G19" s="9">
        <v>8.06379617738614E-2</v>
      </c>
      <c r="H19" s="9">
        <v>-3.9234659693145123E-2</v>
      </c>
      <c r="I19" s="9">
        <v>-2.3814069030060891E-2</v>
      </c>
      <c r="J19" s="9">
        <v>1.042413897048722E-2</v>
      </c>
      <c r="K19" s="9">
        <v>-5.8138251500402957E-2</v>
      </c>
      <c r="L19" s="2">
        <v>1.4782190187267169E-2</v>
      </c>
      <c r="M19" s="2">
        <v>0.1039005526308146</v>
      </c>
      <c r="N19" s="2">
        <v>3.7740370201682062E-2</v>
      </c>
      <c r="O19" s="1">
        <v>2.5638581153353959E-2</v>
      </c>
      <c r="P19" s="1">
        <v>2.7495798194834751E-2</v>
      </c>
      <c r="Q19" s="1">
        <v>1.9708408536647751E-2</v>
      </c>
      <c r="R19" s="1">
        <v>0.1046951905956897</v>
      </c>
      <c r="S19" s="1">
        <v>-3.405113688138036E-2</v>
      </c>
      <c r="T19" s="1">
        <v>1.417938884440764E-2</v>
      </c>
      <c r="U19" s="1">
        <v>-8.4805631855589286E-2</v>
      </c>
      <c r="V19" s="1">
        <v>5.2543463449575917E-2</v>
      </c>
      <c r="W19" s="1">
        <v>-2.2467830198991822E-3</v>
      </c>
      <c r="X19" s="1">
        <v>0.14805421867231541</v>
      </c>
      <c r="Y19" s="1">
        <v>-4.2227299541017282E-2</v>
      </c>
      <c r="Z19" s="1">
        <v>8.9852871342527715E-2</v>
      </c>
      <c r="AA19" s="1">
        <v>1.6625747999598619E-2</v>
      </c>
      <c r="AB19" s="1">
        <v>3.9195285597463367E-2</v>
      </c>
      <c r="AC19" s="1">
        <v>4.9506804053179393E-2</v>
      </c>
      <c r="AD19" s="1">
        <v>-3.8625335552069977E-2</v>
      </c>
      <c r="AE19" s="1">
        <v>0.17978708293150669</v>
      </c>
      <c r="AF19" s="1">
        <v>1.956656550821281E-2</v>
      </c>
      <c r="AG19" s="1">
        <v>-7.7101904448318923E-3</v>
      </c>
      <c r="AH19" s="1">
        <v>3.8207036260095417E-2</v>
      </c>
      <c r="AI19" s="1">
        <v>-7.721079331933367E-2</v>
      </c>
      <c r="AJ19" s="1">
        <v>2.654533321745868E-2</v>
      </c>
      <c r="AK19" s="1">
        <v>5.263981169476234E-2</v>
      </c>
      <c r="AL19" s="1">
        <v>-8.4598057799227938E-2</v>
      </c>
      <c r="AM19" s="1">
        <v>5.6614096788112668E-2</v>
      </c>
      <c r="AN19" s="1">
        <v>4.1899122265364491E-2</v>
      </c>
      <c r="AO19" s="1">
        <v>6.0241212645789008E-3</v>
      </c>
      <c r="AP19" s="1">
        <v>-0.17980301220632339</v>
      </c>
      <c r="AQ19" s="1">
        <v>7.4530493832756742E-2</v>
      </c>
      <c r="AR19" s="1">
        <v>-7.6683319681552883E-2</v>
      </c>
      <c r="AS19" s="1">
        <v>1.116630775891206E-4</v>
      </c>
      <c r="AT19" s="1">
        <v>-0.1116047375590233</v>
      </c>
      <c r="AU19" s="1">
        <v>-7.6604408908895916E-2</v>
      </c>
      <c r="AV19" s="1">
        <v>-6.6300671279652668E-2</v>
      </c>
      <c r="AW19" s="1">
        <v>-5.2468826420350528E-2</v>
      </c>
      <c r="AX19" s="1">
        <v>0.10909536291553421</v>
      </c>
      <c r="AY19" s="1">
        <v>0.12941912397065189</v>
      </c>
      <c r="AZ19" s="1">
        <v>-0.14754995253439859</v>
      </c>
      <c r="BA19" s="1">
        <v>6.5495607975822712E-2</v>
      </c>
      <c r="BB19" s="1">
        <v>-0.14012957697753001</v>
      </c>
      <c r="BC19" s="1">
        <v>-0.1074830178264303</v>
      </c>
      <c r="BD19" s="1">
        <v>1.9470987874980691E-2</v>
      </c>
      <c r="BE19" s="1">
        <v>3.178465805681123E-2</v>
      </c>
      <c r="BF19" s="1">
        <v>8.8660548980211557E-2</v>
      </c>
      <c r="BG19" s="1">
        <v>0.1188303742993314</v>
      </c>
      <c r="BH19" s="1">
        <v>6.87187326484196E-2</v>
      </c>
      <c r="BI19" s="1">
        <v>-4.0502134054461132E-2</v>
      </c>
      <c r="BJ19" s="1">
        <v>9.3489581347075967E-3</v>
      </c>
      <c r="BK19" s="1">
        <v>5.6589448225166969E-2</v>
      </c>
      <c r="BL19" s="1">
        <v>1.453337316750654E-2</v>
      </c>
      <c r="BM19" s="1">
        <v>3.4392164007261083E-2</v>
      </c>
      <c r="BN19" s="1">
        <v>2.923098082148072E-3</v>
      </c>
      <c r="BO19" s="1">
        <v>-8.9541872633424779E-2</v>
      </c>
      <c r="BP19" s="1">
        <v>7.093739987844519E-2</v>
      </c>
      <c r="BQ19" s="1">
        <v>5.9569330987485E-3</v>
      </c>
      <c r="BR19" s="1">
        <v>-7.952646026557339E-2</v>
      </c>
      <c r="BS19" s="1">
        <v>-9.1357776791999606E-2</v>
      </c>
      <c r="BT19" s="1">
        <v>-4.0199781449209673E-2</v>
      </c>
      <c r="BU19" s="1">
        <v>-1.0525500896306449E-2</v>
      </c>
      <c r="BV19" s="1">
        <v>-8.7372068838653269E-2</v>
      </c>
      <c r="BW19" s="1">
        <v>0.1213367134455923</v>
      </c>
      <c r="BX19" s="1">
        <v>1.4156234833603809E-2</v>
      </c>
      <c r="BY19" s="1">
        <v>-7.8627099728274336E-2</v>
      </c>
      <c r="BZ19" s="1">
        <v>-2.9241779927453939E-2</v>
      </c>
      <c r="CA19" s="1">
        <v>-0.16574530567258261</v>
      </c>
      <c r="CB19" s="1">
        <v>1.3032616512742319E-2</v>
      </c>
      <c r="CC19" s="1">
        <v>-1.538383515124272E-2</v>
      </c>
      <c r="CD19" s="1">
        <v>-3.3773541339025832E-2</v>
      </c>
      <c r="CE19" s="1">
        <v>-4.5480323216057973E-2</v>
      </c>
      <c r="CF19" s="1">
        <v>-2.512157467545879E-2</v>
      </c>
      <c r="CG19" s="1">
        <v>8.3766493651705298E-2</v>
      </c>
      <c r="CH19" s="1">
        <v>-0.14331833351014039</v>
      </c>
      <c r="CI19" s="1">
        <v>-5.762066199121324E-2</v>
      </c>
      <c r="CJ19" s="1">
        <v>4.795466298443174E-2</v>
      </c>
      <c r="CK19" s="1">
        <v>-9.065045530484736E-2</v>
      </c>
      <c r="CL19" s="1">
        <v>0.1066035265735519</v>
      </c>
      <c r="CM19" s="1">
        <v>-0.1100519142914691</v>
      </c>
      <c r="CN19" s="1">
        <v>-0.1247425946251596</v>
      </c>
      <c r="CO19" s="1">
        <v>0.1069001389062522</v>
      </c>
      <c r="CP19" s="1">
        <v>-4.1582977986827113E-2</v>
      </c>
      <c r="CQ19" s="1">
        <v>-1.5378497186591769E-2</v>
      </c>
      <c r="CR19" s="1">
        <v>-9.566937077439272E-2</v>
      </c>
      <c r="CS19" s="1">
        <v>-6.9241996405883114E-3</v>
      </c>
      <c r="CT19" s="1">
        <v>-4.659824684232796E-2</v>
      </c>
      <c r="CU19" s="1">
        <v>9.6722204257940952E-2</v>
      </c>
      <c r="CV19" s="1">
        <v>-9.5877325462448634E-3</v>
      </c>
      <c r="CW19" s="1">
        <v>-3.2305608468508611E-3</v>
      </c>
      <c r="CX19" s="1">
        <v>-2.976753819094129E-2</v>
      </c>
      <c r="CY19" s="1">
        <v>3.142978080748219E-2</v>
      </c>
      <c r="CZ19" s="1">
        <v>1.370218207230735E-2</v>
      </c>
      <c r="DA19" s="1">
        <v>0.1203699716570098</v>
      </c>
      <c r="DB19" s="1">
        <v>-3.4817210907922627E-2</v>
      </c>
      <c r="DC19" s="1">
        <v>5.7824966928164523E-2</v>
      </c>
      <c r="DD19" s="1">
        <v>-0.12486183561002</v>
      </c>
      <c r="DE19" s="1">
        <v>-1.4203307335652679E-2</v>
      </c>
      <c r="DF19" s="1">
        <v>-7.4282503450786214E-2</v>
      </c>
      <c r="DG19" s="1">
        <v>-6.1893419441833714E-4</v>
      </c>
      <c r="DH19" s="1">
        <v>1.94923083185762E-2</v>
      </c>
      <c r="DI19" s="1">
        <v>5.2422018087692701E-2</v>
      </c>
      <c r="DJ19" s="1">
        <v>4.6146096985095718E-2</v>
      </c>
      <c r="DK19" s="1">
        <v>-3.2261038729291522E-2</v>
      </c>
      <c r="DL19" s="1">
        <v>-2.3197464542285981E-2</v>
      </c>
      <c r="DM19" s="1">
        <v>-0.16085834629900789</v>
      </c>
      <c r="DN19" s="1">
        <v>5.0042610660052847E-2</v>
      </c>
      <c r="DO19" s="1">
        <v>-4.9517431815998603E-2</v>
      </c>
      <c r="DP19" s="1">
        <v>0.1190146756140969</v>
      </c>
      <c r="DQ19" s="1">
        <v>2.031609641746229E-4</v>
      </c>
      <c r="DR19" s="1">
        <v>5.2606806109739539E-3</v>
      </c>
      <c r="DS19" s="1">
        <v>2.4462506242815221E-2</v>
      </c>
      <c r="DT19" s="1">
        <v>-1.817895038694467E-2</v>
      </c>
      <c r="DU19" s="1">
        <v>8.1956763853021419E-2</v>
      </c>
      <c r="DV19" s="1">
        <v>1.6918926927959529E-2</v>
      </c>
      <c r="DW19" s="1">
        <v>5.0306431722440259E-3</v>
      </c>
      <c r="DX19" s="1">
        <v>-0.1179473637867956</v>
      </c>
      <c r="DY19" s="1">
        <v>0.13584938388203829</v>
      </c>
      <c r="DZ19" s="1">
        <v>2.2482261307989901E-2</v>
      </c>
      <c r="EA19" s="1">
        <v>2.1537867689219049E-2</v>
      </c>
      <c r="EB19" s="1">
        <v>7.6981164026896393E-2</v>
      </c>
      <c r="EC19" s="1">
        <v>3.6200675615958147E-2</v>
      </c>
      <c r="ED19" s="1">
        <v>9.222417150120496E-2</v>
      </c>
      <c r="EE19" s="1">
        <v>5.42440159512457E-2</v>
      </c>
      <c r="EF19" s="1">
        <v>-8.8157197202438781E-3</v>
      </c>
    </row>
    <row r="20" spans="1:136" ht="16" customHeight="1">
      <c r="A20" s="6">
        <v>137</v>
      </c>
      <c r="B20" s="6">
        <v>7</v>
      </c>
      <c r="C20" s="2">
        <v>2.3960674486270692E-2</v>
      </c>
      <c r="D20" s="9">
        <v>6.1287232983924793E-2</v>
      </c>
      <c r="E20" s="9">
        <v>5.5594147239545283E-2</v>
      </c>
      <c r="F20" s="9">
        <v>-1.14999244670397E-2</v>
      </c>
      <c r="G20" s="9">
        <v>4.8971528561626232E-2</v>
      </c>
      <c r="H20" s="9">
        <v>-4.0075449606622758E-2</v>
      </c>
      <c r="I20" s="9">
        <v>-2.7390522873052232E-2</v>
      </c>
      <c r="J20" s="9">
        <v>2.4389222850369239E-2</v>
      </c>
      <c r="K20" s="9">
        <v>-4.615186219874251E-2</v>
      </c>
      <c r="L20" s="2">
        <v>1.506733104636389E-2</v>
      </c>
      <c r="M20" s="2">
        <v>0.1283906327214723</v>
      </c>
      <c r="N20" s="2">
        <v>2.3960674486270692E-2</v>
      </c>
      <c r="O20" s="1">
        <v>3.4758582863527787E-2</v>
      </c>
      <c r="P20" s="1">
        <v>3.1700692201443607E-2</v>
      </c>
      <c r="Q20" s="1">
        <v>1.9791604713925819E-2</v>
      </c>
      <c r="R20" s="1">
        <v>0.12896538918886569</v>
      </c>
      <c r="S20" s="1">
        <v>-2.4595339755953918E-2</v>
      </c>
      <c r="T20" s="1">
        <v>4.0120103674474633E-2</v>
      </c>
      <c r="U20" s="1">
        <v>-0.1006073838320041</v>
      </c>
      <c r="V20" s="1">
        <v>4.1412199809776118E-2</v>
      </c>
      <c r="W20" s="1">
        <v>-8.1212312432069611E-3</v>
      </c>
      <c r="X20" s="1">
        <v>0.18072645439629759</v>
      </c>
      <c r="Y20" s="1">
        <v>-4.4362895089673421E-2</v>
      </c>
      <c r="Z20" s="1">
        <v>8.2807327963469526E-2</v>
      </c>
      <c r="AA20" s="1">
        <v>3.3828013893931669E-2</v>
      </c>
      <c r="AB20" s="1">
        <v>5.3881384661112711E-2</v>
      </c>
      <c r="AC20" s="1">
        <v>2.1962223864729562E-2</v>
      </c>
      <c r="AD20" s="1">
        <v>-3.0580864107465029E-2</v>
      </c>
      <c r="AE20" s="1">
        <v>0.22143325063006061</v>
      </c>
      <c r="AF20" s="1">
        <v>3.6399607976309957E-2</v>
      </c>
      <c r="AG20" s="1">
        <v>-2.490255396592422E-2</v>
      </c>
      <c r="AH20" s="1">
        <v>5.2607917733405049E-2</v>
      </c>
      <c r="AI20" s="1">
        <v>-9.5983926914967932E-2</v>
      </c>
      <c r="AJ20" s="1">
        <v>1.4247364954399849E-2</v>
      </c>
      <c r="AK20" s="1">
        <v>5.6876455969141877E-2</v>
      </c>
      <c r="AL20" s="1">
        <v>-7.9623296534556257E-2</v>
      </c>
      <c r="AM20" s="1">
        <v>3.8443071714319883E-2</v>
      </c>
      <c r="AN20" s="1">
        <v>3.9287490224591021E-2</v>
      </c>
      <c r="AO20" s="1">
        <v>-1.3294927245054629E-2</v>
      </c>
      <c r="AP20" s="1">
        <v>-0.20436725056350641</v>
      </c>
      <c r="AQ20" s="1">
        <v>9.9442797217865295E-2</v>
      </c>
      <c r="AR20" s="1">
        <v>-9.0023913560731125E-2</v>
      </c>
      <c r="AS20" s="1">
        <v>-4.1149090084040177E-2</v>
      </c>
      <c r="AT20" s="1">
        <v>-0.13695074376658281</v>
      </c>
      <c r="AU20" s="1">
        <v>-9.1024948285798157E-2</v>
      </c>
      <c r="AV20" s="1">
        <v>-7.2189443122022301E-2</v>
      </c>
      <c r="AW20" s="1">
        <v>-7.7722217552742921E-3</v>
      </c>
      <c r="AX20" s="1">
        <v>0.1420785197341686</v>
      </c>
      <c r="AY20" s="1">
        <v>0.15774765149768361</v>
      </c>
      <c r="AZ20" s="1">
        <v>-0.1557839217719808</v>
      </c>
      <c r="BA20" s="1">
        <v>5.0601459518757969E-2</v>
      </c>
      <c r="BB20" s="1">
        <v>-0.16638052847604939</v>
      </c>
      <c r="BC20" s="1">
        <v>-0.11268292951702601</v>
      </c>
      <c r="BD20" s="1">
        <v>4.0525692958434278E-2</v>
      </c>
      <c r="BE20" s="1">
        <v>3.8400125932390429E-2</v>
      </c>
      <c r="BF20" s="1">
        <v>0.1087791916402505</v>
      </c>
      <c r="BG20" s="1">
        <v>0.1408434061458877</v>
      </c>
      <c r="BH20" s="1">
        <v>6.5799634562474479E-2</v>
      </c>
      <c r="BI20" s="1">
        <v>-1.2794985990191351E-2</v>
      </c>
      <c r="BJ20" s="1">
        <v>-1.769287832848826E-3</v>
      </c>
      <c r="BK20" s="1">
        <v>3.7871017404474169E-2</v>
      </c>
      <c r="BL20" s="1">
        <v>2.365660834431025E-2</v>
      </c>
      <c r="BM20" s="1">
        <v>5.669191464152247E-2</v>
      </c>
      <c r="BN20" s="1">
        <v>3.595585931004186E-2</v>
      </c>
      <c r="BO20" s="1">
        <v>-0.1197403415124265</v>
      </c>
      <c r="BP20" s="1">
        <v>8.1283018227542969E-2</v>
      </c>
      <c r="BQ20" s="1">
        <v>2.079249681008195E-2</v>
      </c>
      <c r="BR20" s="1">
        <v>-8.5531122567200094E-2</v>
      </c>
      <c r="BS20" s="1">
        <v>-0.1101922047708558</v>
      </c>
      <c r="BT20" s="1">
        <v>2.1062157442338879E-2</v>
      </c>
      <c r="BU20" s="1">
        <v>2.123599112262518E-2</v>
      </c>
      <c r="BV20" s="1">
        <v>-9.5579849772512576E-2</v>
      </c>
      <c r="BW20" s="1">
        <v>0.11044165093533689</v>
      </c>
      <c r="BX20" s="1">
        <v>7.3082334900555993E-3</v>
      </c>
      <c r="BY20" s="1">
        <v>-0.1260464537093039</v>
      </c>
      <c r="BZ20" s="1">
        <v>-2.7112526961990652E-2</v>
      </c>
      <c r="CA20" s="1">
        <v>-0.17016029411542191</v>
      </c>
      <c r="CB20" s="1">
        <v>3.549619540401816E-2</v>
      </c>
      <c r="CC20" s="1">
        <v>-2.4938054894467751E-2</v>
      </c>
      <c r="CD20" s="1">
        <v>-8.5963881097028516E-2</v>
      </c>
      <c r="CE20" s="1">
        <v>-4.6587905155565497E-2</v>
      </c>
      <c r="CF20" s="1">
        <v>-6.7205860480398366E-2</v>
      </c>
      <c r="CG20" s="1">
        <v>9.5321622001787232E-2</v>
      </c>
      <c r="CH20" s="1">
        <v>-0.1861895954957864</v>
      </c>
      <c r="CI20" s="1">
        <v>-6.0535736905777723E-2</v>
      </c>
      <c r="CJ20" s="1">
        <v>6.2092342814432967E-2</v>
      </c>
      <c r="CK20" s="1">
        <v>-0.1106715280863519</v>
      </c>
      <c r="CL20" s="1">
        <v>5.3403037312273367E-2</v>
      </c>
      <c r="CM20" s="1">
        <v>-0.1365537863063605</v>
      </c>
      <c r="CN20" s="1">
        <v>-0.14580951538572909</v>
      </c>
      <c r="CO20" s="1">
        <v>0.12032401256867729</v>
      </c>
      <c r="CP20" s="1">
        <v>-3.1798703809171547E-2</v>
      </c>
      <c r="CQ20" s="1">
        <v>-5.5724051579595937E-2</v>
      </c>
      <c r="CR20" s="1">
        <v>-0.12074417029840739</v>
      </c>
      <c r="CS20" s="1">
        <v>-4.0845715368856457E-2</v>
      </c>
      <c r="CT20" s="1">
        <v>-6.0288134633943641E-2</v>
      </c>
      <c r="CU20" s="1">
        <v>9.6138579977096544E-2</v>
      </c>
      <c r="CV20" s="1">
        <v>-5.6808047635861329E-3</v>
      </c>
      <c r="CW20" s="1">
        <v>1.3739428485733181E-2</v>
      </c>
      <c r="CX20" s="1">
        <v>-9.688310135658032E-3</v>
      </c>
      <c r="CY20" s="1">
        <v>5.1904249086463516E-3</v>
      </c>
      <c r="CZ20" s="1">
        <v>-2.5900999044747391E-2</v>
      </c>
      <c r="DA20" s="1">
        <v>0.1206220044068903</v>
      </c>
      <c r="DB20" s="1">
        <v>-4.6942583799582917E-2</v>
      </c>
      <c r="DC20" s="1">
        <v>6.4491756249383331E-2</v>
      </c>
      <c r="DD20" s="1">
        <v>-0.12599340058920311</v>
      </c>
      <c r="DE20" s="1">
        <v>-2.353858981206396E-2</v>
      </c>
      <c r="DF20" s="1">
        <v>-8.6359851520640796E-2</v>
      </c>
      <c r="DG20" s="1">
        <v>-3.9412418610088804E-3</v>
      </c>
      <c r="DH20" s="1">
        <v>5.1818376505426136E-3</v>
      </c>
      <c r="DI20" s="1">
        <v>5.8885758090210037E-2</v>
      </c>
      <c r="DJ20" s="1">
        <v>5.7994612167286491E-2</v>
      </c>
      <c r="DK20" s="1">
        <v>-7.306739233403714E-2</v>
      </c>
      <c r="DL20" s="1">
        <v>4.9961148747365569E-4</v>
      </c>
      <c r="DM20" s="1">
        <v>-0.18644366649035071</v>
      </c>
      <c r="DN20" s="1">
        <v>9.6947539555629056E-2</v>
      </c>
      <c r="DO20" s="1">
        <v>-5.6900851893120288E-2</v>
      </c>
      <c r="DP20" s="1">
        <v>0.15282102458845279</v>
      </c>
      <c r="DQ20" s="1">
        <v>5.8171498438915198E-3</v>
      </c>
      <c r="DR20" s="1">
        <v>6.7562772104483693E-2</v>
      </c>
      <c r="DS20" s="1">
        <v>5.3815680510546873E-2</v>
      </c>
      <c r="DT20" s="1">
        <v>5.8385283512957589E-3</v>
      </c>
      <c r="DU20" s="1">
        <v>0.1570343791460026</v>
      </c>
      <c r="DV20" s="1">
        <v>-1.849687267462401E-2</v>
      </c>
      <c r="DW20" s="1">
        <v>-3.3493026490381758E-2</v>
      </c>
      <c r="DX20" s="1">
        <v>-0.11616710745166189</v>
      </c>
      <c r="DY20" s="1">
        <v>0.13321646825060909</v>
      </c>
      <c r="DZ20" s="1">
        <v>6.5625421641408749E-2</v>
      </c>
      <c r="EA20" s="1">
        <v>2.0377141354694438E-2</v>
      </c>
      <c r="EB20" s="1">
        <v>7.4414152518056262E-2</v>
      </c>
      <c r="EC20" s="1">
        <v>5.493489954938701E-2</v>
      </c>
      <c r="ED20" s="1">
        <v>9.4619797461862831E-2</v>
      </c>
      <c r="EE20" s="1">
        <v>7.4482350649423198E-2</v>
      </c>
      <c r="EF20" s="1">
        <v>-4.0050567961217427E-2</v>
      </c>
    </row>
    <row r="21" spans="1:136" ht="16" customHeight="1">
      <c r="A21" s="6">
        <v>160</v>
      </c>
      <c r="B21" s="6">
        <v>6</v>
      </c>
      <c r="C21" s="2">
        <v>1.7692424960681141E-2</v>
      </c>
      <c r="D21" s="9">
        <v>7.1963452626881488E-2</v>
      </c>
      <c r="E21" s="9">
        <v>-1.0531128209599351E-2</v>
      </c>
      <c r="F21" s="9">
        <v>2.0877774024983881E-2</v>
      </c>
      <c r="G21" s="9">
        <v>4.73006292069581E-2</v>
      </c>
      <c r="H21" s="9">
        <v>-3.8041753556040058E-3</v>
      </c>
      <c r="I21" s="9">
        <v>-4.4756829534366223E-2</v>
      </c>
      <c r="J21" s="9">
        <v>3.7236508284402788E-2</v>
      </c>
      <c r="K21" s="9">
        <v>-5.7542163226471731E-2</v>
      </c>
      <c r="L21" s="2">
        <v>1.1611325085464639E-2</v>
      </c>
      <c r="M21" s="2">
        <v>0.14526480032150421</v>
      </c>
      <c r="N21" s="2">
        <v>1.7692424960681141E-2</v>
      </c>
      <c r="O21" s="1">
        <v>3.0936635438098929E-3</v>
      </c>
      <c r="P21" s="1">
        <v>3.9079689555044983E-2</v>
      </c>
      <c r="Q21" s="1">
        <v>-1.6605400287061169E-2</v>
      </c>
      <c r="R21" s="1">
        <v>0.10413609425245179</v>
      </c>
      <c r="S21" s="1">
        <v>-0.1046128926463617</v>
      </c>
      <c r="T21" s="1">
        <v>5.1582065569468601E-2</v>
      </c>
      <c r="U21" s="1">
        <v>-8.5624574103402282E-2</v>
      </c>
      <c r="V21" s="1">
        <v>5.0393950543172888E-2</v>
      </c>
      <c r="W21" s="1">
        <v>-2.0429764671936971E-2</v>
      </c>
      <c r="X21" s="1">
        <v>0.16047300391205219</v>
      </c>
      <c r="Y21" s="1">
        <v>-6.7513736487818762E-2</v>
      </c>
      <c r="Z21" s="1">
        <v>3.2419359930404713E-2</v>
      </c>
      <c r="AA21" s="1">
        <v>4.7221445887346059E-2</v>
      </c>
      <c r="AB21" s="1">
        <v>-5.6882654837774379E-3</v>
      </c>
      <c r="AC21" s="1">
        <v>2.613275894454857E-2</v>
      </c>
      <c r="AD21" s="1">
        <v>-2.8325063786582751E-2</v>
      </c>
      <c r="AE21" s="1">
        <v>0.20667272285077659</v>
      </c>
      <c r="AF21" s="1">
        <v>5.5669542792707118E-2</v>
      </c>
      <c r="AG21" s="1">
        <v>-2.982157409211731E-2</v>
      </c>
      <c r="AH21" s="1">
        <v>7.6897627760456583E-2</v>
      </c>
      <c r="AI21" s="1">
        <v>-9.9579091574747508E-2</v>
      </c>
      <c r="AJ21" s="1">
        <v>3.102766636902652E-2</v>
      </c>
      <c r="AK21" s="1">
        <v>4.0834448047313059E-2</v>
      </c>
      <c r="AL21" s="1">
        <v>-9.382185977629727E-2</v>
      </c>
      <c r="AM21" s="1">
        <v>3.7895655482297057E-2</v>
      </c>
      <c r="AN21" s="1">
        <v>8.6147091168409268E-2</v>
      </c>
      <c r="AO21" s="1">
        <v>-4.6038748026865778E-2</v>
      </c>
      <c r="AP21" s="1">
        <v>-0.22949203590729211</v>
      </c>
      <c r="AQ21" s="1">
        <v>0.1124543865937923</v>
      </c>
      <c r="AR21" s="1">
        <v>-0.118499120676512</v>
      </c>
      <c r="AS21" s="1">
        <v>1.8089021393741932E-2</v>
      </c>
      <c r="AT21" s="1">
        <v>-0.1326350126409287</v>
      </c>
      <c r="AU21" s="1">
        <v>-0.11179086395989719</v>
      </c>
      <c r="AV21" s="1">
        <v>-7.1165225453643954E-2</v>
      </c>
      <c r="AW21" s="1">
        <v>-1.2025722375764139E-2</v>
      </c>
      <c r="AX21" s="1">
        <v>0.15097481128708831</v>
      </c>
      <c r="AY21" s="1">
        <v>0.19332598996550779</v>
      </c>
      <c r="AZ21" s="1">
        <v>-0.17020049886997479</v>
      </c>
      <c r="BA21" s="1">
        <v>7.9203864611694055E-2</v>
      </c>
      <c r="BB21" s="1">
        <v>-0.2176955513926028</v>
      </c>
      <c r="BC21" s="1">
        <v>-8.1294511843913134E-2</v>
      </c>
      <c r="BD21" s="1">
        <v>2.847177778830878E-2</v>
      </c>
      <c r="BE21" s="1">
        <v>2.14459229967487E-2</v>
      </c>
      <c r="BF21" s="1">
        <v>0.15024443376590249</v>
      </c>
      <c r="BG21" s="1">
        <v>0.15020698900031221</v>
      </c>
      <c r="BH21" s="1">
        <v>4.02011794787277E-2</v>
      </c>
      <c r="BI21" s="1">
        <v>4.1443319753193861E-2</v>
      </c>
      <c r="BJ21" s="1">
        <v>6.3383655408726633E-2</v>
      </c>
      <c r="BK21" s="1">
        <v>2.9523394840345399E-2</v>
      </c>
      <c r="BL21" s="1">
        <v>1.9341644808257501E-2</v>
      </c>
      <c r="BM21" s="1">
        <v>4.1659350458692318E-2</v>
      </c>
      <c r="BN21" s="1">
        <v>2.1328503776242971E-2</v>
      </c>
      <c r="BO21" s="1">
        <v>-8.0890091350708779E-2</v>
      </c>
      <c r="BP21" s="1">
        <v>8.3758520692882421E-2</v>
      </c>
      <c r="BQ21" s="1">
        <v>-8.3269358716410655E-3</v>
      </c>
      <c r="BR21" s="1">
        <v>-9.7667400782902591E-2</v>
      </c>
      <c r="BS21" s="1">
        <v>-0.15524022851436231</v>
      </c>
      <c r="BT21" s="1">
        <v>3.0765179830743911E-2</v>
      </c>
      <c r="BU21" s="1">
        <v>2.343108448165104E-2</v>
      </c>
      <c r="BV21" s="1">
        <v>-5.6091716963844407E-2</v>
      </c>
      <c r="BW21" s="1">
        <v>9.9546381965718495E-2</v>
      </c>
      <c r="BX21" s="1">
        <v>4.4549506977087067E-2</v>
      </c>
      <c r="BY21" s="1">
        <v>-0.1163284713656494</v>
      </c>
      <c r="BZ21" s="1">
        <v>-2.310483093308793E-2</v>
      </c>
      <c r="CA21" s="1">
        <v>-0.17878928981650111</v>
      </c>
      <c r="CB21" s="1">
        <v>-2.4349598591866001E-2</v>
      </c>
      <c r="CC21" s="1">
        <v>-5.6222321102269039E-2</v>
      </c>
      <c r="CD21" s="1">
        <v>1.9163567976186031E-2</v>
      </c>
      <c r="CE21" s="1">
        <v>3.056742005888461E-2</v>
      </c>
      <c r="CF21" s="1">
        <v>-6.7547602785704833E-2</v>
      </c>
      <c r="CG21" s="1">
        <v>0.1741226920151987</v>
      </c>
      <c r="CH21" s="1">
        <v>-0.1881544269366964</v>
      </c>
      <c r="CI21" s="1">
        <v>5.376431995506066E-2</v>
      </c>
      <c r="CJ21" s="1">
        <v>8.1877313293500148E-2</v>
      </c>
      <c r="CK21" s="1">
        <v>-9.000173112692042E-2</v>
      </c>
      <c r="CL21" s="1">
        <v>5.2893301742407209E-3</v>
      </c>
      <c r="CM21" s="1">
        <v>-0.14531233589658549</v>
      </c>
      <c r="CN21" s="1">
        <v>-0.15110161930948121</v>
      </c>
      <c r="CO21" s="1">
        <v>0.1168892646014482</v>
      </c>
      <c r="CP21" s="1">
        <v>-3.3103622758534082E-2</v>
      </c>
      <c r="CQ21" s="1">
        <v>-7.4217049355894765E-2</v>
      </c>
      <c r="CR21" s="1">
        <v>-0.17989270978680211</v>
      </c>
      <c r="CS21" s="1">
        <v>-7.4243581547428078E-2</v>
      </c>
      <c r="CT21" s="1">
        <v>-5.9981579750882988E-2</v>
      </c>
      <c r="CU21" s="1">
        <v>0.1057185886781748</v>
      </c>
      <c r="CV21" s="1">
        <v>-6.0442326921917207E-2</v>
      </c>
      <c r="CW21" s="1">
        <v>7.5724346105588251E-3</v>
      </c>
      <c r="CX21" s="1">
        <v>1.4551638632049779E-2</v>
      </c>
      <c r="CY21" s="1">
        <v>-4.4257754679909028E-3</v>
      </c>
      <c r="CZ21" s="1">
        <v>-5.1714820394933837E-2</v>
      </c>
      <c r="DA21" s="1">
        <v>0.13546731658424621</v>
      </c>
      <c r="DB21" s="1">
        <v>2.6428067383571782E-2</v>
      </c>
      <c r="DC21" s="1">
        <v>4.6063233971605173E-2</v>
      </c>
      <c r="DD21" s="1">
        <v>-0.15390271193853691</v>
      </c>
      <c r="DE21" s="1">
        <v>-4.176428240721107E-2</v>
      </c>
      <c r="DF21" s="1">
        <v>-7.0504362766651799E-2</v>
      </c>
      <c r="DG21" s="1">
        <v>-2.601273029525402E-2</v>
      </c>
      <c r="DH21" s="1">
        <v>1.607408450499186E-2</v>
      </c>
      <c r="DI21" s="1">
        <v>3.2965495027125077E-2</v>
      </c>
      <c r="DJ21" s="1">
        <v>5.134896737611843E-2</v>
      </c>
      <c r="DK21" s="1">
        <v>-0.1406418240425843</v>
      </c>
      <c r="DL21" s="1">
        <v>7.3561906638761262E-3</v>
      </c>
      <c r="DM21" s="1">
        <v>-0.1141760139213682</v>
      </c>
      <c r="DN21" s="1">
        <v>0.13812908597561449</v>
      </c>
      <c r="DO21" s="1">
        <v>-7.4567653607087919E-2</v>
      </c>
      <c r="DP21" s="1">
        <v>9.9523793528896065E-2</v>
      </c>
      <c r="DQ21" s="1">
        <v>-3.0147451471675408E-3</v>
      </c>
      <c r="DR21" s="1">
        <v>7.0782978420802375E-2</v>
      </c>
      <c r="DS21" s="1">
        <v>2.9355735104957491E-2</v>
      </c>
      <c r="DT21" s="1">
        <v>-1.922877551616748E-2</v>
      </c>
      <c r="DU21" s="1">
        <v>0.13894736088685319</v>
      </c>
      <c r="DV21" s="1">
        <v>3.961433338468457E-2</v>
      </c>
      <c r="DW21" s="1">
        <v>-3.402816941431068E-2</v>
      </c>
      <c r="DX21" s="1">
        <v>-0.1259336459148058</v>
      </c>
      <c r="DY21" s="1">
        <v>0.1692584931831114</v>
      </c>
      <c r="DZ21" s="1">
        <v>7.4256150012998332E-2</v>
      </c>
      <c r="EA21" s="1">
        <v>2.5503690737221089E-2</v>
      </c>
      <c r="EB21" s="1">
        <v>3.8239871299825097E-2</v>
      </c>
      <c r="EC21" s="1">
        <v>8.0672039602072976E-2</v>
      </c>
      <c r="ED21" s="1">
        <v>0.1181725124509676</v>
      </c>
      <c r="EE21" s="1">
        <v>4.5303163392129413E-2</v>
      </c>
      <c r="EF21" s="1">
        <v>-3.9264104122564078E-2</v>
      </c>
    </row>
    <row r="22" spans="1:136" ht="16" customHeight="1">
      <c r="A22" s="6">
        <v>192</v>
      </c>
      <c r="B22" s="6">
        <v>5</v>
      </c>
      <c r="C22" s="2">
        <v>3.6241182215047199E-2</v>
      </c>
      <c r="D22" s="9">
        <v>6.5137114394218334E-2</v>
      </c>
      <c r="E22" s="9">
        <v>-9.6236882919538431E-3</v>
      </c>
      <c r="F22" s="9">
        <v>4.9351449900307168E-2</v>
      </c>
      <c r="G22" s="9">
        <v>6.1676796815543271E-2</v>
      </c>
      <c r="H22" s="9">
        <v>8.6017332945696919E-3</v>
      </c>
      <c r="I22" s="9">
        <v>-1.3358198168729189E-3</v>
      </c>
      <c r="J22" s="9">
        <v>1.698454435210171E-2</v>
      </c>
      <c r="K22" s="9">
        <v>-5.0564506958074677E-2</v>
      </c>
      <c r="L22" s="2">
        <v>6.3429920147260677E-2</v>
      </c>
      <c r="M22" s="2">
        <v>0.12733010103007031</v>
      </c>
      <c r="N22" s="2">
        <v>3.6241182215047199E-2</v>
      </c>
      <c r="O22" s="1">
        <v>-3.264066058364757E-3</v>
      </c>
      <c r="P22" s="1">
        <v>4.0080666188708203E-2</v>
      </c>
      <c r="Q22" s="1">
        <v>-4.9896762079015791E-2</v>
      </c>
      <c r="R22" s="1">
        <v>0.13098711660440451</v>
      </c>
      <c r="S22" s="1">
        <v>-0.16704018328503081</v>
      </c>
      <c r="T22" s="1">
        <v>0.1028302260113837</v>
      </c>
      <c r="U22" s="1">
        <v>-6.2373706809566859E-2</v>
      </c>
      <c r="V22" s="1">
        <v>4.7704615245402072E-2</v>
      </c>
      <c r="W22" s="1">
        <v>-1.8644473713697051E-2</v>
      </c>
      <c r="X22" s="1">
        <v>0.1855178152277541</v>
      </c>
      <c r="Y22" s="1">
        <v>-8.4834679478348315E-2</v>
      </c>
      <c r="Z22" s="1">
        <v>5.244657367838057E-2</v>
      </c>
      <c r="AA22" s="1">
        <v>9.0367058317683532E-2</v>
      </c>
      <c r="AB22" s="1">
        <v>-1.9403380252949489E-2</v>
      </c>
      <c r="AC22" s="1">
        <v>1.9486928335608049E-2</v>
      </c>
      <c r="AD22" s="1">
        <v>3.537359085634482E-3</v>
      </c>
      <c r="AE22" s="1">
        <v>0.22955767568198121</v>
      </c>
      <c r="AF22" s="1">
        <v>6.4059670360905901E-2</v>
      </c>
      <c r="AG22" s="1">
        <v>-1.3293524302927771E-2</v>
      </c>
      <c r="AH22" s="1">
        <v>5.8348439475485937E-2</v>
      </c>
      <c r="AI22" s="1">
        <v>-0.14862549379730131</v>
      </c>
      <c r="AJ22" s="1">
        <v>4.2812542959062762E-2</v>
      </c>
      <c r="AK22" s="1">
        <v>3.457196555208365E-3</v>
      </c>
      <c r="AL22" s="1">
        <v>-0.1112514103140181</v>
      </c>
      <c r="AM22" s="1">
        <v>4.6411545765701882E-2</v>
      </c>
      <c r="AN22" s="1">
        <v>7.4185726877475211E-2</v>
      </c>
      <c r="AO22" s="1">
        <v>-5.1335512699278732E-2</v>
      </c>
      <c r="AP22" s="1">
        <v>-0.23349639176909651</v>
      </c>
      <c r="AQ22" s="1">
        <v>0.1132235048561195</v>
      </c>
      <c r="AR22" s="1">
        <v>-0.1297109116983968</v>
      </c>
      <c r="AS22" s="1">
        <v>3.3458167538896341E-2</v>
      </c>
      <c r="AT22" s="1">
        <v>-0.12657409150635279</v>
      </c>
      <c r="AU22" s="1">
        <v>-0.12534744941911721</v>
      </c>
      <c r="AV22" s="1">
        <v>-7.0287215089624905E-2</v>
      </c>
      <c r="AW22" s="1">
        <v>4.1239122507369047E-3</v>
      </c>
      <c r="AX22" s="1">
        <v>0.31378779343645358</v>
      </c>
      <c r="AY22" s="1">
        <v>0.25521646485694882</v>
      </c>
      <c r="AZ22" s="1">
        <v>-4.9113580639886217E-2</v>
      </c>
      <c r="BA22" s="1">
        <v>3.4048123627964458E-2</v>
      </c>
      <c r="BB22" s="1">
        <v>-0.1451795750212963</v>
      </c>
      <c r="BC22" s="1">
        <v>-5.1379037839306523E-2</v>
      </c>
      <c r="BD22" s="1">
        <v>5.1391964091958328E-2</v>
      </c>
      <c r="BE22" s="1">
        <v>2.0936559004197681E-2</v>
      </c>
      <c r="BF22" s="1">
        <v>9.5210283826231479E-2</v>
      </c>
      <c r="BG22" s="1">
        <v>0.19641385262716551</v>
      </c>
      <c r="BH22" s="1">
        <v>8.1165953673165814E-2</v>
      </c>
      <c r="BI22" s="1">
        <v>3.4671725760279853E-2</v>
      </c>
      <c r="BJ22" s="1">
        <v>5.6350307831599611E-2</v>
      </c>
      <c r="BK22" s="1">
        <v>3.702982973057567E-2</v>
      </c>
      <c r="BL22" s="1">
        <v>5.3311723760195537E-2</v>
      </c>
      <c r="BM22" s="1">
        <v>2.9663609772978109E-2</v>
      </c>
      <c r="BN22" s="1">
        <v>-5.8429121729908504E-3</v>
      </c>
      <c r="BO22" s="1">
        <v>-7.0809858919396257E-2</v>
      </c>
      <c r="BP22" s="1">
        <v>7.7342999173091037E-2</v>
      </c>
      <c r="BQ22" s="1">
        <v>-3.0347224020341412E-2</v>
      </c>
      <c r="BR22" s="1">
        <v>-0.18751365401659159</v>
      </c>
      <c r="BS22" s="1">
        <v>-0.176443643369779</v>
      </c>
      <c r="BT22" s="1">
        <v>-8.0753231729098957E-2</v>
      </c>
      <c r="BU22" s="1">
        <v>4.3870490408661193E-2</v>
      </c>
      <c r="BV22" s="1">
        <v>-5.671653173541235E-2</v>
      </c>
      <c r="BW22" s="1">
        <v>0.14044013745207459</v>
      </c>
      <c r="BX22" s="1">
        <v>5.014425835436509E-2</v>
      </c>
      <c r="BY22" s="1">
        <v>-4.8233631860601638E-2</v>
      </c>
      <c r="BZ22" s="1">
        <v>-8.295841783011379E-2</v>
      </c>
      <c r="CA22" s="1">
        <v>-0.20801352911213511</v>
      </c>
      <c r="CB22" s="1">
        <v>-1.702938654237025E-2</v>
      </c>
      <c r="CC22" s="1">
        <v>-1.3586599838654061E-2</v>
      </c>
      <c r="CD22" s="1">
        <v>-1.2462691447525549E-2</v>
      </c>
      <c r="CE22" s="1">
        <v>6.1969321679984949E-3</v>
      </c>
      <c r="CF22" s="1">
        <v>-4.4521161248054303E-2</v>
      </c>
      <c r="CG22" s="1">
        <v>0.19943976315294451</v>
      </c>
      <c r="CH22" s="1">
        <v>-0.1360046208829058</v>
      </c>
      <c r="CI22" s="1">
        <v>7.6056910199763933E-2</v>
      </c>
      <c r="CJ22" s="1">
        <v>0.1200344120842784</v>
      </c>
      <c r="CK22" s="1">
        <v>-0.11763279222888109</v>
      </c>
      <c r="CL22" s="1">
        <v>1.4262655783137229E-2</v>
      </c>
      <c r="CM22" s="1">
        <v>-0.1640432820356871</v>
      </c>
      <c r="CN22" s="1">
        <v>-0.19383768638416221</v>
      </c>
      <c r="CO22" s="1">
        <v>0.1914429221207313</v>
      </c>
      <c r="CP22" s="1">
        <v>-2.7897443327013619E-2</v>
      </c>
      <c r="CQ22" s="1">
        <v>-4.4846318152669457E-2</v>
      </c>
      <c r="CR22" s="1">
        <v>-0.1652079419758935</v>
      </c>
      <c r="CS22" s="1">
        <v>-0.1163034205689657</v>
      </c>
      <c r="CT22" s="1">
        <v>-8.188983389075169E-2</v>
      </c>
      <c r="CU22" s="1">
        <v>0.11557094979404881</v>
      </c>
      <c r="CV22" s="1">
        <v>-4.0683020373885548E-2</v>
      </c>
      <c r="CW22" s="1">
        <v>-7.7342106045772104E-3</v>
      </c>
      <c r="CX22" s="1">
        <v>-7.9560804135528351E-3</v>
      </c>
      <c r="CY22" s="1">
        <v>-5.7744301896615613E-3</v>
      </c>
      <c r="CZ22" s="1">
        <v>-2.6066994082528938E-3</v>
      </c>
      <c r="DA22" s="1">
        <v>0.19353366222469989</v>
      </c>
      <c r="DB22" s="1">
        <v>1.499481742138044E-2</v>
      </c>
      <c r="DC22" s="1">
        <v>3.6887935121197979E-2</v>
      </c>
      <c r="DD22" s="1">
        <v>-9.192758268676765E-2</v>
      </c>
      <c r="DE22" s="1">
        <v>-2.690872494609994E-2</v>
      </c>
      <c r="DF22" s="1">
        <v>-8.1986158435035719E-2</v>
      </c>
      <c r="DG22" s="1">
        <v>-2.502283123351148E-2</v>
      </c>
      <c r="DH22" s="1">
        <v>3.5297442940697497E-2</v>
      </c>
      <c r="DI22" s="1">
        <v>4.5775557881029452E-2</v>
      </c>
      <c r="DJ22" s="1">
        <v>5.5145703950935779E-2</v>
      </c>
      <c r="DK22" s="1">
        <v>-0.13663614917502309</v>
      </c>
      <c r="DL22" s="1">
        <v>7.996237132724987E-3</v>
      </c>
      <c r="DM22" s="1">
        <v>-7.2889845275992363E-2</v>
      </c>
      <c r="DN22" s="1">
        <v>0.17299794037652669</v>
      </c>
      <c r="DO22" s="1">
        <v>-0.12021416467324909</v>
      </c>
      <c r="DP22" s="1">
        <v>4.8626826714102678E-2</v>
      </c>
      <c r="DQ22" s="1">
        <v>2.002375015152515E-2</v>
      </c>
      <c r="DR22" s="1">
        <v>5.189724866762619E-2</v>
      </c>
      <c r="DS22" s="1">
        <v>7.8745216185630948E-2</v>
      </c>
      <c r="DT22" s="1">
        <v>5.5294279843725307E-2</v>
      </c>
      <c r="DU22" s="1">
        <v>0.1632259225338028</v>
      </c>
      <c r="DV22" s="1">
        <v>5.6491246843842532E-2</v>
      </c>
      <c r="DW22" s="1">
        <v>4.5635084794271343E-2</v>
      </c>
      <c r="DX22" s="1">
        <v>-0.20979311992337429</v>
      </c>
      <c r="DY22" s="1">
        <v>0.14225805434618721</v>
      </c>
      <c r="DZ22" s="1">
        <v>7.0757415729596373E-2</v>
      </c>
      <c r="EA22" s="1">
        <v>3.8940807171396613E-2</v>
      </c>
      <c r="EB22" s="1">
        <v>3.7958519914219002E-2</v>
      </c>
      <c r="EC22" s="1">
        <v>0.1113004516767927</v>
      </c>
      <c r="ED22" s="1">
        <v>0.20918918363990061</v>
      </c>
      <c r="EE22" s="1">
        <v>6.3649083120409955E-2</v>
      </c>
      <c r="EF22" s="1">
        <v>-5.6302641001281177E-2</v>
      </c>
    </row>
    <row r="23" spans="1:136" ht="16" customHeight="1">
      <c r="A23" s="6">
        <v>241</v>
      </c>
      <c r="B23" s="6">
        <v>4</v>
      </c>
      <c r="C23" s="2">
        <v>-8.8942128545151655E-3</v>
      </c>
      <c r="D23" s="9">
        <v>6.3789445191514166E-2</v>
      </c>
      <c r="E23" s="9">
        <v>-8.1404331340310318E-3</v>
      </c>
      <c r="F23" s="9">
        <v>-4.208017532224563E-2</v>
      </c>
      <c r="G23" s="9">
        <v>-8.0289697334504986E-3</v>
      </c>
      <c r="H23" s="9">
        <v>-5.3597608786755593E-3</v>
      </c>
      <c r="I23" s="9">
        <v>4.7386625301213819E-3</v>
      </c>
      <c r="J23" s="9">
        <v>3.2827197940010697E-2</v>
      </c>
      <c r="K23" s="9">
        <v>-9.7382714686606517E-2</v>
      </c>
      <c r="L23" s="2">
        <v>2.8435826506391499E-2</v>
      </c>
      <c r="M23" s="2">
        <v>0.1028248497207863</v>
      </c>
      <c r="N23" s="2">
        <v>-8.8942128545151655E-3</v>
      </c>
      <c r="O23" s="1">
        <v>-2.8039666932561991E-2</v>
      </c>
      <c r="P23" s="1">
        <v>6.7793937542805785E-2</v>
      </c>
      <c r="Q23" s="1">
        <v>-8.6397780143105521E-2</v>
      </c>
      <c r="R23" s="1">
        <v>0.16719545353724111</v>
      </c>
      <c r="S23" s="1">
        <v>-0.14098783672312451</v>
      </c>
      <c r="T23" s="1">
        <v>7.2281527660750744E-2</v>
      </c>
      <c r="U23" s="1">
        <v>-0.13636927544544061</v>
      </c>
      <c r="V23" s="1">
        <v>7.4071928035404022E-2</v>
      </c>
      <c r="W23" s="1">
        <v>-9.2551402894924806E-3</v>
      </c>
      <c r="X23" s="1">
        <v>0.28865686792863032</v>
      </c>
      <c r="Y23" s="1">
        <v>-7.1816243271271979E-2</v>
      </c>
      <c r="Z23" s="1">
        <v>2.9881732618155469E-2</v>
      </c>
      <c r="AA23" s="1">
        <v>0.1223978537472535</v>
      </c>
      <c r="AB23" s="1">
        <v>-6.3743631480498164E-2</v>
      </c>
      <c r="AC23" s="1">
        <v>3.5232884762289268E-3</v>
      </c>
      <c r="AD23" s="1">
        <v>-3.6530576682455101E-2</v>
      </c>
      <c r="AE23" s="1">
        <v>0.2331797994583471</v>
      </c>
      <c r="AF23" s="1">
        <v>4.3819395164948163E-2</v>
      </c>
      <c r="AG23" s="1">
        <v>-9.4013740223424132E-3</v>
      </c>
      <c r="AH23" s="1">
        <v>0.20229573047898439</v>
      </c>
      <c r="AI23" s="1">
        <v>-0.1152108234895588</v>
      </c>
      <c r="AJ23" s="1">
        <v>3.770089316481702E-2</v>
      </c>
      <c r="AK23" s="1">
        <v>4.5148669603883647E-2</v>
      </c>
      <c r="AL23" s="1">
        <v>-0.13228591731827691</v>
      </c>
      <c r="AM23" s="1">
        <v>6.2181981851172602E-2</v>
      </c>
      <c r="AN23" s="1">
        <v>0.1143061471259729</v>
      </c>
      <c r="AO23" s="1">
        <v>-6.5147865704382552E-2</v>
      </c>
      <c r="AP23" s="1">
        <v>-5.4732591188276482E-2</v>
      </c>
      <c r="AQ23" s="1">
        <v>5.7926085782358923E-2</v>
      </c>
      <c r="AR23" s="1">
        <v>-0.1236571010887875</v>
      </c>
      <c r="AS23" s="1">
        <v>7.5385781064667673E-2</v>
      </c>
      <c r="AT23" s="1">
        <v>-0.16741242725876521</v>
      </c>
      <c r="AU23" s="1">
        <v>-0.1161513099094621</v>
      </c>
      <c r="AV23" s="1">
        <v>-3.639484442684604E-2</v>
      </c>
      <c r="AW23" s="1">
        <v>-2.4105832564624629E-2</v>
      </c>
      <c r="AX23" s="1">
        <v>0.39952935500749248</v>
      </c>
      <c r="AY23" s="1">
        <v>0.27935826362030369</v>
      </c>
      <c r="AZ23" s="1">
        <v>-5.7207148657743782E-2</v>
      </c>
      <c r="BA23" s="1">
        <v>-0.1077541465872137</v>
      </c>
      <c r="BB23" s="1">
        <v>-0.19190753675560721</v>
      </c>
      <c r="BC23" s="1">
        <v>-2.482323652577827E-2</v>
      </c>
      <c r="BD23" s="1">
        <v>9.0580084029404498E-2</v>
      </c>
      <c r="BE23" s="1">
        <v>1.9858018191394142E-2</v>
      </c>
      <c r="BF23" s="1">
        <v>0.11285352868644311</v>
      </c>
      <c r="BG23" s="1">
        <v>0.23814807021626749</v>
      </c>
      <c r="BH23" s="1">
        <v>8.1030378614429355E-2</v>
      </c>
      <c r="BI23" s="1">
        <v>3.6270501116267492E-2</v>
      </c>
      <c r="BJ23" s="1">
        <v>9.587665372015737E-2</v>
      </c>
      <c r="BK23" s="1">
        <v>2.348038372310023E-2</v>
      </c>
      <c r="BL23" s="1">
        <v>7.2002189085830032E-2</v>
      </c>
      <c r="BM23" s="1">
        <v>4.0791234094216963E-2</v>
      </c>
      <c r="BN23" s="1">
        <v>-3.6308092749192188E-2</v>
      </c>
      <c r="BO23" s="1">
        <v>-5.133101907992995E-2</v>
      </c>
      <c r="BP23" s="1">
        <v>9.2476969387268446E-2</v>
      </c>
      <c r="BQ23" s="1">
        <v>-6.2296810504077267E-2</v>
      </c>
      <c r="BR23" s="1">
        <v>-0.1936907634309486</v>
      </c>
      <c r="BS23" s="1">
        <v>-0.20003186451148219</v>
      </c>
      <c r="BT23" s="1">
        <v>-0.1182955416695483</v>
      </c>
      <c r="BU23" s="1">
        <v>3.4033261192978073E-2</v>
      </c>
      <c r="BV23" s="1">
        <v>-7.2876563674849987E-2</v>
      </c>
      <c r="BW23" s="1">
        <v>0.1196146257949684</v>
      </c>
      <c r="BX23" s="1">
        <v>3.086854958392524E-2</v>
      </c>
      <c r="BY23" s="1">
        <v>-2.4509003309916792E-2</v>
      </c>
      <c r="BZ23" s="1">
        <v>-0.21324471006087151</v>
      </c>
      <c r="CA23" s="1">
        <v>-7.9033801864990899E-2</v>
      </c>
      <c r="CB23" s="1">
        <v>-2.539873086361941E-2</v>
      </c>
      <c r="CC23" s="1">
        <v>-4.9554049403471252E-2</v>
      </c>
      <c r="CD23" s="1">
        <v>4.8551875375338047E-2</v>
      </c>
      <c r="CE23" s="1">
        <v>7.1478401328281177E-2</v>
      </c>
      <c r="CF23" s="1">
        <v>-6.1736911982068918E-2</v>
      </c>
      <c r="CG23" s="1">
        <v>0.26065350472940713</v>
      </c>
      <c r="CH23" s="1">
        <v>-0.2082658903783495</v>
      </c>
      <c r="CI23" s="1">
        <v>5.6834965621983598E-2</v>
      </c>
      <c r="CJ23" s="1">
        <v>0.18337824874843131</v>
      </c>
      <c r="CK23" s="1">
        <v>-9.4028156401444934E-2</v>
      </c>
      <c r="CL23" s="1">
        <v>-0.1181612536223953</v>
      </c>
      <c r="CM23" s="1">
        <v>-0.25732808353197661</v>
      </c>
      <c r="CN23" s="1">
        <v>-0.32000939091353159</v>
      </c>
      <c r="CO23" s="1">
        <v>0.2457887290222609</v>
      </c>
      <c r="CP23" s="1">
        <v>-2.8760600776323388E-2</v>
      </c>
      <c r="CQ23" s="1">
        <v>-4.695085522727311E-2</v>
      </c>
      <c r="CR23" s="1">
        <v>-0.2160758025906859</v>
      </c>
      <c r="CS23" s="1">
        <v>-0.17429407039338779</v>
      </c>
      <c r="CT23" s="1">
        <v>-4.1679160807936773E-2</v>
      </c>
      <c r="CU23" s="1">
        <v>6.912522989624148E-2</v>
      </c>
      <c r="CV23" s="1">
        <v>-4.963979739468069E-2</v>
      </c>
      <c r="CW23" s="1">
        <v>-6.9898493569896039E-3</v>
      </c>
      <c r="CX23" s="1">
        <v>-3.7170258964758868E-2</v>
      </c>
      <c r="CY23" s="1">
        <v>0.1025792344058063</v>
      </c>
      <c r="CZ23" s="1">
        <v>3.7913620135345161E-2</v>
      </c>
      <c r="DA23" s="1">
        <v>0.2004958002896978</v>
      </c>
      <c r="DB23" s="1">
        <v>4.2840667705693197E-3</v>
      </c>
      <c r="DC23" s="1">
        <v>3.2285947636814367E-2</v>
      </c>
      <c r="DD23" s="1">
        <v>-7.2893035825343372E-2</v>
      </c>
      <c r="DE23" s="1">
        <v>-2.8388241943244779E-2</v>
      </c>
      <c r="DF23" s="1">
        <v>-6.9327673772644316E-2</v>
      </c>
      <c r="DG23" s="1">
        <v>-3.690729463379798E-2</v>
      </c>
      <c r="DH23" s="1">
        <v>6.0875549432095992E-2</v>
      </c>
      <c r="DI23" s="1">
        <v>3.5502557016556767E-2</v>
      </c>
      <c r="DJ23" s="1">
        <v>8.082335148228123E-2</v>
      </c>
      <c r="DK23" s="1">
        <v>-0.14846548284456301</v>
      </c>
      <c r="DL23" s="1">
        <v>-3.9540160125796808E-2</v>
      </c>
      <c r="DM23" s="1">
        <v>-4.4283898176852077E-2</v>
      </c>
      <c r="DN23" s="1">
        <v>0.20325249428656819</v>
      </c>
      <c r="DO23" s="1">
        <v>-0.15041780470428379</v>
      </c>
      <c r="DP23" s="1">
        <v>8.8246528719099895E-2</v>
      </c>
      <c r="DQ23" s="1">
        <v>7.4556555977627684E-2</v>
      </c>
      <c r="DR23" s="1">
        <v>7.9645162438274408E-2</v>
      </c>
      <c r="DS23" s="1">
        <v>0.1176620898423739</v>
      </c>
      <c r="DT23" s="1">
        <v>7.5092148277318971E-2</v>
      </c>
      <c r="DU23" s="1">
        <v>0.1471976675311753</v>
      </c>
      <c r="DV23" s="1">
        <v>9.3309325028470474E-2</v>
      </c>
      <c r="DW23" s="1">
        <v>2.769886539781205E-2</v>
      </c>
      <c r="DX23" s="1">
        <v>-0.21589913173957009</v>
      </c>
      <c r="DY23" s="1">
        <v>2.2285375672382951E-2</v>
      </c>
      <c r="DZ23" s="1">
        <v>0.1088683178275494</v>
      </c>
      <c r="EA23" s="1">
        <v>0.10719545443942841</v>
      </c>
      <c r="EB23" s="1">
        <v>7.1553736878541885E-2</v>
      </c>
      <c r="EC23" s="1">
        <v>0.15422658957004659</v>
      </c>
      <c r="ED23" s="1">
        <v>0.2289419890203919</v>
      </c>
      <c r="EE23" s="1">
        <v>5.8960111396198583E-2</v>
      </c>
      <c r="EF23" s="1">
        <v>7.0681188589302169E-3</v>
      </c>
    </row>
    <row r="24" spans="1:136" ht="16" customHeight="1">
      <c r="A24" s="6">
        <v>321</v>
      </c>
      <c r="B24" s="6">
        <v>3</v>
      </c>
      <c r="C24" s="2">
        <v>-0.13322237415329011</v>
      </c>
      <c r="D24" s="9">
        <v>5.6652027646489807E-2</v>
      </c>
      <c r="E24" s="9">
        <v>1.21072734612669E-2</v>
      </c>
      <c r="F24" s="9">
        <v>-3.8256845567066128E-2</v>
      </c>
      <c r="G24" s="9">
        <v>-7.5045984791187709E-2</v>
      </c>
      <c r="H24" s="9">
        <v>-5.5389194555666996E-3</v>
      </c>
      <c r="I24" s="9">
        <v>1.28462759206515E-2</v>
      </c>
      <c r="J24" s="9">
        <v>2.5325564399920241E-2</v>
      </c>
      <c r="K24" s="9">
        <v>-1.43180640088901E-3</v>
      </c>
      <c r="L24" s="2">
        <v>-3.3346279863019128E-2</v>
      </c>
      <c r="M24" s="2">
        <v>0.16647797821953561</v>
      </c>
      <c r="N24" s="2">
        <v>-0.13322237415329011</v>
      </c>
      <c r="O24" s="1">
        <v>6.2332183711424367E-3</v>
      </c>
      <c r="P24" s="1">
        <v>6.7580016092408809E-2</v>
      </c>
      <c r="Q24" s="1">
        <v>-0.21540460696813621</v>
      </c>
      <c r="R24" s="1">
        <v>0.19088396499194701</v>
      </c>
      <c r="S24" s="1">
        <v>-0.14284789420523589</v>
      </c>
      <c r="T24" s="1">
        <v>6.4720967533494711E-2</v>
      </c>
      <c r="U24" s="1">
        <v>-0.23511948543933531</v>
      </c>
      <c r="V24" s="1">
        <v>6.1879452887822782E-2</v>
      </c>
      <c r="W24" s="1">
        <v>-4.1973952873635131E-2</v>
      </c>
      <c r="X24" s="1">
        <v>0.36147440434709088</v>
      </c>
      <c r="Y24" s="1">
        <v>-4.2848301607637529E-3</v>
      </c>
      <c r="Z24" s="1">
        <v>6.9335336913129736E-2</v>
      </c>
      <c r="AA24" s="1">
        <v>1.8334690577177251E-2</v>
      </c>
      <c r="AB24" s="1">
        <v>-0.13264174141438809</v>
      </c>
      <c r="AC24" s="1">
        <v>-3.5834724211347757E-2</v>
      </c>
      <c r="AD24" s="1">
        <v>-0.1027822932021258</v>
      </c>
      <c r="AE24" s="1">
        <v>0.25421917226003582</v>
      </c>
      <c r="AF24" s="1">
        <v>6.5189269041108222E-3</v>
      </c>
      <c r="AG24" s="1">
        <v>6.2154517581927693E-2</v>
      </c>
      <c r="AH24" s="1">
        <v>0.2855611112526697</v>
      </c>
      <c r="AI24" s="1">
        <v>-7.7449278056246837E-2</v>
      </c>
      <c r="AJ24" s="1">
        <v>0.11800118247255641</v>
      </c>
      <c r="AK24" s="1">
        <v>7.3616658161499621E-2</v>
      </c>
      <c r="AL24" s="1">
        <v>-2.7358794420676201E-2</v>
      </c>
      <c r="AM24" s="1">
        <v>9.1785107140904765E-2</v>
      </c>
      <c r="AN24" s="1">
        <v>0.12795363542848179</v>
      </c>
      <c r="AO24" s="1">
        <v>-0.13810082852340641</v>
      </c>
      <c r="AP24" s="1">
        <v>-4.0829858081642439E-2</v>
      </c>
      <c r="AQ24" s="1">
        <v>2.1066606756176848E-2</v>
      </c>
      <c r="AR24" s="1">
        <v>-0.18824704615527479</v>
      </c>
      <c r="AS24" s="1">
        <v>4.3633745979059207E-3</v>
      </c>
      <c r="AT24" s="1">
        <v>-0.28619575826983151</v>
      </c>
      <c r="AU24" s="1">
        <v>-7.8077497441585722E-2</v>
      </c>
      <c r="AV24" s="1">
        <v>-4.6922579093745573E-2</v>
      </c>
      <c r="AW24" s="1">
        <v>-3.8953145335307353E-2</v>
      </c>
      <c r="AX24" s="1">
        <v>0.22980767834924989</v>
      </c>
      <c r="AY24" s="1">
        <v>0.19742299568137159</v>
      </c>
      <c r="AZ24" s="1">
        <v>-2.3947139021743748E-2</v>
      </c>
      <c r="BA24" s="1">
        <v>-0.21722336516054161</v>
      </c>
      <c r="BB24" s="1">
        <v>-0.30376601376337642</v>
      </c>
      <c r="BC24" s="1">
        <v>-8.7022191818197842E-2</v>
      </c>
      <c r="BD24" s="1">
        <v>6.5077707770726329E-2</v>
      </c>
      <c r="BE24" s="1">
        <v>7.3684391704853025E-2</v>
      </c>
      <c r="BF24" s="1">
        <v>-5.8962980809811993E-2</v>
      </c>
      <c r="BG24" s="1">
        <v>0.24089469313775899</v>
      </c>
      <c r="BH24" s="1">
        <v>4.5648386094487868E-2</v>
      </c>
      <c r="BI24" s="1">
        <v>6.4452680397801623E-2</v>
      </c>
      <c r="BJ24" s="1">
        <v>2.2808920004799119E-2</v>
      </c>
      <c r="BK24" s="1">
        <v>3.2605737274214598E-2</v>
      </c>
      <c r="BL24" s="1">
        <v>8.8438775177784756E-2</v>
      </c>
      <c r="BM24" s="1">
        <v>-3.2985662210107097E-2</v>
      </c>
      <c r="BN24" s="1">
        <v>-8.2604700907317058E-2</v>
      </c>
      <c r="BO24" s="1">
        <v>-1.48590668545529E-2</v>
      </c>
      <c r="BP24" s="1">
        <v>0.1013800923889836</v>
      </c>
      <c r="BQ24" s="1">
        <v>-6.8370007765955865E-2</v>
      </c>
      <c r="BR24" s="1">
        <v>-0.17933019448405199</v>
      </c>
      <c r="BS24" s="1">
        <v>-0.28649213419973918</v>
      </c>
      <c r="BT24" s="1">
        <v>-7.6951237678552456E-2</v>
      </c>
      <c r="BU24" s="1">
        <v>-1.1051810904071001E-2</v>
      </c>
      <c r="BV24" s="1">
        <v>-9.1923595319856388E-2</v>
      </c>
      <c r="BW24" s="1">
        <v>0.14943426648951219</v>
      </c>
      <c r="BX24" s="1">
        <v>-1.010745322712618E-2</v>
      </c>
      <c r="BY24" s="1">
        <v>0.1061427128980808</v>
      </c>
      <c r="BZ24" s="1">
        <v>-0.27161884679002801</v>
      </c>
      <c r="CA24" s="1">
        <v>1.777465366567333E-2</v>
      </c>
      <c r="CB24" s="1">
        <v>-1.255392639416068E-2</v>
      </c>
      <c r="CC24" s="1">
        <v>-9.5797727716001202E-2</v>
      </c>
      <c r="CD24" s="1">
        <v>-1.7768764578223899E-2</v>
      </c>
      <c r="CE24" s="1">
        <v>7.9741020636068839E-3</v>
      </c>
      <c r="CF24" s="1">
        <v>-5.4920514840064452E-2</v>
      </c>
      <c r="CG24" s="1">
        <v>0.17740357405993509</v>
      </c>
      <c r="CH24" s="1">
        <v>-0.22748447038974651</v>
      </c>
      <c r="CI24" s="1">
        <v>6.8703076127890603E-2</v>
      </c>
      <c r="CJ24" s="1">
        <v>0.18685584023974461</v>
      </c>
      <c r="CK24" s="1">
        <v>-0.1369682740634689</v>
      </c>
      <c r="CL24" s="1">
        <v>-0.15004016813696799</v>
      </c>
      <c r="CM24" s="1">
        <v>-0.1642898332821584</v>
      </c>
      <c r="CN24" s="1">
        <v>-0.30356659774446609</v>
      </c>
      <c r="CO24" s="1">
        <v>0.30692225721514899</v>
      </c>
      <c r="CP24" s="1">
        <v>-7.8437851044161733E-2</v>
      </c>
      <c r="CQ24" s="1">
        <v>-2.6581763615726301E-2</v>
      </c>
      <c r="CR24" s="1">
        <v>-0.23561263428350601</v>
      </c>
      <c r="CS24" s="1">
        <v>-0.23069020681160149</v>
      </c>
      <c r="CT24" s="1">
        <v>-3.6907530874136529E-3</v>
      </c>
      <c r="CU24" s="1">
        <v>3.3551080827803378E-2</v>
      </c>
      <c r="CV24" s="1">
        <v>-6.4262342202421871E-2</v>
      </c>
      <c r="CW24" s="1">
        <v>-1.0340374284403309E-2</v>
      </c>
      <c r="CX24" s="1">
        <v>3.5829163561467273E-2</v>
      </c>
      <c r="CY24" s="1">
        <v>0.16549851389076289</v>
      </c>
      <c r="CZ24" s="1">
        <v>-0.10257846732055211</v>
      </c>
      <c r="DA24" s="1">
        <v>0.1708343360251374</v>
      </c>
      <c r="DB24" s="1">
        <v>9.7339679472457918E-4</v>
      </c>
      <c r="DC24" s="1">
        <v>4.1760139024320353E-2</v>
      </c>
      <c r="DD24" s="1">
        <v>-0.14961234019091391</v>
      </c>
      <c r="DE24" s="1">
        <v>-1.4323032763943699E-2</v>
      </c>
      <c r="DF24" s="1">
        <v>-9.5756240660351932E-2</v>
      </c>
      <c r="DG24" s="1">
        <v>-4.2089975573861488E-2</v>
      </c>
      <c r="DH24" s="1">
        <v>2.2899041377225739E-2</v>
      </c>
      <c r="DI24" s="1">
        <v>1.869623341522238E-2</v>
      </c>
      <c r="DJ24" s="1">
        <v>6.6775954734636489E-2</v>
      </c>
      <c r="DK24" s="1">
        <v>-0.1308316190192918</v>
      </c>
      <c r="DL24" s="1">
        <v>-7.8112008184638704E-2</v>
      </c>
      <c r="DM24" s="1">
        <v>1.4735178976103439E-2</v>
      </c>
      <c r="DN24" s="1">
        <v>0.2403082924577998</v>
      </c>
      <c r="DO24" s="1">
        <v>-0.18362622721767291</v>
      </c>
      <c r="DP24" s="1">
        <v>5.1818121010569429E-2</v>
      </c>
      <c r="DQ24" s="1">
        <v>8.7665872700955466E-2</v>
      </c>
      <c r="DR24" s="1">
        <v>0.14590430327008211</v>
      </c>
      <c r="DS24" s="1">
        <v>0.1230467605715428</v>
      </c>
      <c r="DT24" s="1">
        <v>9.3810850375833477E-2</v>
      </c>
      <c r="DU24" s="1">
        <v>0.18549347773467401</v>
      </c>
      <c r="DV24" s="1">
        <v>0.12932483976599249</v>
      </c>
      <c r="DW24" s="1">
        <v>0.36633494063353228</v>
      </c>
      <c r="DX24" s="1">
        <v>-0.2271064010909383</v>
      </c>
      <c r="DY24" s="1">
        <v>-6.507191955831973E-2</v>
      </c>
      <c r="DZ24" s="1">
        <v>0.2208771642668744</v>
      </c>
      <c r="EA24" s="1">
        <v>0.1663139641732107</v>
      </c>
      <c r="EB24" s="1">
        <v>7.3233155840504327E-2</v>
      </c>
      <c r="EC24" s="1">
        <v>0.1855569780243124</v>
      </c>
      <c r="ED24" s="1">
        <v>0.35323643289785822</v>
      </c>
      <c r="EE24" s="1">
        <v>3.0642909157400779E-2</v>
      </c>
      <c r="EF24" s="1">
        <v>5.196358101067191E-3</v>
      </c>
    </row>
    <row r="25" spans="1:136" ht="16" customHeight="1">
      <c r="A25" s="6">
        <v>482</v>
      </c>
      <c r="B25" s="6">
        <v>2</v>
      </c>
      <c r="C25" s="2">
        <v>-0.14698994176607941</v>
      </c>
      <c r="D25" s="9">
        <v>6.2865426609970354E-2</v>
      </c>
      <c r="E25" s="9">
        <v>0.1246835434311085</v>
      </c>
      <c r="F25" s="9">
        <v>1.973413824199952E-3</v>
      </c>
      <c r="G25" s="9">
        <v>-5.9471376173122759E-3</v>
      </c>
      <c r="H25" s="9">
        <v>-3.3764077358192077E-2</v>
      </c>
      <c r="I25" s="9">
        <v>3.8814160117334129E-2</v>
      </c>
      <c r="J25" s="9">
        <v>7.5024393155689872E-2</v>
      </c>
      <c r="K25" s="9">
        <v>8.6338883142387732E-2</v>
      </c>
      <c r="L25" s="2">
        <v>-2.9625732856547932E-2</v>
      </c>
      <c r="M25" s="2">
        <v>0.34149409323463292</v>
      </c>
      <c r="N25" s="2">
        <v>-0.14698994176607941</v>
      </c>
      <c r="O25" s="1">
        <v>-3.4838584552046819E-3</v>
      </c>
      <c r="P25" s="1">
        <v>0.13393146247370749</v>
      </c>
      <c r="Q25" s="1">
        <v>-1.8623521702302671E-2</v>
      </c>
      <c r="R25" s="1">
        <v>0.19676481476406579</v>
      </c>
      <c r="S25" s="1">
        <v>-3.6850075182711571E-2</v>
      </c>
      <c r="T25" s="1">
        <v>4.7535122286707747E-2</v>
      </c>
      <c r="U25" s="1">
        <v>-0.21938422133904911</v>
      </c>
      <c r="V25" s="1">
        <v>-1.9885760356179689E-2</v>
      </c>
      <c r="W25" s="1">
        <v>-6.7468182034814722E-2</v>
      </c>
      <c r="X25" s="1">
        <v>0.49146157178960959</v>
      </c>
      <c r="Y25" s="1">
        <v>-2.9681484193923809E-2</v>
      </c>
      <c r="Z25" s="1">
        <v>9.2175229485540161E-2</v>
      </c>
      <c r="AA25" s="1">
        <v>6.8521766044026558E-2</v>
      </c>
      <c r="AB25" s="1">
        <v>-0.27235092180885367</v>
      </c>
      <c r="AC25" s="1">
        <v>-5.848025393803935E-2</v>
      </c>
      <c r="AD25" s="1">
        <v>-0.16334800913728709</v>
      </c>
      <c r="AE25" s="1">
        <v>5.5320837576846783E-2</v>
      </c>
      <c r="AF25" s="1">
        <v>-0.17794022762673251</v>
      </c>
      <c r="AG25" s="1">
        <v>3.845550811295749E-2</v>
      </c>
      <c r="AH25" s="1">
        <v>-2.3127356335870469E-2</v>
      </c>
      <c r="AI25" s="1">
        <v>-0.23660797478414869</v>
      </c>
      <c r="AJ25" s="1">
        <v>0.1130123659699082</v>
      </c>
      <c r="AK25" s="1">
        <v>5.5132579823061918E-2</v>
      </c>
      <c r="AL25" s="1">
        <v>6.452424812663049E-2</v>
      </c>
      <c r="AM25" s="1">
        <v>0.13324202440206451</v>
      </c>
      <c r="AN25" s="1">
        <v>7.2826434368978815E-2</v>
      </c>
      <c r="AO25" s="1">
        <v>-0.23691434038861481</v>
      </c>
      <c r="AP25" s="1">
        <v>-1.64695930525602E-2</v>
      </c>
      <c r="AQ25" s="1">
        <v>-1.6638358718140879E-2</v>
      </c>
      <c r="AR25" s="1">
        <v>-0.30046013382589881</v>
      </c>
      <c r="AS25" s="1">
        <v>3.3013928956202802E-2</v>
      </c>
      <c r="AT25" s="1">
        <v>-0.45370158966797342</v>
      </c>
      <c r="AU25" s="1">
        <v>-7.6494371123221494E-2</v>
      </c>
      <c r="AV25" s="1">
        <v>-8.4743166241211212E-2</v>
      </c>
      <c r="AW25" s="1">
        <v>9.3862145124803953E-4</v>
      </c>
      <c r="AX25" s="1">
        <v>0.17674537423997</v>
      </c>
      <c r="AY25" s="1">
        <v>0.2460555516180494</v>
      </c>
      <c r="AZ25" s="1">
        <v>-0.1110301634861801</v>
      </c>
      <c r="BA25" s="1">
        <v>-0.1832020417426391</v>
      </c>
      <c r="BB25" s="1">
        <v>-0.40524586008301461</v>
      </c>
      <c r="BC25" s="1">
        <v>-5.9107015117425832E-3</v>
      </c>
      <c r="BD25" s="1">
        <v>0.11721718596735051</v>
      </c>
      <c r="BE25" s="1">
        <v>2.999990537081226E-2</v>
      </c>
      <c r="BF25" s="1">
        <v>-8.8177203486276987E-2</v>
      </c>
      <c r="BG25" s="1">
        <v>0.34214631123237182</v>
      </c>
      <c r="BH25" s="1">
        <v>1.0733163716968251E-2</v>
      </c>
      <c r="BI25" s="1">
        <v>-6.3487099514559164E-2</v>
      </c>
      <c r="BJ25" s="1">
        <v>-6.6121967723876879E-2</v>
      </c>
      <c r="BK25" s="1">
        <v>6.150480480546025E-2</v>
      </c>
      <c r="BL25" s="1">
        <v>3.4203678842742807E-2</v>
      </c>
      <c r="BM25" s="1">
        <v>-4.3152934538381288E-2</v>
      </c>
      <c r="BN25" s="1">
        <v>3.1554621758417403E-2</v>
      </c>
      <c r="BO25" s="1">
        <v>-0.120415752809881</v>
      </c>
      <c r="BP25" s="1">
        <v>0.23812667707717919</v>
      </c>
      <c r="BQ25" s="1">
        <v>-9.8592994283409813E-2</v>
      </c>
      <c r="BR25" s="1">
        <v>-0.11178811882311381</v>
      </c>
      <c r="BS25" s="1">
        <v>-7.2957301442264769E-2</v>
      </c>
      <c r="BT25" s="1">
        <v>-5.6370476348197231E-2</v>
      </c>
      <c r="BU25" s="1">
        <v>-6.5712672929283927E-2</v>
      </c>
      <c r="BV25" s="1">
        <v>-0.1356380968456507</v>
      </c>
      <c r="BW25" s="1">
        <v>0.1059570107021531</v>
      </c>
      <c r="BX25" s="1">
        <v>3.7031157905434597E-2</v>
      </c>
      <c r="BY25" s="1">
        <v>0.1257963645618978</v>
      </c>
      <c r="BZ25" s="1">
        <v>-0.1456187825720919</v>
      </c>
      <c r="CA25" s="1">
        <v>8.8784866468085283E-3</v>
      </c>
      <c r="CB25" s="1">
        <v>4.8822092587112093E-2</v>
      </c>
      <c r="CC25" s="1">
        <v>-7.1481145255788872E-2</v>
      </c>
      <c r="CD25" s="1">
        <v>-4.6451404267232863E-2</v>
      </c>
      <c r="CE25" s="1">
        <v>3.6894685474466248E-2</v>
      </c>
      <c r="CF25" s="1">
        <v>-1.8675930365256721E-3</v>
      </c>
      <c r="CG25" s="1">
        <v>-0.15471744003366361</v>
      </c>
      <c r="CH25" s="1">
        <v>-0.31184301114797391</v>
      </c>
      <c r="CI25" s="1">
        <v>6.103868180852709E-2</v>
      </c>
      <c r="CJ25" s="1">
        <v>0.2534979976440761</v>
      </c>
      <c r="CK25" s="1">
        <v>-0.12733322946633219</v>
      </c>
      <c r="CL25" s="1">
        <v>-6.7318029018373388E-2</v>
      </c>
      <c r="CM25" s="1">
        <v>-0.19234009197406621</v>
      </c>
      <c r="CN25" s="1">
        <v>-0.24087757371703741</v>
      </c>
      <c r="CO25" s="1">
        <v>0.35901501505444988</v>
      </c>
      <c r="CP25" s="1">
        <v>9.5310728283015608E-3</v>
      </c>
      <c r="CQ25" s="1">
        <v>-0.2031047397522632</v>
      </c>
      <c r="CR25" s="1">
        <v>-0.1985249432921522</v>
      </c>
      <c r="CS25" s="1">
        <v>-0.29830616312016311</v>
      </c>
      <c r="CT25" s="1">
        <v>4.3354147892798511E-2</v>
      </c>
      <c r="CU25" s="1">
        <v>7.9682321182127286E-2</v>
      </c>
      <c r="CV25" s="1">
        <v>-8.0934493601977672E-2</v>
      </c>
      <c r="CW25" s="1">
        <v>-9.7600511500144788E-3</v>
      </c>
      <c r="CX25" s="1">
        <v>2.6728745937081359E-2</v>
      </c>
      <c r="CY25" s="1">
        <v>0.27205189351108761</v>
      </c>
      <c r="CZ25" s="1">
        <v>-7.2911849879403717E-2</v>
      </c>
      <c r="DA25" s="1">
        <v>0.31964632887734512</v>
      </c>
      <c r="DB25" s="1">
        <v>7.7332823809869153E-2</v>
      </c>
      <c r="DC25" s="1">
        <v>2.014636764381339E-2</v>
      </c>
      <c r="DD25" s="1">
        <v>-0.23648923997272131</v>
      </c>
      <c r="DE25" s="1">
        <v>-1.893225848243341E-2</v>
      </c>
      <c r="DF25" s="1">
        <v>-9.0994182551770691E-2</v>
      </c>
      <c r="DG25" s="1">
        <v>-2.4388767529644001E-2</v>
      </c>
      <c r="DH25" s="1">
        <v>3.9242565248920093E-2</v>
      </c>
      <c r="DI25" s="1">
        <v>-9.9357762896371993E-2</v>
      </c>
      <c r="DJ25" s="1">
        <v>4.9205763574684577E-2</v>
      </c>
      <c r="DK25" s="1">
        <v>-0.12935116170192179</v>
      </c>
      <c r="DL25" s="1">
        <v>-0.15424147292976251</v>
      </c>
      <c r="DM25" s="1">
        <v>4.3457459967733543E-2</v>
      </c>
      <c r="DN25" s="1">
        <v>0.28374590059615129</v>
      </c>
      <c r="DO25" s="1">
        <v>-0.19636558111097061</v>
      </c>
      <c r="DP25" s="1">
        <v>-0.1104489068864726</v>
      </c>
      <c r="DQ25" s="1">
        <v>1.955960086649991E-2</v>
      </c>
      <c r="DR25" s="1">
        <v>0.25414875318498059</v>
      </c>
      <c r="DS25" s="1">
        <v>0.23432591073424491</v>
      </c>
      <c r="DT25" s="1">
        <v>5.3999457857305297E-2</v>
      </c>
      <c r="DU25" s="1">
        <v>0.3827542701947288</v>
      </c>
      <c r="DV25" s="1">
        <v>0.12517403576675901</v>
      </c>
      <c r="DW25" s="1">
        <v>0.60260967086253714</v>
      </c>
      <c r="DX25" s="1">
        <v>-0.32634886660716439</v>
      </c>
      <c r="DY25" s="1">
        <v>-9.0199799753749865E-2</v>
      </c>
      <c r="DZ25" s="1">
        <v>0.18638599953794491</v>
      </c>
      <c r="EA25" s="1">
        <v>0.2137281065243028</v>
      </c>
      <c r="EB25" s="1">
        <v>5.452477338000386E-2</v>
      </c>
      <c r="EC25" s="1">
        <v>-6.6350164931382308E-2</v>
      </c>
      <c r="ED25" s="1">
        <v>0.43702790685684001</v>
      </c>
      <c r="EE25" s="1">
        <v>8.1659023077043494E-2</v>
      </c>
      <c r="EF25" s="1">
        <v>-8.9547328856411021E-3</v>
      </c>
    </row>
    <row r="26" spans="1:136" ht="16" customHeight="1">
      <c r="A26" s="6">
        <v>964</v>
      </c>
      <c r="B26" s="6">
        <v>1</v>
      </c>
      <c r="C26" s="2">
        <v>-0.25797044854899692</v>
      </c>
      <c r="D26" s="9">
        <v>0.13051021141264149</v>
      </c>
      <c r="E26" s="9">
        <v>-6.7642479148641327E-2</v>
      </c>
      <c r="F26" s="9">
        <v>4.3740544443089099E-2</v>
      </c>
      <c r="G26" s="9">
        <v>0.1041054832966892</v>
      </c>
      <c r="H26" s="9">
        <v>-0.135065134560093</v>
      </c>
      <c r="I26" s="9">
        <v>-0.1029868281340858</v>
      </c>
      <c r="J26" s="9">
        <v>0.30685731608228289</v>
      </c>
      <c r="K26" s="9">
        <v>1.6950159369407362E-2</v>
      </c>
      <c r="L26" s="2">
        <v>-6.1521614247635047E-2</v>
      </c>
      <c r="M26" s="2">
        <v>0.34491743569348587</v>
      </c>
      <c r="N26" s="2">
        <v>-0.25797044854899692</v>
      </c>
      <c r="O26" s="1">
        <v>-6.3439745534880049E-2</v>
      </c>
      <c r="P26" s="1">
        <v>0.2090491275506865</v>
      </c>
      <c r="Q26" s="1">
        <v>-2.4332100659530551E-2</v>
      </c>
      <c r="R26" s="1">
        <v>0.29178114371900488</v>
      </c>
      <c r="S26" s="1">
        <v>-0.19860788634082829</v>
      </c>
      <c r="T26" s="1">
        <v>0.1139060308575183</v>
      </c>
      <c r="U26" s="1">
        <v>-0.16919688604837169</v>
      </c>
      <c r="V26" s="1">
        <v>0.23062780414065279</v>
      </c>
      <c r="W26" s="1">
        <v>-8.8603703092624608E-2</v>
      </c>
      <c r="X26" s="1">
        <v>0.65616099506038839</v>
      </c>
      <c r="Y26" s="1">
        <v>-1.4221312723076109E-2</v>
      </c>
      <c r="Z26" s="1">
        <v>0.32061851209198322</v>
      </c>
      <c r="AA26" s="1">
        <v>5.7325988201463597E-2</v>
      </c>
      <c r="AB26" s="1">
        <v>-0.1917978209516103</v>
      </c>
      <c r="AC26" s="1">
        <v>-0.1008255822354215</v>
      </c>
      <c r="AD26" s="1">
        <v>-4.4436728481034887E-2</v>
      </c>
      <c r="AE26" s="1">
        <v>0.21115762599743021</v>
      </c>
      <c r="AF26" s="1">
        <v>-5.8279954857180599E-2</v>
      </c>
      <c r="AG26" s="1">
        <v>-0.31121717222897222</v>
      </c>
      <c r="AH26" s="1">
        <v>0.12329335915307819</v>
      </c>
      <c r="AI26" s="1">
        <v>-0.25773998671392068</v>
      </c>
      <c r="AJ26" s="1">
        <v>0.12673852823838599</v>
      </c>
      <c r="AK26" s="1">
        <v>0.20541973149671389</v>
      </c>
      <c r="AL26" s="1">
        <v>-6.6042240618913561E-2</v>
      </c>
      <c r="AM26" s="1">
        <v>0.15823925853439799</v>
      </c>
      <c r="AN26" s="1">
        <v>9.2031952102057182E-2</v>
      </c>
      <c r="AO26" s="1">
        <v>-0.32989053344123997</v>
      </c>
      <c r="AP26" s="1">
        <v>-5.8479939036621582E-2</v>
      </c>
      <c r="AQ26" s="1">
        <v>-2.117720796309782E-2</v>
      </c>
      <c r="AR26" s="1">
        <v>-0.42212427925242041</v>
      </c>
      <c r="AS26" s="1">
        <v>0.183911891281998</v>
      </c>
      <c r="AT26" s="1">
        <v>-0.86987869010969054</v>
      </c>
      <c r="AU26" s="1">
        <v>-0.23476601148540341</v>
      </c>
      <c r="AV26" s="1">
        <v>-0.10816163793753809</v>
      </c>
      <c r="AW26" s="1">
        <v>0.115651661735961</v>
      </c>
      <c r="AX26" s="1">
        <v>0.27256529836273458</v>
      </c>
      <c r="AY26" s="1">
        <v>0.60336013434193259</v>
      </c>
      <c r="AZ26" s="1">
        <v>-6.1408628128643672E-2</v>
      </c>
      <c r="BA26" s="1">
        <v>-0.43196296674616053</v>
      </c>
      <c r="BB26" s="1">
        <v>-8.7533957418880509E-2</v>
      </c>
      <c r="BC26" s="1">
        <v>0.13191015650060051</v>
      </c>
      <c r="BD26" s="1">
        <v>0.18404859444541519</v>
      </c>
      <c r="BE26" s="1">
        <v>6.9142035014173903E-2</v>
      </c>
      <c r="BF26" s="1">
        <v>-0.24468063645859359</v>
      </c>
      <c r="BG26" s="1">
        <v>0.5644345082483434</v>
      </c>
      <c r="BH26" s="1">
        <v>0.2084433204416129</v>
      </c>
      <c r="BI26" s="1">
        <v>-0.1134169294854903</v>
      </c>
      <c r="BJ26" s="1">
        <v>-0.15893839213504521</v>
      </c>
      <c r="BK26" s="1">
        <v>9.8137359513046862E-2</v>
      </c>
      <c r="BL26" s="1">
        <v>-6.5942695303330578E-2</v>
      </c>
      <c r="BM26" s="1">
        <v>-4.3725962506324538E-2</v>
      </c>
      <c r="BN26" s="1">
        <v>-2.587208982559517E-2</v>
      </c>
      <c r="BO26" s="1">
        <v>-0.13396836007740079</v>
      </c>
      <c r="BP26" s="1">
        <v>0.31888203089448042</v>
      </c>
      <c r="BQ26" s="1">
        <v>-4.2965180053393587E-2</v>
      </c>
      <c r="BR26" s="1">
        <v>-0.1491055195014056</v>
      </c>
      <c r="BS26" s="1">
        <v>-2.1029467618904901E-4</v>
      </c>
      <c r="BT26" s="1">
        <v>-2.2464194469471292E-2</v>
      </c>
      <c r="BU26" s="1">
        <v>-0.17073926914434859</v>
      </c>
      <c r="BV26" s="1">
        <v>0.1194395617909764</v>
      </c>
      <c r="BW26" s="1">
        <v>-1.4411778661303439E-2</v>
      </c>
      <c r="BX26" s="1">
        <v>0.1052947715994218</v>
      </c>
      <c r="BY26" s="1">
        <v>0.30499660045266519</v>
      </c>
      <c r="BZ26" s="1">
        <v>-0.1117914059881167</v>
      </c>
      <c r="CA26" s="1">
        <v>1.9849853282249701E-3</v>
      </c>
      <c r="CB26" s="1">
        <v>-0.10133707704792649</v>
      </c>
      <c r="CC26" s="1">
        <v>-0.20881938183769941</v>
      </c>
      <c r="CD26" s="1">
        <v>-2.723628653526444E-3</v>
      </c>
      <c r="CE26" s="1">
        <v>0.1179409610314633</v>
      </c>
      <c r="CF26" s="1">
        <v>-1.7920392699530691E-2</v>
      </c>
      <c r="CG26" s="1">
        <v>-2.868198117842187E-2</v>
      </c>
      <c r="CH26" s="1">
        <v>-9.929130827604607E-2</v>
      </c>
      <c r="CI26" s="1">
        <v>0.39460559993633798</v>
      </c>
      <c r="CJ26" s="1">
        <v>0.34307279255747541</v>
      </c>
      <c r="CK26" s="1">
        <v>-4.8734984144587101E-2</v>
      </c>
      <c r="CL26" s="1">
        <v>-0.1246711148234006</v>
      </c>
      <c r="CM26" s="1">
        <v>-0.2178478041966381</v>
      </c>
      <c r="CN26" s="1">
        <v>-0.43093346182100339</v>
      </c>
      <c r="CO26" s="1">
        <v>0.56993097041206708</v>
      </c>
      <c r="CP26" s="1">
        <v>0.26595504867963188</v>
      </c>
      <c r="CQ26" s="1">
        <v>-0.25888494213248697</v>
      </c>
      <c r="CR26" s="1">
        <v>-9.6443012159142125E-2</v>
      </c>
      <c r="CS26" s="1">
        <v>-0.1453658502715254</v>
      </c>
      <c r="CT26" s="1">
        <v>7.3339845334607801E-2</v>
      </c>
      <c r="CU26" s="1">
        <v>0.12070689881647199</v>
      </c>
      <c r="CV26" s="1">
        <v>-0.14322956727642391</v>
      </c>
      <c r="CW26" s="1">
        <v>-3.7041271680349083E-2</v>
      </c>
      <c r="CX26" s="1">
        <v>1.0639544684418269E-2</v>
      </c>
      <c r="CY26" s="1">
        <v>0.1225018984760425</v>
      </c>
      <c r="CZ26" s="1">
        <v>-0.19084738113276281</v>
      </c>
      <c r="DA26" s="1">
        <v>2.2267002234760171E-2</v>
      </c>
      <c r="DB26" s="1">
        <v>0.2609141932155164</v>
      </c>
      <c r="DC26" s="1">
        <v>-5.0145312034620082E-2</v>
      </c>
      <c r="DD26" s="1">
        <v>-0.1484548223928675</v>
      </c>
      <c r="DE26" s="1">
        <v>1.3730837264502469E-2</v>
      </c>
      <c r="DF26" s="1">
        <v>-0.18219920657262251</v>
      </c>
      <c r="DG26" s="1">
        <v>-0.1434280531519001</v>
      </c>
      <c r="DH26" s="1">
        <v>5.5360152966282473E-2</v>
      </c>
      <c r="DI26" s="1">
        <v>-0.18924781577306721</v>
      </c>
      <c r="DJ26" s="1">
        <v>3.737604876491897E-2</v>
      </c>
      <c r="DK26" s="1">
        <v>-0.18393473390785489</v>
      </c>
      <c r="DL26" s="1">
        <v>1.9683363435467179E-2</v>
      </c>
      <c r="DM26" s="1">
        <v>-4.5373737049018342E-2</v>
      </c>
      <c r="DN26" s="1">
        <v>0.65726889289504342</v>
      </c>
      <c r="DO26" s="1">
        <v>-1.630377767375317E-2</v>
      </c>
      <c r="DP26" s="1">
        <v>-0.16093887870891879</v>
      </c>
      <c r="DQ26" s="1">
        <v>3.1826862134820832E-2</v>
      </c>
      <c r="DR26" s="1">
        <v>0.36175337782533951</v>
      </c>
      <c r="DS26" s="1">
        <v>0.32345195644732933</v>
      </c>
      <c r="DT26" s="1">
        <v>0.19724234283669809</v>
      </c>
      <c r="DU26" s="1">
        <v>0.38338391163920083</v>
      </c>
      <c r="DV26" s="1">
        <v>-7.417377966542054E-3</v>
      </c>
      <c r="DW26" s="1">
        <v>0.70028057677821498</v>
      </c>
      <c r="DX26" s="1">
        <v>-0.46913876938092769</v>
      </c>
      <c r="DY26" s="1">
        <v>-0.25706786519394043</v>
      </c>
      <c r="DZ26" s="1">
        <v>0.20680800507063851</v>
      </c>
      <c r="EA26" s="1">
        <v>8.8706589881714135E-2</v>
      </c>
      <c r="EB26" s="1">
        <v>0.18183053942282479</v>
      </c>
      <c r="EC26" s="1">
        <v>5.1434770599791783E-2</v>
      </c>
      <c r="ED26" s="1">
        <v>0.1032775967138115</v>
      </c>
      <c r="EE26" s="1">
        <v>5.5185153311576918E-2</v>
      </c>
      <c r="EF26" s="1">
        <v>-3.758578042052714E-2</v>
      </c>
    </row>
    <row r="27" spans="1:136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</row>
    <row r="28" spans="1:136">
      <c r="A28" s="3"/>
      <c r="B28" s="3"/>
      <c r="K28" s="3"/>
    </row>
    <row r="29" spans="1:136">
      <c r="C29" s="38">
        <v>1101</v>
      </c>
      <c r="D29" s="38">
        <v>2484</v>
      </c>
      <c r="E29" s="38">
        <v>1233</v>
      </c>
      <c r="F29" s="38">
        <v>2524</v>
      </c>
      <c r="G29" s="38">
        <v>2611</v>
      </c>
      <c r="H29" s="38">
        <v>1233</v>
      </c>
      <c r="I29" s="38">
        <v>2379</v>
      </c>
      <c r="J29" s="38">
        <v>2379</v>
      </c>
      <c r="K29" s="38">
        <v>2524</v>
      </c>
      <c r="L29" s="38">
        <v>1233</v>
      </c>
      <c r="M29" s="38">
        <v>2524</v>
      </c>
      <c r="N29" s="38">
        <v>1805</v>
      </c>
      <c r="O29" s="38">
        <v>2538</v>
      </c>
      <c r="P29" s="38">
        <v>3033</v>
      </c>
      <c r="Q29" s="38">
        <v>2385</v>
      </c>
      <c r="R29" s="38">
        <v>3024</v>
      </c>
      <c r="S29" s="38">
        <v>3024</v>
      </c>
      <c r="T29" s="38">
        <v>1314</v>
      </c>
      <c r="U29" s="38">
        <v>3024</v>
      </c>
      <c r="V29" s="38">
        <v>3024</v>
      </c>
      <c r="W29" s="38">
        <v>5521</v>
      </c>
      <c r="X29" s="38">
        <v>2535</v>
      </c>
      <c r="Y29" s="38">
        <v>3033</v>
      </c>
      <c r="Z29" s="38">
        <v>5201</v>
      </c>
      <c r="AA29" s="38">
        <v>2535</v>
      </c>
      <c r="AB29" s="38">
        <v>5201</v>
      </c>
      <c r="AC29" s="38">
        <v>5471</v>
      </c>
      <c r="AD29" s="38">
        <v>5521</v>
      </c>
      <c r="AE29" s="38">
        <v>2023</v>
      </c>
      <c r="AF29" s="38">
        <v>2023</v>
      </c>
      <c r="AG29" s="38">
        <v>3017</v>
      </c>
      <c r="AH29" s="38">
        <v>3033</v>
      </c>
      <c r="AI29" s="38">
        <v>1464</v>
      </c>
      <c r="AJ29" s="38">
        <v>2451</v>
      </c>
      <c r="AK29" s="38">
        <v>2451</v>
      </c>
      <c r="AL29" s="38">
        <v>4413</v>
      </c>
      <c r="AM29" s="38">
        <v>2451</v>
      </c>
      <c r="AN29" s="38">
        <v>2451</v>
      </c>
      <c r="AO29" s="38">
        <v>6121</v>
      </c>
      <c r="AP29" s="38">
        <v>2451</v>
      </c>
      <c r="AQ29" s="38">
        <v>1805</v>
      </c>
      <c r="AR29" s="38">
        <v>4416</v>
      </c>
      <c r="AS29" s="38">
        <v>5523</v>
      </c>
      <c r="AT29" s="38">
        <v>2524</v>
      </c>
      <c r="AU29" s="38">
        <v>1436</v>
      </c>
      <c r="AV29" s="38">
        <v>2338</v>
      </c>
      <c r="AW29" s="38">
        <v>5212</v>
      </c>
      <c r="AX29" s="38">
        <v>2338</v>
      </c>
      <c r="AY29" s="38">
        <v>6186</v>
      </c>
      <c r="AZ29" s="38">
        <v>5523</v>
      </c>
      <c r="BA29" s="38">
        <v>5523</v>
      </c>
      <c r="BB29" s="38">
        <v>5443</v>
      </c>
      <c r="BC29" s="38">
        <v>3051</v>
      </c>
      <c r="BD29" s="38">
        <v>5523</v>
      </c>
      <c r="BE29" s="38">
        <v>3051</v>
      </c>
      <c r="BF29" s="38">
        <v>3051</v>
      </c>
      <c r="BG29" s="38">
        <v>3051</v>
      </c>
      <c r="BH29" s="38">
        <v>6186</v>
      </c>
      <c r="BI29" s="38">
        <v>6186</v>
      </c>
      <c r="BJ29" s="38">
        <v>2537</v>
      </c>
      <c r="BK29" s="38">
        <v>2537</v>
      </c>
      <c r="BL29" s="38">
        <v>2488</v>
      </c>
      <c r="BM29" s="38">
        <v>6192</v>
      </c>
      <c r="BN29" s="38">
        <v>8927</v>
      </c>
      <c r="BO29" s="38">
        <v>2537</v>
      </c>
      <c r="BP29" s="38">
        <v>4416</v>
      </c>
      <c r="BQ29" s="38">
        <v>2537</v>
      </c>
      <c r="BR29" s="38">
        <v>6128</v>
      </c>
      <c r="BS29" s="38">
        <v>3002</v>
      </c>
      <c r="BT29" s="38">
        <v>5007</v>
      </c>
      <c r="BU29" s="38">
        <v>4109</v>
      </c>
      <c r="BV29" s="38">
        <v>6128</v>
      </c>
      <c r="BW29" s="38">
        <v>8085</v>
      </c>
      <c r="BX29" s="38">
        <v>8927</v>
      </c>
      <c r="BY29" s="38">
        <v>1737</v>
      </c>
      <c r="BZ29" s="38">
        <v>6242</v>
      </c>
      <c r="CA29" s="38">
        <v>6242</v>
      </c>
      <c r="CB29" s="38">
        <v>8927</v>
      </c>
      <c r="CC29" s="38">
        <v>8927</v>
      </c>
      <c r="CD29" s="38">
        <v>6242</v>
      </c>
      <c r="CE29" s="38">
        <v>8927</v>
      </c>
      <c r="CF29" s="38">
        <v>6242</v>
      </c>
      <c r="CG29" s="38">
        <v>8050</v>
      </c>
      <c r="CH29" s="38">
        <v>6242</v>
      </c>
      <c r="CI29" s="38">
        <v>6242</v>
      </c>
      <c r="CJ29" s="38">
        <v>8050</v>
      </c>
      <c r="CK29" s="38">
        <v>8050</v>
      </c>
      <c r="CL29" s="38">
        <v>6242</v>
      </c>
      <c r="CM29" s="38">
        <v>4402</v>
      </c>
      <c r="CN29" s="38">
        <v>3016</v>
      </c>
      <c r="CO29" s="38">
        <v>1436</v>
      </c>
      <c r="CP29" s="38">
        <v>6242</v>
      </c>
      <c r="CQ29" s="38">
        <v>3016</v>
      </c>
      <c r="CR29" s="38">
        <v>6242</v>
      </c>
      <c r="CS29" s="38">
        <v>3005</v>
      </c>
      <c r="CT29" s="38">
        <v>2493</v>
      </c>
      <c r="CU29" s="38">
        <v>2423</v>
      </c>
      <c r="CV29" s="38">
        <v>1734</v>
      </c>
      <c r="CW29" s="38">
        <v>5306</v>
      </c>
      <c r="CX29" s="38">
        <v>4402</v>
      </c>
      <c r="CY29" s="38">
        <v>9904</v>
      </c>
      <c r="CZ29" s="38">
        <v>8072</v>
      </c>
      <c r="DA29" s="38">
        <v>5007</v>
      </c>
      <c r="DB29" s="38">
        <v>9904</v>
      </c>
      <c r="DC29" s="38">
        <v>8072</v>
      </c>
      <c r="DD29" s="38">
        <v>6021</v>
      </c>
      <c r="DE29" s="38">
        <v>3232</v>
      </c>
      <c r="DF29" s="38">
        <v>2538</v>
      </c>
      <c r="DG29" s="38">
        <v>2538</v>
      </c>
      <c r="DH29" s="38">
        <v>5306</v>
      </c>
      <c r="DI29" s="38">
        <v>2538</v>
      </c>
      <c r="DJ29" s="38">
        <v>2434</v>
      </c>
      <c r="DK29" s="38">
        <v>2538</v>
      </c>
      <c r="DL29" s="38">
        <v>6020</v>
      </c>
      <c r="DM29" s="38">
        <v>2538</v>
      </c>
      <c r="DN29" s="38">
        <v>4402</v>
      </c>
      <c r="DO29" s="38">
        <v>2538</v>
      </c>
      <c r="DP29" s="38">
        <v>5425</v>
      </c>
      <c r="DQ29" s="38">
        <v>5425</v>
      </c>
      <c r="DR29" s="38">
        <v>4402</v>
      </c>
      <c r="DS29" s="38">
        <v>6291</v>
      </c>
      <c r="DT29" s="38">
        <v>2031</v>
      </c>
      <c r="DU29" s="38">
        <v>6291</v>
      </c>
      <c r="DV29" s="38">
        <v>3232</v>
      </c>
      <c r="DW29" s="38">
        <v>2538</v>
      </c>
      <c r="DX29" s="38">
        <v>6291</v>
      </c>
      <c r="DY29" s="38">
        <v>2538</v>
      </c>
      <c r="DZ29" s="38">
        <v>2538</v>
      </c>
      <c r="EA29" s="38">
        <v>8074</v>
      </c>
      <c r="EB29" s="38">
        <v>8074</v>
      </c>
      <c r="EC29" s="38">
        <v>3232</v>
      </c>
      <c r="ED29" s="38">
        <v>4402</v>
      </c>
      <c r="EE29" s="38">
        <v>2538</v>
      </c>
      <c r="EF29" s="38">
        <v>2538</v>
      </c>
    </row>
    <row r="30" spans="1:136">
      <c r="C30" s="38" t="s">
        <v>149</v>
      </c>
      <c r="D30" s="38" t="s">
        <v>150</v>
      </c>
      <c r="E30" s="38" t="s">
        <v>151</v>
      </c>
      <c r="F30" s="38" t="s">
        <v>152</v>
      </c>
      <c r="G30" s="38" t="s">
        <v>153</v>
      </c>
      <c r="H30" s="38" t="s">
        <v>151</v>
      </c>
      <c r="I30" s="38" t="s">
        <v>154</v>
      </c>
      <c r="J30" s="38" t="s">
        <v>154</v>
      </c>
      <c r="K30" s="38" t="s">
        <v>152</v>
      </c>
      <c r="L30" s="38" t="s">
        <v>151</v>
      </c>
      <c r="M30" s="38" t="s">
        <v>152</v>
      </c>
      <c r="N30" s="38" t="s">
        <v>155</v>
      </c>
      <c r="O30" s="38" t="s">
        <v>156</v>
      </c>
      <c r="P30" s="38" t="s">
        <v>157</v>
      </c>
      <c r="Q30" s="38" t="s">
        <v>158</v>
      </c>
      <c r="R30" s="38" t="s">
        <v>159</v>
      </c>
      <c r="S30" s="38" t="s">
        <v>159</v>
      </c>
      <c r="T30" s="38" t="s">
        <v>160</v>
      </c>
      <c r="U30" s="38" t="s">
        <v>159</v>
      </c>
      <c r="V30" s="38" t="s">
        <v>159</v>
      </c>
      <c r="W30" s="38" t="s">
        <v>161</v>
      </c>
      <c r="X30" s="38" t="s">
        <v>162</v>
      </c>
      <c r="Y30" s="38" t="s">
        <v>157</v>
      </c>
      <c r="Z30" s="38" t="s">
        <v>163</v>
      </c>
      <c r="AA30" s="38" t="s">
        <v>162</v>
      </c>
      <c r="AB30" s="38" t="s">
        <v>163</v>
      </c>
      <c r="AC30" s="38" t="s">
        <v>164</v>
      </c>
      <c r="AD30" s="38" t="s">
        <v>161</v>
      </c>
      <c r="AE30" s="38" t="s">
        <v>165</v>
      </c>
      <c r="AF30" s="38" t="s">
        <v>165</v>
      </c>
      <c r="AG30" s="38" t="s">
        <v>166</v>
      </c>
      <c r="AH30" s="38" t="s">
        <v>157</v>
      </c>
      <c r="AI30" s="38" t="s">
        <v>167</v>
      </c>
      <c r="AJ30" s="38" t="s">
        <v>168</v>
      </c>
      <c r="AK30" s="38" t="s">
        <v>168</v>
      </c>
      <c r="AL30" s="38" t="s">
        <v>169</v>
      </c>
      <c r="AM30" s="38" t="s">
        <v>168</v>
      </c>
      <c r="AN30" s="38" t="s">
        <v>168</v>
      </c>
      <c r="AO30" s="38" t="s">
        <v>170</v>
      </c>
      <c r="AP30" s="38" t="s">
        <v>168</v>
      </c>
      <c r="AQ30" s="38" t="s">
        <v>155</v>
      </c>
      <c r="AR30" s="38" t="s">
        <v>171</v>
      </c>
      <c r="AS30" s="38" t="s">
        <v>172</v>
      </c>
      <c r="AT30" s="38" t="s">
        <v>152</v>
      </c>
      <c r="AU30" s="38" t="s">
        <v>173</v>
      </c>
      <c r="AV30" s="38" t="s">
        <v>174</v>
      </c>
      <c r="AW30" s="38" t="s">
        <v>175</v>
      </c>
      <c r="AX30" s="38" t="s">
        <v>174</v>
      </c>
      <c r="AY30" s="38" t="s">
        <v>176</v>
      </c>
      <c r="AZ30" s="38" t="s">
        <v>172</v>
      </c>
      <c r="BA30" s="38" t="s">
        <v>172</v>
      </c>
      <c r="BB30" s="38" t="s">
        <v>177</v>
      </c>
      <c r="BC30" s="38" t="s">
        <v>178</v>
      </c>
      <c r="BD30" s="38" t="s">
        <v>172</v>
      </c>
      <c r="BE30" s="38" t="s">
        <v>178</v>
      </c>
      <c r="BF30" s="38" t="s">
        <v>178</v>
      </c>
      <c r="BG30" s="38" t="s">
        <v>178</v>
      </c>
      <c r="BH30" s="38" t="s">
        <v>176</v>
      </c>
      <c r="BI30" s="38" t="s">
        <v>176</v>
      </c>
      <c r="BJ30" s="38" t="s">
        <v>179</v>
      </c>
      <c r="BK30" s="38" t="s">
        <v>179</v>
      </c>
      <c r="BL30" s="38" t="s">
        <v>180</v>
      </c>
      <c r="BM30" s="38" t="s">
        <v>181</v>
      </c>
      <c r="BN30" s="38" t="s">
        <v>182</v>
      </c>
      <c r="BO30" s="38" t="s">
        <v>179</v>
      </c>
      <c r="BP30" s="38" t="s">
        <v>171</v>
      </c>
      <c r="BQ30" s="38" t="s">
        <v>179</v>
      </c>
      <c r="BR30" s="38" t="s">
        <v>183</v>
      </c>
      <c r="BS30" s="38" t="s">
        <v>184</v>
      </c>
      <c r="BT30" s="38" t="s">
        <v>185</v>
      </c>
      <c r="BU30" s="38" t="s">
        <v>186</v>
      </c>
      <c r="BV30" s="38" t="s">
        <v>183</v>
      </c>
      <c r="BW30" s="38" t="s">
        <v>187</v>
      </c>
      <c r="BX30" s="38" t="s">
        <v>182</v>
      </c>
      <c r="BY30" s="38" t="s">
        <v>188</v>
      </c>
      <c r="BZ30" s="38" t="s">
        <v>189</v>
      </c>
      <c r="CA30" s="38" t="s">
        <v>189</v>
      </c>
      <c r="CB30" s="38" t="s">
        <v>182</v>
      </c>
      <c r="CC30" s="38" t="s">
        <v>182</v>
      </c>
      <c r="CD30" s="38" t="s">
        <v>189</v>
      </c>
      <c r="CE30" s="38" t="s">
        <v>182</v>
      </c>
      <c r="CF30" s="38" t="s">
        <v>189</v>
      </c>
      <c r="CG30" s="38" t="s">
        <v>190</v>
      </c>
      <c r="CH30" s="38" t="s">
        <v>189</v>
      </c>
      <c r="CI30" s="38" t="s">
        <v>189</v>
      </c>
      <c r="CJ30" s="38" t="s">
        <v>190</v>
      </c>
      <c r="CK30" s="38" t="s">
        <v>190</v>
      </c>
      <c r="CL30" s="38" t="s">
        <v>189</v>
      </c>
      <c r="CM30" s="38" t="s">
        <v>191</v>
      </c>
      <c r="CN30" s="38" t="s">
        <v>192</v>
      </c>
      <c r="CO30" s="38" t="s">
        <v>173</v>
      </c>
      <c r="CP30" s="38" t="s">
        <v>189</v>
      </c>
      <c r="CQ30" s="38" t="s">
        <v>192</v>
      </c>
      <c r="CR30" s="38" t="s">
        <v>189</v>
      </c>
      <c r="CS30" s="38" t="s">
        <v>193</v>
      </c>
      <c r="CT30" s="38" t="s">
        <v>194</v>
      </c>
      <c r="CU30" s="38" t="s">
        <v>195</v>
      </c>
      <c r="CV30" s="38" t="s">
        <v>196</v>
      </c>
      <c r="CW30" s="38" t="s">
        <v>197</v>
      </c>
      <c r="CX30" s="38" t="s">
        <v>191</v>
      </c>
      <c r="CY30" s="38" t="s">
        <v>198</v>
      </c>
      <c r="CZ30" s="38" t="s">
        <v>199</v>
      </c>
      <c r="DA30" s="38" t="s">
        <v>185</v>
      </c>
      <c r="DB30" s="38" t="s">
        <v>198</v>
      </c>
      <c r="DC30" s="38" t="s">
        <v>199</v>
      </c>
      <c r="DD30" s="38" t="s">
        <v>200</v>
      </c>
      <c r="DE30" s="38" t="s">
        <v>201</v>
      </c>
      <c r="DF30" s="38" t="s">
        <v>156</v>
      </c>
      <c r="DG30" s="38" t="s">
        <v>156</v>
      </c>
      <c r="DH30" s="38" t="s">
        <v>197</v>
      </c>
      <c r="DI30" s="38" t="s">
        <v>156</v>
      </c>
      <c r="DJ30" s="38" t="s">
        <v>202</v>
      </c>
      <c r="DK30" s="38" t="s">
        <v>156</v>
      </c>
      <c r="DL30" s="38" t="s">
        <v>203</v>
      </c>
      <c r="DM30" s="38" t="s">
        <v>156</v>
      </c>
      <c r="DN30" s="38" t="s">
        <v>191</v>
      </c>
      <c r="DO30" s="38" t="s">
        <v>156</v>
      </c>
      <c r="DP30" s="38" t="s">
        <v>204</v>
      </c>
      <c r="DQ30" s="38" t="s">
        <v>204</v>
      </c>
      <c r="DR30" s="38" t="s">
        <v>191</v>
      </c>
      <c r="DS30" s="38" t="s">
        <v>205</v>
      </c>
      <c r="DT30" s="38" t="s">
        <v>206</v>
      </c>
      <c r="DU30" s="38" t="s">
        <v>205</v>
      </c>
      <c r="DV30" s="38" t="s">
        <v>201</v>
      </c>
      <c r="DW30" s="38" t="s">
        <v>156</v>
      </c>
      <c r="DX30" s="38" t="s">
        <v>205</v>
      </c>
      <c r="DY30" s="38" t="s">
        <v>156</v>
      </c>
      <c r="DZ30" s="38" t="s">
        <v>156</v>
      </c>
      <c r="EA30" s="38" t="s">
        <v>207</v>
      </c>
      <c r="EB30" s="38" t="s">
        <v>207</v>
      </c>
      <c r="EC30" s="38" t="s">
        <v>201</v>
      </c>
      <c r="ED30" s="38" t="s">
        <v>191</v>
      </c>
      <c r="EE30" s="38" t="s">
        <v>156</v>
      </c>
      <c r="EF30" s="38" t="s">
        <v>156</v>
      </c>
    </row>
    <row r="31" spans="1:136">
      <c r="C31" s="38">
        <v>9951</v>
      </c>
      <c r="D31" s="38">
        <v>3219</v>
      </c>
      <c r="E31" s="38">
        <v>2328</v>
      </c>
      <c r="F31" s="38">
        <v>2489</v>
      </c>
      <c r="G31" s="38">
        <v>2489</v>
      </c>
      <c r="H31" s="38">
        <v>2328</v>
      </c>
      <c r="I31" s="38">
        <v>1805</v>
      </c>
      <c r="J31" s="38">
        <v>1440</v>
      </c>
      <c r="K31" s="38">
        <v>2489</v>
      </c>
      <c r="L31" s="38">
        <v>2328</v>
      </c>
      <c r="M31" s="38">
        <v>2436</v>
      </c>
      <c r="N31" s="38">
        <v>2328</v>
      </c>
      <c r="O31" s="38">
        <v>2436</v>
      </c>
      <c r="P31" s="38">
        <v>2524</v>
      </c>
      <c r="Q31" s="38">
        <v>2524</v>
      </c>
      <c r="R31" s="38">
        <v>2524</v>
      </c>
      <c r="S31" s="38">
        <v>2524</v>
      </c>
      <c r="T31" s="38">
        <v>1451</v>
      </c>
      <c r="U31" s="38">
        <v>2524</v>
      </c>
      <c r="V31" s="38">
        <v>2524</v>
      </c>
      <c r="W31" s="38">
        <v>2328</v>
      </c>
      <c r="X31" s="38">
        <v>5007</v>
      </c>
      <c r="Y31" s="38">
        <v>2524</v>
      </c>
      <c r="Z31" s="38">
        <v>2524</v>
      </c>
      <c r="AA31" s="38">
        <v>5007</v>
      </c>
      <c r="AB31" s="38">
        <v>2524</v>
      </c>
      <c r="AC31" s="38">
        <v>5432</v>
      </c>
      <c r="AD31" s="38">
        <v>2328</v>
      </c>
      <c r="AE31" s="38">
        <v>5443</v>
      </c>
      <c r="AF31" s="38">
        <v>4528</v>
      </c>
      <c r="AG31" s="38">
        <v>2524</v>
      </c>
      <c r="AH31" s="38">
        <v>2527</v>
      </c>
      <c r="AI31" s="38">
        <v>2328</v>
      </c>
      <c r="AJ31" s="38">
        <v>2002</v>
      </c>
      <c r="AK31" s="38">
        <v>2538</v>
      </c>
      <c r="AL31" s="38">
        <v>2328</v>
      </c>
      <c r="AM31" s="38">
        <v>2538</v>
      </c>
      <c r="AN31" s="38">
        <v>2022</v>
      </c>
      <c r="AO31" s="38">
        <v>2023</v>
      </c>
      <c r="AP31" s="38">
        <v>2023</v>
      </c>
      <c r="AQ31" s="38">
        <v>2328</v>
      </c>
      <c r="AR31" s="38">
        <v>2328</v>
      </c>
      <c r="AS31" s="38">
        <v>2022</v>
      </c>
      <c r="AT31" s="38">
        <v>9904</v>
      </c>
      <c r="AU31" s="38">
        <v>2328</v>
      </c>
      <c r="AV31" s="38">
        <v>2607</v>
      </c>
      <c r="AW31" s="38">
        <v>1440</v>
      </c>
      <c r="AX31" s="38">
        <v>2539</v>
      </c>
      <c r="AY31" s="38">
        <v>2527</v>
      </c>
      <c r="AZ31" s="38">
        <v>2328</v>
      </c>
      <c r="BA31" s="38">
        <v>2328</v>
      </c>
      <c r="BB31" s="38">
        <v>5523</v>
      </c>
      <c r="BC31" s="38">
        <v>5523</v>
      </c>
      <c r="BD31" s="38">
        <v>2328</v>
      </c>
      <c r="BE31" s="38">
        <v>5523</v>
      </c>
      <c r="BF31" s="38">
        <v>5523</v>
      </c>
      <c r="BG31" s="38">
        <v>5523</v>
      </c>
      <c r="BH31" s="38">
        <v>5523</v>
      </c>
      <c r="BI31" s="38">
        <v>1785</v>
      </c>
      <c r="BJ31" s="38">
        <v>2328</v>
      </c>
      <c r="BK31" s="38">
        <v>2328</v>
      </c>
      <c r="BL31" s="38">
        <v>2537</v>
      </c>
      <c r="BM31" s="38">
        <v>5015</v>
      </c>
      <c r="BN31" s="38">
        <v>2328</v>
      </c>
      <c r="BO31" s="38">
        <v>1785</v>
      </c>
      <c r="BP31" s="38">
        <v>2328</v>
      </c>
      <c r="BQ31" s="38">
        <v>1785</v>
      </c>
      <c r="BR31" s="38">
        <v>6242</v>
      </c>
      <c r="BS31" s="38">
        <v>2538</v>
      </c>
      <c r="BT31" s="38">
        <v>2328</v>
      </c>
      <c r="BU31" s="38">
        <v>2328</v>
      </c>
      <c r="BV31" s="38">
        <v>3060</v>
      </c>
      <c r="BW31" s="38">
        <v>5355</v>
      </c>
      <c r="BX31" s="38">
        <v>2328</v>
      </c>
      <c r="BY31" s="38">
        <v>6285</v>
      </c>
      <c r="BZ31" s="38">
        <v>2504</v>
      </c>
      <c r="CA31" s="38">
        <v>4205</v>
      </c>
      <c r="CB31" s="38">
        <v>2328</v>
      </c>
      <c r="CC31" s="38">
        <v>2328</v>
      </c>
      <c r="CD31" s="38">
        <v>4205</v>
      </c>
      <c r="CE31" s="38">
        <v>2328</v>
      </c>
      <c r="CF31" s="38">
        <v>8927</v>
      </c>
      <c r="CG31" s="38">
        <v>4906</v>
      </c>
      <c r="CH31" s="38">
        <v>2504</v>
      </c>
      <c r="CI31" s="38">
        <v>4205</v>
      </c>
      <c r="CJ31" s="38">
        <v>8066</v>
      </c>
      <c r="CK31" s="38">
        <v>8066</v>
      </c>
      <c r="CL31" s="38">
        <v>4205</v>
      </c>
      <c r="CM31" s="38">
        <v>2328</v>
      </c>
      <c r="CN31" s="38">
        <v>5450</v>
      </c>
      <c r="CO31" s="38">
        <v>2328</v>
      </c>
      <c r="CP31" s="38">
        <v>4205</v>
      </c>
      <c r="CQ31" s="38">
        <v>6128</v>
      </c>
      <c r="CR31" s="38">
        <v>6128</v>
      </c>
      <c r="CS31" s="38">
        <v>6128</v>
      </c>
      <c r="CT31" s="38">
        <v>2328</v>
      </c>
      <c r="CU31" s="38">
        <v>5464</v>
      </c>
      <c r="CV31" s="38">
        <v>5464</v>
      </c>
      <c r="CW31" s="38">
        <v>5464</v>
      </c>
      <c r="CX31" s="38">
        <v>3016</v>
      </c>
      <c r="CY31" s="38">
        <v>2328</v>
      </c>
      <c r="CZ31" s="38">
        <v>3016</v>
      </c>
      <c r="DA31" s="38">
        <v>2328</v>
      </c>
      <c r="DB31" s="38">
        <v>2328</v>
      </c>
      <c r="DC31" s="38">
        <v>4205</v>
      </c>
      <c r="DD31" s="38">
        <v>2538</v>
      </c>
      <c r="DE31" s="38">
        <v>5306</v>
      </c>
      <c r="DF31" s="38">
        <v>2328</v>
      </c>
      <c r="DG31" s="38">
        <v>2328</v>
      </c>
      <c r="DH31" s="38">
        <v>2328</v>
      </c>
      <c r="DI31" s="38">
        <v>2328</v>
      </c>
      <c r="DJ31" s="38">
        <v>5306</v>
      </c>
      <c r="DK31" s="38">
        <v>2328</v>
      </c>
      <c r="DL31" s="38">
        <v>5306</v>
      </c>
      <c r="DM31" s="38">
        <v>2328</v>
      </c>
      <c r="DN31" s="38">
        <v>8074</v>
      </c>
      <c r="DO31" s="38">
        <v>2328</v>
      </c>
      <c r="DP31" s="38">
        <v>6167</v>
      </c>
      <c r="DQ31" s="38">
        <v>6167</v>
      </c>
      <c r="DR31" s="38">
        <v>8074</v>
      </c>
      <c r="DS31" s="38">
        <v>2328</v>
      </c>
      <c r="DT31" s="38">
        <v>8112</v>
      </c>
      <c r="DU31" s="38">
        <v>2328</v>
      </c>
      <c r="DV31" s="38">
        <v>3049</v>
      </c>
      <c r="DW31" s="38">
        <v>2328</v>
      </c>
      <c r="DX31" s="38">
        <v>2434</v>
      </c>
      <c r="DY31" s="38">
        <v>2328</v>
      </c>
      <c r="DZ31" s="38">
        <v>2328</v>
      </c>
      <c r="EA31" s="38">
        <v>8112</v>
      </c>
      <c r="EB31" s="38">
        <v>8112</v>
      </c>
      <c r="EC31" s="38">
        <v>3049</v>
      </c>
      <c r="ED31" s="38">
        <v>4205</v>
      </c>
      <c r="EE31" s="38">
        <v>2328</v>
      </c>
      <c r="EF31" s="38">
        <v>2328</v>
      </c>
    </row>
    <row r="32" spans="1:136">
      <c r="C32" s="38" t="s">
        <v>208</v>
      </c>
      <c r="D32" s="38" t="s">
        <v>209</v>
      </c>
      <c r="E32" s="38" t="s">
        <v>210</v>
      </c>
      <c r="F32" s="38" t="s">
        <v>211</v>
      </c>
      <c r="G32" s="38" t="s">
        <v>211</v>
      </c>
      <c r="H32" s="38" t="s">
        <v>210</v>
      </c>
      <c r="I32" s="38" t="s">
        <v>155</v>
      </c>
      <c r="J32" s="38" t="s">
        <v>212</v>
      </c>
      <c r="K32" s="38" t="s">
        <v>211</v>
      </c>
      <c r="L32" s="38" t="s">
        <v>210</v>
      </c>
      <c r="M32" s="38" t="s">
        <v>213</v>
      </c>
      <c r="N32" s="38" t="s">
        <v>210</v>
      </c>
      <c r="O32" s="38" t="s">
        <v>213</v>
      </c>
      <c r="P32" s="38" t="s">
        <v>152</v>
      </c>
      <c r="Q32" s="38" t="s">
        <v>152</v>
      </c>
      <c r="R32" s="38" t="s">
        <v>152</v>
      </c>
      <c r="S32" s="38" t="s">
        <v>152</v>
      </c>
      <c r="T32" s="38" t="s">
        <v>214</v>
      </c>
      <c r="U32" s="38" t="s">
        <v>152</v>
      </c>
      <c r="V32" s="38" t="s">
        <v>152</v>
      </c>
      <c r="W32" s="38" t="s">
        <v>210</v>
      </c>
      <c r="X32" s="38" t="s">
        <v>185</v>
      </c>
      <c r="Y32" s="38" t="s">
        <v>152</v>
      </c>
      <c r="Z32" s="38" t="s">
        <v>152</v>
      </c>
      <c r="AA32" s="38" t="s">
        <v>185</v>
      </c>
      <c r="AB32" s="38" t="s">
        <v>152</v>
      </c>
      <c r="AC32" s="38" t="s">
        <v>215</v>
      </c>
      <c r="AD32" s="38" t="s">
        <v>210</v>
      </c>
      <c r="AE32" s="38" t="s">
        <v>177</v>
      </c>
      <c r="AF32" s="38" t="s">
        <v>216</v>
      </c>
      <c r="AG32" s="38" t="s">
        <v>152</v>
      </c>
      <c r="AH32" s="38" t="s">
        <v>217</v>
      </c>
      <c r="AI32" s="38" t="s">
        <v>210</v>
      </c>
      <c r="AJ32" s="38" t="s">
        <v>218</v>
      </c>
      <c r="AK32" s="38" t="s">
        <v>156</v>
      </c>
      <c r="AL32" s="38" t="s">
        <v>210</v>
      </c>
      <c r="AM32" s="38" t="s">
        <v>156</v>
      </c>
      <c r="AN32" s="38" t="s">
        <v>219</v>
      </c>
      <c r="AO32" s="38" t="s">
        <v>165</v>
      </c>
      <c r="AP32" s="38" t="s">
        <v>165</v>
      </c>
      <c r="AQ32" s="38" t="s">
        <v>210</v>
      </c>
      <c r="AR32" s="38" t="s">
        <v>210</v>
      </c>
      <c r="AS32" s="38" t="s">
        <v>219</v>
      </c>
      <c r="AT32" s="38" t="s">
        <v>198</v>
      </c>
      <c r="AU32" s="38" t="s">
        <v>210</v>
      </c>
      <c r="AV32" s="38" t="s">
        <v>220</v>
      </c>
      <c r="AW32" s="38" t="s">
        <v>212</v>
      </c>
      <c r="AX32" s="38" t="s">
        <v>221</v>
      </c>
      <c r="AY32" s="38" t="s">
        <v>217</v>
      </c>
      <c r="AZ32" s="38" t="s">
        <v>210</v>
      </c>
      <c r="BA32" s="38" t="s">
        <v>210</v>
      </c>
      <c r="BB32" s="38" t="s">
        <v>172</v>
      </c>
      <c r="BC32" s="38" t="s">
        <v>172</v>
      </c>
      <c r="BD32" s="38" t="s">
        <v>210</v>
      </c>
      <c r="BE32" s="38" t="s">
        <v>172</v>
      </c>
      <c r="BF32" s="38" t="s">
        <v>172</v>
      </c>
      <c r="BG32" s="38" t="s">
        <v>172</v>
      </c>
      <c r="BH32" s="38" t="s">
        <v>172</v>
      </c>
      <c r="BI32" s="38" t="s">
        <v>222</v>
      </c>
      <c r="BJ32" s="38" t="s">
        <v>210</v>
      </c>
      <c r="BK32" s="38" t="s">
        <v>210</v>
      </c>
      <c r="BL32" s="38" t="s">
        <v>179</v>
      </c>
      <c r="BM32" s="38" t="s">
        <v>223</v>
      </c>
      <c r="BN32" s="38" t="s">
        <v>210</v>
      </c>
      <c r="BO32" s="38" t="s">
        <v>222</v>
      </c>
      <c r="BP32" s="38" t="s">
        <v>210</v>
      </c>
      <c r="BQ32" s="38" t="s">
        <v>222</v>
      </c>
      <c r="BR32" s="38" t="s">
        <v>189</v>
      </c>
      <c r="BS32" s="38" t="s">
        <v>156</v>
      </c>
      <c r="BT32" s="38" t="s">
        <v>210</v>
      </c>
      <c r="BU32" s="38" t="s">
        <v>210</v>
      </c>
      <c r="BV32" s="38" t="s">
        <v>224</v>
      </c>
      <c r="BW32" s="38" t="s">
        <v>225</v>
      </c>
      <c r="BX32" s="38" t="s">
        <v>210</v>
      </c>
      <c r="BY32" s="38" t="s">
        <v>226</v>
      </c>
      <c r="BZ32" s="38" t="s">
        <v>227</v>
      </c>
      <c r="CA32" s="38" t="s">
        <v>228</v>
      </c>
      <c r="CB32" s="38" t="s">
        <v>210</v>
      </c>
      <c r="CC32" s="38" t="s">
        <v>210</v>
      </c>
      <c r="CD32" s="38" t="s">
        <v>228</v>
      </c>
      <c r="CE32" s="38" t="s">
        <v>210</v>
      </c>
      <c r="CF32" s="38" t="s">
        <v>182</v>
      </c>
      <c r="CG32" s="38" t="s">
        <v>229</v>
      </c>
      <c r="CH32" s="38" t="s">
        <v>227</v>
      </c>
      <c r="CI32" s="38" t="s">
        <v>228</v>
      </c>
      <c r="CJ32" s="38" t="s">
        <v>230</v>
      </c>
      <c r="CK32" s="38" t="s">
        <v>230</v>
      </c>
      <c r="CL32" s="38" t="s">
        <v>228</v>
      </c>
      <c r="CM32" s="38" t="s">
        <v>210</v>
      </c>
      <c r="CN32" s="38" t="s">
        <v>231</v>
      </c>
      <c r="CO32" s="38" t="s">
        <v>210</v>
      </c>
      <c r="CP32" s="38" t="s">
        <v>228</v>
      </c>
      <c r="CQ32" s="38" t="s">
        <v>183</v>
      </c>
      <c r="CR32" s="38" t="s">
        <v>183</v>
      </c>
      <c r="CS32" s="38" t="s">
        <v>183</v>
      </c>
      <c r="CT32" s="38" t="s">
        <v>210</v>
      </c>
      <c r="CU32" s="38" t="s">
        <v>232</v>
      </c>
      <c r="CV32" s="38" t="s">
        <v>232</v>
      </c>
      <c r="CW32" s="38" t="s">
        <v>232</v>
      </c>
      <c r="CX32" s="38" t="s">
        <v>192</v>
      </c>
      <c r="CY32" s="38" t="s">
        <v>210</v>
      </c>
      <c r="CZ32" s="38" t="s">
        <v>192</v>
      </c>
      <c r="DA32" s="38" t="s">
        <v>210</v>
      </c>
      <c r="DB32" s="38" t="s">
        <v>210</v>
      </c>
      <c r="DC32" s="38" t="s">
        <v>228</v>
      </c>
      <c r="DD32" s="38" t="s">
        <v>156</v>
      </c>
      <c r="DE32" s="38" t="s">
        <v>197</v>
      </c>
      <c r="DF32" s="38" t="s">
        <v>210</v>
      </c>
      <c r="DG32" s="38" t="s">
        <v>210</v>
      </c>
      <c r="DH32" s="38" t="s">
        <v>210</v>
      </c>
      <c r="DI32" s="38" t="s">
        <v>210</v>
      </c>
      <c r="DJ32" s="38" t="s">
        <v>197</v>
      </c>
      <c r="DK32" s="38" t="s">
        <v>210</v>
      </c>
      <c r="DL32" s="38" t="s">
        <v>197</v>
      </c>
      <c r="DM32" s="38" t="s">
        <v>210</v>
      </c>
      <c r="DN32" s="38" t="s">
        <v>207</v>
      </c>
      <c r="DO32" s="38" t="s">
        <v>210</v>
      </c>
      <c r="DP32" s="38" t="s">
        <v>233</v>
      </c>
      <c r="DQ32" s="38" t="s">
        <v>233</v>
      </c>
      <c r="DR32" s="38" t="s">
        <v>207</v>
      </c>
      <c r="DS32" s="38" t="s">
        <v>210</v>
      </c>
      <c r="DT32" s="38" t="s">
        <v>234</v>
      </c>
      <c r="DU32" s="38" t="s">
        <v>210</v>
      </c>
      <c r="DV32" s="38" t="s">
        <v>235</v>
      </c>
      <c r="DW32" s="38" t="s">
        <v>210</v>
      </c>
      <c r="DX32" s="38" t="s">
        <v>202</v>
      </c>
      <c r="DY32" s="38" t="s">
        <v>210</v>
      </c>
      <c r="DZ32" s="38" t="s">
        <v>210</v>
      </c>
      <c r="EA32" s="38" t="s">
        <v>234</v>
      </c>
      <c r="EB32" s="38" t="s">
        <v>234</v>
      </c>
      <c r="EC32" s="38" t="s">
        <v>235</v>
      </c>
      <c r="ED32" s="38" t="s">
        <v>228</v>
      </c>
      <c r="EE32" s="38" t="s">
        <v>210</v>
      </c>
      <c r="EF32" s="38" t="s">
        <v>210</v>
      </c>
    </row>
  </sheetData>
  <mergeCells count="2">
    <mergeCell ref="A8:B8"/>
    <mergeCell ref="A12:B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8"/>
  <sheetViews>
    <sheetView zoomScale="108" workbookViewId="0">
      <selection activeCell="ER29" sqref="ER29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8" s="3" customFormat="1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8" s="3" customFormat="1" ht="16" customHeight="1">
      <c r="A2" s="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135</v>
      </c>
    </row>
    <row r="3" spans="1:138" s="3" customFormat="1" ht="16" customHeight="1">
      <c r="A3" s="5"/>
      <c r="B3" s="25" t="s">
        <v>136</v>
      </c>
      <c r="C3" s="30">
        <v>-7.0510312914848328E-2</v>
      </c>
      <c r="D3" s="30">
        <v>-2.069076336920261E-2</v>
      </c>
      <c r="E3" s="30">
        <v>-4.9750484526157379E-2</v>
      </c>
      <c r="F3" s="30">
        <v>-9.2162974178791046E-2</v>
      </c>
      <c r="G3" s="30">
        <v>-9.0981476008892059E-2</v>
      </c>
      <c r="H3" s="30">
        <v>1.7403693869709969E-2</v>
      </c>
      <c r="I3" s="30">
        <v>-1.4660321176052089E-3</v>
      </c>
      <c r="J3" s="30">
        <v>-4.2782600969076157E-2</v>
      </c>
      <c r="K3" s="30">
        <v>-4.8218093812465668E-2</v>
      </c>
      <c r="L3" s="30">
        <v>-5.4908208549022668E-2</v>
      </c>
      <c r="M3" s="30">
        <v>-4.2270971462130547E-3</v>
      </c>
      <c r="N3" s="30">
        <v>-1.5415508300065991E-2</v>
      </c>
      <c r="O3" s="30">
        <v>-2.6379581540822979E-2</v>
      </c>
      <c r="P3" s="30">
        <v>2.1669322159141302E-3</v>
      </c>
      <c r="Q3" s="30">
        <v>-6.3427776098251343E-2</v>
      </c>
      <c r="R3" s="30">
        <v>-2.6445759460330009E-2</v>
      </c>
      <c r="S3" s="30">
        <v>-3.0793072655797001E-2</v>
      </c>
      <c r="T3" s="30">
        <v>-1.3314301613718269E-3</v>
      </c>
      <c r="U3" s="30">
        <v>-1.1667066253721711E-2</v>
      </c>
      <c r="V3" s="30">
        <v>-7.4396813288331032E-3</v>
      </c>
      <c r="W3" s="30">
        <v>-5.6037697941064826E-3</v>
      </c>
      <c r="X3" s="30">
        <v>-5.478285625576973E-2</v>
      </c>
      <c r="Y3" s="30">
        <v>1.460128463804722E-3</v>
      </c>
      <c r="Z3" s="30">
        <v>-5.1124587655067437E-2</v>
      </c>
      <c r="AA3" s="30">
        <v>-4.9931928515434272E-2</v>
      </c>
      <c r="AB3" s="30">
        <v>3.5460174083709717E-2</v>
      </c>
      <c r="AC3" s="30">
        <v>-3.6260023713111877E-2</v>
      </c>
      <c r="AD3" s="30">
        <v>-2.177857048809528E-2</v>
      </c>
      <c r="AE3" s="30">
        <v>-1.296189334243536E-2</v>
      </c>
      <c r="AF3" s="30">
        <v>-1.9972652196884159E-2</v>
      </c>
      <c r="AG3" s="30">
        <v>-4.2137693613767617E-2</v>
      </c>
      <c r="AH3" s="30">
        <v>1.1005618143826721E-3</v>
      </c>
      <c r="AI3" s="30">
        <v>1.791437389329076E-3</v>
      </c>
      <c r="AJ3" s="30">
        <v>1.232342515140772E-2</v>
      </c>
      <c r="AK3" s="30">
        <v>-4.1931521147489548E-2</v>
      </c>
      <c r="AL3" s="30">
        <v>-3.6095079034566879E-2</v>
      </c>
      <c r="AM3" s="30">
        <v>-1.382274786010385E-3</v>
      </c>
      <c r="AN3" s="30">
        <v>-2.8956376016139981E-2</v>
      </c>
      <c r="AO3" s="30">
        <v>-4.2428314685821533E-2</v>
      </c>
      <c r="AP3" s="30">
        <v>-4.9674943089485168E-2</v>
      </c>
      <c r="AQ3" s="30">
        <v>-3.2604295760393143E-2</v>
      </c>
      <c r="AR3" s="30">
        <v>-1.3108822517097E-2</v>
      </c>
      <c r="AS3" s="30">
        <v>-3.5700481384992599E-2</v>
      </c>
      <c r="AT3" s="30">
        <v>-5.7888049632310867E-3</v>
      </c>
      <c r="AU3" s="30">
        <v>-1.4518599025905131E-2</v>
      </c>
      <c r="AV3" s="30">
        <v>-3.1922928988933563E-2</v>
      </c>
      <c r="AW3" s="30">
        <v>-1.19499359279871E-2</v>
      </c>
      <c r="AX3" s="30">
        <v>-1.0149506852030751E-2</v>
      </c>
      <c r="AY3" s="30">
        <v>-3.3810734748840332E-2</v>
      </c>
      <c r="AZ3" s="30">
        <v>-4.8453211784362793E-2</v>
      </c>
      <c r="BA3" s="30">
        <v>-2.7815299108624458E-2</v>
      </c>
      <c r="BB3" s="30">
        <v>-3.037967719137669E-2</v>
      </c>
      <c r="BC3" s="30">
        <v>2.4711607024073601E-2</v>
      </c>
      <c r="BD3" s="30">
        <v>-2.3138821125030521E-2</v>
      </c>
      <c r="BE3" s="30">
        <v>-1.548535423353314E-3</v>
      </c>
      <c r="BF3" s="30">
        <v>4.8466574400663383E-2</v>
      </c>
      <c r="BG3" s="30">
        <v>-6.8415170535445213E-3</v>
      </c>
      <c r="BH3" s="30">
        <v>-2.9017321765422821E-2</v>
      </c>
      <c r="BI3" s="30">
        <v>6.3621185719966888E-2</v>
      </c>
      <c r="BJ3" s="30">
        <v>5.1039993762969971E-2</v>
      </c>
      <c r="BK3" s="30">
        <v>2.0570620894432071E-2</v>
      </c>
      <c r="BL3" s="30">
        <v>-4.445323720574379E-2</v>
      </c>
      <c r="BM3" s="30">
        <v>1.6062213107943531E-2</v>
      </c>
      <c r="BN3" s="30">
        <v>-1.140725240111351E-2</v>
      </c>
      <c r="BO3" s="30">
        <v>-2.1107044070959091E-2</v>
      </c>
      <c r="BP3" s="30">
        <v>-2.457004226744175E-2</v>
      </c>
      <c r="BQ3" s="30">
        <v>5.8053538668900728E-4</v>
      </c>
      <c r="BR3" s="30">
        <v>1.410697121173143E-2</v>
      </c>
      <c r="BS3" s="30">
        <v>-2.221696637570858E-2</v>
      </c>
      <c r="BT3" s="30">
        <v>-2.1804684773087502E-2</v>
      </c>
      <c r="BU3" s="30">
        <v>-3.2476775231771171E-4</v>
      </c>
      <c r="BV3" s="30">
        <v>-1.6946583986282349E-2</v>
      </c>
      <c r="BW3" s="30">
        <v>-9.1368407011032104E-3</v>
      </c>
      <c r="BX3" s="30">
        <v>-2.4530710652470589E-2</v>
      </c>
      <c r="BY3" s="30">
        <v>-1.374499686062336E-2</v>
      </c>
      <c r="BZ3" s="30">
        <v>1.6965670511126522E-2</v>
      </c>
      <c r="CA3" s="30">
        <v>-4.9971737898886204E-3</v>
      </c>
      <c r="CB3" s="30">
        <v>2.5937315076589581E-2</v>
      </c>
      <c r="CC3" s="30">
        <v>-5.0457574427127838E-2</v>
      </c>
      <c r="CD3" s="30">
        <v>-1.7129437997937199E-2</v>
      </c>
      <c r="CE3" s="30">
        <v>-1.5958411619067189E-2</v>
      </c>
      <c r="CF3" s="30">
        <v>-3.6173265427350998E-2</v>
      </c>
      <c r="CG3" s="30">
        <v>-3.3427383750677109E-2</v>
      </c>
      <c r="CH3" s="30">
        <v>-1.898007653653622E-2</v>
      </c>
      <c r="CI3" s="30">
        <v>-1.589265838265419E-2</v>
      </c>
      <c r="CJ3" s="30">
        <v>-1.93511638790369E-2</v>
      </c>
      <c r="CK3" s="30">
        <v>-3.6270283162593842E-2</v>
      </c>
      <c r="CL3" s="30">
        <v>2.18544602394104E-2</v>
      </c>
      <c r="CM3" s="30">
        <v>-3.06690763682127E-2</v>
      </c>
      <c r="CN3" s="30">
        <v>-3.356621041893959E-2</v>
      </c>
      <c r="CO3" s="30">
        <v>-5.7102173566818237E-2</v>
      </c>
      <c r="CP3" s="30">
        <v>-1.416866108775139E-2</v>
      </c>
      <c r="CQ3" s="30">
        <v>-2.447781153023243E-2</v>
      </c>
      <c r="CR3" s="30">
        <v>-5.1261065527796754E-3</v>
      </c>
      <c r="CS3" s="30">
        <v>1.865070499479771E-2</v>
      </c>
      <c r="CT3" s="30">
        <v>-3.6899782717227943E-2</v>
      </c>
      <c r="CU3" s="30">
        <v>-3.0328931286931041E-2</v>
      </c>
      <c r="CV3" s="30">
        <v>-1.5965379774570469E-2</v>
      </c>
      <c r="CW3" s="30">
        <v>-2.833480574190617E-2</v>
      </c>
      <c r="CX3" s="30">
        <v>-2.26152203977108E-2</v>
      </c>
      <c r="CY3" s="30">
        <v>-8.1325806677341461E-3</v>
      </c>
      <c r="CZ3" s="30">
        <v>-6.5493392758071423E-3</v>
      </c>
      <c r="DA3" s="30">
        <v>-1.8719475716352459E-2</v>
      </c>
      <c r="DB3" s="30">
        <v>-2.3759631440043449E-2</v>
      </c>
      <c r="DC3" s="30">
        <v>-1.5671692788600922E-2</v>
      </c>
      <c r="DD3" s="30">
        <v>-1.9522979855537411E-2</v>
      </c>
      <c r="DE3" s="30">
        <v>-4.0282517671585083E-2</v>
      </c>
      <c r="DF3" s="30">
        <v>-8.8851423934102058E-3</v>
      </c>
      <c r="DG3" s="30">
        <v>9.1460929252207279E-4</v>
      </c>
      <c r="DH3" s="30">
        <v>-1.2378844432532791E-2</v>
      </c>
      <c r="DI3" s="30">
        <v>9.0523073449730873E-3</v>
      </c>
      <c r="DJ3" s="30">
        <v>-1.9859632477164268E-2</v>
      </c>
      <c r="DK3" s="30">
        <v>-2.2675381973385811E-2</v>
      </c>
      <c r="DL3" s="30">
        <v>-4.2003385722637183E-2</v>
      </c>
      <c r="DM3" s="30">
        <v>-2.7967073023319241E-2</v>
      </c>
      <c r="DN3" s="30">
        <v>7.005348801612854E-3</v>
      </c>
      <c r="DO3" s="30">
        <v>-2.6276815682649609E-2</v>
      </c>
      <c r="DP3" s="30">
        <v>-3.6057945340871811E-2</v>
      </c>
      <c r="DQ3" s="30">
        <v>-3.3415287733078003E-2</v>
      </c>
      <c r="DR3" s="30">
        <v>-1.6046343371272091E-2</v>
      </c>
      <c r="DS3" s="30">
        <v>-1.464163418859243E-2</v>
      </c>
      <c r="DT3" s="30">
        <v>-3.5933751612901688E-2</v>
      </c>
      <c r="DU3" s="30">
        <v>3.071782179176807E-3</v>
      </c>
      <c r="DV3" s="30">
        <v>-1.5330854803323749E-2</v>
      </c>
      <c r="DW3" s="30">
        <v>-1.4946370385587221E-2</v>
      </c>
      <c r="DX3" s="30">
        <v>-1.1101509444415569E-2</v>
      </c>
      <c r="DY3" s="30">
        <v>-4.7925966791808614E-3</v>
      </c>
      <c r="DZ3" s="30">
        <v>-1.846695318818092E-2</v>
      </c>
      <c r="EA3" s="30">
        <v>-1.2543918564915661E-2</v>
      </c>
      <c r="EB3" s="30">
        <v>-3.26961949467659E-2</v>
      </c>
      <c r="EC3" s="30">
        <v>-5.6490704417228699E-2</v>
      </c>
      <c r="ED3" s="30">
        <v>-2.6412356644868851E-2</v>
      </c>
      <c r="EE3" s="30">
        <v>-1.807861402630806E-2</v>
      </c>
      <c r="EF3" s="30">
        <v>-3.6580674350261688E-3</v>
      </c>
    </row>
    <row r="4" spans="1:138" s="3" customFormat="1" ht="16" customHeight="1">
      <c r="A4" s="5"/>
      <c r="B4" s="25" t="s">
        <v>137</v>
      </c>
      <c r="C4" s="30">
        <v>2.8248634189367291E-2</v>
      </c>
      <c r="D4" s="30">
        <v>1.4183226972818369E-2</v>
      </c>
      <c r="E4" s="30">
        <v>3.1993348151445389E-2</v>
      </c>
      <c r="F4" s="30">
        <v>4.2365593835711479E-3</v>
      </c>
      <c r="G4" s="30">
        <v>1.271493919193745E-2</v>
      </c>
      <c r="H4" s="30">
        <v>1.0832134634256359E-2</v>
      </c>
      <c r="I4" s="30">
        <v>6.3727825880050659E-2</v>
      </c>
      <c r="J4" s="30">
        <v>1.4011073857545849E-2</v>
      </c>
      <c r="K4" s="30">
        <v>6.6770575940608978E-2</v>
      </c>
      <c r="L4" s="30">
        <v>2.1485414355993271E-2</v>
      </c>
      <c r="M4" s="30">
        <v>2.8019288554787639E-2</v>
      </c>
      <c r="N4" s="30">
        <v>8.4238220006227493E-3</v>
      </c>
      <c r="O4" s="30">
        <v>2.601810917258263E-2</v>
      </c>
      <c r="P4" s="30">
        <v>8.8989315554499626E-3</v>
      </c>
      <c r="Q4" s="30">
        <v>1.201280951499939E-2</v>
      </c>
      <c r="R4" s="30">
        <v>6.5032718703150749E-3</v>
      </c>
      <c r="S4" s="30">
        <v>-6.6254293778911233E-4</v>
      </c>
      <c r="T4" s="30">
        <v>1.1814413592219349E-2</v>
      </c>
      <c r="U4" s="30">
        <v>1.339553762227297E-2</v>
      </c>
      <c r="V4" s="30">
        <v>1.19242062792182E-2</v>
      </c>
      <c r="W4" s="30">
        <v>2.7815572917461399E-2</v>
      </c>
      <c r="X4" s="30">
        <v>2.5693094357848171E-5</v>
      </c>
      <c r="Y4" s="30">
        <v>3.9316866546869278E-2</v>
      </c>
      <c r="Z4" s="30">
        <v>5.6920211762189872E-2</v>
      </c>
      <c r="AA4" s="30">
        <v>9.8233535885810852E-2</v>
      </c>
      <c r="AB4" s="30">
        <v>6.4750097692012787E-2</v>
      </c>
      <c r="AC4" s="30">
        <v>6.7361786961555481E-2</v>
      </c>
      <c r="AD4" s="30">
        <v>5.1507804542779922E-2</v>
      </c>
      <c r="AE4" s="30">
        <v>4.9662109464406967E-2</v>
      </c>
      <c r="AF4" s="30">
        <v>2.0239388570189479E-2</v>
      </c>
      <c r="AG4" s="30">
        <v>9.3923445092514157E-4</v>
      </c>
      <c r="AH4" s="30">
        <v>-1.105708070099354E-2</v>
      </c>
      <c r="AI4" s="30">
        <v>1.6824111342430111E-2</v>
      </c>
      <c r="AJ4" s="30">
        <v>-7.4724433943629265E-4</v>
      </c>
      <c r="AK4" s="30">
        <v>1.1401809751987461E-2</v>
      </c>
      <c r="AL4" s="30">
        <v>4.4149282621219749E-4</v>
      </c>
      <c r="AM4" s="30">
        <v>-1.789861731231213E-2</v>
      </c>
      <c r="AN4" s="30">
        <v>-1.0071121156215669E-2</v>
      </c>
      <c r="AO4" s="30">
        <v>6.6899019293487072E-3</v>
      </c>
      <c r="AP4" s="30">
        <v>-1.1917488649487501E-2</v>
      </c>
      <c r="AQ4" s="30">
        <v>-2.7241043746471408E-2</v>
      </c>
      <c r="AR4" s="30">
        <v>-4.9140769988298416E-3</v>
      </c>
      <c r="AS4" s="30">
        <v>-3.0879320576786991E-2</v>
      </c>
      <c r="AT4" s="30">
        <v>-1.474843081086874E-2</v>
      </c>
      <c r="AU4" s="30">
        <v>-2.2974038496613499E-2</v>
      </c>
      <c r="AV4" s="30">
        <v>-2.274879720062017E-3</v>
      </c>
      <c r="AW4" s="30">
        <v>-1.657006144523621E-2</v>
      </c>
      <c r="AX4" s="30">
        <v>-1.187692023813725E-2</v>
      </c>
      <c r="AY4" s="30">
        <v>-2.4517569690942761E-2</v>
      </c>
      <c r="AZ4" s="30">
        <v>1.4865461271256211E-3</v>
      </c>
      <c r="BA4" s="30">
        <v>1.029744930565357E-2</v>
      </c>
      <c r="BB4" s="30">
        <v>2.5721301790326829E-3</v>
      </c>
      <c r="BC4" s="30">
        <v>3.9163189940154552E-3</v>
      </c>
      <c r="BD4" s="30">
        <v>-2.5292611680924888E-3</v>
      </c>
      <c r="BE4" s="30">
        <v>-8.299974724650383E-3</v>
      </c>
      <c r="BF4" s="30">
        <v>-4.618610255420208E-3</v>
      </c>
      <c r="BG4" s="30">
        <v>-6.1649740673601627E-3</v>
      </c>
      <c r="BH4" s="30">
        <v>-3.748608753085136E-3</v>
      </c>
      <c r="BI4" s="30">
        <v>5.9695299714803696E-3</v>
      </c>
      <c r="BJ4" s="30">
        <v>-8.2524949684739113E-3</v>
      </c>
      <c r="BK4" s="30">
        <v>-3.1494102440774441E-3</v>
      </c>
      <c r="BL4" s="30">
        <v>-2.2762905806303021E-2</v>
      </c>
      <c r="BM4" s="30">
        <v>-1.5299521386623381E-2</v>
      </c>
      <c r="BN4" s="30">
        <v>-1.056381408125162E-2</v>
      </c>
      <c r="BO4" s="30">
        <v>4.6637067571282387E-3</v>
      </c>
      <c r="BP4" s="30">
        <v>4.6207541599869728E-3</v>
      </c>
      <c r="BQ4" s="30">
        <v>3.3099830150604248E-2</v>
      </c>
      <c r="BR4" s="30">
        <v>7.9383321106433868E-2</v>
      </c>
      <c r="BS4" s="30">
        <v>3.2730802893638611E-2</v>
      </c>
      <c r="BT4" s="30">
        <v>1.551901735365391E-2</v>
      </c>
      <c r="BU4" s="30">
        <v>1.7918560653924939E-2</v>
      </c>
      <c r="BV4" s="30">
        <v>1.257674675434828E-2</v>
      </c>
      <c r="BW4" s="30">
        <v>1.75600815564394E-2</v>
      </c>
      <c r="BX4" s="30">
        <v>1.9561545923352242E-2</v>
      </c>
      <c r="BY4" s="30">
        <v>9.4829900190234184E-3</v>
      </c>
      <c r="BZ4" s="30">
        <v>2.3618856444954869E-2</v>
      </c>
      <c r="CA4" s="30">
        <v>2.434477768838406E-2</v>
      </c>
      <c r="CB4" s="30">
        <v>-8.4261037409305573E-3</v>
      </c>
      <c r="CC4" s="30">
        <v>7.1666632720734924E-5</v>
      </c>
      <c r="CD4" s="30">
        <v>1.58525153528899E-3</v>
      </c>
      <c r="CE4" s="30">
        <v>-4.1839517652988434E-3</v>
      </c>
      <c r="CF4" s="30">
        <v>-1.925571262836456E-2</v>
      </c>
      <c r="CG4" s="30">
        <v>-2.450777031481266E-2</v>
      </c>
      <c r="CH4" s="30">
        <v>-2.5543062016367909E-2</v>
      </c>
      <c r="CI4" s="30">
        <v>-1.6113311052322391E-2</v>
      </c>
      <c r="CJ4" s="30">
        <v>-2.3990631103515622E-2</v>
      </c>
      <c r="CK4" s="30">
        <v>-3.0572861433029171E-2</v>
      </c>
      <c r="CL4" s="30">
        <v>-3.3399540930986397E-2</v>
      </c>
      <c r="CM4" s="30">
        <v>-1.3533868826925749E-2</v>
      </c>
      <c r="CN4" s="30">
        <v>-1.659691147506237E-2</v>
      </c>
      <c r="CO4" s="30">
        <v>-1.24882385134697E-2</v>
      </c>
      <c r="CP4" s="30">
        <v>-1.5990793704986569E-2</v>
      </c>
      <c r="CQ4" s="30">
        <v>-7.2096372023224831E-3</v>
      </c>
      <c r="CR4" s="30">
        <v>-2.841118723154068E-2</v>
      </c>
      <c r="CS4" s="30">
        <v>-3.007250651717186E-2</v>
      </c>
      <c r="CT4" s="30">
        <v>-2.765975333750248E-2</v>
      </c>
      <c r="CU4" s="30">
        <v>-1.706959493458271E-2</v>
      </c>
      <c r="CV4" s="30">
        <v>-1.7912266775965691E-2</v>
      </c>
      <c r="CW4" s="30">
        <v>-1.239021867513657E-2</v>
      </c>
      <c r="CX4" s="30">
        <v>-1.7721431329846379E-2</v>
      </c>
      <c r="CY4" s="30">
        <v>-1.9734646193683152E-3</v>
      </c>
      <c r="CZ4" s="30">
        <v>8.7843285873532295E-3</v>
      </c>
      <c r="DA4" s="30">
        <v>-3.2751679420471191E-2</v>
      </c>
      <c r="DB4" s="30">
        <v>-9.1977678239345551E-3</v>
      </c>
      <c r="DC4" s="30">
        <v>-4.3027768842875957E-3</v>
      </c>
      <c r="DD4" s="30">
        <v>-1.7814325168728828E-2</v>
      </c>
      <c r="DE4" s="30">
        <v>4.1021797806024551E-3</v>
      </c>
      <c r="DF4" s="30">
        <v>-7.2315400466322899E-3</v>
      </c>
      <c r="DG4" s="30">
        <v>4.2892070487141609E-3</v>
      </c>
      <c r="DH4" s="30">
        <v>9.5487143844366074E-3</v>
      </c>
      <c r="DI4" s="30">
        <v>7.0580318570137024E-3</v>
      </c>
      <c r="DJ4" s="30">
        <v>6.8894680589437476E-3</v>
      </c>
      <c r="DK4" s="30">
        <v>7.0452648214995861E-3</v>
      </c>
      <c r="DL4" s="30">
        <v>7.8367050737142563E-3</v>
      </c>
      <c r="DM4" s="30">
        <v>1.132010761648417E-2</v>
      </c>
      <c r="DN4" s="30">
        <v>3.335223533213139E-3</v>
      </c>
      <c r="DO4" s="30">
        <v>1.380339544266462E-2</v>
      </c>
      <c r="DP4" s="30">
        <v>1.0737471282482151E-2</v>
      </c>
      <c r="DQ4" s="30">
        <v>6.1118975281715393E-4</v>
      </c>
      <c r="DR4" s="30">
        <v>1.4212187379598619E-2</v>
      </c>
      <c r="DS4" s="30">
        <v>1.7021110979840159E-3</v>
      </c>
      <c r="DT4" s="30">
        <v>3.5690043587237601E-3</v>
      </c>
      <c r="DU4" s="30">
        <v>2.0074488129466772E-3</v>
      </c>
      <c r="DV4" s="30">
        <v>2.9247954487800602E-2</v>
      </c>
      <c r="DW4" s="30">
        <v>1.8428530544042591E-2</v>
      </c>
      <c r="DX4" s="30">
        <v>1.877508498728275E-2</v>
      </c>
      <c r="DY4" s="30">
        <v>1.251648087054491E-2</v>
      </c>
      <c r="DZ4" s="30">
        <v>1.859314180910587E-2</v>
      </c>
      <c r="EA4" s="30">
        <v>1.8734032288193699E-2</v>
      </c>
      <c r="EB4" s="30">
        <v>1.160619128495455E-2</v>
      </c>
      <c r="EC4" s="30">
        <v>3.1247735023498539E-2</v>
      </c>
      <c r="ED4" s="30">
        <v>1.844197511672974E-2</v>
      </c>
      <c r="EE4" s="30">
        <v>7.5100352987647057E-3</v>
      </c>
      <c r="EF4" s="30">
        <v>1.825511455535889E-2</v>
      </c>
      <c r="EG4" s="16"/>
    </row>
    <row r="5" spans="1:138" s="3" customFormat="1" ht="16" customHeight="1">
      <c r="A5" s="5"/>
      <c r="B5" s="25" t="s">
        <v>138</v>
      </c>
      <c r="C5" s="30">
        <v>-3.093557246029377E-2</v>
      </c>
      <c r="D5" s="30">
        <v>-7.8517265617847443E-2</v>
      </c>
      <c r="E5" s="30">
        <v>-7.1969844400882721E-2</v>
      </c>
      <c r="F5" s="30">
        <v>-2.1682599559426311E-2</v>
      </c>
      <c r="G5" s="30">
        <v>3.9315680041909218E-3</v>
      </c>
      <c r="H5" s="30">
        <v>-1.978492550551891E-2</v>
      </c>
      <c r="I5" s="30">
        <v>-1.0177304036915301E-2</v>
      </c>
      <c r="J5" s="30">
        <v>-8.2358997315168381E-3</v>
      </c>
      <c r="K5" s="30">
        <v>2.3635530844330791E-2</v>
      </c>
      <c r="L5" s="30">
        <v>-1.4618006534874439E-2</v>
      </c>
      <c r="M5" s="30">
        <v>2.2768089547753331E-2</v>
      </c>
      <c r="N5" s="30">
        <v>-4.363420233130455E-2</v>
      </c>
      <c r="O5" s="30">
        <v>-5.7530194520950317E-2</v>
      </c>
      <c r="P5" s="30">
        <v>-6.1749737709760673E-2</v>
      </c>
      <c r="Q5" s="30">
        <v>-6.4170286059379578E-2</v>
      </c>
      <c r="R5" s="30">
        <v>-5.6614186614751823E-2</v>
      </c>
      <c r="S5" s="30">
        <v>-3.9280273020267487E-2</v>
      </c>
      <c r="T5" s="30">
        <v>-4.5374378561973572E-2</v>
      </c>
      <c r="U5" s="30">
        <v>2.1098524332046509E-2</v>
      </c>
      <c r="V5" s="30">
        <v>-5.0834860652685172E-2</v>
      </c>
      <c r="W5" s="30">
        <v>-4.3037977069616318E-2</v>
      </c>
      <c r="X5" s="30">
        <v>-2.6595532894134521E-2</v>
      </c>
      <c r="Y5" s="30">
        <v>-1.513876207172871E-2</v>
      </c>
      <c r="Z5" s="30">
        <v>-2.4952776730060581E-2</v>
      </c>
      <c r="AA5" s="30">
        <v>-6.4031586050987244E-2</v>
      </c>
      <c r="AB5" s="30">
        <v>-2.9604986310005191E-2</v>
      </c>
      <c r="AC5" s="30">
        <v>-1.944617601111531E-3</v>
      </c>
      <c r="AD5" s="30">
        <v>5.7631758973002434E-3</v>
      </c>
      <c r="AE5" s="30">
        <v>-1.179056335240602E-2</v>
      </c>
      <c r="AF5" s="30">
        <v>-2.2569329012185339E-3</v>
      </c>
      <c r="AG5" s="30">
        <v>-2.7719086036086079E-2</v>
      </c>
      <c r="AH5" s="30">
        <v>-2.121474826708436E-3</v>
      </c>
      <c r="AI5" s="30">
        <v>-2.9802717268466949E-2</v>
      </c>
      <c r="AJ5" s="30">
        <v>-3.3187164808623487E-4</v>
      </c>
      <c r="AK5" s="30">
        <v>1.3484867289662359E-2</v>
      </c>
      <c r="AL5" s="30">
        <v>-7.8548425808548927E-3</v>
      </c>
      <c r="AM5" s="30">
        <v>-2.1816307678818699E-2</v>
      </c>
      <c r="AN5" s="30">
        <v>1.06990709900856E-2</v>
      </c>
      <c r="AO5" s="30">
        <v>1.110227429307997E-3</v>
      </c>
      <c r="AP5" s="30">
        <v>7.9638074385002255E-4</v>
      </c>
      <c r="AQ5" s="30">
        <v>-5.5128955282270908E-3</v>
      </c>
      <c r="AR5" s="30">
        <v>-1.548982225358486E-2</v>
      </c>
      <c r="AS5" s="30">
        <v>-1.3374983333051199E-2</v>
      </c>
      <c r="AT5" s="30">
        <v>-2.8082795906811948E-3</v>
      </c>
      <c r="AU5" s="30">
        <v>1.3588436879217619E-2</v>
      </c>
      <c r="AV5" s="30">
        <v>1.1518656276166441E-2</v>
      </c>
      <c r="AW5" s="30">
        <v>-5.1678195595741272E-3</v>
      </c>
      <c r="AX5" s="30">
        <v>-1.7534591257572171E-2</v>
      </c>
      <c r="AY5" s="30">
        <v>-1.2889344245195391E-2</v>
      </c>
      <c r="AZ5" s="30">
        <v>4.608450923115015E-3</v>
      </c>
      <c r="BA5" s="30">
        <v>-3.7847871426492929E-3</v>
      </c>
      <c r="BB5" s="30">
        <v>-4.9904352053999901E-3</v>
      </c>
      <c r="BC5" s="30">
        <v>-1.7079908400773999E-2</v>
      </c>
      <c r="BD5" s="30">
        <v>-2.3915629833936691E-2</v>
      </c>
      <c r="BE5" s="30">
        <v>2.1333401091396809E-3</v>
      </c>
      <c r="BF5" s="30">
        <v>3.1931266188621521E-2</v>
      </c>
      <c r="BG5" s="30">
        <v>2.271440252661705E-2</v>
      </c>
      <c r="BH5" s="30">
        <v>5.4914258420467377E-2</v>
      </c>
      <c r="BI5" s="30">
        <v>2.3081650957465168E-2</v>
      </c>
      <c r="BJ5" s="30">
        <v>4.1425202041864402E-2</v>
      </c>
      <c r="BK5" s="30">
        <v>-4.5687265694141388E-2</v>
      </c>
      <c r="BL5" s="30">
        <v>-2.4188106879591938E-2</v>
      </c>
      <c r="BM5" s="30">
        <v>-4.5954536646604538E-2</v>
      </c>
      <c r="BN5" s="30">
        <v>-5.2363675087690353E-2</v>
      </c>
      <c r="BO5" s="30">
        <v>-6.0948830097913742E-2</v>
      </c>
      <c r="BP5" s="30">
        <v>-4.6518847346305847E-2</v>
      </c>
      <c r="BQ5" s="30">
        <v>-3.1062062829732891E-2</v>
      </c>
      <c r="BR5" s="30">
        <v>3.2680220901966091E-3</v>
      </c>
      <c r="BS5" s="30">
        <v>6.8480938673019409E-2</v>
      </c>
      <c r="BT5" s="30">
        <v>2.1564350463449951E-3</v>
      </c>
      <c r="BU5" s="30">
        <v>-3.8370478898286819E-2</v>
      </c>
      <c r="BV5" s="30">
        <v>-3.7749018520116813E-2</v>
      </c>
      <c r="BW5" s="30">
        <v>-3.7364158779382713E-2</v>
      </c>
      <c r="BX5" s="30">
        <v>-2.7728324756026271E-2</v>
      </c>
      <c r="BY5" s="30">
        <v>-3.0275849625468251E-2</v>
      </c>
      <c r="BZ5" s="30">
        <v>-4.346185177564621E-2</v>
      </c>
      <c r="CA5" s="30">
        <v>-3.151523694396019E-2</v>
      </c>
      <c r="CB5" s="30">
        <v>-3.108143620193005E-2</v>
      </c>
      <c r="CC5" s="30">
        <v>-3.5361416637897491E-2</v>
      </c>
      <c r="CD5" s="30">
        <v>-3.3158984035253518E-2</v>
      </c>
      <c r="CE5" s="30">
        <v>-2.35139075666666E-2</v>
      </c>
      <c r="CF5" s="30">
        <v>-1.2064295820891861E-2</v>
      </c>
      <c r="CG5" s="30">
        <v>-3.2220706343650818E-3</v>
      </c>
      <c r="CH5" s="30">
        <v>-1.9549626857042309E-2</v>
      </c>
      <c r="CI5" s="30">
        <v>-9.6641974523663521E-3</v>
      </c>
      <c r="CJ5" s="30">
        <v>-2.0440889056771989E-3</v>
      </c>
      <c r="CK5" s="30">
        <v>-2.6424447074532509E-2</v>
      </c>
      <c r="CL5" s="30">
        <v>-4.3267767876386642E-2</v>
      </c>
      <c r="CM5" s="30">
        <v>-1.9405793398618702E-2</v>
      </c>
      <c r="CN5" s="30">
        <v>-2.635003998875618E-2</v>
      </c>
      <c r="CO5" s="30">
        <v>3.1805969774723049E-3</v>
      </c>
      <c r="CP5" s="30">
        <v>-6.2574027106165886E-3</v>
      </c>
      <c r="CQ5" s="30">
        <v>-1.3818861916661261E-2</v>
      </c>
      <c r="CR5" s="30">
        <v>-2.1159159019589421E-2</v>
      </c>
      <c r="CS5" s="30">
        <v>-1.896608434617519E-2</v>
      </c>
      <c r="CT5" s="30">
        <v>-2.906819432973862E-2</v>
      </c>
      <c r="CU5" s="30">
        <v>-5.1458954811096191E-2</v>
      </c>
      <c r="CV5" s="30">
        <v>-2.4589415639638901E-2</v>
      </c>
      <c r="CW5" s="30">
        <v>-4.7959472984075553E-2</v>
      </c>
      <c r="CX5" s="30">
        <v>-2.462939731776714E-2</v>
      </c>
      <c r="CY5" s="30">
        <v>-2.7626641094684601E-2</v>
      </c>
      <c r="CZ5" s="30">
        <v>-5.503227561712265E-2</v>
      </c>
      <c r="DA5" s="30">
        <v>-2.8730303049087521E-2</v>
      </c>
      <c r="DB5" s="30">
        <v>-6.6727802157402039E-2</v>
      </c>
      <c r="DC5" s="30">
        <v>-0.1073298379778862</v>
      </c>
      <c r="DD5" s="30">
        <v>-5.2791092544794083E-2</v>
      </c>
      <c r="DE5" s="30">
        <v>-6.0571521520614617E-2</v>
      </c>
      <c r="DF5" s="30">
        <v>-3.9159800857305527E-2</v>
      </c>
      <c r="DG5" s="30">
        <v>-5.1414530724287033E-2</v>
      </c>
      <c r="DH5" s="30">
        <v>-6.5701395273208618E-2</v>
      </c>
      <c r="DI5" s="30">
        <v>-3.3493325114250183E-2</v>
      </c>
      <c r="DJ5" s="30">
        <v>-2.4839011952281002E-2</v>
      </c>
      <c r="DK5" s="30">
        <v>-2.238474972546101E-2</v>
      </c>
      <c r="DL5" s="30">
        <v>-3.6509480327367783E-2</v>
      </c>
      <c r="DM5" s="30">
        <v>-3.9328606799244881E-3</v>
      </c>
      <c r="DN5" s="30">
        <v>-9.6125034615397453E-3</v>
      </c>
      <c r="DO5" s="30">
        <v>1.495146192610264E-2</v>
      </c>
      <c r="DP5" s="30">
        <v>-3.1372068915516138E-3</v>
      </c>
      <c r="DQ5" s="30">
        <v>-2.8361598961055279E-3</v>
      </c>
      <c r="DR5" s="30">
        <v>5.198170430958271E-3</v>
      </c>
      <c r="DS5" s="30">
        <v>1.1405284516513349E-2</v>
      </c>
      <c r="DT5" s="30">
        <v>-6.4447050681337714E-4</v>
      </c>
      <c r="DU5" s="30">
        <v>-1.273592282086611E-2</v>
      </c>
      <c r="DV5" s="30">
        <v>-2.1273775026202198E-2</v>
      </c>
      <c r="DW5" s="30">
        <v>-1.183168590068817E-2</v>
      </c>
      <c r="DX5" s="30">
        <v>-4.303129855543375E-3</v>
      </c>
      <c r="DY5" s="30">
        <v>5.929900798946619E-3</v>
      </c>
      <c r="DZ5" s="30">
        <v>-3.1490330584347248E-3</v>
      </c>
      <c r="EA5" s="30">
        <v>-8.7568778544664383E-3</v>
      </c>
      <c r="EB5" s="30">
        <v>4.7055804170668134E-3</v>
      </c>
      <c r="EC5" s="30">
        <v>-1.4093491248786449E-2</v>
      </c>
      <c r="ED5" s="30">
        <v>-7.3874481022357941E-3</v>
      </c>
      <c r="EE5" s="30">
        <v>-2.4573959410190579E-2</v>
      </c>
      <c r="EF5" s="30">
        <v>-3.00772450864315E-2</v>
      </c>
      <c r="EG5" s="16"/>
    </row>
    <row r="6" spans="1:138" s="3" customFormat="1" ht="16" customHeight="1">
      <c r="A6" s="5"/>
      <c r="B6" s="25" t="s">
        <v>139</v>
      </c>
      <c r="C6" s="30">
        <v>2.2974487394094471E-2</v>
      </c>
      <c r="D6" s="30">
        <v>1.7081409692764279E-2</v>
      </c>
      <c r="E6" s="30">
        <v>3.1377147883176797E-2</v>
      </c>
      <c r="F6" s="30">
        <v>1.6779405996203419E-2</v>
      </c>
      <c r="G6" s="30">
        <v>-1.317084766924381E-3</v>
      </c>
      <c r="H6" s="30">
        <v>1.38464504852891E-2</v>
      </c>
      <c r="I6" s="30">
        <v>2.191024087369442E-2</v>
      </c>
      <c r="J6" s="30">
        <v>1.260905526578426E-2</v>
      </c>
      <c r="K6" s="30">
        <v>-5.0779725424945346E-3</v>
      </c>
      <c r="L6" s="30">
        <v>5.8798324316740036E-3</v>
      </c>
      <c r="M6" s="30">
        <v>1.3324283063411709E-2</v>
      </c>
      <c r="N6" s="30">
        <v>1.7233520746231079E-2</v>
      </c>
      <c r="O6" s="30">
        <v>-5.6088712881319218E-5</v>
      </c>
      <c r="P6" s="30">
        <v>-6.2972903251647949E-3</v>
      </c>
      <c r="Q6" s="30">
        <v>2.4710532277822491E-2</v>
      </c>
      <c r="R6" s="30">
        <v>1.392411347478628E-2</v>
      </c>
      <c r="S6" s="30">
        <v>2.3693526163697239E-2</v>
      </c>
      <c r="T6" s="30">
        <v>1.9597101956605911E-2</v>
      </c>
      <c r="U6" s="30">
        <v>1.067257020622492E-2</v>
      </c>
      <c r="V6" s="30">
        <v>2.010666020214558E-2</v>
      </c>
      <c r="W6" s="30">
        <v>1.6704599838703871E-3</v>
      </c>
      <c r="X6" s="30">
        <v>2.5238168891519308E-3</v>
      </c>
      <c r="Y6" s="30">
        <v>9.2325033619999886E-3</v>
      </c>
      <c r="Z6" s="30">
        <v>1.28249591216445E-2</v>
      </c>
      <c r="AA6" s="30">
        <v>9.0660788118839264E-3</v>
      </c>
      <c r="AB6" s="30">
        <v>-1.209302456118166E-3</v>
      </c>
      <c r="AC6" s="30">
        <v>-6.8358690477907658E-3</v>
      </c>
      <c r="AD6" s="30">
        <v>1.9463960779830809E-3</v>
      </c>
      <c r="AE6" s="30">
        <v>1.42386257648468E-2</v>
      </c>
      <c r="AF6" s="30">
        <v>8.8263219222426414E-3</v>
      </c>
      <c r="AG6" s="30">
        <v>2.088212966918945E-2</v>
      </c>
      <c r="AH6" s="30">
        <v>5.198381096124649E-2</v>
      </c>
      <c r="AI6" s="30">
        <v>1.8810819834470749E-2</v>
      </c>
      <c r="AJ6" s="30">
        <v>1.617512293159962E-2</v>
      </c>
      <c r="AK6" s="30">
        <v>1.7538744956254959E-2</v>
      </c>
      <c r="AL6" s="30">
        <v>1.953974366188049E-2</v>
      </c>
      <c r="AM6" s="30">
        <v>1.2414112687110899E-2</v>
      </c>
      <c r="AN6" s="30">
        <v>-3.0713342130184169E-3</v>
      </c>
      <c r="AO6" s="30">
        <v>1.8124989001080389E-3</v>
      </c>
      <c r="AP6" s="30">
        <v>2.7226977050304409E-2</v>
      </c>
      <c r="AQ6" s="30">
        <v>1.5237000770866869E-2</v>
      </c>
      <c r="AR6" s="30">
        <v>2.0699001848697659E-2</v>
      </c>
      <c r="AS6" s="30">
        <v>1.803973130881786E-2</v>
      </c>
      <c r="AT6" s="30">
        <v>1.9905209541320801E-2</v>
      </c>
      <c r="AU6" s="30">
        <v>1.392220333218575E-2</v>
      </c>
      <c r="AV6" s="30">
        <v>1.49183738976717E-2</v>
      </c>
      <c r="AW6" s="30">
        <v>2.6367004029452801E-3</v>
      </c>
      <c r="AX6" s="30">
        <v>4.1243366897106171E-2</v>
      </c>
      <c r="AY6" s="30">
        <v>1.622296683490276E-2</v>
      </c>
      <c r="AZ6" s="30">
        <v>2.0173013210296631E-2</v>
      </c>
      <c r="BA6" s="30">
        <v>1.64332315325737E-2</v>
      </c>
      <c r="BB6" s="30">
        <v>2.2108843550086021E-2</v>
      </c>
      <c r="BC6" s="30">
        <v>2.0426224917173389E-2</v>
      </c>
      <c r="BD6" s="30">
        <v>1.4836631715297701E-2</v>
      </c>
      <c r="BE6" s="30">
        <v>1.464955974370241E-2</v>
      </c>
      <c r="BF6" s="30">
        <v>9.8656453192234039E-3</v>
      </c>
      <c r="BG6" s="30">
        <v>6.5305721946060658E-3</v>
      </c>
      <c r="BH6" s="30">
        <v>4.2353100143373013E-3</v>
      </c>
      <c r="BI6" s="30">
        <v>5.6681097485125056E-3</v>
      </c>
      <c r="BJ6" s="30">
        <v>2.540989313274622E-3</v>
      </c>
      <c r="BK6" s="30">
        <v>2.1666570100933309E-3</v>
      </c>
      <c r="BL6" s="30">
        <v>3.3819519449025388E-3</v>
      </c>
      <c r="BM6" s="30">
        <v>4.0704761631786823E-3</v>
      </c>
      <c r="BN6" s="30">
        <v>8.9805722236633301E-3</v>
      </c>
      <c r="BO6" s="30">
        <v>9.7311185672879219E-3</v>
      </c>
      <c r="BP6" s="30">
        <v>4.8173125833272934E-3</v>
      </c>
      <c r="BQ6" s="30">
        <v>9.8657906055450439E-3</v>
      </c>
      <c r="BR6" s="30">
        <v>1.3763009570538999E-2</v>
      </c>
      <c r="BS6" s="30">
        <v>1.4573461376130579E-2</v>
      </c>
      <c r="BT6" s="30">
        <v>2.0938688889145851E-2</v>
      </c>
      <c r="BU6" s="30">
        <v>1.4000543393194681E-2</v>
      </c>
      <c r="BV6" s="30">
        <v>1.9158285111188889E-2</v>
      </c>
      <c r="BW6" s="30">
        <v>1.7214477062225338E-2</v>
      </c>
      <c r="BX6" s="30">
        <v>1.1270095594227311E-2</v>
      </c>
      <c r="BY6" s="30">
        <v>2.503050863742828E-2</v>
      </c>
      <c r="BZ6" s="30">
        <v>3.1615070998668671E-2</v>
      </c>
      <c r="CA6" s="30">
        <v>2.5428475812077519E-2</v>
      </c>
      <c r="CB6" s="30">
        <v>0.11305705457925801</v>
      </c>
      <c r="CC6" s="30">
        <v>2.7973102405667302E-2</v>
      </c>
      <c r="CD6" s="30">
        <v>7.6278587803244591E-3</v>
      </c>
      <c r="CE6" s="30">
        <v>1.3782011345028881E-2</v>
      </c>
      <c r="CF6" s="30">
        <v>2.5310907512903209E-3</v>
      </c>
      <c r="CG6" s="30">
        <v>1.7127167666330929E-3</v>
      </c>
      <c r="CH6" s="30">
        <v>-5.0100181251764297E-3</v>
      </c>
      <c r="CI6" s="30">
        <v>3.2922136597335339E-3</v>
      </c>
      <c r="CJ6" s="30">
        <v>8.8564753532409668E-2</v>
      </c>
      <c r="CK6" s="30">
        <v>1.210253778845072E-2</v>
      </c>
      <c r="CL6" s="30">
        <v>1.323739159852266E-2</v>
      </c>
      <c r="CM6" s="30">
        <v>1.0921693406999109E-2</v>
      </c>
      <c r="CN6" s="30">
        <v>4.0465407073497772E-3</v>
      </c>
      <c r="CO6" s="30">
        <v>1.302310964092612E-3</v>
      </c>
      <c r="CP6" s="30">
        <v>1.0241216048598289E-2</v>
      </c>
      <c r="CQ6" s="30">
        <v>5.9799491427838802E-3</v>
      </c>
      <c r="CR6" s="30">
        <v>-7.5976653024554253E-3</v>
      </c>
      <c r="CS6" s="30">
        <v>2.3250426165759559E-3</v>
      </c>
      <c r="CT6" s="30">
        <v>2.201069891452789E-2</v>
      </c>
      <c r="CU6" s="30">
        <v>2.3386678658425808E-3</v>
      </c>
      <c r="CV6" s="30">
        <v>7.6710118446499109E-4</v>
      </c>
      <c r="CW6" s="30">
        <v>8.8794771581888199E-3</v>
      </c>
      <c r="CX6" s="30">
        <v>1.35622089728713E-2</v>
      </c>
      <c r="CY6" s="30">
        <v>1.2153903022408491E-2</v>
      </c>
      <c r="CZ6" s="30">
        <v>1.677262969315052E-2</v>
      </c>
      <c r="DA6" s="30">
        <v>1.464688777923584E-2</v>
      </c>
      <c r="DB6" s="30">
        <v>1.7232054844498631E-2</v>
      </c>
      <c r="DC6" s="30">
        <v>1.39602292329073E-2</v>
      </c>
      <c r="DD6" s="30">
        <v>9.7235096618533134E-3</v>
      </c>
      <c r="DE6" s="30">
        <v>1.149020344018936E-2</v>
      </c>
      <c r="DF6" s="30">
        <v>5.3679053671658039E-3</v>
      </c>
      <c r="DG6" s="30">
        <v>6.8998713977634907E-3</v>
      </c>
      <c r="DH6" s="30">
        <v>7.6307100243866444E-3</v>
      </c>
      <c r="DI6" s="30">
        <v>1.1459525674581529E-2</v>
      </c>
      <c r="DJ6" s="30">
        <v>9.3496376648545265E-3</v>
      </c>
      <c r="DK6" s="30">
        <v>1.047230791300535E-2</v>
      </c>
      <c r="DL6" s="30">
        <v>9.9879391491413116E-3</v>
      </c>
      <c r="DM6" s="30">
        <v>1.4417587779462339E-2</v>
      </c>
      <c r="DN6" s="30">
        <v>1.5461321920156481E-2</v>
      </c>
      <c r="DO6" s="30">
        <v>7.2593644261360168E-2</v>
      </c>
      <c r="DP6" s="30">
        <v>6.6633999347686768E-2</v>
      </c>
      <c r="DQ6" s="30">
        <v>7.6050832867622375E-2</v>
      </c>
      <c r="DR6" s="30">
        <v>7.9444080591201782E-2</v>
      </c>
      <c r="DS6" s="30">
        <v>9.6407637000083923E-2</v>
      </c>
      <c r="DT6" s="30">
        <v>9.8738469183444977E-2</v>
      </c>
      <c r="DU6" s="30">
        <v>8.4987722337245941E-2</v>
      </c>
      <c r="DV6" s="30">
        <v>8.3614706993103027E-2</v>
      </c>
      <c r="DW6" s="30">
        <v>7.9545408487319946E-2</v>
      </c>
      <c r="DX6" s="30">
        <v>9.6235953271389008E-2</v>
      </c>
      <c r="DY6" s="30">
        <v>0.10154732316732409</v>
      </c>
      <c r="DZ6" s="30">
        <v>0.13149091601371771</v>
      </c>
      <c r="EA6" s="30">
        <v>0.1148593798279762</v>
      </c>
      <c r="EB6" s="30">
        <v>0.11237455904483799</v>
      </c>
      <c r="EC6" s="30">
        <v>0.12511362135410309</v>
      </c>
      <c r="ED6" s="30">
        <v>3.1657200306653983E-2</v>
      </c>
      <c r="EE6" s="30">
        <v>2.9610974714159969E-2</v>
      </c>
      <c r="EF6" s="30">
        <v>3.123905323445797E-2</v>
      </c>
      <c r="EG6" s="16"/>
    </row>
    <row r="7" spans="1:138" s="3" customFormat="1" ht="16" customHeight="1">
      <c r="A7" s="5"/>
      <c r="B7" s="25" t="s">
        <v>140</v>
      </c>
      <c r="C7" s="30">
        <v>2.1774524357169871E-3</v>
      </c>
      <c r="D7" s="30">
        <v>1.301506627351046E-2</v>
      </c>
      <c r="E7" s="30">
        <v>9.8455846309661865E-3</v>
      </c>
      <c r="F7" s="30">
        <v>8.0243432894349098E-3</v>
      </c>
      <c r="G7" s="30">
        <v>-5.2677239291369924E-3</v>
      </c>
      <c r="H7" s="30">
        <v>1.4040330424904819E-3</v>
      </c>
      <c r="I7" s="30">
        <v>3.35096032358706E-3</v>
      </c>
      <c r="J7" s="30">
        <v>-4.0541882626712322E-3</v>
      </c>
      <c r="K7" s="30">
        <v>1.641397830098867E-3</v>
      </c>
      <c r="L7" s="30">
        <v>-3.6045860033482309E-3</v>
      </c>
      <c r="M7" s="30">
        <v>2.5401564780622721E-3</v>
      </c>
      <c r="N7" s="30">
        <v>-8.9025497436523438E-3</v>
      </c>
      <c r="O7" s="30">
        <v>1.0533438064157959E-2</v>
      </c>
      <c r="P7" s="30">
        <v>9.7276493906974792E-3</v>
      </c>
      <c r="Q7" s="30">
        <v>1.1463933624327179E-2</v>
      </c>
      <c r="R7" s="30">
        <v>2.0894568413496021E-2</v>
      </c>
      <c r="S7" s="30">
        <v>2.1158933639526371E-2</v>
      </c>
      <c r="T7" s="30">
        <v>2.5689143687486649E-2</v>
      </c>
      <c r="U7" s="30">
        <v>2.4543272331356999E-2</v>
      </c>
      <c r="V7" s="30">
        <v>1.1583937332034109E-2</v>
      </c>
      <c r="W7" s="30">
        <v>1.7569646239280701E-2</v>
      </c>
      <c r="X7" s="30">
        <v>8.7800547480583191E-2</v>
      </c>
      <c r="Y7" s="30">
        <v>5.0161927938461297E-2</v>
      </c>
      <c r="Z7" s="30">
        <v>3.1262714415788651E-2</v>
      </c>
      <c r="AA7" s="30">
        <v>4.2858966626226902E-3</v>
      </c>
      <c r="AB7" s="30">
        <v>4.6123538166284561E-2</v>
      </c>
      <c r="AC7" s="30">
        <v>8.0575473606586456E-2</v>
      </c>
      <c r="AD7" s="30">
        <v>3.6530923098325729E-2</v>
      </c>
      <c r="AE7" s="30">
        <v>2.4605680257081989E-2</v>
      </c>
      <c r="AF7" s="30">
        <v>1.2908365577459341E-2</v>
      </c>
      <c r="AG7" s="30">
        <v>2.1753383800387379E-2</v>
      </c>
      <c r="AH7" s="30">
        <v>3.0683320946991439E-3</v>
      </c>
      <c r="AI7" s="30">
        <v>8.5161365568637848E-3</v>
      </c>
      <c r="AJ7" s="30">
        <v>-4.9905562773346901E-3</v>
      </c>
      <c r="AK7" s="30">
        <v>-4.0547512471675873E-3</v>
      </c>
      <c r="AL7" s="30">
        <v>9.6464334055781364E-3</v>
      </c>
      <c r="AM7" s="30">
        <v>2.0504780113697049E-2</v>
      </c>
      <c r="AN7" s="30">
        <v>2.0692810416221619E-2</v>
      </c>
      <c r="AO7" s="30">
        <v>4.6984786167740822E-3</v>
      </c>
      <c r="AP7" s="30">
        <v>-4.5743486844003201E-3</v>
      </c>
      <c r="AQ7" s="30">
        <v>-6.8781576119363308E-3</v>
      </c>
      <c r="AR7" s="30">
        <v>-9.8103778436779976E-3</v>
      </c>
      <c r="AS7" s="30">
        <v>-9.5568029209971428E-3</v>
      </c>
      <c r="AT7" s="30">
        <v>5.923053715378046E-3</v>
      </c>
      <c r="AU7" s="30">
        <v>1.4722419437021019E-3</v>
      </c>
      <c r="AV7" s="30">
        <v>2.8763983398675919E-2</v>
      </c>
      <c r="AW7" s="30">
        <v>2.653876505792141E-2</v>
      </c>
      <c r="AX7" s="30">
        <v>8.3058588206768036E-3</v>
      </c>
      <c r="AY7" s="30">
        <v>5.37489028647542E-3</v>
      </c>
      <c r="AZ7" s="30">
        <v>1.18672801181674E-2</v>
      </c>
      <c r="BA7" s="30">
        <v>1.1852427385747429E-2</v>
      </c>
      <c r="BB7" s="30">
        <v>3.2360877841711037E-2</v>
      </c>
      <c r="BC7" s="30">
        <v>1.428650598973036E-2</v>
      </c>
      <c r="BD7" s="30">
        <v>7.969927042722702E-3</v>
      </c>
      <c r="BE7" s="30">
        <v>-6.0811341973021626E-4</v>
      </c>
      <c r="BF7" s="30">
        <v>-1.118848752230406E-2</v>
      </c>
      <c r="BG7" s="30">
        <v>-1.926126517355442E-2</v>
      </c>
      <c r="BH7" s="30">
        <v>-2.15022973716259E-2</v>
      </c>
      <c r="BI7" s="30">
        <v>5.8418240398168557E-2</v>
      </c>
      <c r="BJ7" s="30">
        <v>4.0143381804227829E-2</v>
      </c>
      <c r="BK7" s="30">
        <v>2.839156799018383E-2</v>
      </c>
      <c r="BL7" s="30">
        <v>2.5553938001394268E-2</v>
      </c>
      <c r="BM7" s="30">
        <v>9.6509531140327454E-3</v>
      </c>
      <c r="BN7" s="30">
        <v>4.6400707215070716E-3</v>
      </c>
      <c r="BO7" s="30">
        <v>3.6845332942903042E-3</v>
      </c>
      <c r="BP7" s="30">
        <v>1.329131051898003E-2</v>
      </c>
      <c r="BQ7" s="30">
        <v>7.8903371468186378E-3</v>
      </c>
      <c r="BR7" s="30">
        <v>7.0404992438852787E-3</v>
      </c>
      <c r="BS7" s="30">
        <v>7.1611646562814713E-3</v>
      </c>
      <c r="BT7" s="30">
        <v>1.4413587749004361E-2</v>
      </c>
      <c r="BU7" s="30">
        <v>1.103820279240608E-2</v>
      </c>
      <c r="BV7" s="30">
        <v>2.3246251046657559E-2</v>
      </c>
      <c r="BW7" s="30">
        <v>2.311362512409687E-2</v>
      </c>
      <c r="BX7" s="30">
        <v>7.0206619799137115E-2</v>
      </c>
      <c r="BY7" s="30">
        <v>6.1465926468372338E-2</v>
      </c>
      <c r="BZ7" s="30">
        <v>5.822661891579628E-2</v>
      </c>
      <c r="CA7" s="30">
        <v>4.9403347074985504E-3</v>
      </c>
      <c r="CB7" s="30">
        <v>1.0325175710022449E-2</v>
      </c>
      <c r="CC7" s="30">
        <v>5.5629480630159378E-4</v>
      </c>
      <c r="CD7" s="30">
        <v>2.5742873549461361E-2</v>
      </c>
      <c r="CE7" s="30">
        <v>2.6346748694777489E-2</v>
      </c>
      <c r="CF7" s="30">
        <v>2.078045159578323E-2</v>
      </c>
      <c r="CG7" s="30">
        <v>1.9359627738595009E-2</v>
      </c>
      <c r="CH7" s="30">
        <v>2.7750680223107341E-2</v>
      </c>
      <c r="CI7" s="30">
        <v>2.482840791344643E-2</v>
      </c>
      <c r="CJ7" s="30">
        <v>2.208101749420166E-2</v>
      </c>
      <c r="CK7" s="30">
        <v>8.6565986275672913E-3</v>
      </c>
      <c r="CL7" s="30">
        <v>7.0795947685837746E-3</v>
      </c>
      <c r="CM7" s="30">
        <v>8.4662102162837982E-3</v>
      </c>
      <c r="CN7" s="30">
        <v>2.7852556668221951E-3</v>
      </c>
      <c r="CO7" s="30">
        <v>6.0324417427182198E-3</v>
      </c>
      <c r="CP7" s="30">
        <v>4.8775835894048214E-3</v>
      </c>
      <c r="CQ7" s="30">
        <v>-8.8366348063573241E-4</v>
      </c>
      <c r="CR7" s="30">
        <v>-2.9415215831249948E-3</v>
      </c>
      <c r="CS7" s="30">
        <v>-6.5762377344071874E-3</v>
      </c>
      <c r="CT7" s="30">
        <v>-5.0856703892350197E-3</v>
      </c>
      <c r="CU7" s="30">
        <v>3.7310883402824402E-2</v>
      </c>
      <c r="CV7" s="30">
        <v>3.0856955796480179E-2</v>
      </c>
      <c r="CW7" s="30">
        <v>1.9465599209070209E-2</v>
      </c>
      <c r="CX7" s="30">
        <v>2.1523755043745041E-2</v>
      </c>
      <c r="CY7" s="30">
        <v>3.0290527269244191E-2</v>
      </c>
      <c r="CZ7" s="30">
        <v>3.0590202659368518E-2</v>
      </c>
      <c r="DA7" s="30">
        <v>2.849986590445042E-2</v>
      </c>
      <c r="DB7" s="30">
        <v>2.1195517852902409E-2</v>
      </c>
      <c r="DC7" s="30">
        <v>2.6068830862641331E-2</v>
      </c>
      <c r="DD7" s="30">
        <v>5.9307549148797989E-2</v>
      </c>
      <c r="DE7" s="30">
        <v>1.9247701391577721E-2</v>
      </c>
      <c r="DF7" s="30">
        <v>1.8887985497713089E-2</v>
      </c>
      <c r="DG7" s="30">
        <v>1.481551211327314E-2</v>
      </c>
      <c r="DH7" s="30">
        <v>1.667135767638683E-2</v>
      </c>
      <c r="DI7" s="30">
        <v>1.7327722162008289E-2</v>
      </c>
      <c r="DJ7" s="30">
        <v>1.56103502959013E-2</v>
      </c>
      <c r="DK7" s="30">
        <v>1.583695225417614E-2</v>
      </c>
      <c r="DL7" s="30">
        <v>1.7583077773451809E-2</v>
      </c>
      <c r="DM7" s="30">
        <v>1.280764956027269E-2</v>
      </c>
      <c r="DN7" s="30">
        <v>2.0481692627072331E-2</v>
      </c>
      <c r="DO7" s="30">
        <v>1.108080800622702E-2</v>
      </c>
      <c r="DP7" s="30">
        <v>1.5453166328370569E-2</v>
      </c>
      <c r="DQ7" s="30">
        <v>1.020689029246569E-2</v>
      </c>
      <c r="DR7" s="30">
        <v>1.2916479259729391E-2</v>
      </c>
      <c r="DS7" s="30">
        <v>1.966420374810696E-2</v>
      </c>
      <c r="DT7" s="30">
        <v>2.2220226004719731E-2</v>
      </c>
      <c r="DU7" s="30">
        <v>2.3969663307070729E-2</v>
      </c>
      <c r="DV7" s="30">
        <v>1.4732354320585729E-2</v>
      </c>
      <c r="DW7" s="30">
        <v>1.3176582753658289E-2</v>
      </c>
      <c r="DX7" s="30">
        <v>1.7936071380972859E-2</v>
      </c>
      <c r="DY7" s="30">
        <v>1.6969321295619011E-2</v>
      </c>
      <c r="DZ7" s="30">
        <v>1.628573052585125E-2</v>
      </c>
      <c r="EA7" s="30">
        <v>1.1118081398308281E-2</v>
      </c>
      <c r="EB7" s="30">
        <v>1.420325227081776E-2</v>
      </c>
      <c r="EC7" s="30">
        <v>8.9012579992413521E-3</v>
      </c>
      <c r="ED7" s="30">
        <v>7.0330379530787468E-3</v>
      </c>
      <c r="EE7" s="30">
        <v>1.109445281326771E-2</v>
      </c>
      <c r="EF7" s="30">
        <v>1.149675436317921E-2</v>
      </c>
    </row>
    <row r="8" spans="1:138" s="3" customFormat="1" ht="16" customHeight="1">
      <c r="A8" s="50" t="s">
        <v>141</v>
      </c>
      <c r="B8" s="51"/>
      <c r="C8" s="19">
        <f t="array" ref="C8">MATCH(MAX(ABS(C3:C7)), ABS(C3:C7), 0)</f>
        <v>1</v>
      </c>
      <c r="D8" s="19">
        <f t="array" ref="D8">MATCH(MAX(ABS(D3:D7)), ABS(D3:D7), 0)</f>
        <v>3</v>
      </c>
      <c r="E8" s="19">
        <f t="array" ref="E8">MATCH(MAX(ABS(E3:E7)), ABS(E3:E7), 0)</f>
        <v>3</v>
      </c>
      <c r="F8" s="19">
        <f t="array" ref="F8">MATCH(MAX(ABS(F3:F7)), ABS(F3:F7), 0)</f>
        <v>1</v>
      </c>
      <c r="G8" s="19">
        <f t="array" ref="G8">MATCH(MAX(ABS(G3:G7)), ABS(G3:G7), 0)</f>
        <v>1</v>
      </c>
      <c r="H8" s="19">
        <f t="array" ref="H8">MATCH(MAX(ABS(H3:H7)), ABS(H3:H7), 0)</f>
        <v>3</v>
      </c>
      <c r="I8" s="19">
        <f t="array" ref="I8">MATCH(MAX(ABS(I3:I7)), ABS(I3:I7), 0)</f>
        <v>2</v>
      </c>
      <c r="J8" s="19">
        <f t="array" ref="J8">MATCH(MAX(ABS(J3:J7)), ABS(J3:J7), 0)</f>
        <v>1</v>
      </c>
      <c r="K8" s="19">
        <f t="array" ref="K8">MATCH(MAX(ABS(K3:K7)), ABS(K3:K7), 0)</f>
        <v>2</v>
      </c>
      <c r="L8" s="19">
        <f t="array" ref="L8">MATCH(MAX(ABS(L3:L7)), ABS(L3:L7), 0)</f>
        <v>1</v>
      </c>
      <c r="M8" s="19">
        <f t="array" ref="M8">MATCH(MAX(ABS(M3:M7)), ABS(M3:M7), 0)</f>
        <v>2</v>
      </c>
      <c r="N8" s="19">
        <f t="array" ref="N8">MATCH(MAX(ABS(N3:N7)), ABS(N3:N7), 0)</f>
        <v>3</v>
      </c>
      <c r="O8" s="19">
        <f t="array" ref="O8">MATCH(MAX(ABS(O3:O7)), ABS(O3:O7), 0)</f>
        <v>3</v>
      </c>
      <c r="P8" s="19">
        <f t="array" ref="P8">MATCH(MAX(ABS(P3:P7)), ABS(P3:P7), 0)</f>
        <v>3</v>
      </c>
      <c r="Q8" s="19">
        <f t="array" ref="Q8">MATCH(MAX(ABS(Q3:Q7)), ABS(Q3:Q7), 0)</f>
        <v>3</v>
      </c>
      <c r="R8" s="19">
        <f t="array" ref="R8">MATCH(MAX(ABS(R3:R7)), ABS(R3:R7), 0)</f>
        <v>3</v>
      </c>
      <c r="S8" s="19">
        <f t="array" ref="S8">MATCH(MAX(ABS(S3:S7)), ABS(S3:S7), 0)</f>
        <v>3</v>
      </c>
      <c r="T8" s="19">
        <f t="array" ref="T8">MATCH(MAX(ABS(T3:T7)), ABS(T3:T7), 0)</f>
        <v>3</v>
      </c>
      <c r="U8" s="19">
        <f t="array" ref="U8">MATCH(MAX(ABS(U3:U7)), ABS(U3:U7), 0)</f>
        <v>5</v>
      </c>
      <c r="V8" s="19">
        <f t="array" ref="V8">MATCH(MAX(ABS(V3:V7)), ABS(V3:V7), 0)</f>
        <v>3</v>
      </c>
      <c r="W8" s="19">
        <f t="array" ref="W8">MATCH(MAX(ABS(W3:W7)), ABS(W3:W7), 0)</f>
        <v>3</v>
      </c>
      <c r="X8" s="19">
        <f t="array" ref="X8">MATCH(MAX(ABS(X3:X7)), ABS(X3:X7), 0)</f>
        <v>5</v>
      </c>
      <c r="Y8" s="19">
        <f t="array" ref="Y8">MATCH(MAX(ABS(Y3:Y7)), ABS(Y3:Y7), 0)</f>
        <v>5</v>
      </c>
      <c r="Z8" s="19">
        <f t="array" ref="Z8">MATCH(MAX(ABS(Z3:Z7)), ABS(Z3:Z7), 0)</f>
        <v>2</v>
      </c>
      <c r="AA8" s="19">
        <f t="array" ref="AA8">MATCH(MAX(ABS(AA3:AA7)), ABS(AA3:AA7), 0)</f>
        <v>2</v>
      </c>
      <c r="AB8" s="19">
        <f t="array" ref="AB8">MATCH(MAX(ABS(AB3:AB7)), ABS(AB3:AB7), 0)</f>
        <v>2</v>
      </c>
      <c r="AC8" s="19">
        <f t="array" ref="AC8">MATCH(MAX(ABS(AC3:AC7)), ABS(AC3:AC7), 0)</f>
        <v>5</v>
      </c>
      <c r="AD8" s="19">
        <f t="array" ref="AD8">MATCH(MAX(ABS(AD3:AD7)), ABS(AD3:AD7), 0)</f>
        <v>2</v>
      </c>
      <c r="AE8" s="19">
        <f t="array" ref="AE8">MATCH(MAX(ABS(AE3:AE7)), ABS(AE3:AE7), 0)</f>
        <v>2</v>
      </c>
      <c r="AF8" s="19">
        <f t="array" ref="AF8">MATCH(MAX(ABS(AF3:AF7)), ABS(AF3:AF7), 0)</f>
        <v>2</v>
      </c>
      <c r="AG8" s="19">
        <f t="array" ref="AG8">MATCH(MAX(ABS(AG3:AG7)), ABS(AG3:AG7), 0)</f>
        <v>1</v>
      </c>
      <c r="AH8" s="19">
        <f t="array" ref="AH8">MATCH(MAX(ABS(AH3:AH7)), ABS(AH3:AH7), 0)</f>
        <v>4</v>
      </c>
      <c r="AI8" s="19">
        <f t="array" ref="AI8">MATCH(MAX(ABS(AI3:AI7)), ABS(AI3:AI7), 0)</f>
        <v>3</v>
      </c>
      <c r="AJ8" s="19">
        <f t="array" ref="AJ8">MATCH(MAX(ABS(AJ3:AJ7)), ABS(AJ3:AJ7), 0)</f>
        <v>4</v>
      </c>
      <c r="AK8" s="19">
        <f t="array" ref="AK8">MATCH(MAX(ABS(AK3:AK7)), ABS(AK3:AK7), 0)</f>
        <v>1</v>
      </c>
      <c r="AL8" s="19">
        <f t="array" ref="AL8">MATCH(MAX(ABS(AL3:AL7)), ABS(AL3:AL7), 0)</f>
        <v>1</v>
      </c>
      <c r="AM8" s="19">
        <f t="array" ref="AM8">MATCH(MAX(ABS(AM3:AM7)), ABS(AM3:AM7), 0)</f>
        <v>3</v>
      </c>
      <c r="AN8" s="19">
        <f t="array" ref="AN8">MATCH(MAX(ABS(AN3:AN7)), ABS(AN3:AN7), 0)</f>
        <v>1</v>
      </c>
      <c r="AO8" s="19">
        <f t="array" ref="AO8">MATCH(MAX(ABS(AO3:AO7)), ABS(AO3:AO7), 0)</f>
        <v>1</v>
      </c>
      <c r="AP8" s="19">
        <f t="array" ref="AP8">MATCH(MAX(ABS(AP3:AP7)), ABS(AP3:AP7), 0)</f>
        <v>1</v>
      </c>
      <c r="AQ8" s="19">
        <f t="array" ref="AQ8">MATCH(MAX(ABS(AQ3:AQ7)), ABS(AQ3:AQ7), 0)</f>
        <v>1</v>
      </c>
      <c r="AR8" s="19">
        <f t="array" ref="AR8">MATCH(MAX(ABS(AR3:AR7)), ABS(AR3:AR7), 0)</f>
        <v>4</v>
      </c>
      <c r="AS8" s="19">
        <f t="array" ref="AS8">MATCH(MAX(ABS(AS3:AS7)), ABS(AS3:AS7), 0)</f>
        <v>1</v>
      </c>
      <c r="AT8" s="19">
        <f t="array" ref="AT8">MATCH(MAX(ABS(AT3:AT7)), ABS(AT3:AT7), 0)</f>
        <v>4</v>
      </c>
      <c r="AU8" s="19">
        <f t="array" ref="AU8">MATCH(MAX(ABS(AU3:AU7)), ABS(AU3:AU7), 0)</f>
        <v>2</v>
      </c>
      <c r="AV8" s="19">
        <f t="array" ref="AV8">MATCH(MAX(ABS(AV3:AV7)), ABS(AV3:AV7), 0)</f>
        <v>1</v>
      </c>
      <c r="AW8" s="19">
        <f t="array" ref="AW8">MATCH(MAX(ABS(AW3:AW7)), ABS(AW3:AW7), 0)</f>
        <v>5</v>
      </c>
      <c r="AX8" s="19">
        <f t="array" ref="AX8">MATCH(MAX(ABS(AX3:AX7)), ABS(AX3:AX7), 0)</f>
        <v>4</v>
      </c>
      <c r="AY8" s="19">
        <f t="array" ref="AY8">MATCH(MAX(ABS(AY3:AY7)), ABS(AY3:AY7), 0)</f>
        <v>1</v>
      </c>
      <c r="AZ8" s="19">
        <f t="array" ref="AZ8">MATCH(MAX(ABS(AZ3:AZ7)), ABS(AZ3:AZ7), 0)</f>
        <v>1</v>
      </c>
      <c r="BA8" s="19">
        <f t="array" ref="BA8">MATCH(MAX(ABS(BA3:BA7)), ABS(BA3:BA7), 0)</f>
        <v>1</v>
      </c>
      <c r="BB8" s="19">
        <f t="array" ref="BB8">MATCH(MAX(ABS(BB3:BB7)), ABS(BB3:BB7), 0)</f>
        <v>5</v>
      </c>
      <c r="BC8" s="19">
        <f t="array" ref="BC8">MATCH(MAX(ABS(BC3:BC7)), ABS(BC3:BC7), 0)</f>
        <v>1</v>
      </c>
      <c r="BD8" s="19">
        <f t="array" ref="BD8">MATCH(MAX(ABS(BD3:BD7)), ABS(BD3:BD7), 0)</f>
        <v>3</v>
      </c>
      <c r="BE8" s="19">
        <f t="array" ref="BE8">MATCH(MAX(ABS(BE3:BE7)), ABS(BE3:BE7), 0)</f>
        <v>4</v>
      </c>
      <c r="BF8" s="19">
        <f t="array" ref="BF8">MATCH(MAX(ABS(BF3:BF7)), ABS(BF3:BF7), 0)</f>
        <v>1</v>
      </c>
      <c r="BG8" s="19">
        <f t="array" ref="BG8">MATCH(MAX(ABS(BG3:BG7)), ABS(BG3:BG7), 0)</f>
        <v>3</v>
      </c>
      <c r="BH8" s="19">
        <f t="array" ref="BH8">MATCH(MAX(ABS(BH3:BH7)), ABS(BH3:BH7), 0)</f>
        <v>3</v>
      </c>
      <c r="BI8" s="19">
        <f t="array" ref="BI8">MATCH(MAX(ABS(BI3:BI7)), ABS(BI3:BI7), 0)</f>
        <v>1</v>
      </c>
      <c r="BJ8" s="19">
        <f t="array" ref="BJ8">MATCH(MAX(ABS(BJ3:BJ7)), ABS(BJ3:BJ7), 0)</f>
        <v>1</v>
      </c>
      <c r="BK8" s="19">
        <f t="array" ref="BK8">MATCH(MAX(ABS(BK3:BK7)), ABS(BK3:BK7), 0)</f>
        <v>3</v>
      </c>
      <c r="BL8" s="19">
        <f t="array" ref="BL8">MATCH(MAX(ABS(BL3:BL7)), ABS(BL3:BL7), 0)</f>
        <v>1</v>
      </c>
      <c r="BM8" s="19">
        <f t="array" ref="BM8">MATCH(MAX(ABS(BM3:BM7)), ABS(BM3:BM7), 0)</f>
        <v>3</v>
      </c>
      <c r="BN8" s="19">
        <f t="array" ref="BN8">MATCH(MAX(ABS(BN3:BN7)), ABS(BN3:BN7), 0)</f>
        <v>3</v>
      </c>
      <c r="BO8" s="19">
        <f t="array" ref="BO8">MATCH(MAX(ABS(BO3:BO7)), ABS(BO3:BO7), 0)</f>
        <v>3</v>
      </c>
      <c r="BP8" s="19">
        <f t="array" ref="BP8">MATCH(MAX(ABS(BP3:BP7)), ABS(BP3:BP7), 0)</f>
        <v>3</v>
      </c>
      <c r="BQ8" s="19">
        <f t="array" ref="BQ8">MATCH(MAX(ABS(BQ3:BQ7)), ABS(BQ3:BQ7), 0)</f>
        <v>2</v>
      </c>
      <c r="BR8" s="19">
        <f t="array" ref="BR8">MATCH(MAX(ABS(BR3:BR7)), ABS(BR3:BR7), 0)</f>
        <v>2</v>
      </c>
      <c r="BS8" s="19">
        <f t="array" ref="BS8">MATCH(MAX(ABS(BS3:BS7)), ABS(BS3:BS7), 0)</f>
        <v>3</v>
      </c>
      <c r="BT8" s="19">
        <f t="array" ref="BT8">MATCH(MAX(ABS(BT3:BT7)), ABS(BT3:BT7), 0)</f>
        <v>1</v>
      </c>
      <c r="BU8" s="19">
        <f t="array" ref="BU8">MATCH(MAX(ABS(BU3:BU7)), ABS(BU3:BU7), 0)</f>
        <v>3</v>
      </c>
      <c r="BV8" s="19">
        <f t="array" ref="BV8">MATCH(MAX(ABS(BV3:BV7)), ABS(BV3:BV7), 0)</f>
        <v>3</v>
      </c>
      <c r="BW8" s="19">
        <f t="array" ref="BW8">MATCH(MAX(ABS(BW3:BW7)), ABS(BW3:BW7), 0)</f>
        <v>3</v>
      </c>
      <c r="BX8" s="19">
        <f t="array" ref="BX8">MATCH(MAX(ABS(BX3:BX7)), ABS(BX3:BX7), 0)</f>
        <v>5</v>
      </c>
      <c r="BY8" s="19">
        <f t="array" ref="BY8">MATCH(MAX(ABS(BY3:BY7)), ABS(BY3:BY7), 0)</f>
        <v>5</v>
      </c>
      <c r="BZ8" s="19">
        <f t="array" ref="BZ8">MATCH(MAX(ABS(BZ3:BZ7)), ABS(BZ3:BZ7), 0)</f>
        <v>5</v>
      </c>
      <c r="CA8" s="19">
        <f t="array" ref="CA8">MATCH(MAX(ABS(CA3:CA7)), ABS(CA3:CA7), 0)</f>
        <v>3</v>
      </c>
      <c r="CB8" s="19">
        <f t="array" ref="CB8">MATCH(MAX(ABS(CB3:CB7)), ABS(CB3:CB7), 0)</f>
        <v>4</v>
      </c>
      <c r="CC8" s="19">
        <f t="array" ref="CC8">MATCH(MAX(ABS(CC3:CC7)), ABS(CC3:CC7), 0)</f>
        <v>1</v>
      </c>
      <c r="CD8" s="19">
        <f t="array" ref="CD8">MATCH(MAX(ABS(CD3:CD7)), ABS(CD3:CD7), 0)</f>
        <v>3</v>
      </c>
      <c r="CE8" s="19">
        <f t="array" ref="CE8">MATCH(MAX(ABS(CE3:CE7)), ABS(CE3:CE7), 0)</f>
        <v>5</v>
      </c>
      <c r="CF8" s="19">
        <f t="array" ref="CF8">MATCH(MAX(ABS(CF3:CF7)), ABS(CF3:CF7), 0)</f>
        <v>1</v>
      </c>
      <c r="CG8" s="19">
        <f t="array" ref="CG8">MATCH(MAX(ABS(CG3:CG7)), ABS(CG3:CG7), 0)</f>
        <v>1</v>
      </c>
      <c r="CH8" s="19">
        <f t="array" ref="CH8">MATCH(MAX(ABS(CH3:CH7)), ABS(CH3:CH7), 0)</f>
        <v>5</v>
      </c>
      <c r="CI8" s="19">
        <f t="array" ref="CI8">MATCH(MAX(ABS(CI3:CI7)), ABS(CI3:CI7), 0)</f>
        <v>5</v>
      </c>
      <c r="CJ8" s="19">
        <f t="array" ref="CJ8">MATCH(MAX(ABS(CJ3:CJ7)), ABS(CJ3:CJ7), 0)</f>
        <v>4</v>
      </c>
      <c r="CK8" s="19">
        <f t="array" ref="CK8">MATCH(MAX(ABS(CK3:CK7)), ABS(CK3:CK7), 0)</f>
        <v>1</v>
      </c>
      <c r="CL8" s="19">
        <f t="array" ref="CL8">MATCH(MAX(ABS(CL3:CL7)), ABS(CL3:CL7), 0)</f>
        <v>3</v>
      </c>
      <c r="CM8" s="19">
        <f t="array" ref="CM8">MATCH(MAX(ABS(CM3:CM7)), ABS(CM3:CM7), 0)</f>
        <v>1</v>
      </c>
      <c r="CN8" s="19">
        <f t="array" ref="CN8">MATCH(MAX(ABS(CN3:CN7)), ABS(CN3:CN7), 0)</f>
        <v>1</v>
      </c>
      <c r="CO8" s="19">
        <f t="array" ref="CO8">MATCH(MAX(ABS(CO3:CO7)), ABS(CO3:CO7), 0)</f>
        <v>1</v>
      </c>
      <c r="CP8" s="19">
        <f t="array" ref="CP8">MATCH(MAX(ABS(CP3:CP7)), ABS(CP3:CP7), 0)</f>
        <v>2</v>
      </c>
      <c r="CQ8" s="19">
        <f t="array" ref="CQ8">MATCH(MAX(ABS(CQ3:CQ7)), ABS(CQ3:CQ7), 0)</f>
        <v>1</v>
      </c>
      <c r="CR8" s="19">
        <f t="array" ref="CR8">MATCH(MAX(ABS(CR3:CR7)), ABS(CR3:CR7), 0)</f>
        <v>2</v>
      </c>
      <c r="CS8" s="19">
        <f t="array" ref="CS8">MATCH(MAX(ABS(CS3:CS7)), ABS(CS3:CS7), 0)</f>
        <v>2</v>
      </c>
      <c r="CT8" s="19">
        <f t="array" ref="CT8">MATCH(MAX(ABS(CT3:CT7)), ABS(CT3:CT7), 0)</f>
        <v>1</v>
      </c>
      <c r="CU8" s="19">
        <f t="array" ref="CU8">MATCH(MAX(ABS(CU3:CU7)), ABS(CU3:CU7), 0)</f>
        <v>3</v>
      </c>
      <c r="CV8" s="19">
        <f t="array" ref="CV8">MATCH(MAX(ABS(CV3:CV7)), ABS(CV3:CV7), 0)</f>
        <v>5</v>
      </c>
      <c r="CW8" s="19">
        <f t="array" ref="CW8">MATCH(MAX(ABS(CW3:CW7)), ABS(CW3:CW7), 0)</f>
        <v>3</v>
      </c>
      <c r="CX8" s="19">
        <f t="array" ref="CX8">MATCH(MAX(ABS(CX3:CX7)), ABS(CX3:CX7), 0)</f>
        <v>3</v>
      </c>
      <c r="CY8" s="19">
        <f t="array" ref="CY8">MATCH(MAX(ABS(CY3:CY7)), ABS(CY3:CY7), 0)</f>
        <v>5</v>
      </c>
      <c r="CZ8" s="19">
        <f t="array" ref="CZ8">MATCH(MAX(ABS(CZ3:CZ7)), ABS(CZ3:CZ7), 0)</f>
        <v>3</v>
      </c>
      <c r="DA8" s="19">
        <f t="array" ref="DA8">MATCH(MAX(ABS(DA3:DA7)), ABS(DA3:DA7), 0)</f>
        <v>2</v>
      </c>
      <c r="DB8" s="19">
        <f t="array" ref="DB8">MATCH(MAX(ABS(DB3:DB7)), ABS(DB3:DB7), 0)</f>
        <v>3</v>
      </c>
      <c r="DC8" s="19">
        <f t="array" ref="DC8">MATCH(MAX(ABS(DC3:DC7)), ABS(DC3:DC7), 0)</f>
        <v>3</v>
      </c>
      <c r="DD8" s="19">
        <f t="array" ref="DD8">MATCH(MAX(ABS(DD3:DD7)), ABS(DD3:DD7), 0)</f>
        <v>5</v>
      </c>
      <c r="DE8" s="19">
        <f t="array" ref="DE8">MATCH(MAX(ABS(DE3:DE7)), ABS(DE3:DE7), 0)</f>
        <v>3</v>
      </c>
      <c r="DF8" s="19">
        <f t="array" ref="DF8">MATCH(MAX(ABS(DF3:DF7)), ABS(DF3:DF7), 0)</f>
        <v>3</v>
      </c>
      <c r="DG8" s="19">
        <f t="array" ref="DG8">MATCH(MAX(ABS(DG3:DG7)), ABS(DG3:DG7), 0)</f>
        <v>3</v>
      </c>
      <c r="DH8" s="19">
        <f t="array" ref="DH8">MATCH(MAX(ABS(DH3:DH7)), ABS(DH3:DH7), 0)</f>
        <v>3</v>
      </c>
      <c r="DI8" s="19">
        <f t="array" ref="DI8">MATCH(MAX(ABS(DI3:DI7)), ABS(DI3:DI7), 0)</f>
        <v>3</v>
      </c>
      <c r="DJ8" s="19">
        <f t="array" ref="DJ8">MATCH(MAX(ABS(DJ3:DJ7)), ABS(DJ3:DJ7), 0)</f>
        <v>3</v>
      </c>
      <c r="DK8" s="19">
        <f t="array" ref="DK8">MATCH(MAX(ABS(DK3:DK7)), ABS(DK3:DK7), 0)</f>
        <v>1</v>
      </c>
      <c r="DL8" s="19">
        <f t="array" ref="DL8">MATCH(MAX(ABS(DL3:DL7)), ABS(DL3:DL7), 0)</f>
        <v>1</v>
      </c>
      <c r="DM8" s="19">
        <f t="array" ref="DM8">MATCH(MAX(ABS(DM3:DM7)), ABS(DM3:DM7), 0)</f>
        <v>1</v>
      </c>
      <c r="DN8" s="19">
        <f t="array" ref="DN8">MATCH(MAX(ABS(DN3:DN7)), ABS(DN3:DN7), 0)</f>
        <v>5</v>
      </c>
      <c r="DO8" s="19">
        <f t="array" ref="DO8">MATCH(MAX(ABS(DO3:DO7)), ABS(DO3:DO7), 0)</f>
        <v>4</v>
      </c>
      <c r="DP8" s="19">
        <f t="array" ref="DP8">MATCH(MAX(ABS(DP3:DP7)), ABS(DP3:DP7), 0)</f>
        <v>4</v>
      </c>
      <c r="DQ8" s="19">
        <f t="array" ref="DQ8">MATCH(MAX(ABS(DQ3:DQ7)), ABS(DQ3:DQ7), 0)</f>
        <v>4</v>
      </c>
      <c r="DR8" s="19">
        <f t="array" ref="DR8">MATCH(MAX(ABS(DR3:DR7)), ABS(DR3:DR7), 0)</f>
        <v>4</v>
      </c>
      <c r="DS8" s="19">
        <f t="array" ref="DS8">MATCH(MAX(ABS(DS3:DS7)), ABS(DS3:DS7), 0)</f>
        <v>4</v>
      </c>
      <c r="DT8" s="19">
        <f t="array" ref="DT8">MATCH(MAX(ABS(DT3:DT7)), ABS(DT3:DT7), 0)</f>
        <v>4</v>
      </c>
      <c r="DU8" s="19">
        <f t="array" ref="DU8">MATCH(MAX(ABS(DU3:DU7)), ABS(DU3:DU7), 0)</f>
        <v>4</v>
      </c>
      <c r="DV8" s="19">
        <f t="array" ref="DV8">MATCH(MAX(ABS(DV3:DV7)), ABS(DV3:DV7), 0)</f>
        <v>4</v>
      </c>
      <c r="DW8" s="19">
        <f t="array" ref="DW8">MATCH(MAX(ABS(DW3:DW7)), ABS(DW3:DW7), 0)</f>
        <v>4</v>
      </c>
      <c r="DX8" s="19">
        <f t="array" ref="DX8">MATCH(MAX(ABS(DX3:DX7)), ABS(DX3:DX7), 0)</f>
        <v>4</v>
      </c>
      <c r="DY8" s="19">
        <f t="array" ref="DY8">MATCH(MAX(ABS(DY3:DY7)), ABS(DY3:DY7), 0)</f>
        <v>4</v>
      </c>
      <c r="DZ8" s="19">
        <f t="array" ref="DZ8">MATCH(MAX(ABS(DZ3:DZ7)), ABS(DZ3:DZ7), 0)</f>
        <v>4</v>
      </c>
      <c r="EA8" s="19">
        <f t="array" ref="EA8">MATCH(MAX(ABS(EA3:EA7)), ABS(EA3:EA7), 0)</f>
        <v>4</v>
      </c>
      <c r="EB8" s="19">
        <f t="array" ref="EB8">MATCH(MAX(ABS(EB3:EB7)), ABS(EB3:EB7), 0)</f>
        <v>4</v>
      </c>
      <c r="EC8" s="19">
        <f t="array" ref="EC8">MATCH(MAX(ABS(EC3:EC7)), ABS(EC3:EC7), 0)</f>
        <v>4</v>
      </c>
      <c r="ED8" s="19">
        <f t="array" ref="ED8">MATCH(MAX(ABS(ED3:ED7)), ABS(ED3:ED7), 0)</f>
        <v>4</v>
      </c>
      <c r="EE8" s="19">
        <f t="array" ref="EE8">MATCH(MAX(ABS(EE3:EE7)), ABS(EE3:EE7), 0)</f>
        <v>4</v>
      </c>
      <c r="EF8" s="19">
        <f t="array" ref="EF8">MATCH(MAX(ABS(EF3:EF7)), ABS(EF3:EF7), 0)</f>
        <v>4</v>
      </c>
    </row>
    <row r="9" spans="1:138" s="3" customFormat="1" ht="16" customHeight="1">
      <c r="A9" s="5"/>
      <c r="B9" s="17"/>
      <c r="C9" s="19" t="str">
        <f t="shared" ref="C9:BN9" si="0">IF(C8=1,"mom1",
IF(C8=2,"mom12",
IF(C8=3,"chmom",
IF(C8=4,"retvol",
IF(C8=5,"maxret","")))))</f>
        <v>mom1</v>
      </c>
      <c r="D9" s="19" t="str">
        <f t="shared" si="0"/>
        <v>chmom</v>
      </c>
      <c r="E9" s="19" t="str">
        <f t="shared" si="0"/>
        <v>chmom</v>
      </c>
      <c r="F9" s="19" t="str">
        <f t="shared" si="0"/>
        <v>mom1</v>
      </c>
      <c r="G9" s="19" t="str">
        <f t="shared" si="0"/>
        <v>mom1</v>
      </c>
      <c r="H9" s="19" t="str">
        <f t="shared" si="0"/>
        <v>chmom</v>
      </c>
      <c r="I9" s="19" t="str">
        <f t="shared" si="0"/>
        <v>mom12</v>
      </c>
      <c r="J9" s="19" t="str">
        <f t="shared" si="0"/>
        <v>mom1</v>
      </c>
      <c r="K9" s="19" t="str">
        <f t="shared" si="0"/>
        <v>mom12</v>
      </c>
      <c r="L9" s="19" t="str">
        <f t="shared" si="0"/>
        <v>mom1</v>
      </c>
      <c r="M9" s="19" t="str">
        <f t="shared" si="0"/>
        <v>mom12</v>
      </c>
      <c r="N9" s="19" t="str">
        <f t="shared" si="0"/>
        <v>chmom</v>
      </c>
      <c r="O9" s="19" t="str">
        <f t="shared" si="0"/>
        <v>chmom</v>
      </c>
      <c r="P9" s="19" t="str">
        <f t="shared" si="0"/>
        <v>chmom</v>
      </c>
      <c r="Q9" s="19" t="str">
        <f t="shared" si="0"/>
        <v>chmom</v>
      </c>
      <c r="R9" s="19" t="str">
        <f t="shared" si="0"/>
        <v>chmom</v>
      </c>
      <c r="S9" s="19" t="str">
        <f t="shared" si="0"/>
        <v>chmom</v>
      </c>
      <c r="T9" s="19" t="str">
        <f t="shared" si="0"/>
        <v>chmom</v>
      </c>
      <c r="U9" s="19" t="str">
        <f t="shared" si="0"/>
        <v>maxret</v>
      </c>
      <c r="V9" s="19" t="str">
        <f t="shared" si="0"/>
        <v>chmom</v>
      </c>
      <c r="W9" s="19" t="str">
        <f t="shared" si="0"/>
        <v>chmom</v>
      </c>
      <c r="X9" s="19" t="str">
        <f t="shared" si="0"/>
        <v>maxret</v>
      </c>
      <c r="Y9" s="19" t="str">
        <f t="shared" si="0"/>
        <v>maxret</v>
      </c>
      <c r="Z9" s="19" t="str">
        <f t="shared" si="0"/>
        <v>mom12</v>
      </c>
      <c r="AA9" s="19" t="str">
        <f t="shared" si="0"/>
        <v>mom12</v>
      </c>
      <c r="AB9" s="19" t="str">
        <f t="shared" si="0"/>
        <v>mom12</v>
      </c>
      <c r="AC9" s="19" t="str">
        <f t="shared" si="0"/>
        <v>maxret</v>
      </c>
      <c r="AD9" s="19" t="str">
        <f t="shared" si="0"/>
        <v>mom12</v>
      </c>
      <c r="AE9" s="19" t="str">
        <f t="shared" si="0"/>
        <v>mom12</v>
      </c>
      <c r="AF9" s="19" t="str">
        <f t="shared" si="0"/>
        <v>mom12</v>
      </c>
      <c r="AG9" s="19" t="str">
        <f t="shared" si="0"/>
        <v>mom1</v>
      </c>
      <c r="AH9" s="19" t="str">
        <f t="shared" si="0"/>
        <v>retvol</v>
      </c>
      <c r="AI9" s="19" t="str">
        <f t="shared" si="0"/>
        <v>chmom</v>
      </c>
      <c r="AJ9" s="19" t="str">
        <f t="shared" si="0"/>
        <v>retvol</v>
      </c>
      <c r="AK9" s="19" t="str">
        <f t="shared" si="0"/>
        <v>mom1</v>
      </c>
      <c r="AL9" s="19" t="str">
        <f t="shared" si="0"/>
        <v>mom1</v>
      </c>
      <c r="AM9" s="19" t="str">
        <f t="shared" si="0"/>
        <v>chmom</v>
      </c>
      <c r="AN9" s="19" t="str">
        <f t="shared" si="0"/>
        <v>mom1</v>
      </c>
      <c r="AO9" s="19" t="str">
        <f t="shared" si="0"/>
        <v>mom1</v>
      </c>
      <c r="AP9" s="19" t="str">
        <f t="shared" si="0"/>
        <v>mom1</v>
      </c>
      <c r="AQ9" s="19" t="str">
        <f t="shared" si="0"/>
        <v>mom1</v>
      </c>
      <c r="AR9" s="19" t="str">
        <f t="shared" si="0"/>
        <v>retvol</v>
      </c>
      <c r="AS9" s="19" t="str">
        <f t="shared" si="0"/>
        <v>mom1</v>
      </c>
      <c r="AT9" s="19" t="str">
        <f t="shared" si="0"/>
        <v>retvol</v>
      </c>
      <c r="AU9" s="19" t="str">
        <f t="shared" si="0"/>
        <v>mom12</v>
      </c>
      <c r="AV9" s="19" t="str">
        <f t="shared" si="0"/>
        <v>mom1</v>
      </c>
      <c r="AW9" s="19" t="str">
        <f t="shared" si="0"/>
        <v>maxret</v>
      </c>
      <c r="AX9" s="19" t="str">
        <f t="shared" si="0"/>
        <v>retvol</v>
      </c>
      <c r="AY9" s="19" t="str">
        <f t="shared" si="0"/>
        <v>mom1</v>
      </c>
      <c r="AZ9" s="19" t="str">
        <f t="shared" si="0"/>
        <v>mom1</v>
      </c>
      <c r="BA9" s="19" t="str">
        <f t="shared" si="0"/>
        <v>mom1</v>
      </c>
      <c r="BB9" s="19" t="str">
        <f t="shared" si="0"/>
        <v>maxret</v>
      </c>
      <c r="BC9" s="19" t="str">
        <f t="shared" si="0"/>
        <v>mom1</v>
      </c>
      <c r="BD9" s="19" t="str">
        <f t="shared" si="0"/>
        <v>chmom</v>
      </c>
      <c r="BE9" s="19" t="str">
        <f t="shared" si="0"/>
        <v>retvol</v>
      </c>
      <c r="BF9" s="19" t="str">
        <f t="shared" si="0"/>
        <v>mom1</v>
      </c>
      <c r="BG9" s="19" t="str">
        <f t="shared" si="0"/>
        <v>chmom</v>
      </c>
      <c r="BH9" s="19" t="str">
        <f t="shared" si="0"/>
        <v>chmom</v>
      </c>
      <c r="BI9" s="19" t="str">
        <f t="shared" si="0"/>
        <v>mom1</v>
      </c>
      <c r="BJ9" s="19" t="str">
        <f t="shared" si="0"/>
        <v>mom1</v>
      </c>
      <c r="BK9" s="19" t="str">
        <f t="shared" si="0"/>
        <v>chmom</v>
      </c>
      <c r="BL9" s="19" t="str">
        <f t="shared" si="0"/>
        <v>mom1</v>
      </c>
      <c r="BM9" s="19" t="str">
        <f t="shared" si="0"/>
        <v>chmom</v>
      </c>
      <c r="BN9" s="19" t="str">
        <f t="shared" si="0"/>
        <v>chmom</v>
      </c>
      <c r="BO9" s="19" t="str">
        <f t="shared" ref="BO9:DZ9" si="1">IF(BO8=1,"mom1",
IF(BO8=2,"mom12",
IF(BO8=3,"chmom",
IF(BO8=4,"retvol",
IF(BO8=5,"maxret","")))))</f>
        <v>chmom</v>
      </c>
      <c r="BP9" s="19" t="str">
        <f t="shared" si="1"/>
        <v>chmom</v>
      </c>
      <c r="BQ9" s="19" t="str">
        <f t="shared" si="1"/>
        <v>mom12</v>
      </c>
      <c r="BR9" s="19" t="str">
        <f t="shared" si="1"/>
        <v>mom12</v>
      </c>
      <c r="BS9" s="19" t="str">
        <f t="shared" si="1"/>
        <v>chmom</v>
      </c>
      <c r="BT9" s="19" t="str">
        <f t="shared" si="1"/>
        <v>mom1</v>
      </c>
      <c r="BU9" s="19" t="str">
        <f t="shared" si="1"/>
        <v>chmom</v>
      </c>
      <c r="BV9" s="19" t="str">
        <f t="shared" si="1"/>
        <v>chmom</v>
      </c>
      <c r="BW9" s="19" t="str">
        <f t="shared" si="1"/>
        <v>chmom</v>
      </c>
      <c r="BX9" s="19" t="str">
        <f t="shared" si="1"/>
        <v>maxret</v>
      </c>
      <c r="BY9" s="19" t="str">
        <f t="shared" si="1"/>
        <v>maxret</v>
      </c>
      <c r="BZ9" s="19" t="str">
        <f t="shared" si="1"/>
        <v>maxret</v>
      </c>
      <c r="CA9" s="19" t="str">
        <f t="shared" si="1"/>
        <v>chmom</v>
      </c>
      <c r="CB9" s="19" t="str">
        <f t="shared" si="1"/>
        <v>retvol</v>
      </c>
      <c r="CC9" s="19" t="str">
        <f t="shared" si="1"/>
        <v>mom1</v>
      </c>
      <c r="CD9" s="19" t="str">
        <f t="shared" si="1"/>
        <v>chmom</v>
      </c>
      <c r="CE9" s="19" t="str">
        <f t="shared" si="1"/>
        <v>maxret</v>
      </c>
      <c r="CF9" s="19" t="str">
        <f t="shared" si="1"/>
        <v>mom1</v>
      </c>
      <c r="CG9" s="19" t="str">
        <f t="shared" si="1"/>
        <v>mom1</v>
      </c>
      <c r="CH9" s="19" t="str">
        <f t="shared" si="1"/>
        <v>maxret</v>
      </c>
      <c r="CI9" s="19" t="str">
        <f t="shared" si="1"/>
        <v>maxret</v>
      </c>
      <c r="CJ9" s="19" t="str">
        <f t="shared" si="1"/>
        <v>retvol</v>
      </c>
      <c r="CK9" s="19" t="str">
        <f t="shared" si="1"/>
        <v>mom1</v>
      </c>
      <c r="CL9" s="19" t="str">
        <f t="shared" si="1"/>
        <v>chmom</v>
      </c>
      <c r="CM9" s="19" t="str">
        <f t="shared" si="1"/>
        <v>mom1</v>
      </c>
      <c r="CN9" s="19" t="str">
        <f t="shared" si="1"/>
        <v>mom1</v>
      </c>
      <c r="CO9" s="19" t="str">
        <f t="shared" si="1"/>
        <v>mom1</v>
      </c>
      <c r="CP9" s="19" t="str">
        <f t="shared" si="1"/>
        <v>mom12</v>
      </c>
      <c r="CQ9" s="19" t="str">
        <f t="shared" si="1"/>
        <v>mom1</v>
      </c>
      <c r="CR9" s="19" t="str">
        <f t="shared" si="1"/>
        <v>mom12</v>
      </c>
      <c r="CS9" s="19" t="str">
        <f t="shared" si="1"/>
        <v>mom12</v>
      </c>
      <c r="CT9" s="19" t="str">
        <f t="shared" si="1"/>
        <v>mom1</v>
      </c>
      <c r="CU9" s="19" t="str">
        <f t="shared" si="1"/>
        <v>chmom</v>
      </c>
      <c r="CV9" s="19" t="str">
        <f t="shared" si="1"/>
        <v>maxret</v>
      </c>
      <c r="CW9" s="19" t="str">
        <f t="shared" si="1"/>
        <v>chmom</v>
      </c>
      <c r="CX9" s="19" t="str">
        <f t="shared" si="1"/>
        <v>chmom</v>
      </c>
      <c r="CY9" s="19" t="str">
        <f t="shared" si="1"/>
        <v>maxret</v>
      </c>
      <c r="CZ9" s="19" t="str">
        <f t="shared" si="1"/>
        <v>chmom</v>
      </c>
      <c r="DA9" s="19" t="str">
        <f t="shared" si="1"/>
        <v>mom12</v>
      </c>
      <c r="DB9" s="19" t="str">
        <f t="shared" si="1"/>
        <v>chmom</v>
      </c>
      <c r="DC9" s="19" t="str">
        <f t="shared" si="1"/>
        <v>chmom</v>
      </c>
      <c r="DD9" s="19" t="str">
        <f t="shared" si="1"/>
        <v>maxret</v>
      </c>
      <c r="DE9" s="19" t="str">
        <f t="shared" si="1"/>
        <v>chmom</v>
      </c>
      <c r="DF9" s="19" t="str">
        <f t="shared" si="1"/>
        <v>chmom</v>
      </c>
      <c r="DG9" s="19" t="str">
        <f t="shared" si="1"/>
        <v>chmom</v>
      </c>
      <c r="DH9" s="19" t="str">
        <f t="shared" si="1"/>
        <v>chmom</v>
      </c>
      <c r="DI9" s="19" t="str">
        <f t="shared" si="1"/>
        <v>chmom</v>
      </c>
      <c r="DJ9" s="19" t="str">
        <f t="shared" si="1"/>
        <v>chmom</v>
      </c>
      <c r="DK9" s="19" t="str">
        <f t="shared" si="1"/>
        <v>mom1</v>
      </c>
      <c r="DL9" s="19" t="str">
        <f t="shared" si="1"/>
        <v>mom1</v>
      </c>
      <c r="DM9" s="19" t="str">
        <f t="shared" si="1"/>
        <v>mom1</v>
      </c>
      <c r="DN9" s="19" t="str">
        <f t="shared" si="1"/>
        <v>maxret</v>
      </c>
      <c r="DO9" s="19" t="str">
        <f t="shared" si="1"/>
        <v>retvol</v>
      </c>
      <c r="DP9" s="19" t="str">
        <f t="shared" si="1"/>
        <v>retvol</v>
      </c>
      <c r="DQ9" s="19" t="str">
        <f t="shared" si="1"/>
        <v>retvol</v>
      </c>
      <c r="DR9" s="19" t="str">
        <f t="shared" si="1"/>
        <v>retvol</v>
      </c>
      <c r="DS9" s="19" t="str">
        <f t="shared" si="1"/>
        <v>retvol</v>
      </c>
      <c r="DT9" s="19" t="str">
        <f t="shared" si="1"/>
        <v>retvol</v>
      </c>
      <c r="DU9" s="19" t="str">
        <f t="shared" si="1"/>
        <v>retvol</v>
      </c>
      <c r="DV9" s="19" t="str">
        <f t="shared" si="1"/>
        <v>retvol</v>
      </c>
      <c r="DW9" s="19" t="str">
        <f t="shared" si="1"/>
        <v>retvol</v>
      </c>
      <c r="DX9" s="19" t="str">
        <f t="shared" si="1"/>
        <v>retvol</v>
      </c>
      <c r="DY9" s="19" t="str">
        <f t="shared" si="1"/>
        <v>retvol</v>
      </c>
      <c r="DZ9" s="19" t="str">
        <f t="shared" si="1"/>
        <v>retvol</v>
      </c>
      <c r="EA9" s="19" t="str">
        <f t="shared" ref="EA9:EF9" si="2">IF(EA8=1,"mom1",
IF(EA8=2,"mom12",
IF(EA8=3,"chmom",
IF(EA8=4,"retvol",
IF(EA8=5,"maxret","")))))</f>
        <v>retvol</v>
      </c>
      <c r="EB9" s="19" t="str">
        <f t="shared" si="2"/>
        <v>retvol</v>
      </c>
      <c r="EC9" s="19" t="str">
        <f t="shared" si="2"/>
        <v>retvol</v>
      </c>
      <c r="ED9" s="19" t="str">
        <f t="shared" si="2"/>
        <v>retvol</v>
      </c>
      <c r="EE9" s="19" t="str">
        <f t="shared" si="2"/>
        <v>retvol</v>
      </c>
      <c r="EF9" s="19" t="str">
        <f t="shared" si="2"/>
        <v>retvol</v>
      </c>
    </row>
    <row r="10" spans="1:138" s="3" customFormat="1" ht="16" customHeight="1">
      <c r="A10" s="5"/>
      <c r="B10" s="17"/>
      <c r="C10" s="32">
        <f t="shared" ref="C10:BN10" si="3">IF(C8=1,C3,IF(C8=2,C4,IF(C8=3,C5,IF(C8=4,C6,IF(C8=5,C7)))))</f>
        <v>-7.0510312914848328E-2</v>
      </c>
      <c r="D10" s="32">
        <f t="shared" si="3"/>
        <v>-7.8517265617847443E-2</v>
      </c>
      <c r="E10" s="32">
        <f t="shared" si="3"/>
        <v>-7.1969844400882721E-2</v>
      </c>
      <c r="F10" s="32">
        <f t="shared" si="3"/>
        <v>-9.2162974178791046E-2</v>
      </c>
      <c r="G10" s="32">
        <f t="shared" si="3"/>
        <v>-9.0981476008892059E-2</v>
      </c>
      <c r="H10" s="32">
        <f t="shared" si="3"/>
        <v>-1.978492550551891E-2</v>
      </c>
      <c r="I10" s="32">
        <f t="shared" si="3"/>
        <v>6.3727825880050659E-2</v>
      </c>
      <c r="J10" s="32">
        <f t="shared" si="3"/>
        <v>-4.2782600969076157E-2</v>
      </c>
      <c r="K10" s="32">
        <f t="shared" si="3"/>
        <v>6.6770575940608978E-2</v>
      </c>
      <c r="L10" s="32">
        <f t="shared" si="3"/>
        <v>-5.4908208549022668E-2</v>
      </c>
      <c r="M10" s="32">
        <f t="shared" si="3"/>
        <v>2.8019288554787639E-2</v>
      </c>
      <c r="N10" s="32">
        <f t="shared" si="3"/>
        <v>-4.363420233130455E-2</v>
      </c>
      <c r="O10" s="32">
        <f t="shared" si="3"/>
        <v>-5.7530194520950317E-2</v>
      </c>
      <c r="P10" s="32">
        <f t="shared" si="3"/>
        <v>-6.1749737709760673E-2</v>
      </c>
      <c r="Q10" s="32">
        <f t="shared" si="3"/>
        <v>-6.4170286059379578E-2</v>
      </c>
      <c r="R10" s="32">
        <f t="shared" si="3"/>
        <v>-5.6614186614751823E-2</v>
      </c>
      <c r="S10" s="32">
        <f t="shared" si="3"/>
        <v>-3.9280273020267487E-2</v>
      </c>
      <c r="T10" s="32">
        <f t="shared" si="3"/>
        <v>-4.5374378561973572E-2</v>
      </c>
      <c r="U10" s="32">
        <f t="shared" si="3"/>
        <v>2.4543272331356999E-2</v>
      </c>
      <c r="V10" s="32">
        <f t="shared" si="3"/>
        <v>-5.0834860652685172E-2</v>
      </c>
      <c r="W10" s="32">
        <f t="shared" si="3"/>
        <v>-4.3037977069616318E-2</v>
      </c>
      <c r="X10" s="32">
        <f t="shared" si="3"/>
        <v>8.7800547480583191E-2</v>
      </c>
      <c r="Y10" s="32">
        <f t="shared" si="3"/>
        <v>5.0161927938461297E-2</v>
      </c>
      <c r="Z10" s="32">
        <f t="shared" si="3"/>
        <v>5.6920211762189872E-2</v>
      </c>
      <c r="AA10" s="32">
        <f t="shared" si="3"/>
        <v>9.8233535885810852E-2</v>
      </c>
      <c r="AB10" s="32">
        <f t="shared" si="3"/>
        <v>6.4750097692012787E-2</v>
      </c>
      <c r="AC10" s="32">
        <f t="shared" si="3"/>
        <v>8.0575473606586456E-2</v>
      </c>
      <c r="AD10" s="32">
        <f t="shared" si="3"/>
        <v>5.1507804542779922E-2</v>
      </c>
      <c r="AE10" s="32">
        <f t="shared" si="3"/>
        <v>4.9662109464406967E-2</v>
      </c>
      <c r="AF10" s="32">
        <f t="shared" si="3"/>
        <v>2.0239388570189479E-2</v>
      </c>
      <c r="AG10" s="32">
        <f t="shared" si="3"/>
        <v>-4.2137693613767617E-2</v>
      </c>
      <c r="AH10" s="32">
        <f t="shared" si="3"/>
        <v>5.198381096124649E-2</v>
      </c>
      <c r="AI10" s="32">
        <f t="shared" si="3"/>
        <v>-2.9802717268466949E-2</v>
      </c>
      <c r="AJ10" s="32">
        <f t="shared" si="3"/>
        <v>1.617512293159962E-2</v>
      </c>
      <c r="AK10" s="32">
        <f t="shared" si="3"/>
        <v>-4.1931521147489548E-2</v>
      </c>
      <c r="AL10" s="32">
        <f t="shared" si="3"/>
        <v>-3.6095079034566879E-2</v>
      </c>
      <c r="AM10" s="32">
        <f t="shared" si="3"/>
        <v>-2.1816307678818699E-2</v>
      </c>
      <c r="AN10" s="32">
        <f t="shared" si="3"/>
        <v>-2.8956376016139981E-2</v>
      </c>
      <c r="AO10" s="32">
        <f t="shared" si="3"/>
        <v>-4.2428314685821533E-2</v>
      </c>
      <c r="AP10" s="32">
        <f t="shared" si="3"/>
        <v>-4.9674943089485168E-2</v>
      </c>
      <c r="AQ10" s="32">
        <f t="shared" si="3"/>
        <v>-3.2604295760393143E-2</v>
      </c>
      <c r="AR10" s="32">
        <f t="shared" si="3"/>
        <v>2.0699001848697659E-2</v>
      </c>
      <c r="AS10" s="32">
        <f t="shared" si="3"/>
        <v>-3.5700481384992599E-2</v>
      </c>
      <c r="AT10" s="32">
        <f t="shared" si="3"/>
        <v>1.9905209541320801E-2</v>
      </c>
      <c r="AU10" s="32">
        <f t="shared" si="3"/>
        <v>-2.2974038496613499E-2</v>
      </c>
      <c r="AV10" s="32">
        <f t="shared" si="3"/>
        <v>-3.1922928988933563E-2</v>
      </c>
      <c r="AW10" s="32">
        <f t="shared" si="3"/>
        <v>2.653876505792141E-2</v>
      </c>
      <c r="AX10" s="32">
        <f t="shared" si="3"/>
        <v>4.1243366897106171E-2</v>
      </c>
      <c r="AY10" s="32">
        <f t="shared" si="3"/>
        <v>-3.3810734748840332E-2</v>
      </c>
      <c r="AZ10" s="32">
        <f t="shared" si="3"/>
        <v>-4.8453211784362793E-2</v>
      </c>
      <c r="BA10" s="32">
        <f t="shared" si="3"/>
        <v>-2.7815299108624458E-2</v>
      </c>
      <c r="BB10" s="32">
        <f t="shared" si="3"/>
        <v>3.2360877841711037E-2</v>
      </c>
      <c r="BC10" s="32">
        <f t="shared" si="3"/>
        <v>2.4711607024073601E-2</v>
      </c>
      <c r="BD10" s="32">
        <f t="shared" si="3"/>
        <v>-2.3915629833936691E-2</v>
      </c>
      <c r="BE10" s="32">
        <f t="shared" si="3"/>
        <v>1.464955974370241E-2</v>
      </c>
      <c r="BF10" s="32">
        <f t="shared" si="3"/>
        <v>4.8466574400663383E-2</v>
      </c>
      <c r="BG10" s="32">
        <f t="shared" si="3"/>
        <v>2.271440252661705E-2</v>
      </c>
      <c r="BH10" s="32">
        <f t="shared" si="3"/>
        <v>5.4914258420467377E-2</v>
      </c>
      <c r="BI10" s="32">
        <f t="shared" si="3"/>
        <v>6.3621185719966888E-2</v>
      </c>
      <c r="BJ10" s="32">
        <f t="shared" si="3"/>
        <v>5.1039993762969971E-2</v>
      </c>
      <c r="BK10" s="32">
        <f t="shared" si="3"/>
        <v>-4.5687265694141388E-2</v>
      </c>
      <c r="BL10" s="32">
        <f t="shared" si="3"/>
        <v>-4.445323720574379E-2</v>
      </c>
      <c r="BM10" s="32">
        <f t="shared" si="3"/>
        <v>-4.5954536646604538E-2</v>
      </c>
      <c r="BN10" s="32">
        <f t="shared" si="3"/>
        <v>-5.2363675087690353E-2</v>
      </c>
      <c r="BO10" s="32">
        <f t="shared" ref="BO10:DZ10" si="4">IF(BO8=1,BO3,IF(BO8=2,BO4,IF(BO8=3,BO5,IF(BO8=4,BO6,IF(BO8=5,BO7)))))</f>
        <v>-6.0948830097913742E-2</v>
      </c>
      <c r="BP10" s="32">
        <f t="shared" si="4"/>
        <v>-4.6518847346305847E-2</v>
      </c>
      <c r="BQ10" s="32">
        <f t="shared" si="4"/>
        <v>3.3099830150604248E-2</v>
      </c>
      <c r="BR10" s="32">
        <f t="shared" si="4"/>
        <v>7.9383321106433868E-2</v>
      </c>
      <c r="BS10" s="32">
        <f t="shared" si="4"/>
        <v>6.8480938673019409E-2</v>
      </c>
      <c r="BT10" s="32">
        <f t="shared" si="4"/>
        <v>-2.1804684773087502E-2</v>
      </c>
      <c r="BU10" s="32">
        <f t="shared" si="4"/>
        <v>-3.8370478898286819E-2</v>
      </c>
      <c r="BV10" s="32">
        <f t="shared" si="4"/>
        <v>-3.7749018520116813E-2</v>
      </c>
      <c r="BW10" s="32">
        <f t="shared" si="4"/>
        <v>-3.7364158779382713E-2</v>
      </c>
      <c r="BX10" s="32">
        <f t="shared" si="4"/>
        <v>7.0206619799137115E-2</v>
      </c>
      <c r="BY10" s="32">
        <f t="shared" si="4"/>
        <v>6.1465926468372338E-2</v>
      </c>
      <c r="BZ10" s="32">
        <f t="shared" si="4"/>
        <v>5.822661891579628E-2</v>
      </c>
      <c r="CA10" s="32">
        <f t="shared" si="4"/>
        <v>-3.151523694396019E-2</v>
      </c>
      <c r="CB10" s="32">
        <f t="shared" si="4"/>
        <v>0.11305705457925801</v>
      </c>
      <c r="CC10" s="32">
        <f t="shared" si="4"/>
        <v>-5.0457574427127838E-2</v>
      </c>
      <c r="CD10" s="32">
        <f t="shared" si="4"/>
        <v>-3.3158984035253518E-2</v>
      </c>
      <c r="CE10" s="32">
        <f t="shared" si="4"/>
        <v>2.6346748694777489E-2</v>
      </c>
      <c r="CF10" s="32">
        <f t="shared" si="4"/>
        <v>-3.6173265427350998E-2</v>
      </c>
      <c r="CG10" s="32">
        <f t="shared" si="4"/>
        <v>-3.3427383750677109E-2</v>
      </c>
      <c r="CH10" s="32">
        <f t="shared" si="4"/>
        <v>2.7750680223107341E-2</v>
      </c>
      <c r="CI10" s="32">
        <f t="shared" si="4"/>
        <v>2.482840791344643E-2</v>
      </c>
      <c r="CJ10" s="32">
        <f t="shared" si="4"/>
        <v>8.8564753532409668E-2</v>
      </c>
      <c r="CK10" s="32">
        <f t="shared" si="4"/>
        <v>-3.6270283162593842E-2</v>
      </c>
      <c r="CL10" s="32">
        <f t="shared" si="4"/>
        <v>-4.3267767876386642E-2</v>
      </c>
      <c r="CM10" s="32">
        <f t="shared" si="4"/>
        <v>-3.06690763682127E-2</v>
      </c>
      <c r="CN10" s="32">
        <f t="shared" si="4"/>
        <v>-3.356621041893959E-2</v>
      </c>
      <c r="CO10" s="32">
        <f t="shared" si="4"/>
        <v>-5.7102173566818237E-2</v>
      </c>
      <c r="CP10" s="32">
        <f t="shared" si="4"/>
        <v>-1.5990793704986569E-2</v>
      </c>
      <c r="CQ10" s="32">
        <f t="shared" si="4"/>
        <v>-2.447781153023243E-2</v>
      </c>
      <c r="CR10" s="32">
        <f t="shared" si="4"/>
        <v>-2.841118723154068E-2</v>
      </c>
      <c r="CS10" s="32">
        <f t="shared" si="4"/>
        <v>-3.007250651717186E-2</v>
      </c>
      <c r="CT10" s="32">
        <f t="shared" si="4"/>
        <v>-3.6899782717227943E-2</v>
      </c>
      <c r="CU10" s="32">
        <f t="shared" si="4"/>
        <v>-5.1458954811096191E-2</v>
      </c>
      <c r="CV10" s="32">
        <f t="shared" si="4"/>
        <v>3.0856955796480179E-2</v>
      </c>
      <c r="CW10" s="32">
        <f t="shared" si="4"/>
        <v>-4.7959472984075553E-2</v>
      </c>
      <c r="CX10" s="32">
        <f t="shared" si="4"/>
        <v>-2.462939731776714E-2</v>
      </c>
      <c r="CY10" s="32">
        <f t="shared" si="4"/>
        <v>3.0290527269244191E-2</v>
      </c>
      <c r="CZ10" s="32">
        <f t="shared" si="4"/>
        <v>-5.503227561712265E-2</v>
      </c>
      <c r="DA10" s="32">
        <f t="shared" si="4"/>
        <v>-3.2751679420471191E-2</v>
      </c>
      <c r="DB10" s="32">
        <f t="shared" si="4"/>
        <v>-6.6727802157402039E-2</v>
      </c>
      <c r="DC10" s="32">
        <f t="shared" si="4"/>
        <v>-0.1073298379778862</v>
      </c>
      <c r="DD10" s="32">
        <f t="shared" si="4"/>
        <v>5.9307549148797989E-2</v>
      </c>
      <c r="DE10" s="32">
        <f t="shared" si="4"/>
        <v>-6.0571521520614617E-2</v>
      </c>
      <c r="DF10" s="32">
        <f t="shared" si="4"/>
        <v>-3.9159800857305527E-2</v>
      </c>
      <c r="DG10" s="32">
        <f t="shared" si="4"/>
        <v>-5.1414530724287033E-2</v>
      </c>
      <c r="DH10" s="32">
        <f t="shared" si="4"/>
        <v>-6.5701395273208618E-2</v>
      </c>
      <c r="DI10" s="32">
        <f t="shared" si="4"/>
        <v>-3.3493325114250183E-2</v>
      </c>
      <c r="DJ10" s="32">
        <f t="shared" si="4"/>
        <v>-2.4839011952281002E-2</v>
      </c>
      <c r="DK10" s="32">
        <f t="shared" si="4"/>
        <v>-2.2675381973385811E-2</v>
      </c>
      <c r="DL10" s="32">
        <f t="shared" si="4"/>
        <v>-4.2003385722637183E-2</v>
      </c>
      <c r="DM10" s="32">
        <f t="shared" si="4"/>
        <v>-2.7967073023319241E-2</v>
      </c>
      <c r="DN10" s="32">
        <f t="shared" si="4"/>
        <v>2.0481692627072331E-2</v>
      </c>
      <c r="DO10" s="32">
        <f t="shared" si="4"/>
        <v>7.2593644261360168E-2</v>
      </c>
      <c r="DP10" s="32">
        <f t="shared" si="4"/>
        <v>6.6633999347686768E-2</v>
      </c>
      <c r="DQ10" s="32">
        <f t="shared" si="4"/>
        <v>7.6050832867622375E-2</v>
      </c>
      <c r="DR10" s="32">
        <f t="shared" si="4"/>
        <v>7.9444080591201782E-2</v>
      </c>
      <c r="DS10" s="32">
        <f t="shared" si="4"/>
        <v>9.6407637000083923E-2</v>
      </c>
      <c r="DT10" s="32">
        <f t="shared" si="4"/>
        <v>9.8738469183444977E-2</v>
      </c>
      <c r="DU10" s="32">
        <f t="shared" si="4"/>
        <v>8.4987722337245941E-2</v>
      </c>
      <c r="DV10" s="32">
        <f t="shared" si="4"/>
        <v>8.3614706993103027E-2</v>
      </c>
      <c r="DW10" s="32">
        <f t="shared" si="4"/>
        <v>7.9545408487319946E-2</v>
      </c>
      <c r="DX10" s="32">
        <f t="shared" si="4"/>
        <v>9.6235953271389008E-2</v>
      </c>
      <c r="DY10" s="32">
        <f t="shared" si="4"/>
        <v>0.10154732316732409</v>
      </c>
      <c r="DZ10" s="32">
        <f t="shared" si="4"/>
        <v>0.13149091601371771</v>
      </c>
      <c r="EA10" s="32">
        <f t="shared" ref="EA10:EF10" si="5">IF(EA8=1,EA3,IF(EA8=2,EA4,IF(EA8=3,EA5,IF(EA8=4,EA6,IF(EA8=5,EA7)))))</f>
        <v>0.1148593798279762</v>
      </c>
      <c r="EB10" s="32">
        <f t="shared" si="5"/>
        <v>0.11237455904483799</v>
      </c>
      <c r="EC10" s="32">
        <f t="shared" si="5"/>
        <v>0.12511362135410309</v>
      </c>
      <c r="ED10" s="32">
        <f t="shared" si="5"/>
        <v>3.1657200306653983E-2</v>
      </c>
      <c r="EE10" s="32">
        <f t="shared" si="5"/>
        <v>2.9610974714159969E-2</v>
      </c>
      <c r="EF10" s="32">
        <f t="shared" si="5"/>
        <v>3.123905323445797E-2</v>
      </c>
    </row>
    <row r="13" spans="1:138" ht="16" customHeight="1">
      <c r="A13" s="6" t="s">
        <v>144</v>
      </c>
      <c r="B13" s="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  <c r="EG13" s="12" t="s">
        <v>237</v>
      </c>
      <c r="EH13" s="12" t="s">
        <v>238</v>
      </c>
    </row>
    <row r="14" spans="1:138" ht="16" customHeight="1">
      <c r="A14" s="6">
        <v>10</v>
      </c>
      <c r="B14" s="6">
        <v>96</v>
      </c>
      <c r="C14" s="11">
        <f>IF(預測IC!C14&gt;預測IC!C$27,1,0)</f>
        <v>1</v>
      </c>
      <c r="D14" s="11">
        <f>IF(預測IC!D14&gt;預測IC!D$27,1,0)</f>
        <v>0</v>
      </c>
      <c r="E14" s="11">
        <f>IF(預測IC!E14&gt;預測IC!E$27,1,0)</f>
        <v>0</v>
      </c>
      <c r="F14" s="11">
        <f>IF(預測IC!F14&gt;預測IC!F$27,1,0)</f>
        <v>1</v>
      </c>
      <c r="G14" s="11">
        <f>IF(預測IC!G14&gt;預測IC!G$27,1,0)</f>
        <v>0</v>
      </c>
      <c r="H14" s="11">
        <f>IF(預測IC!H14&gt;預測IC!H$27,1,0)</f>
        <v>0</v>
      </c>
      <c r="I14" s="11">
        <f>IF(預測IC!I14&gt;預測IC!I$27,1,0)</f>
        <v>1</v>
      </c>
      <c r="J14" s="11">
        <f>IF(預測IC!J14&gt;預測IC!J$27,1,0)</f>
        <v>0</v>
      </c>
      <c r="K14" s="11">
        <f>IF(預測IC!K14&gt;預測IC!K$27,1,0)</f>
        <v>1</v>
      </c>
      <c r="L14" s="11">
        <f>IF(預測IC!L14&gt;預測IC!L$27,1,0)</f>
        <v>0</v>
      </c>
      <c r="M14" s="11">
        <f>IF(預測IC!M14&gt;預測IC!M$27,1,0)</f>
        <v>0</v>
      </c>
      <c r="N14" s="11">
        <f>IF(預測IC!N14&gt;預測IC!N$27,1,0)</f>
        <v>1</v>
      </c>
      <c r="O14" s="11">
        <f>IF(預測IC!O14&gt;預測IC!O$27,1,0)</f>
        <v>1</v>
      </c>
      <c r="P14" s="11">
        <f>IF(預測IC!P14&gt;預測IC!P$27,1,0)</f>
        <v>0</v>
      </c>
      <c r="Q14" s="11">
        <f>IF(預測IC!Q14&gt;預測IC!Q$27,1,0)</f>
        <v>0</v>
      </c>
      <c r="R14" s="11">
        <f>IF(預測IC!R14&gt;預測IC!R$27,1,0)</f>
        <v>0</v>
      </c>
      <c r="S14" s="11">
        <f>IF(預測IC!S14&gt;預測IC!S$27,1,0)</f>
        <v>1</v>
      </c>
      <c r="T14" s="11">
        <f>IF(預測IC!T14&gt;預測IC!T$27,1,0)</f>
        <v>1</v>
      </c>
      <c r="U14" s="11">
        <f>IF(預測IC!U14&gt;預測IC!U$27,1,0)</f>
        <v>1</v>
      </c>
      <c r="V14" s="11">
        <f>IF(預測IC!V14&gt;預測IC!V$27,1,0)</f>
        <v>1</v>
      </c>
      <c r="W14" s="11">
        <f>IF(預測IC!W14&gt;預測IC!W$27,1,0)</f>
        <v>0</v>
      </c>
      <c r="X14" s="11">
        <f>IF(預測IC!X14&gt;預測IC!X$27,1,0)</f>
        <v>1</v>
      </c>
      <c r="Y14" s="11">
        <f>IF(預測IC!Y14&gt;預測IC!Y$27,1,0)</f>
        <v>1</v>
      </c>
      <c r="Z14" s="11">
        <f>IF(預測IC!Z14&gt;預測IC!Z$27,1,0)</f>
        <v>1</v>
      </c>
      <c r="AA14" s="11">
        <f>IF(預測IC!AA14&gt;預測IC!AA$27,1,0)</f>
        <v>1</v>
      </c>
      <c r="AB14" s="11">
        <f>IF(預測IC!AB14&gt;預測IC!AB$27,1,0)</f>
        <v>0</v>
      </c>
      <c r="AC14" s="11">
        <f>IF(預測IC!AC14&gt;預測IC!AC$27,1,0)</f>
        <v>0</v>
      </c>
      <c r="AD14" s="11">
        <f>IF(預測IC!AD14&gt;預測IC!AD$27,1,0)</f>
        <v>1</v>
      </c>
      <c r="AE14" s="11">
        <f>IF(預測IC!AE14&gt;預測IC!AE$27,1,0)</f>
        <v>0</v>
      </c>
      <c r="AF14" s="11">
        <f>IF(預測IC!AF14&gt;預測IC!AF$27,1,0)</f>
        <v>0</v>
      </c>
      <c r="AG14" s="11">
        <f>IF(預測IC!AG14&gt;預測IC!AG$27,1,0)</f>
        <v>0</v>
      </c>
      <c r="AH14" s="11">
        <f>IF(預測IC!AH14&gt;預測IC!AH$27,1,0)</f>
        <v>1</v>
      </c>
      <c r="AI14" s="11">
        <f>IF(預測IC!AI14&gt;預測IC!AI$27,1,0)</f>
        <v>0</v>
      </c>
      <c r="AJ14" s="11">
        <f>IF(預測IC!AJ14&gt;預測IC!AJ$27,1,0)</f>
        <v>0</v>
      </c>
      <c r="AK14" s="11">
        <f>IF(預測IC!AK14&gt;預測IC!AK$27,1,0)</f>
        <v>0</v>
      </c>
      <c r="AL14" s="11">
        <f>IF(預測IC!AL14&gt;預測IC!AL$27,1,0)</f>
        <v>0</v>
      </c>
      <c r="AM14" s="11">
        <f>IF(預測IC!AM14&gt;預測IC!AM$27,1,0)</f>
        <v>1</v>
      </c>
      <c r="AN14" s="11">
        <f>IF(預測IC!AN14&gt;預測IC!AN$27,1,0)</f>
        <v>0</v>
      </c>
      <c r="AO14" s="11">
        <f>IF(預測IC!AO14&gt;預測IC!AO$27,1,0)</f>
        <v>1</v>
      </c>
      <c r="AP14" s="11">
        <f>IF(預測IC!AP14&gt;預測IC!AP$27,1,0)</f>
        <v>0</v>
      </c>
      <c r="AQ14" s="11">
        <f>IF(預測IC!AQ14&gt;預測IC!AQ$27,1,0)</f>
        <v>0</v>
      </c>
      <c r="AR14" s="11">
        <f>IF(預測IC!AR14&gt;預測IC!AR$27,1,0)</f>
        <v>0</v>
      </c>
      <c r="AS14" s="11">
        <f>IF(預測IC!AS14&gt;預測IC!AS$27,1,0)</f>
        <v>1</v>
      </c>
      <c r="AT14" s="11">
        <f>IF(預測IC!AT14&gt;預測IC!AT$27,1,0)</f>
        <v>0</v>
      </c>
      <c r="AU14" s="11">
        <f>IF(預測IC!AU14&gt;預測IC!AU$27,1,0)</f>
        <v>1</v>
      </c>
      <c r="AV14" s="11">
        <f>IF(預測IC!AV14&gt;預測IC!AV$27,1,0)</f>
        <v>0</v>
      </c>
      <c r="AW14" s="11">
        <f>IF(預測IC!AW14&gt;預測IC!AW$27,1,0)</f>
        <v>1</v>
      </c>
      <c r="AX14" s="11">
        <f>IF(預測IC!AX14&gt;預測IC!AX$27,1,0)</f>
        <v>0</v>
      </c>
      <c r="AY14" s="11">
        <f>IF(預測IC!AY14&gt;預測IC!AY$27,1,0)</f>
        <v>0</v>
      </c>
      <c r="AZ14" s="11">
        <f>IF(預測IC!AZ14&gt;預測IC!AZ$27,1,0)</f>
        <v>1</v>
      </c>
      <c r="BA14" s="11">
        <f>IF(預測IC!BA14&gt;預測IC!BA$27,1,0)</f>
        <v>0</v>
      </c>
      <c r="BB14" s="11">
        <f>IF(預測IC!BB14&gt;預測IC!BB$27,1,0)</f>
        <v>1</v>
      </c>
      <c r="BC14" s="11">
        <f>IF(預測IC!BC14&gt;預測IC!BC$27,1,0)</f>
        <v>0</v>
      </c>
      <c r="BD14" s="11">
        <f>IF(預測IC!BD14&gt;預測IC!BD$27,1,0)</f>
        <v>0</v>
      </c>
      <c r="BE14" s="11">
        <f>IF(預測IC!BE14&gt;預測IC!BE$27,1,0)</f>
        <v>0</v>
      </c>
      <c r="BF14" s="11">
        <f>IF(預測IC!BF14&gt;預測IC!BF$27,1,0)</f>
        <v>1</v>
      </c>
      <c r="BG14" s="11">
        <f>IF(預測IC!BG14&gt;預測IC!BG$27,1,0)</f>
        <v>1</v>
      </c>
      <c r="BH14" s="11">
        <f>IF(預測IC!BH14&gt;預測IC!BH$27,1,0)</f>
        <v>1</v>
      </c>
      <c r="BI14" s="11">
        <f>IF(預測IC!BI14&gt;預測IC!BI$27,1,0)</f>
        <v>0</v>
      </c>
      <c r="BJ14" s="11">
        <f>IF(預測IC!BJ14&gt;預測IC!BJ$27,1,0)</f>
        <v>0</v>
      </c>
      <c r="BK14" s="11">
        <f>IF(預測IC!BK14&gt;預測IC!BK$27,1,0)</f>
        <v>0</v>
      </c>
      <c r="BL14" s="11">
        <f>IF(預測IC!BL14&gt;預測IC!BL$27,1,0)</f>
        <v>0</v>
      </c>
      <c r="BM14" s="11">
        <f>IF(預測IC!BM14&gt;預測IC!BM$27,1,0)</f>
        <v>0</v>
      </c>
      <c r="BN14" s="11">
        <f>IF(預測IC!BN14&gt;預測IC!BN$27,1,0)</f>
        <v>0</v>
      </c>
      <c r="BO14" s="11">
        <f>IF(預測IC!BO14&gt;預測IC!BO$27,1,0)</f>
        <v>1</v>
      </c>
      <c r="BP14" s="11">
        <f>IF(預測IC!BP14&gt;預測IC!BP$27,1,0)</f>
        <v>0</v>
      </c>
      <c r="BQ14" s="11">
        <f>IF(預測IC!BQ14&gt;預測IC!BQ$27,1,0)</f>
        <v>0</v>
      </c>
      <c r="BR14" s="11">
        <f>IF(預測IC!BR14&gt;預測IC!BR$27,1,0)</f>
        <v>0</v>
      </c>
      <c r="BS14" s="11">
        <f>IF(預測IC!BS14&gt;預測IC!BS$27,1,0)</f>
        <v>0</v>
      </c>
      <c r="BT14" s="11">
        <f>IF(預測IC!BT14&gt;預測IC!BT$27,1,0)</f>
        <v>0</v>
      </c>
      <c r="BU14" s="11">
        <f>IF(預測IC!BU14&gt;預測IC!BU$27,1,0)</f>
        <v>0</v>
      </c>
      <c r="BV14" s="11">
        <f>IF(預測IC!BV14&gt;預測IC!BV$27,1,0)</f>
        <v>0</v>
      </c>
      <c r="BW14" s="11">
        <f>IF(預測IC!BW14&gt;預測IC!BW$27,1,0)</f>
        <v>1</v>
      </c>
      <c r="BX14" s="11">
        <f>IF(預測IC!BX14&gt;預測IC!BX$27,1,0)</f>
        <v>1</v>
      </c>
      <c r="BY14" s="11">
        <f>IF(預測IC!BY14&gt;預測IC!BY$27,1,0)</f>
        <v>1</v>
      </c>
      <c r="BZ14" s="11">
        <f>IF(預測IC!BZ14&gt;預測IC!BZ$27,1,0)</f>
        <v>0</v>
      </c>
      <c r="CA14" s="11">
        <f>IF(預測IC!CA14&gt;預測IC!CA$27,1,0)</f>
        <v>1</v>
      </c>
      <c r="CB14" s="11">
        <f>IF(預測IC!CB14&gt;預測IC!CB$27,1,0)</f>
        <v>0</v>
      </c>
      <c r="CC14" s="11">
        <f>IF(預測IC!CC14&gt;預測IC!CC$27,1,0)</f>
        <v>0</v>
      </c>
      <c r="CD14" s="11">
        <f>IF(預測IC!CD14&gt;預測IC!CD$27,1,0)</f>
        <v>0</v>
      </c>
      <c r="CE14" s="11">
        <f>IF(預測IC!CE14&gt;預測IC!CE$27,1,0)</f>
        <v>1</v>
      </c>
      <c r="CF14" s="11">
        <f>IF(預測IC!CF14&gt;預測IC!CF$27,1,0)</f>
        <v>0</v>
      </c>
      <c r="CG14" s="11">
        <f>IF(預測IC!CG14&gt;預測IC!CG$27,1,0)</f>
        <v>0</v>
      </c>
      <c r="CH14" s="11">
        <f>IF(預測IC!CH14&gt;預測IC!CH$27,1,0)</f>
        <v>0</v>
      </c>
      <c r="CI14" s="11">
        <f>IF(預測IC!CI14&gt;預測IC!CI$27,1,0)</f>
        <v>0</v>
      </c>
      <c r="CJ14" s="11">
        <f>IF(預測IC!CJ14&gt;預測IC!CJ$27,1,0)</f>
        <v>0</v>
      </c>
      <c r="CK14" s="11">
        <f>IF(預測IC!CK14&gt;預測IC!CK$27,1,0)</f>
        <v>0</v>
      </c>
      <c r="CL14" s="11">
        <f>IF(預測IC!CL14&gt;預測IC!CL$27,1,0)</f>
        <v>0</v>
      </c>
      <c r="CM14" s="11">
        <f>IF(預測IC!CM14&gt;預測IC!CM$27,1,0)</f>
        <v>1</v>
      </c>
      <c r="CN14" s="11">
        <f>IF(預測IC!CN14&gt;預測IC!CN$27,1,0)</f>
        <v>0</v>
      </c>
      <c r="CO14" s="11">
        <f>IF(預測IC!CO14&gt;預測IC!CO$27,1,0)</f>
        <v>1</v>
      </c>
      <c r="CP14" s="11">
        <f>IF(預測IC!CP14&gt;預測IC!CP$27,1,0)</f>
        <v>0</v>
      </c>
      <c r="CQ14" s="11">
        <f>IF(預測IC!CQ14&gt;預測IC!CQ$27,1,0)</f>
        <v>1</v>
      </c>
      <c r="CR14" s="11">
        <f>IF(預測IC!CR14&gt;預測IC!CR$27,1,0)</f>
        <v>0</v>
      </c>
      <c r="CS14" s="11">
        <f>IF(預測IC!CS14&gt;預測IC!CS$27,1,0)</f>
        <v>0</v>
      </c>
      <c r="CT14" s="11">
        <f>IF(預測IC!CT14&gt;預測IC!CT$27,1,0)</f>
        <v>0</v>
      </c>
      <c r="CU14" s="11">
        <f>IF(預測IC!CU14&gt;預測IC!CU$27,1,0)</f>
        <v>1</v>
      </c>
      <c r="CV14" s="11">
        <f>IF(預測IC!CV14&gt;預測IC!CV$27,1,0)</f>
        <v>0</v>
      </c>
      <c r="CW14" s="11">
        <f>IF(預測IC!CW14&gt;預測IC!CW$27,1,0)</f>
        <v>0</v>
      </c>
      <c r="CX14" s="11">
        <f>IF(預測IC!CX14&gt;預測IC!CX$27,1,0)</f>
        <v>1</v>
      </c>
      <c r="CY14" s="11">
        <f>IF(預測IC!CY14&gt;預測IC!CY$27,1,0)</f>
        <v>0</v>
      </c>
      <c r="CZ14" s="11">
        <f>IF(預測IC!CZ14&gt;預測IC!CZ$27,1,0)</f>
        <v>1</v>
      </c>
      <c r="DA14" s="11">
        <f>IF(預測IC!DA14&gt;預測IC!DA$27,1,0)</f>
        <v>0</v>
      </c>
      <c r="DB14" s="11">
        <f>IF(預測IC!DB14&gt;預測IC!DB$27,1,0)</f>
        <v>0</v>
      </c>
      <c r="DC14" s="11">
        <f>IF(預測IC!DC14&gt;預測IC!DC$27,1,0)</f>
        <v>1</v>
      </c>
      <c r="DD14" s="11">
        <f>IF(預測IC!DD14&gt;預測IC!DD$27,1,0)</f>
        <v>1</v>
      </c>
      <c r="DE14" s="11">
        <f>IF(預測IC!DE14&gt;預測IC!DE$27,1,0)</f>
        <v>0</v>
      </c>
      <c r="DF14" s="11">
        <f>IF(預測IC!DF14&gt;預測IC!DF$27,1,0)</f>
        <v>1</v>
      </c>
      <c r="DG14" s="11">
        <f>IF(預測IC!DG14&gt;預測IC!DG$27,1,0)</f>
        <v>0</v>
      </c>
      <c r="DH14" s="11">
        <f>IF(預測IC!DH14&gt;預測IC!DH$27,1,0)</f>
        <v>0</v>
      </c>
      <c r="DI14" s="11">
        <f>IF(預測IC!DI14&gt;預測IC!DI$27,1,0)</f>
        <v>0</v>
      </c>
      <c r="DJ14" s="11">
        <f>IF(預測IC!DJ14&gt;預測IC!DJ$27,1,0)</f>
        <v>1</v>
      </c>
      <c r="DK14" s="11">
        <f>IF(預測IC!DK14&gt;預測IC!DK$27,1,0)</f>
        <v>0</v>
      </c>
      <c r="DL14" s="11">
        <f>IF(預測IC!DL14&gt;預測IC!DL$27,1,0)</f>
        <v>0</v>
      </c>
      <c r="DM14" s="11">
        <f>IF(預測IC!DM14&gt;預測IC!DM$27,1,0)</f>
        <v>0</v>
      </c>
      <c r="DN14" s="11">
        <f>IF(預測IC!DN14&gt;預測IC!DN$27,1,0)</f>
        <v>1</v>
      </c>
      <c r="DO14" s="11">
        <f>IF(預測IC!DO14&gt;預測IC!DO$27,1,0)</f>
        <v>1</v>
      </c>
      <c r="DP14" s="11">
        <f>IF(預測IC!DP14&gt;預測IC!DP$27,1,0)</f>
        <v>1</v>
      </c>
      <c r="DQ14" s="11">
        <f>IF(預測IC!DQ14&gt;預測IC!DQ$27,1,0)</f>
        <v>0</v>
      </c>
      <c r="DR14" s="11">
        <f>IF(預測IC!DR14&gt;預測IC!DR$27,1,0)</f>
        <v>0</v>
      </c>
      <c r="DS14" s="11">
        <f>IF(預測IC!DS14&gt;預測IC!DS$27,1,0)</f>
        <v>1</v>
      </c>
      <c r="DT14" s="11">
        <f>IF(預測IC!DT14&gt;預測IC!DT$27,1,0)</f>
        <v>0</v>
      </c>
      <c r="DU14" s="11">
        <f>IF(預測IC!DU14&gt;預測IC!DU$27,1,0)</f>
        <v>0</v>
      </c>
      <c r="DV14" s="11">
        <f>IF(預測IC!DV14&gt;預測IC!DV$27,1,0)</f>
        <v>0</v>
      </c>
      <c r="DW14" s="11">
        <f>IF(預測IC!DW14&gt;預測IC!DW$27,1,0)</f>
        <v>0</v>
      </c>
      <c r="DX14" s="11">
        <f>IF(預測IC!DX14&gt;預測IC!DX$27,1,0)</f>
        <v>0</v>
      </c>
      <c r="DY14" s="11">
        <f>IF(預測IC!DY14&gt;預測IC!DY$27,1,0)</f>
        <v>1</v>
      </c>
      <c r="DZ14" s="11">
        <f>IF(預測IC!DZ14&gt;預測IC!DZ$27,1,0)</f>
        <v>1</v>
      </c>
      <c r="EA14" s="11">
        <f>IF(預測IC!EA14&gt;預測IC!EA$27,1,0)</f>
        <v>0</v>
      </c>
      <c r="EB14" s="11">
        <f>IF(預測IC!EB14&gt;預測IC!EB$27,1,0)</f>
        <v>0</v>
      </c>
      <c r="EC14" s="11">
        <f>IF(預測IC!EC14&gt;預測IC!EC$27,1,0)</f>
        <v>1</v>
      </c>
      <c r="ED14" s="11">
        <f>IF(預測IC!ED14&gt;預測IC!ED$27,1,0)</f>
        <v>0</v>
      </c>
      <c r="EE14" s="11">
        <f>IF(預測IC!EE14&gt;預測IC!EE$27,1,0)</f>
        <v>0</v>
      </c>
      <c r="EF14" s="11">
        <f>IF(預測IC!EF14&gt;預測IC!EF$27,1,0)</f>
        <v>1</v>
      </c>
      <c r="EG14" s="1">
        <f t="shared" ref="EG14:EG26" si="6">SUM(C14:EF14)</f>
        <v>50</v>
      </c>
      <c r="EH14" s="2">
        <f t="shared" ref="EH14:EH26" si="7">SUM(C14:EF14)/134</f>
        <v>0.37313432835820898</v>
      </c>
    </row>
    <row r="15" spans="1:138" ht="16" customHeight="1">
      <c r="A15" s="6">
        <v>20</v>
      </c>
      <c r="B15" s="6">
        <v>48</v>
      </c>
      <c r="C15" s="11">
        <f>IF(預測IC!C15&gt;預測IC!C$27,1,0)</f>
        <v>1</v>
      </c>
      <c r="D15" s="11">
        <f>IF(預測IC!D15&gt;預測IC!D$27,1,0)</f>
        <v>0</v>
      </c>
      <c r="E15" s="11">
        <f>IF(預測IC!E15&gt;預測IC!E$27,1,0)</f>
        <v>0</v>
      </c>
      <c r="F15" s="11">
        <f>IF(預測IC!F15&gt;預測IC!F$27,1,0)</f>
        <v>0</v>
      </c>
      <c r="G15" s="11">
        <f>IF(預測IC!G15&gt;預測IC!G$27,1,0)</f>
        <v>0</v>
      </c>
      <c r="H15" s="11">
        <f>IF(預測IC!H15&gt;預測IC!H$27,1,0)</f>
        <v>0</v>
      </c>
      <c r="I15" s="11">
        <f>IF(預測IC!I15&gt;預測IC!I$27,1,0)</f>
        <v>1</v>
      </c>
      <c r="J15" s="11">
        <f>IF(預測IC!J15&gt;預測IC!J$27,1,0)</f>
        <v>1</v>
      </c>
      <c r="K15" s="11">
        <f>IF(預測IC!K15&gt;預測IC!K$27,1,0)</f>
        <v>1</v>
      </c>
      <c r="L15" s="11">
        <f>IF(預測IC!L15&gt;預測IC!L$27,1,0)</f>
        <v>0</v>
      </c>
      <c r="M15" s="11">
        <f>IF(預測IC!M15&gt;預測IC!M$27,1,0)</f>
        <v>0</v>
      </c>
      <c r="N15" s="11">
        <f>IF(預測IC!N15&gt;預測IC!N$27,1,0)</f>
        <v>1</v>
      </c>
      <c r="O15" s="11">
        <f>IF(預測IC!O15&gt;預測IC!O$27,1,0)</f>
        <v>1</v>
      </c>
      <c r="P15" s="11">
        <f>IF(預測IC!P15&gt;預測IC!P$27,1,0)</f>
        <v>0</v>
      </c>
      <c r="Q15" s="11">
        <f>IF(預測IC!Q15&gt;預測IC!Q$27,1,0)</f>
        <v>1</v>
      </c>
      <c r="R15" s="11">
        <f>IF(預測IC!R15&gt;預測IC!R$27,1,0)</f>
        <v>1</v>
      </c>
      <c r="S15" s="11">
        <f>IF(預測IC!S15&gt;預測IC!S$27,1,0)</f>
        <v>1</v>
      </c>
      <c r="T15" s="11">
        <f>IF(預測IC!T15&gt;預測IC!T$27,1,0)</f>
        <v>1</v>
      </c>
      <c r="U15" s="11">
        <f>IF(預測IC!U15&gt;預測IC!U$27,1,0)</f>
        <v>1</v>
      </c>
      <c r="V15" s="11">
        <f>IF(預測IC!V15&gt;預測IC!V$27,1,0)</f>
        <v>1</v>
      </c>
      <c r="W15" s="11">
        <f>IF(預測IC!W15&gt;預測IC!W$27,1,0)</f>
        <v>0</v>
      </c>
      <c r="X15" s="11">
        <f>IF(預測IC!X15&gt;預測IC!X$27,1,0)</f>
        <v>1</v>
      </c>
      <c r="Y15" s="11">
        <f>IF(預測IC!Y15&gt;預測IC!Y$27,1,0)</f>
        <v>1</v>
      </c>
      <c r="Z15" s="11">
        <f>IF(預測IC!Z15&gt;預測IC!Z$27,1,0)</f>
        <v>1</v>
      </c>
      <c r="AA15" s="11">
        <f>IF(預測IC!AA15&gt;預測IC!AA$27,1,0)</f>
        <v>1</v>
      </c>
      <c r="AB15" s="11">
        <f>IF(預測IC!AB15&gt;預測IC!AB$27,1,0)</f>
        <v>0</v>
      </c>
      <c r="AC15" s="11">
        <f>IF(預測IC!AC15&gt;預測IC!AC$27,1,0)</f>
        <v>0</v>
      </c>
      <c r="AD15" s="11">
        <f>IF(預測IC!AD15&gt;預測IC!AD$27,1,0)</f>
        <v>1</v>
      </c>
      <c r="AE15" s="11">
        <f>IF(預測IC!AE15&gt;預測IC!AE$27,1,0)</f>
        <v>1</v>
      </c>
      <c r="AF15" s="11">
        <f>IF(預測IC!AF15&gt;預測IC!AF$27,1,0)</f>
        <v>0</v>
      </c>
      <c r="AG15" s="11">
        <f>IF(預測IC!AG15&gt;預測IC!AG$27,1,0)</f>
        <v>0</v>
      </c>
      <c r="AH15" s="11">
        <f>IF(預測IC!AH15&gt;預測IC!AH$27,1,0)</f>
        <v>1</v>
      </c>
      <c r="AI15" s="11">
        <f>IF(預測IC!AI15&gt;預測IC!AI$27,1,0)</f>
        <v>1</v>
      </c>
      <c r="AJ15" s="11">
        <f>IF(預測IC!AJ15&gt;預測IC!AJ$27,1,0)</f>
        <v>0</v>
      </c>
      <c r="AK15" s="11">
        <f>IF(預測IC!AK15&gt;預測IC!AK$27,1,0)</f>
        <v>1</v>
      </c>
      <c r="AL15" s="11">
        <f>IF(預測IC!AL15&gt;預測IC!AL$27,1,0)</f>
        <v>1</v>
      </c>
      <c r="AM15" s="11">
        <f>IF(預測IC!AM15&gt;預測IC!AM$27,1,0)</f>
        <v>1</v>
      </c>
      <c r="AN15" s="11">
        <f>IF(預測IC!AN15&gt;預測IC!AN$27,1,0)</f>
        <v>0</v>
      </c>
      <c r="AO15" s="11">
        <f>IF(預測IC!AO15&gt;預測IC!AO$27,1,0)</f>
        <v>0</v>
      </c>
      <c r="AP15" s="11">
        <f>IF(預測IC!AP15&gt;預測IC!AP$27,1,0)</f>
        <v>0</v>
      </c>
      <c r="AQ15" s="11">
        <f>IF(預測IC!AQ15&gt;預測IC!AQ$27,1,0)</f>
        <v>1</v>
      </c>
      <c r="AR15" s="11">
        <f>IF(預測IC!AR15&gt;預測IC!AR$27,1,0)</f>
        <v>0</v>
      </c>
      <c r="AS15" s="11">
        <f>IF(預測IC!AS15&gt;預測IC!AS$27,1,0)</f>
        <v>1</v>
      </c>
      <c r="AT15" s="11">
        <f>IF(預測IC!AT15&gt;預測IC!AT$27,1,0)</f>
        <v>0</v>
      </c>
      <c r="AU15" s="11">
        <f>IF(預測IC!AU15&gt;預測IC!AU$27,1,0)</f>
        <v>1</v>
      </c>
      <c r="AV15" s="11">
        <f>IF(預測IC!AV15&gt;預測IC!AV$27,1,0)</f>
        <v>0</v>
      </c>
      <c r="AW15" s="11">
        <f>IF(預測IC!AW15&gt;預測IC!AW$27,1,0)</f>
        <v>1</v>
      </c>
      <c r="AX15" s="11">
        <f>IF(預測IC!AX15&gt;預測IC!AX$27,1,0)</f>
        <v>0</v>
      </c>
      <c r="AY15" s="11">
        <f>IF(預測IC!AY15&gt;預測IC!AY$27,1,0)</f>
        <v>1</v>
      </c>
      <c r="AZ15" s="11">
        <f>IF(預測IC!AZ15&gt;預測IC!AZ$27,1,0)</f>
        <v>1</v>
      </c>
      <c r="BA15" s="11">
        <f>IF(預測IC!BA15&gt;預測IC!BA$27,1,0)</f>
        <v>0</v>
      </c>
      <c r="BB15" s="11">
        <f>IF(預測IC!BB15&gt;預測IC!BB$27,1,0)</f>
        <v>1</v>
      </c>
      <c r="BC15" s="11">
        <f>IF(預測IC!BC15&gt;預測IC!BC$27,1,0)</f>
        <v>1</v>
      </c>
      <c r="BD15" s="11">
        <f>IF(預測IC!BD15&gt;預測IC!BD$27,1,0)</f>
        <v>1</v>
      </c>
      <c r="BE15" s="11">
        <f>IF(預測IC!BE15&gt;預測IC!BE$27,1,0)</f>
        <v>0</v>
      </c>
      <c r="BF15" s="11">
        <f>IF(預測IC!BF15&gt;預測IC!BF$27,1,0)</f>
        <v>1</v>
      </c>
      <c r="BG15" s="11">
        <f>IF(預測IC!BG15&gt;預測IC!BG$27,1,0)</f>
        <v>1</v>
      </c>
      <c r="BH15" s="11">
        <f>IF(預測IC!BH15&gt;預測IC!BH$27,1,0)</f>
        <v>1</v>
      </c>
      <c r="BI15" s="11">
        <f>IF(預測IC!BI15&gt;預測IC!BI$27,1,0)</f>
        <v>0</v>
      </c>
      <c r="BJ15" s="11">
        <f>IF(預測IC!BJ15&gt;預測IC!BJ$27,1,0)</f>
        <v>0</v>
      </c>
      <c r="BK15" s="11">
        <f>IF(預測IC!BK15&gt;預測IC!BK$27,1,0)</f>
        <v>0</v>
      </c>
      <c r="BL15" s="11">
        <f>IF(預測IC!BL15&gt;預測IC!BL$27,1,0)</f>
        <v>0</v>
      </c>
      <c r="BM15" s="11">
        <f>IF(預測IC!BM15&gt;預測IC!BM$27,1,0)</f>
        <v>0</v>
      </c>
      <c r="BN15" s="11">
        <f>IF(預測IC!BN15&gt;預測IC!BN$27,1,0)</f>
        <v>0</v>
      </c>
      <c r="BO15" s="11">
        <f>IF(預測IC!BO15&gt;預測IC!BO$27,1,0)</f>
        <v>1</v>
      </c>
      <c r="BP15" s="11">
        <f>IF(預測IC!BP15&gt;預測IC!BP$27,1,0)</f>
        <v>1</v>
      </c>
      <c r="BQ15" s="11">
        <f>IF(預測IC!BQ15&gt;預測IC!BQ$27,1,0)</f>
        <v>0</v>
      </c>
      <c r="BR15" s="11">
        <f>IF(預測IC!BR15&gt;預測IC!BR$27,1,0)</f>
        <v>0</v>
      </c>
      <c r="BS15" s="11">
        <f>IF(預測IC!BS15&gt;預測IC!BS$27,1,0)</f>
        <v>0</v>
      </c>
      <c r="BT15" s="11">
        <f>IF(預測IC!BT15&gt;預測IC!BT$27,1,0)</f>
        <v>0</v>
      </c>
      <c r="BU15" s="11">
        <f>IF(預測IC!BU15&gt;預測IC!BU$27,1,0)</f>
        <v>0</v>
      </c>
      <c r="BV15" s="11">
        <f>IF(預測IC!BV15&gt;預測IC!BV$27,1,0)</f>
        <v>0</v>
      </c>
      <c r="BW15" s="11">
        <f>IF(預測IC!BW15&gt;預測IC!BW$27,1,0)</f>
        <v>1</v>
      </c>
      <c r="BX15" s="11">
        <f>IF(預測IC!BX15&gt;預測IC!BX$27,1,0)</f>
        <v>1</v>
      </c>
      <c r="BY15" s="11">
        <f>IF(預測IC!BY15&gt;預測IC!BY$27,1,0)</f>
        <v>1</v>
      </c>
      <c r="BZ15" s="11">
        <f>IF(預測IC!BZ15&gt;預測IC!BZ$27,1,0)</f>
        <v>0</v>
      </c>
      <c r="CA15" s="11">
        <f>IF(預測IC!CA15&gt;預測IC!CA$27,1,0)</f>
        <v>0</v>
      </c>
      <c r="CB15" s="11">
        <f>IF(預測IC!CB15&gt;預測IC!CB$27,1,0)</f>
        <v>0</v>
      </c>
      <c r="CC15" s="11">
        <f>IF(預測IC!CC15&gt;預測IC!CC$27,1,0)</f>
        <v>0</v>
      </c>
      <c r="CD15" s="11">
        <f>IF(預測IC!CD15&gt;預測IC!CD$27,1,0)</f>
        <v>0</v>
      </c>
      <c r="CE15" s="11">
        <f>IF(預測IC!CE15&gt;預測IC!CE$27,1,0)</f>
        <v>1</v>
      </c>
      <c r="CF15" s="11">
        <f>IF(預測IC!CF15&gt;預測IC!CF$27,1,0)</f>
        <v>0</v>
      </c>
      <c r="CG15" s="11">
        <f>IF(預測IC!CG15&gt;預測IC!CG$27,1,0)</f>
        <v>0</v>
      </c>
      <c r="CH15" s="11">
        <f>IF(預測IC!CH15&gt;預測IC!CH$27,1,0)</f>
        <v>0</v>
      </c>
      <c r="CI15" s="11">
        <f>IF(預測IC!CI15&gt;預測IC!CI$27,1,0)</f>
        <v>0</v>
      </c>
      <c r="CJ15" s="11">
        <f>IF(預測IC!CJ15&gt;預測IC!CJ$27,1,0)</f>
        <v>0</v>
      </c>
      <c r="CK15" s="11">
        <f>IF(預測IC!CK15&gt;預測IC!CK$27,1,0)</f>
        <v>0</v>
      </c>
      <c r="CL15" s="11">
        <f>IF(預測IC!CL15&gt;預測IC!CL$27,1,0)</f>
        <v>0</v>
      </c>
      <c r="CM15" s="11">
        <f>IF(預測IC!CM15&gt;預測IC!CM$27,1,0)</f>
        <v>1</v>
      </c>
      <c r="CN15" s="11">
        <f>IF(預測IC!CN15&gt;預測IC!CN$27,1,0)</f>
        <v>0</v>
      </c>
      <c r="CO15" s="11">
        <f>IF(預測IC!CO15&gt;預測IC!CO$27,1,0)</f>
        <v>1</v>
      </c>
      <c r="CP15" s="11">
        <f>IF(預測IC!CP15&gt;預測IC!CP$27,1,0)</f>
        <v>0</v>
      </c>
      <c r="CQ15" s="11">
        <f>IF(預測IC!CQ15&gt;預測IC!CQ$27,1,0)</f>
        <v>1</v>
      </c>
      <c r="CR15" s="11">
        <f>IF(預測IC!CR15&gt;預測IC!CR$27,1,0)</f>
        <v>0</v>
      </c>
      <c r="CS15" s="11">
        <f>IF(預測IC!CS15&gt;預測IC!CS$27,1,0)</f>
        <v>0</v>
      </c>
      <c r="CT15" s="11">
        <f>IF(預測IC!CT15&gt;預測IC!CT$27,1,0)</f>
        <v>0</v>
      </c>
      <c r="CU15" s="11">
        <f>IF(預測IC!CU15&gt;預測IC!CU$27,1,0)</f>
        <v>1</v>
      </c>
      <c r="CV15" s="11">
        <f>IF(預測IC!CV15&gt;預測IC!CV$27,1,0)</f>
        <v>0</v>
      </c>
      <c r="CW15" s="11">
        <f>IF(預測IC!CW15&gt;預測IC!CW$27,1,0)</f>
        <v>0</v>
      </c>
      <c r="CX15" s="11">
        <f>IF(預測IC!CX15&gt;預測IC!CX$27,1,0)</f>
        <v>1</v>
      </c>
      <c r="CY15" s="11">
        <f>IF(預測IC!CY15&gt;預測IC!CY$27,1,0)</f>
        <v>0</v>
      </c>
      <c r="CZ15" s="11">
        <f>IF(預測IC!CZ15&gt;預測IC!CZ$27,1,0)</f>
        <v>1</v>
      </c>
      <c r="DA15" s="11">
        <f>IF(預測IC!DA15&gt;預測IC!DA$27,1,0)</f>
        <v>0</v>
      </c>
      <c r="DB15" s="11">
        <f>IF(預測IC!DB15&gt;預測IC!DB$27,1,0)</f>
        <v>0</v>
      </c>
      <c r="DC15" s="11">
        <f>IF(預測IC!DC15&gt;預測IC!DC$27,1,0)</f>
        <v>1</v>
      </c>
      <c r="DD15" s="11">
        <f>IF(預測IC!DD15&gt;預測IC!DD$27,1,0)</f>
        <v>0</v>
      </c>
      <c r="DE15" s="11">
        <f>IF(預測IC!DE15&gt;預測IC!DE$27,1,0)</f>
        <v>0</v>
      </c>
      <c r="DF15" s="11">
        <f>IF(預測IC!DF15&gt;預測IC!DF$27,1,0)</f>
        <v>1</v>
      </c>
      <c r="DG15" s="11">
        <f>IF(預測IC!DG15&gt;預測IC!DG$27,1,0)</f>
        <v>0</v>
      </c>
      <c r="DH15" s="11">
        <f>IF(預測IC!DH15&gt;預測IC!DH$27,1,0)</f>
        <v>1</v>
      </c>
      <c r="DI15" s="11">
        <f>IF(預測IC!DI15&gt;預測IC!DI$27,1,0)</f>
        <v>0</v>
      </c>
      <c r="DJ15" s="11">
        <f>IF(預測IC!DJ15&gt;預測IC!DJ$27,1,0)</f>
        <v>1</v>
      </c>
      <c r="DK15" s="11">
        <f>IF(預測IC!DK15&gt;預測IC!DK$27,1,0)</f>
        <v>0</v>
      </c>
      <c r="DL15" s="11">
        <f>IF(預測IC!DL15&gt;預測IC!DL$27,1,0)</f>
        <v>0</v>
      </c>
      <c r="DM15" s="11">
        <f>IF(預測IC!DM15&gt;預測IC!DM$27,1,0)</f>
        <v>0</v>
      </c>
      <c r="DN15" s="11">
        <f>IF(預測IC!DN15&gt;預測IC!DN$27,1,0)</f>
        <v>1</v>
      </c>
      <c r="DO15" s="11">
        <f>IF(預測IC!DO15&gt;預測IC!DO$27,1,0)</f>
        <v>0</v>
      </c>
      <c r="DP15" s="11">
        <f>IF(預測IC!DP15&gt;預測IC!DP$27,1,0)</f>
        <v>1</v>
      </c>
      <c r="DQ15" s="11">
        <f>IF(預測IC!DQ15&gt;預測IC!DQ$27,1,0)</f>
        <v>0</v>
      </c>
      <c r="DR15" s="11">
        <f>IF(預測IC!DR15&gt;預測IC!DR$27,1,0)</f>
        <v>0</v>
      </c>
      <c r="DS15" s="11">
        <f>IF(預測IC!DS15&gt;預測IC!DS$27,1,0)</f>
        <v>0</v>
      </c>
      <c r="DT15" s="11">
        <f>IF(預測IC!DT15&gt;預測IC!DT$27,1,0)</f>
        <v>0</v>
      </c>
      <c r="DU15" s="11">
        <f>IF(預測IC!DU15&gt;預測IC!DU$27,1,0)</f>
        <v>0</v>
      </c>
      <c r="DV15" s="11">
        <f>IF(預測IC!DV15&gt;預測IC!DV$27,1,0)</f>
        <v>1</v>
      </c>
      <c r="DW15" s="11">
        <f>IF(預測IC!DW15&gt;預測IC!DW$27,1,0)</f>
        <v>1</v>
      </c>
      <c r="DX15" s="11">
        <f>IF(預測IC!DX15&gt;預測IC!DX$27,1,0)</f>
        <v>0</v>
      </c>
      <c r="DY15" s="11">
        <f>IF(預測IC!DY15&gt;預測IC!DY$27,1,0)</f>
        <v>1</v>
      </c>
      <c r="DZ15" s="11">
        <f>IF(預測IC!DZ15&gt;預測IC!DZ$27,1,0)</f>
        <v>0</v>
      </c>
      <c r="EA15" s="11">
        <f>IF(預測IC!EA15&gt;預測IC!EA$27,1,0)</f>
        <v>0</v>
      </c>
      <c r="EB15" s="11">
        <f>IF(預測IC!EB15&gt;預測IC!EB$27,1,0)</f>
        <v>0</v>
      </c>
      <c r="EC15" s="11">
        <f>IF(預測IC!EC15&gt;預測IC!EC$27,1,0)</f>
        <v>1</v>
      </c>
      <c r="ED15" s="11">
        <f>IF(預測IC!ED15&gt;預測IC!ED$27,1,0)</f>
        <v>0</v>
      </c>
      <c r="EE15" s="11">
        <f>IF(預測IC!EE15&gt;預測IC!EE$27,1,0)</f>
        <v>0</v>
      </c>
      <c r="EF15" s="11">
        <f>IF(預測IC!EF15&gt;預測IC!EF$27,1,0)</f>
        <v>1</v>
      </c>
      <c r="EG15" s="1">
        <f t="shared" si="6"/>
        <v>58</v>
      </c>
      <c r="EH15" s="2">
        <f t="shared" si="7"/>
        <v>0.43283582089552236</v>
      </c>
    </row>
    <row r="16" spans="1:138" ht="16" customHeight="1">
      <c r="A16" s="6">
        <v>50</v>
      </c>
      <c r="B16" s="6">
        <v>19</v>
      </c>
      <c r="C16" s="11">
        <f>IF(預測IC!C16&gt;預測IC!C$27,1,0)</f>
        <v>1</v>
      </c>
      <c r="D16" s="11">
        <f>IF(預測IC!D16&gt;預測IC!D$27,1,0)</f>
        <v>0</v>
      </c>
      <c r="E16" s="11">
        <f>IF(預測IC!E16&gt;預測IC!E$27,1,0)</f>
        <v>1</v>
      </c>
      <c r="F16" s="11">
        <f>IF(預測IC!F16&gt;預測IC!F$27,1,0)</f>
        <v>1</v>
      </c>
      <c r="G16" s="11">
        <f>IF(預測IC!G16&gt;預測IC!G$27,1,0)</f>
        <v>0</v>
      </c>
      <c r="H16" s="11">
        <f>IF(預測IC!H16&gt;預測IC!H$27,1,0)</f>
        <v>0</v>
      </c>
      <c r="I16" s="11">
        <f>IF(預測IC!I16&gt;預測IC!I$27,1,0)</f>
        <v>1</v>
      </c>
      <c r="J16" s="11">
        <f>IF(預測IC!J16&gt;預測IC!J$27,1,0)</f>
        <v>1</v>
      </c>
      <c r="K16" s="11">
        <f>IF(預測IC!K16&gt;預測IC!K$27,1,0)</f>
        <v>1</v>
      </c>
      <c r="L16" s="11">
        <f>IF(預測IC!L16&gt;預測IC!L$27,1,0)</f>
        <v>1</v>
      </c>
      <c r="M16" s="11">
        <f>IF(預測IC!M16&gt;預測IC!M$27,1,0)</f>
        <v>1</v>
      </c>
      <c r="N16" s="11">
        <f>IF(預測IC!N16&gt;預測IC!N$27,1,0)</f>
        <v>1</v>
      </c>
      <c r="O16" s="11">
        <f>IF(預測IC!O16&gt;預測IC!O$27,1,0)</f>
        <v>0</v>
      </c>
      <c r="P16" s="11">
        <f>IF(預測IC!P16&gt;預測IC!P$27,1,0)</f>
        <v>0</v>
      </c>
      <c r="Q16" s="11">
        <f>IF(預測IC!Q16&gt;預測IC!Q$27,1,0)</f>
        <v>0</v>
      </c>
      <c r="R16" s="11">
        <f>IF(預測IC!R16&gt;預測IC!R$27,1,0)</f>
        <v>1</v>
      </c>
      <c r="S16" s="11">
        <f>IF(預測IC!S16&gt;預測IC!S$27,1,0)</f>
        <v>1</v>
      </c>
      <c r="T16" s="11">
        <f>IF(預測IC!T16&gt;預測IC!T$27,1,0)</f>
        <v>1</v>
      </c>
      <c r="U16" s="11">
        <f>IF(預測IC!U16&gt;預測IC!U$27,1,0)</f>
        <v>1</v>
      </c>
      <c r="V16" s="11">
        <f>IF(預測IC!V16&gt;預測IC!V$27,1,0)</f>
        <v>1</v>
      </c>
      <c r="W16" s="11">
        <f>IF(預測IC!W16&gt;預測IC!W$27,1,0)</f>
        <v>0</v>
      </c>
      <c r="X16" s="11">
        <f>IF(預測IC!X16&gt;預測IC!X$27,1,0)</f>
        <v>1</v>
      </c>
      <c r="Y16" s="11">
        <f>IF(預測IC!Y16&gt;預測IC!Y$27,1,0)</f>
        <v>1</v>
      </c>
      <c r="Z16" s="11">
        <f>IF(預測IC!Z16&gt;預測IC!Z$27,1,0)</f>
        <v>1</v>
      </c>
      <c r="AA16" s="11">
        <f>IF(預測IC!AA16&gt;預測IC!AA$27,1,0)</f>
        <v>0</v>
      </c>
      <c r="AB16" s="11">
        <f>IF(預測IC!AB16&gt;預測IC!AB$27,1,0)</f>
        <v>0</v>
      </c>
      <c r="AC16" s="11">
        <f>IF(預測IC!AC16&gt;預測IC!AC$27,1,0)</f>
        <v>1</v>
      </c>
      <c r="AD16" s="11">
        <f>IF(預測IC!AD16&gt;預測IC!AD$27,1,0)</f>
        <v>1</v>
      </c>
      <c r="AE16" s="11">
        <f>IF(預測IC!AE16&gt;預測IC!AE$27,1,0)</f>
        <v>1</v>
      </c>
      <c r="AF16" s="11">
        <f>IF(預測IC!AF16&gt;預測IC!AF$27,1,0)</f>
        <v>1</v>
      </c>
      <c r="AG16" s="11">
        <f>IF(預測IC!AG16&gt;預測IC!AG$27,1,0)</f>
        <v>0</v>
      </c>
      <c r="AH16" s="11">
        <f>IF(預測IC!AH16&gt;預測IC!AH$27,1,0)</f>
        <v>1</v>
      </c>
      <c r="AI16" s="11">
        <f>IF(預測IC!AI16&gt;預測IC!AI$27,1,0)</f>
        <v>0</v>
      </c>
      <c r="AJ16" s="11">
        <f>IF(預測IC!AJ16&gt;預測IC!AJ$27,1,0)</f>
        <v>1</v>
      </c>
      <c r="AK16" s="11">
        <f>IF(預測IC!AK16&gt;預測IC!AK$27,1,0)</f>
        <v>1</v>
      </c>
      <c r="AL16" s="11">
        <f>IF(預測IC!AL16&gt;預測IC!AL$27,1,0)</f>
        <v>0</v>
      </c>
      <c r="AM16" s="11">
        <f>IF(預測IC!AM16&gt;預測IC!AM$27,1,0)</f>
        <v>1</v>
      </c>
      <c r="AN16" s="11">
        <f>IF(預測IC!AN16&gt;預測IC!AN$27,1,0)</f>
        <v>0</v>
      </c>
      <c r="AO16" s="11">
        <f>IF(預測IC!AO16&gt;預測IC!AO$27,1,0)</f>
        <v>1</v>
      </c>
      <c r="AP16" s="11">
        <f>IF(預測IC!AP16&gt;預測IC!AP$27,1,0)</f>
        <v>0</v>
      </c>
      <c r="AQ16" s="11">
        <f>IF(預測IC!AQ16&gt;預測IC!AQ$27,1,0)</f>
        <v>1</v>
      </c>
      <c r="AR16" s="11">
        <f>IF(預測IC!AR16&gt;預測IC!AR$27,1,0)</f>
        <v>0</v>
      </c>
      <c r="AS16" s="11">
        <f>IF(預測IC!AS16&gt;預測IC!AS$27,1,0)</f>
        <v>1</v>
      </c>
      <c r="AT16" s="11">
        <f>IF(預測IC!AT16&gt;預測IC!AT$27,1,0)</f>
        <v>0</v>
      </c>
      <c r="AU16" s="11">
        <f>IF(預測IC!AU16&gt;預測IC!AU$27,1,0)</f>
        <v>1</v>
      </c>
      <c r="AV16" s="11">
        <f>IF(預測IC!AV16&gt;預測IC!AV$27,1,0)</f>
        <v>0</v>
      </c>
      <c r="AW16" s="11">
        <f>IF(預測IC!AW16&gt;預測IC!AW$27,1,0)</f>
        <v>1</v>
      </c>
      <c r="AX16" s="11">
        <f>IF(預測IC!AX16&gt;預測IC!AX$27,1,0)</f>
        <v>0</v>
      </c>
      <c r="AY16" s="11">
        <f>IF(預測IC!AY16&gt;預測IC!AY$27,1,0)</f>
        <v>1</v>
      </c>
      <c r="AZ16" s="11">
        <f>IF(預測IC!AZ16&gt;預測IC!AZ$27,1,0)</f>
        <v>0</v>
      </c>
      <c r="BA16" s="11">
        <f>IF(預測IC!BA16&gt;預測IC!BA$27,1,0)</f>
        <v>1</v>
      </c>
      <c r="BB16" s="11">
        <f>IF(預測IC!BB16&gt;預測IC!BB$27,1,0)</f>
        <v>0</v>
      </c>
      <c r="BC16" s="11">
        <f>IF(預測IC!BC16&gt;預測IC!BC$27,1,0)</f>
        <v>0</v>
      </c>
      <c r="BD16" s="11">
        <f>IF(預測IC!BD16&gt;預測IC!BD$27,1,0)</f>
        <v>1</v>
      </c>
      <c r="BE16" s="11">
        <f>IF(預測IC!BE16&gt;預測IC!BE$27,1,0)</f>
        <v>1</v>
      </c>
      <c r="BF16" s="11">
        <f>IF(預測IC!BF16&gt;預測IC!BF$27,1,0)</f>
        <v>1</v>
      </c>
      <c r="BG16" s="11">
        <f>IF(預測IC!BG16&gt;預測IC!BG$27,1,0)</f>
        <v>1</v>
      </c>
      <c r="BH16" s="11">
        <f>IF(預測IC!BH16&gt;預測IC!BH$27,1,0)</f>
        <v>1</v>
      </c>
      <c r="BI16" s="11">
        <f>IF(預測IC!BI16&gt;預測IC!BI$27,1,0)</f>
        <v>0</v>
      </c>
      <c r="BJ16" s="11">
        <f>IF(預測IC!BJ16&gt;預測IC!BJ$27,1,0)</f>
        <v>1</v>
      </c>
      <c r="BK16" s="11">
        <f>IF(預測IC!BK16&gt;預測IC!BK$27,1,0)</f>
        <v>1</v>
      </c>
      <c r="BL16" s="11">
        <f>IF(預測IC!BL16&gt;預測IC!BL$27,1,0)</f>
        <v>0</v>
      </c>
      <c r="BM16" s="11">
        <f>IF(預測IC!BM16&gt;預測IC!BM$27,1,0)</f>
        <v>1</v>
      </c>
      <c r="BN16" s="11">
        <f>IF(預測IC!BN16&gt;預測IC!BN$27,1,0)</f>
        <v>0</v>
      </c>
      <c r="BO16" s="11">
        <f>IF(預測IC!BO16&gt;預測IC!BO$27,1,0)</f>
        <v>0</v>
      </c>
      <c r="BP16" s="11">
        <f>IF(預測IC!BP16&gt;預測IC!BP$27,1,0)</f>
        <v>1</v>
      </c>
      <c r="BQ16" s="11">
        <f>IF(預測IC!BQ16&gt;預測IC!BQ$27,1,0)</f>
        <v>0</v>
      </c>
      <c r="BR16" s="11">
        <f>IF(預測IC!BR16&gt;預測IC!BR$27,1,0)</f>
        <v>0</v>
      </c>
      <c r="BS16" s="11">
        <f>IF(預測IC!BS16&gt;預測IC!BS$27,1,0)</f>
        <v>0</v>
      </c>
      <c r="BT16" s="11">
        <f>IF(預測IC!BT16&gt;預測IC!BT$27,1,0)</f>
        <v>0</v>
      </c>
      <c r="BU16" s="11">
        <f>IF(預測IC!BU16&gt;預測IC!BU$27,1,0)</f>
        <v>0</v>
      </c>
      <c r="BV16" s="11">
        <f>IF(預測IC!BV16&gt;預測IC!BV$27,1,0)</f>
        <v>0</v>
      </c>
      <c r="BW16" s="11">
        <f>IF(預測IC!BW16&gt;預測IC!BW$27,1,0)</f>
        <v>1</v>
      </c>
      <c r="BX16" s="11">
        <f>IF(預測IC!BX16&gt;預測IC!BX$27,1,0)</f>
        <v>1</v>
      </c>
      <c r="BY16" s="11">
        <f>IF(預測IC!BY16&gt;預測IC!BY$27,1,0)</f>
        <v>1</v>
      </c>
      <c r="BZ16" s="11">
        <f>IF(預測IC!BZ16&gt;預測IC!BZ$27,1,0)</f>
        <v>0</v>
      </c>
      <c r="CA16" s="11">
        <f>IF(預測IC!CA16&gt;預測IC!CA$27,1,0)</f>
        <v>0</v>
      </c>
      <c r="CB16" s="11">
        <f>IF(預測IC!CB16&gt;預測IC!CB$27,1,0)</f>
        <v>0</v>
      </c>
      <c r="CC16" s="11">
        <f>IF(預測IC!CC16&gt;預測IC!CC$27,1,0)</f>
        <v>0</v>
      </c>
      <c r="CD16" s="11">
        <f>IF(預測IC!CD16&gt;預測IC!CD$27,1,0)</f>
        <v>0</v>
      </c>
      <c r="CE16" s="11">
        <f>IF(預測IC!CE16&gt;預測IC!CE$27,1,0)</f>
        <v>0</v>
      </c>
      <c r="CF16" s="11">
        <f>IF(預測IC!CF16&gt;預測IC!CF$27,1,0)</f>
        <v>1</v>
      </c>
      <c r="CG16" s="11">
        <f>IF(預測IC!CG16&gt;預測IC!CG$27,1,0)</f>
        <v>0</v>
      </c>
      <c r="CH16" s="11">
        <f>IF(預測IC!CH16&gt;預測IC!CH$27,1,0)</f>
        <v>0</v>
      </c>
      <c r="CI16" s="11">
        <f>IF(預測IC!CI16&gt;預測IC!CI$27,1,0)</f>
        <v>1</v>
      </c>
      <c r="CJ16" s="11">
        <f>IF(預測IC!CJ16&gt;預測IC!CJ$27,1,0)</f>
        <v>0</v>
      </c>
      <c r="CK16" s="11">
        <f>IF(預測IC!CK16&gt;預測IC!CK$27,1,0)</f>
        <v>0</v>
      </c>
      <c r="CL16" s="11">
        <f>IF(預測IC!CL16&gt;預測IC!CL$27,1,0)</f>
        <v>0</v>
      </c>
      <c r="CM16" s="11">
        <f>IF(預測IC!CM16&gt;預測IC!CM$27,1,0)</f>
        <v>0</v>
      </c>
      <c r="CN16" s="11">
        <f>IF(預測IC!CN16&gt;預測IC!CN$27,1,0)</f>
        <v>0</v>
      </c>
      <c r="CO16" s="11">
        <f>IF(預測IC!CO16&gt;預測IC!CO$27,1,0)</f>
        <v>1</v>
      </c>
      <c r="CP16" s="11">
        <f>IF(預測IC!CP16&gt;預測IC!CP$27,1,0)</f>
        <v>0</v>
      </c>
      <c r="CQ16" s="11">
        <f>IF(預測IC!CQ16&gt;預測IC!CQ$27,1,0)</f>
        <v>1</v>
      </c>
      <c r="CR16" s="11">
        <f>IF(預測IC!CR16&gt;預測IC!CR$27,1,0)</f>
        <v>0</v>
      </c>
      <c r="CS16" s="11">
        <f>IF(預測IC!CS16&gt;預測IC!CS$27,1,0)</f>
        <v>0</v>
      </c>
      <c r="CT16" s="11">
        <f>IF(預測IC!CT16&gt;預測IC!CT$27,1,0)</f>
        <v>0</v>
      </c>
      <c r="CU16" s="11">
        <f>IF(預測IC!CU16&gt;預測IC!CU$27,1,0)</f>
        <v>1</v>
      </c>
      <c r="CV16" s="11">
        <f>IF(預測IC!CV16&gt;預測IC!CV$27,1,0)</f>
        <v>0</v>
      </c>
      <c r="CW16" s="11">
        <f>IF(預測IC!CW16&gt;預測IC!CW$27,1,0)</f>
        <v>0</v>
      </c>
      <c r="CX16" s="11">
        <f>IF(預測IC!CX16&gt;預測IC!CX$27,1,0)</f>
        <v>1</v>
      </c>
      <c r="CY16" s="11">
        <f>IF(預測IC!CY16&gt;預測IC!CY$27,1,0)</f>
        <v>1</v>
      </c>
      <c r="CZ16" s="11">
        <f>IF(預測IC!CZ16&gt;預測IC!CZ$27,1,0)</f>
        <v>1</v>
      </c>
      <c r="DA16" s="11">
        <f>IF(預測IC!DA16&gt;預測IC!DA$27,1,0)</f>
        <v>1</v>
      </c>
      <c r="DB16" s="11">
        <f>IF(預測IC!DB16&gt;預測IC!DB$27,1,0)</f>
        <v>0</v>
      </c>
      <c r="DC16" s="11">
        <f>IF(預測IC!DC16&gt;預測IC!DC$27,1,0)</f>
        <v>1</v>
      </c>
      <c r="DD16" s="11">
        <f>IF(預測IC!DD16&gt;預測IC!DD$27,1,0)</f>
        <v>0</v>
      </c>
      <c r="DE16" s="11">
        <f>IF(預測IC!DE16&gt;預測IC!DE$27,1,0)</f>
        <v>0</v>
      </c>
      <c r="DF16" s="11">
        <f>IF(預測IC!DF16&gt;預測IC!DF$27,1,0)</f>
        <v>1</v>
      </c>
      <c r="DG16" s="11">
        <f>IF(預測IC!DG16&gt;預測IC!DG$27,1,0)</f>
        <v>0</v>
      </c>
      <c r="DH16" s="11">
        <f>IF(預測IC!DH16&gt;預測IC!DH$27,1,0)</f>
        <v>0</v>
      </c>
      <c r="DI16" s="11">
        <f>IF(預測IC!DI16&gt;預測IC!DI$27,1,0)</f>
        <v>1</v>
      </c>
      <c r="DJ16" s="11">
        <f>IF(預測IC!DJ16&gt;預測IC!DJ$27,1,0)</f>
        <v>1</v>
      </c>
      <c r="DK16" s="11">
        <f>IF(預測IC!DK16&gt;預測IC!DK$27,1,0)</f>
        <v>0</v>
      </c>
      <c r="DL16" s="11">
        <f>IF(預測IC!DL16&gt;預測IC!DL$27,1,0)</f>
        <v>0</v>
      </c>
      <c r="DM16" s="11">
        <f>IF(預測IC!DM16&gt;預測IC!DM$27,1,0)</f>
        <v>0</v>
      </c>
      <c r="DN16" s="11">
        <f>IF(預測IC!DN16&gt;預測IC!DN$27,1,0)</f>
        <v>1</v>
      </c>
      <c r="DO16" s="11">
        <f>IF(預測IC!DO16&gt;預測IC!DO$27,1,0)</f>
        <v>1</v>
      </c>
      <c r="DP16" s="11">
        <f>IF(預測IC!DP16&gt;預測IC!DP$27,1,0)</f>
        <v>1</v>
      </c>
      <c r="DQ16" s="11">
        <f>IF(預測IC!DQ16&gt;預測IC!DQ$27,1,0)</f>
        <v>0</v>
      </c>
      <c r="DR16" s="11">
        <f>IF(預測IC!DR16&gt;預測IC!DR$27,1,0)</f>
        <v>0</v>
      </c>
      <c r="DS16" s="11">
        <f>IF(預測IC!DS16&gt;預測IC!DS$27,1,0)</f>
        <v>1</v>
      </c>
      <c r="DT16" s="11">
        <f>IF(預測IC!DT16&gt;預測IC!DT$27,1,0)</f>
        <v>0</v>
      </c>
      <c r="DU16" s="11">
        <f>IF(預測IC!DU16&gt;預測IC!DU$27,1,0)</f>
        <v>0</v>
      </c>
      <c r="DV16" s="11">
        <f>IF(預測IC!DV16&gt;預測IC!DV$27,1,0)</f>
        <v>1</v>
      </c>
      <c r="DW16" s="11">
        <f>IF(預測IC!DW16&gt;預測IC!DW$27,1,0)</f>
        <v>1</v>
      </c>
      <c r="DX16" s="11">
        <f>IF(預測IC!DX16&gt;預測IC!DX$27,1,0)</f>
        <v>0</v>
      </c>
      <c r="DY16" s="11">
        <f>IF(預測IC!DY16&gt;預測IC!DY$27,1,0)</f>
        <v>1</v>
      </c>
      <c r="DZ16" s="11">
        <f>IF(預測IC!DZ16&gt;預測IC!DZ$27,1,0)</f>
        <v>1</v>
      </c>
      <c r="EA16" s="11">
        <f>IF(預測IC!EA16&gt;預測IC!EA$27,1,0)</f>
        <v>0</v>
      </c>
      <c r="EB16" s="11">
        <f>IF(預測IC!EB16&gt;預測IC!EB$27,1,0)</f>
        <v>0</v>
      </c>
      <c r="EC16" s="11">
        <f>IF(預測IC!EC16&gt;預測IC!EC$27,1,0)</f>
        <v>1</v>
      </c>
      <c r="ED16" s="11">
        <f>IF(預測IC!ED16&gt;預測IC!ED$27,1,0)</f>
        <v>1</v>
      </c>
      <c r="EE16" s="11">
        <f>IF(預測IC!EE16&gt;預測IC!EE$27,1,0)</f>
        <v>1</v>
      </c>
      <c r="EF16" s="11">
        <f>IF(預測IC!EF16&gt;預測IC!EF$27,1,0)</f>
        <v>1</v>
      </c>
      <c r="EG16" s="1">
        <f t="shared" si="6"/>
        <v>69</v>
      </c>
      <c r="EH16" s="46">
        <f t="shared" si="7"/>
        <v>0.5149253731343284</v>
      </c>
    </row>
    <row r="17" spans="1:138" ht="16" customHeight="1">
      <c r="A17" s="6">
        <v>100</v>
      </c>
      <c r="B17" s="6">
        <v>10</v>
      </c>
      <c r="C17" s="11">
        <f>IF(預測IC!C17&gt;預測IC!C$27,1,0)</f>
        <v>1</v>
      </c>
      <c r="D17" s="11">
        <f>IF(預測IC!D17&gt;預測IC!D$27,1,0)</f>
        <v>1</v>
      </c>
      <c r="E17" s="11">
        <f>IF(預測IC!E17&gt;預測IC!E$27,1,0)</f>
        <v>0</v>
      </c>
      <c r="F17" s="11">
        <f>IF(預測IC!F17&gt;預測IC!F$27,1,0)</f>
        <v>1</v>
      </c>
      <c r="G17" s="11">
        <f>IF(預測IC!G17&gt;預測IC!G$27,1,0)</f>
        <v>1</v>
      </c>
      <c r="H17" s="11">
        <f>IF(預測IC!H17&gt;預測IC!H$27,1,0)</f>
        <v>0</v>
      </c>
      <c r="I17" s="11">
        <f>IF(預測IC!I17&gt;預測IC!I$27,1,0)</f>
        <v>1</v>
      </c>
      <c r="J17" s="11">
        <f>IF(預測IC!J17&gt;預測IC!J$27,1,0)</f>
        <v>0</v>
      </c>
      <c r="K17" s="11">
        <f>IF(預測IC!K17&gt;預測IC!K$27,1,0)</f>
        <v>1</v>
      </c>
      <c r="L17" s="11">
        <f>IF(預測IC!L17&gt;預測IC!L$27,1,0)</f>
        <v>0</v>
      </c>
      <c r="M17" s="11">
        <f>IF(預測IC!M17&gt;預測IC!M$27,1,0)</f>
        <v>1</v>
      </c>
      <c r="N17" s="11">
        <f>IF(預測IC!N17&gt;預測IC!N$27,1,0)</f>
        <v>1</v>
      </c>
      <c r="O17" s="11">
        <f>IF(預測IC!O17&gt;預測IC!O$27,1,0)</f>
        <v>1</v>
      </c>
      <c r="P17" s="11">
        <f>IF(預測IC!P17&gt;預測IC!P$27,1,0)</f>
        <v>1</v>
      </c>
      <c r="Q17" s="11">
        <f>IF(預測IC!Q17&gt;預測IC!Q$27,1,0)</f>
        <v>1</v>
      </c>
      <c r="R17" s="11">
        <f>IF(預測IC!R17&gt;預測IC!R$27,1,0)</f>
        <v>1</v>
      </c>
      <c r="S17" s="11">
        <f>IF(預測IC!S17&gt;預測IC!S$27,1,0)</f>
        <v>0</v>
      </c>
      <c r="T17" s="11">
        <f>IF(預測IC!T17&gt;預測IC!T$27,1,0)</f>
        <v>1</v>
      </c>
      <c r="U17" s="11">
        <f>IF(預測IC!U17&gt;預測IC!U$27,1,0)</f>
        <v>1</v>
      </c>
      <c r="V17" s="11">
        <f>IF(預測IC!V17&gt;預測IC!V$27,1,0)</f>
        <v>1</v>
      </c>
      <c r="W17" s="11">
        <f>IF(預測IC!W17&gt;預測IC!W$27,1,0)</f>
        <v>0</v>
      </c>
      <c r="X17" s="11">
        <f>IF(預測IC!X17&gt;預測IC!X$27,1,0)</f>
        <v>1</v>
      </c>
      <c r="Y17" s="11">
        <f>IF(預測IC!Y17&gt;預測IC!Y$27,1,0)</f>
        <v>1</v>
      </c>
      <c r="Z17" s="11">
        <f>IF(預測IC!Z17&gt;預測IC!Z$27,1,0)</f>
        <v>1</v>
      </c>
      <c r="AA17" s="11">
        <f>IF(預測IC!AA17&gt;預測IC!AA$27,1,0)</f>
        <v>0</v>
      </c>
      <c r="AB17" s="11">
        <f>IF(預測IC!AB17&gt;預測IC!AB$27,1,0)</f>
        <v>0</v>
      </c>
      <c r="AC17" s="11">
        <f>IF(預測IC!AC17&gt;預測IC!AC$27,1,0)</f>
        <v>0</v>
      </c>
      <c r="AD17" s="11">
        <f>IF(預測IC!AD17&gt;預測IC!AD$27,1,0)</f>
        <v>0</v>
      </c>
      <c r="AE17" s="11">
        <f>IF(預測IC!AE17&gt;預測IC!AE$27,1,0)</f>
        <v>1</v>
      </c>
      <c r="AF17" s="11">
        <f>IF(預測IC!AF17&gt;預測IC!AF$27,1,0)</f>
        <v>1</v>
      </c>
      <c r="AG17" s="11">
        <f>IF(預測IC!AG17&gt;預測IC!AG$27,1,0)</f>
        <v>0</v>
      </c>
      <c r="AH17" s="11">
        <f>IF(預測IC!AH17&gt;預測IC!AH$27,1,0)</f>
        <v>1</v>
      </c>
      <c r="AI17" s="11">
        <f>IF(預測IC!AI17&gt;預測IC!AI$27,1,0)</f>
        <v>0</v>
      </c>
      <c r="AJ17" s="11">
        <f>IF(預測IC!AJ17&gt;預測IC!AJ$27,1,0)</f>
        <v>1</v>
      </c>
      <c r="AK17" s="11">
        <f>IF(預測IC!AK17&gt;預測IC!AK$27,1,0)</f>
        <v>1</v>
      </c>
      <c r="AL17" s="11">
        <f>IF(預測IC!AL17&gt;預測IC!AL$27,1,0)</f>
        <v>0</v>
      </c>
      <c r="AM17" s="11">
        <f>IF(預測IC!AM17&gt;預測IC!AM$27,1,0)</f>
        <v>1</v>
      </c>
      <c r="AN17" s="11">
        <f>IF(預測IC!AN17&gt;預測IC!AN$27,1,0)</f>
        <v>1</v>
      </c>
      <c r="AO17" s="11">
        <f>IF(預測IC!AO17&gt;預測IC!AO$27,1,0)</f>
        <v>0</v>
      </c>
      <c r="AP17" s="11">
        <f>IF(預測IC!AP17&gt;預測IC!AP$27,1,0)</f>
        <v>0</v>
      </c>
      <c r="AQ17" s="11">
        <f>IF(預測IC!AQ17&gt;預測IC!AQ$27,1,0)</f>
        <v>1</v>
      </c>
      <c r="AR17" s="11">
        <f>IF(預測IC!AR17&gt;預測IC!AR$27,1,0)</f>
        <v>0</v>
      </c>
      <c r="AS17" s="11">
        <f>IF(預測IC!AS17&gt;預測IC!AS$27,1,0)</f>
        <v>1</v>
      </c>
      <c r="AT17" s="11">
        <f>IF(預測IC!AT17&gt;預測IC!AT$27,1,0)</f>
        <v>0</v>
      </c>
      <c r="AU17" s="11">
        <f>IF(預測IC!AU17&gt;預測IC!AU$27,1,0)</f>
        <v>0</v>
      </c>
      <c r="AV17" s="11">
        <f>IF(預測IC!AV17&gt;預測IC!AV$27,1,0)</f>
        <v>0</v>
      </c>
      <c r="AW17" s="11">
        <f>IF(預測IC!AW17&gt;預測IC!AW$27,1,0)</f>
        <v>0</v>
      </c>
      <c r="AX17" s="11">
        <f>IF(預測IC!AX17&gt;預測IC!AX$27,1,0)</f>
        <v>1</v>
      </c>
      <c r="AY17" s="11">
        <f>IF(預測IC!AY17&gt;預測IC!AY$27,1,0)</f>
        <v>1</v>
      </c>
      <c r="AZ17" s="11">
        <f>IF(預測IC!AZ17&gt;預測IC!AZ$27,1,0)</f>
        <v>0</v>
      </c>
      <c r="BA17" s="11">
        <f>IF(預測IC!BA17&gt;預測IC!BA$27,1,0)</f>
        <v>1</v>
      </c>
      <c r="BB17" s="11">
        <f>IF(預測IC!BB17&gt;預測IC!BB$27,1,0)</f>
        <v>0</v>
      </c>
      <c r="BC17" s="11">
        <f>IF(預測IC!BC17&gt;預測IC!BC$27,1,0)</f>
        <v>0</v>
      </c>
      <c r="BD17" s="11">
        <f>IF(預測IC!BD17&gt;預測IC!BD$27,1,0)</f>
        <v>0</v>
      </c>
      <c r="BE17" s="11">
        <f>IF(預測IC!BE17&gt;預測IC!BE$27,1,0)</f>
        <v>1</v>
      </c>
      <c r="BF17" s="11">
        <f>IF(預測IC!BF17&gt;預測IC!BF$27,1,0)</f>
        <v>1</v>
      </c>
      <c r="BG17" s="11">
        <f>IF(預測IC!BG17&gt;預測IC!BG$27,1,0)</f>
        <v>1</v>
      </c>
      <c r="BH17" s="11">
        <f>IF(預測IC!BH17&gt;預測IC!BH$27,1,0)</f>
        <v>1</v>
      </c>
      <c r="BI17" s="11">
        <f>IF(預測IC!BI17&gt;預測IC!BI$27,1,0)</f>
        <v>0</v>
      </c>
      <c r="BJ17" s="11">
        <f>IF(預測IC!BJ17&gt;預測IC!BJ$27,1,0)</f>
        <v>1</v>
      </c>
      <c r="BK17" s="11">
        <f>IF(預測IC!BK17&gt;預測IC!BK$27,1,0)</f>
        <v>1</v>
      </c>
      <c r="BL17" s="11">
        <f>IF(預測IC!BL17&gt;預測IC!BL$27,1,0)</f>
        <v>0</v>
      </c>
      <c r="BM17" s="11">
        <f>IF(預測IC!BM17&gt;預測IC!BM$27,1,0)</f>
        <v>1</v>
      </c>
      <c r="BN17" s="11">
        <f>IF(預測IC!BN17&gt;預測IC!BN$27,1,0)</f>
        <v>0</v>
      </c>
      <c r="BO17" s="11">
        <f>IF(預測IC!BO17&gt;預測IC!BO$27,1,0)</f>
        <v>0</v>
      </c>
      <c r="BP17" s="11">
        <f>IF(預測IC!BP17&gt;預測IC!BP$27,1,0)</f>
        <v>1</v>
      </c>
      <c r="BQ17" s="11">
        <f>IF(預測IC!BQ17&gt;預測IC!BQ$27,1,0)</f>
        <v>0</v>
      </c>
      <c r="BR17" s="11">
        <f>IF(預測IC!BR17&gt;預測IC!BR$27,1,0)</f>
        <v>0</v>
      </c>
      <c r="BS17" s="11">
        <f>IF(預測IC!BS17&gt;預測IC!BS$27,1,0)</f>
        <v>0</v>
      </c>
      <c r="BT17" s="11">
        <f>IF(預測IC!BT17&gt;預測IC!BT$27,1,0)</f>
        <v>0</v>
      </c>
      <c r="BU17" s="11">
        <f>IF(預測IC!BU17&gt;預測IC!BU$27,1,0)</f>
        <v>0</v>
      </c>
      <c r="BV17" s="11">
        <f>IF(預測IC!BV17&gt;預測IC!BV$27,1,0)</f>
        <v>0</v>
      </c>
      <c r="BW17" s="11">
        <f>IF(預測IC!BW17&gt;預測IC!BW$27,1,0)</f>
        <v>1</v>
      </c>
      <c r="BX17" s="11">
        <f>IF(預測IC!BX17&gt;預測IC!BX$27,1,0)</f>
        <v>1</v>
      </c>
      <c r="BY17" s="11">
        <f>IF(預測IC!BY17&gt;預測IC!BY$27,1,0)</f>
        <v>1</v>
      </c>
      <c r="BZ17" s="11">
        <f>IF(預測IC!BZ17&gt;預測IC!BZ$27,1,0)</f>
        <v>0</v>
      </c>
      <c r="CA17" s="11">
        <f>IF(預測IC!CA17&gt;預測IC!CA$27,1,0)</f>
        <v>0</v>
      </c>
      <c r="CB17" s="11">
        <f>IF(預測IC!CB17&gt;預測IC!CB$27,1,0)</f>
        <v>0</v>
      </c>
      <c r="CC17" s="11">
        <f>IF(預測IC!CC17&gt;預測IC!CC$27,1,0)</f>
        <v>0</v>
      </c>
      <c r="CD17" s="11">
        <f>IF(預測IC!CD17&gt;預測IC!CD$27,1,0)</f>
        <v>0</v>
      </c>
      <c r="CE17" s="11">
        <f>IF(預測IC!CE17&gt;預測IC!CE$27,1,0)</f>
        <v>0</v>
      </c>
      <c r="CF17" s="11">
        <f>IF(預測IC!CF17&gt;預測IC!CF$27,1,0)</f>
        <v>0</v>
      </c>
      <c r="CG17" s="11">
        <f>IF(預測IC!CG17&gt;預測IC!CG$27,1,0)</f>
        <v>1</v>
      </c>
      <c r="CH17" s="11">
        <f>IF(預測IC!CH17&gt;預測IC!CH$27,1,0)</f>
        <v>0</v>
      </c>
      <c r="CI17" s="11">
        <f>IF(預測IC!CI17&gt;預測IC!CI$27,1,0)</f>
        <v>0</v>
      </c>
      <c r="CJ17" s="11">
        <f>IF(預測IC!CJ17&gt;預測IC!CJ$27,1,0)</f>
        <v>0</v>
      </c>
      <c r="CK17" s="11">
        <f>IF(預測IC!CK17&gt;預測IC!CK$27,1,0)</f>
        <v>0</v>
      </c>
      <c r="CL17" s="11">
        <f>IF(預測IC!CL17&gt;預測IC!CL$27,1,0)</f>
        <v>1</v>
      </c>
      <c r="CM17" s="11">
        <f>IF(預測IC!CM17&gt;預測IC!CM$27,1,0)</f>
        <v>0</v>
      </c>
      <c r="CN17" s="11">
        <f>IF(預測IC!CN17&gt;預測IC!CN$27,1,0)</f>
        <v>0</v>
      </c>
      <c r="CO17" s="11">
        <f>IF(預測IC!CO17&gt;預測IC!CO$27,1,0)</f>
        <v>1</v>
      </c>
      <c r="CP17" s="11">
        <f>IF(預測IC!CP17&gt;預測IC!CP$27,1,0)</f>
        <v>0</v>
      </c>
      <c r="CQ17" s="11">
        <f>IF(預測IC!CQ17&gt;預測IC!CQ$27,1,0)</f>
        <v>1</v>
      </c>
      <c r="CR17" s="11">
        <f>IF(預測IC!CR17&gt;預測IC!CR$27,1,0)</f>
        <v>0</v>
      </c>
      <c r="CS17" s="11">
        <f>IF(預測IC!CS17&gt;預測IC!CS$27,1,0)</f>
        <v>0</v>
      </c>
      <c r="CT17" s="11">
        <f>IF(預測IC!CT17&gt;預測IC!CT$27,1,0)</f>
        <v>0</v>
      </c>
      <c r="CU17" s="11">
        <f>IF(預測IC!CU17&gt;預測IC!CU$27,1,0)</f>
        <v>1</v>
      </c>
      <c r="CV17" s="11">
        <f>IF(預測IC!CV17&gt;預測IC!CV$27,1,0)</f>
        <v>0</v>
      </c>
      <c r="CW17" s="11">
        <f>IF(預測IC!CW17&gt;預測IC!CW$27,1,0)</f>
        <v>0</v>
      </c>
      <c r="CX17" s="11">
        <f>IF(預測IC!CX17&gt;預測IC!CX$27,1,0)</f>
        <v>1</v>
      </c>
      <c r="CY17" s="11">
        <f>IF(預測IC!CY17&gt;預測IC!CY$27,1,0)</f>
        <v>1</v>
      </c>
      <c r="CZ17" s="11">
        <f>IF(預測IC!CZ17&gt;預測IC!CZ$27,1,0)</f>
        <v>1</v>
      </c>
      <c r="DA17" s="11">
        <f>IF(預測IC!DA17&gt;預測IC!DA$27,1,0)</f>
        <v>1</v>
      </c>
      <c r="DB17" s="11">
        <f>IF(預測IC!DB17&gt;預測IC!DB$27,1,0)</f>
        <v>0</v>
      </c>
      <c r="DC17" s="11">
        <f>IF(預測IC!DC17&gt;預測IC!DC$27,1,0)</f>
        <v>1</v>
      </c>
      <c r="DD17" s="11">
        <f>IF(預測IC!DD17&gt;預測IC!DD$27,1,0)</f>
        <v>0</v>
      </c>
      <c r="DE17" s="11">
        <f>IF(預測IC!DE17&gt;預測IC!DE$27,1,0)</f>
        <v>0</v>
      </c>
      <c r="DF17" s="11">
        <f>IF(預測IC!DF17&gt;預測IC!DF$27,1,0)</f>
        <v>1</v>
      </c>
      <c r="DG17" s="11">
        <f>IF(預測IC!DG17&gt;預測IC!DG$27,1,0)</f>
        <v>0</v>
      </c>
      <c r="DH17" s="11">
        <f>IF(預測IC!DH17&gt;預測IC!DH$27,1,0)</f>
        <v>1</v>
      </c>
      <c r="DI17" s="11">
        <f>IF(預測IC!DI17&gt;預測IC!DI$27,1,0)</f>
        <v>1</v>
      </c>
      <c r="DJ17" s="11">
        <f>IF(預測IC!DJ17&gt;預測IC!DJ$27,1,0)</f>
        <v>1</v>
      </c>
      <c r="DK17" s="11">
        <f>IF(預測IC!DK17&gt;預測IC!DK$27,1,0)</f>
        <v>0</v>
      </c>
      <c r="DL17" s="11">
        <f>IF(預測IC!DL17&gt;預測IC!DL$27,1,0)</f>
        <v>0</v>
      </c>
      <c r="DM17" s="11">
        <f>IF(預測IC!DM17&gt;預測IC!DM$27,1,0)</f>
        <v>0</v>
      </c>
      <c r="DN17" s="11">
        <f>IF(預測IC!DN17&gt;預測IC!DN$27,1,0)</f>
        <v>1</v>
      </c>
      <c r="DO17" s="11">
        <v>1</v>
      </c>
      <c r="DP17" s="11">
        <f>IF(預測IC!DP17&gt;預測IC!DP$27,1,0)</f>
        <v>1</v>
      </c>
      <c r="DQ17" s="11">
        <v>1</v>
      </c>
      <c r="DR17" s="11">
        <f>IF(預測IC!DR17&gt;預測IC!DR$27,1,0)</f>
        <v>0</v>
      </c>
      <c r="DS17" s="11">
        <f>IF(預測IC!DS17&gt;預測IC!DS$27,1,0)</f>
        <v>1</v>
      </c>
      <c r="DT17" s="11">
        <f>IF(預測IC!DT17&gt;預測IC!DT$27,1,0)</f>
        <v>0</v>
      </c>
      <c r="DU17" s="11">
        <f>IF(預測IC!DU17&gt;預測IC!DU$27,1,0)</f>
        <v>0</v>
      </c>
      <c r="DV17" s="11">
        <v>1</v>
      </c>
      <c r="DW17" s="11">
        <f>IF(預測IC!DW17&gt;預測IC!DW$27,1,0)</f>
        <v>1</v>
      </c>
      <c r="DX17" s="11">
        <f>IF(預測IC!DX17&gt;預測IC!DX$27,1,0)</f>
        <v>0</v>
      </c>
      <c r="DY17" s="11">
        <f>IF(預測IC!DY17&gt;預測IC!DY$27,1,0)</f>
        <v>1</v>
      </c>
      <c r="DZ17" s="11">
        <f>IF(預測IC!DZ17&gt;預測IC!DZ$27,1,0)</f>
        <v>1</v>
      </c>
      <c r="EA17" s="11">
        <f>IF(預測IC!EA17&gt;預測IC!EA$27,1,0)</f>
        <v>0</v>
      </c>
      <c r="EB17" s="11">
        <f>IF(預測IC!EB17&gt;預測IC!EB$27,1,0)</f>
        <v>1</v>
      </c>
      <c r="EC17" s="11">
        <f>IF(預測IC!EC17&gt;預測IC!EC$27,1,0)</f>
        <v>1</v>
      </c>
      <c r="ED17" s="11">
        <v>1</v>
      </c>
      <c r="EE17" s="11">
        <f>IF(預測IC!EE17&gt;預測IC!EE$27,1,0)</f>
        <v>1</v>
      </c>
      <c r="EF17" s="11">
        <f>IF(預測IC!EF17&gt;預測IC!EF$27,1,0)</f>
        <v>1</v>
      </c>
      <c r="EG17" s="1">
        <f t="shared" si="6"/>
        <v>69</v>
      </c>
      <c r="EH17" s="46">
        <f t="shared" si="7"/>
        <v>0.5149253731343284</v>
      </c>
    </row>
    <row r="18" spans="1:138" ht="16" customHeight="1">
      <c r="A18" s="6">
        <v>107</v>
      </c>
      <c r="B18" s="6">
        <v>9</v>
      </c>
      <c r="C18" s="11">
        <f>IF(預測IC!C18&gt;預測IC!C$27,1,0)</f>
        <v>1</v>
      </c>
      <c r="D18" s="11">
        <f>IF(預測IC!D18&gt;預測IC!D$27,1,0)</f>
        <v>1</v>
      </c>
      <c r="E18" s="11">
        <f>IF(預測IC!E18&gt;預測IC!E$27,1,0)</f>
        <v>0</v>
      </c>
      <c r="F18" s="11">
        <f>IF(預測IC!F18&gt;預測IC!F$27,1,0)</f>
        <v>0</v>
      </c>
      <c r="G18" s="11">
        <f>IF(預測IC!G18&gt;預測IC!G$27,1,0)</f>
        <v>1</v>
      </c>
      <c r="H18" s="11">
        <f>IF(預測IC!H18&gt;預測IC!H$27,1,0)</f>
        <v>0</v>
      </c>
      <c r="I18" s="11">
        <f>IF(預測IC!I18&gt;預測IC!I$27,1,0)</f>
        <v>0</v>
      </c>
      <c r="J18" s="11">
        <f>IF(預測IC!J18&gt;預測IC!J$27,1,0)</f>
        <v>0</v>
      </c>
      <c r="K18" s="11">
        <f>IF(預測IC!K18&gt;預測IC!K$27,1,0)</f>
        <v>0</v>
      </c>
      <c r="L18" s="11">
        <f>IF(預測IC!L18&gt;預測IC!L$27,1,0)</f>
        <v>1</v>
      </c>
      <c r="M18" s="11">
        <f>IF(預測IC!M18&gt;預測IC!M$27,1,0)</f>
        <v>1</v>
      </c>
      <c r="N18" s="11">
        <f>IF(預測IC!N18&gt;預測IC!N$27,1,0)</f>
        <v>1</v>
      </c>
      <c r="O18" s="11">
        <f>IF(預測IC!O18&gt;預測IC!O$27,1,0)</f>
        <v>1</v>
      </c>
      <c r="P18" s="11">
        <f>IF(預測IC!P18&gt;預測IC!P$27,1,0)</f>
        <v>0</v>
      </c>
      <c r="Q18" s="11">
        <f>IF(預測IC!Q18&gt;預測IC!Q$27,1,0)</f>
        <v>1</v>
      </c>
      <c r="R18" s="11">
        <f>IF(預測IC!R18&gt;預測IC!R$27,1,0)</f>
        <v>1</v>
      </c>
      <c r="S18" s="11">
        <f>IF(預測IC!S18&gt;預測IC!S$27,1,0)</f>
        <v>0</v>
      </c>
      <c r="T18" s="11">
        <f>IF(預測IC!T18&gt;預測IC!T$27,1,0)</f>
        <v>1</v>
      </c>
      <c r="U18" s="11">
        <f>IF(預測IC!U18&gt;預測IC!U$27,1,0)</f>
        <v>0</v>
      </c>
      <c r="V18" s="11">
        <f>IF(預測IC!V18&gt;預測IC!V$27,1,0)</f>
        <v>1</v>
      </c>
      <c r="W18" s="11">
        <f>IF(預測IC!W18&gt;預測IC!W$27,1,0)</f>
        <v>0</v>
      </c>
      <c r="X18" s="11">
        <f>IF(預測IC!X18&gt;預測IC!X$27,1,0)</f>
        <v>1</v>
      </c>
      <c r="Y18" s="11">
        <f>IF(預測IC!Y18&gt;預測IC!Y$27,1,0)</f>
        <v>0</v>
      </c>
      <c r="Z18" s="11">
        <f>IF(預測IC!Z18&gt;預測IC!Z$27,1,0)</f>
        <v>1</v>
      </c>
      <c r="AA18" s="11">
        <f>IF(預測IC!AA18&gt;預測IC!AA$27,1,0)</f>
        <v>1</v>
      </c>
      <c r="AB18" s="11">
        <f>IF(預測IC!AB18&gt;預測IC!AB$27,1,0)</f>
        <v>0</v>
      </c>
      <c r="AC18" s="11">
        <f>IF(預測IC!AC18&gt;預測IC!AC$27,1,0)</f>
        <v>0</v>
      </c>
      <c r="AD18" s="11">
        <f>IF(預測IC!AD18&gt;預測IC!AD$27,1,0)</f>
        <v>0</v>
      </c>
      <c r="AE18" s="11">
        <f>IF(預測IC!AE18&gt;預測IC!AE$27,1,0)</f>
        <v>1</v>
      </c>
      <c r="AF18" s="11">
        <f>IF(預測IC!AF18&gt;預測IC!AF$27,1,0)</f>
        <v>0</v>
      </c>
      <c r="AG18" s="11">
        <f>IF(預測IC!AG18&gt;預測IC!AG$27,1,0)</f>
        <v>0</v>
      </c>
      <c r="AH18" s="11">
        <f>IF(預測IC!AH18&gt;預測IC!AH$27,1,0)</f>
        <v>1</v>
      </c>
      <c r="AI18" s="11">
        <f>IF(預測IC!AI18&gt;預測IC!AI$27,1,0)</f>
        <v>0</v>
      </c>
      <c r="AJ18" s="11">
        <f>IF(預測IC!AJ18&gt;預測IC!AJ$27,1,0)</f>
        <v>1</v>
      </c>
      <c r="AK18" s="11">
        <f>IF(預測IC!AK18&gt;預測IC!AK$27,1,0)</f>
        <v>1</v>
      </c>
      <c r="AL18" s="11">
        <f>IF(預測IC!AL18&gt;預測IC!AL$27,1,0)</f>
        <v>0</v>
      </c>
      <c r="AM18" s="11">
        <f>IF(預測IC!AM18&gt;預測IC!AM$27,1,0)</f>
        <v>1</v>
      </c>
      <c r="AN18" s="11">
        <f>IF(預測IC!AN18&gt;預測IC!AN$27,1,0)</f>
        <v>1</v>
      </c>
      <c r="AO18" s="11">
        <f>IF(預測IC!AO18&gt;預測IC!AO$27,1,0)</f>
        <v>0</v>
      </c>
      <c r="AP18" s="11">
        <f>IF(預測IC!AP18&gt;預測IC!AP$27,1,0)</f>
        <v>0</v>
      </c>
      <c r="AQ18" s="11">
        <f>IF(預測IC!AQ18&gt;預測IC!AQ$27,1,0)</f>
        <v>1</v>
      </c>
      <c r="AR18" s="11">
        <f>IF(預測IC!AR18&gt;預測IC!AR$27,1,0)</f>
        <v>0</v>
      </c>
      <c r="AS18" s="11">
        <f>IF(預測IC!AS18&gt;預測IC!AS$27,1,0)</f>
        <v>1</v>
      </c>
      <c r="AT18" s="11">
        <f>IF(預測IC!AT18&gt;預測IC!AT$27,1,0)</f>
        <v>0</v>
      </c>
      <c r="AU18" s="11">
        <f>IF(預測IC!AU18&gt;預測IC!AU$27,1,0)</f>
        <v>0</v>
      </c>
      <c r="AV18" s="11">
        <f>IF(預測IC!AV18&gt;預測IC!AV$27,1,0)</f>
        <v>0</v>
      </c>
      <c r="AW18" s="11">
        <f>IF(預測IC!AW18&gt;預測IC!AW$27,1,0)</f>
        <v>0</v>
      </c>
      <c r="AX18" s="11">
        <f>IF(預測IC!AX18&gt;預測IC!AX$27,1,0)</f>
        <v>1</v>
      </c>
      <c r="AY18" s="11">
        <f>IF(預測IC!AY18&gt;預測IC!AY$27,1,0)</f>
        <v>1</v>
      </c>
      <c r="AZ18" s="11">
        <f>IF(預測IC!AZ18&gt;預測IC!AZ$27,1,0)</f>
        <v>0</v>
      </c>
      <c r="BA18" s="11">
        <f>IF(預測IC!BA18&gt;預測IC!BA$27,1,0)</f>
        <v>1</v>
      </c>
      <c r="BB18" s="11">
        <f>IF(預測IC!BB18&gt;預測IC!BB$27,1,0)</f>
        <v>0</v>
      </c>
      <c r="BC18" s="11">
        <f>IF(預測IC!BC18&gt;預測IC!BC$27,1,0)</f>
        <v>0</v>
      </c>
      <c r="BD18" s="11">
        <f>IF(預測IC!BD18&gt;預測IC!BD$27,1,0)</f>
        <v>1</v>
      </c>
      <c r="BE18" s="11">
        <f>IF(預測IC!BE18&gt;預測IC!BE$27,1,0)</f>
        <v>1</v>
      </c>
      <c r="BF18" s="11">
        <f>IF(預測IC!BF18&gt;預測IC!BF$27,1,0)</f>
        <v>1</v>
      </c>
      <c r="BG18" s="11">
        <f>IF(預測IC!BG18&gt;預測IC!BG$27,1,0)</f>
        <v>1</v>
      </c>
      <c r="BH18" s="11">
        <f>IF(預測IC!BH18&gt;預測IC!BH$27,1,0)</f>
        <v>1</v>
      </c>
      <c r="BI18" s="11">
        <f>IF(預測IC!BI18&gt;預測IC!BI$27,1,0)</f>
        <v>0</v>
      </c>
      <c r="BJ18" s="11">
        <f>IF(預測IC!BJ18&gt;預測IC!BJ$27,1,0)</f>
        <v>1</v>
      </c>
      <c r="BK18" s="11">
        <f>IF(預測IC!BK18&gt;預測IC!BK$27,1,0)</f>
        <v>1</v>
      </c>
      <c r="BL18" s="11">
        <f>IF(預測IC!BL18&gt;預測IC!BL$27,1,0)</f>
        <v>0</v>
      </c>
      <c r="BM18" s="11">
        <f>IF(預測IC!BM18&gt;預測IC!BM$27,1,0)</f>
        <v>1</v>
      </c>
      <c r="BN18" s="11">
        <f>IF(預測IC!BN18&gt;預測IC!BN$27,1,0)</f>
        <v>0</v>
      </c>
      <c r="BO18" s="11">
        <f>IF(預測IC!BO18&gt;預測IC!BO$27,1,0)</f>
        <v>0</v>
      </c>
      <c r="BP18" s="11">
        <f>IF(預測IC!BP18&gt;預測IC!BP$27,1,0)</f>
        <v>1</v>
      </c>
      <c r="BQ18" s="11">
        <f>IF(預測IC!BQ18&gt;預測IC!BQ$27,1,0)</f>
        <v>0</v>
      </c>
      <c r="BR18" s="11">
        <f>IF(預測IC!BR18&gt;預測IC!BR$27,1,0)</f>
        <v>0</v>
      </c>
      <c r="BS18" s="11">
        <f>IF(預測IC!BS18&gt;預測IC!BS$27,1,0)</f>
        <v>0</v>
      </c>
      <c r="BT18" s="11">
        <f>IF(預測IC!BT18&gt;預測IC!BT$27,1,0)</f>
        <v>0</v>
      </c>
      <c r="BU18" s="11">
        <f>IF(預測IC!BU18&gt;預測IC!BU$27,1,0)</f>
        <v>0</v>
      </c>
      <c r="BV18" s="11">
        <f>IF(預測IC!BV18&gt;預測IC!BV$27,1,0)</f>
        <v>0</v>
      </c>
      <c r="BW18" s="11">
        <f>IF(預測IC!BW18&gt;預測IC!BW$27,1,0)</f>
        <v>1</v>
      </c>
      <c r="BX18" s="11">
        <f>IF(預測IC!BX18&gt;預測IC!BX$27,1,0)</f>
        <v>1</v>
      </c>
      <c r="BY18" s="11">
        <f>IF(預測IC!BY18&gt;預測IC!BY$27,1,0)</f>
        <v>1</v>
      </c>
      <c r="BZ18" s="11">
        <f>IF(預測IC!BZ18&gt;預測IC!BZ$27,1,0)</f>
        <v>0</v>
      </c>
      <c r="CA18" s="11">
        <f>IF(預測IC!CA18&gt;預測IC!CA$27,1,0)</f>
        <v>0</v>
      </c>
      <c r="CB18" s="11">
        <f>IF(預測IC!CB18&gt;預測IC!CB$27,1,0)</f>
        <v>0</v>
      </c>
      <c r="CC18" s="11">
        <f>IF(預測IC!CC18&gt;預測IC!CC$27,1,0)</f>
        <v>0</v>
      </c>
      <c r="CD18" s="11">
        <f>IF(預測IC!CD18&gt;預測IC!CD$27,1,0)</f>
        <v>0</v>
      </c>
      <c r="CE18" s="11">
        <f>IF(預測IC!CE18&gt;預測IC!CE$27,1,0)</f>
        <v>0</v>
      </c>
      <c r="CF18" s="11">
        <f>IF(預測IC!CF18&gt;預測IC!CF$27,1,0)</f>
        <v>0</v>
      </c>
      <c r="CG18" s="11">
        <f>IF(預測IC!CG18&gt;預測IC!CG$27,1,0)</f>
        <v>1</v>
      </c>
      <c r="CH18" s="11">
        <f>IF(預測IC!CH18&gt;預測IC!CH$27,1,0)</f>
        <v>0</v>
      </c>
      <c r="CI18" s="11">
        <f>IF(預測IC!CI18&gt;預測IC!CI$27,1,0)</f>
        <v>0</v>
      </c>
      <c r="CJ18" s="11">
        <f>IF(預測IC!CJ18&gt;預測IC!CJ$27,1,0)</f>
        <v>1</v>
      </c>
      <c r="CK18" s="11">
        <f>IF(預測IC!CK18&gt;預測IC!CK$27,1,0)</f>
        <v>0</v>
      </c>
      <c r="CL18" s="11">
        <f>IF(預測IC!CL18&gt;預測IC!CL$27,1,0)</f>
        <v>0</v>
      </c>
      <c r="CM18" s="11">
        <f>IF(預測IC!CM18&gt;預測IC!CM$27,1,0)</f>
        <v>0</v>
      </c>
      <c r="CN18" s="11">
        <f>IF(預測IC!CN18&gt;預測IC!CN$27,1,0)</f>
        <v>0</v>
      </c>
      <c r="CO18" s="11">
        <f>IF(預測IC!CO18&gt;預測IC!CO$27,1,0)</f>
        <v>1</v>
      </c>
      <c r="CP18" s="11">
        <f>IF(預測IC!CP18&gt;預測IC!CP$27,1,0)</f>
        <v>0</v>
      </c>
      <c r="CQ18" s="11">
        <f>IF(預測IC!CQ18&gt;預測IC!CQ$27,1,0)</f>
        <v>1</v>
      </c>
      <c r="CR18" s="11">
        <f>IF(預測IC!CR18&gt;預測IC!CR$27,1,0)</f>
        <v>0</v>
      </c>
      <c r="CS18" s="11">
        <f>IF(預測IC!CS18&gt;預測IC!CS$27,1,0)</f>
        <v>0</v>
      </c>
      <c r="CT18" s="11">
        <f>IF(預測IC!CT18&gt;預測IC!CT$27,1,0)</f>
        <v>0</v>
      </c>
      <c r="CU18" s="11">
        <f>IF(預測IC!CU18&gt;預測IC!CU$27,1,0)</f>
        <v>1</v>
      </c>
      <c r="CV18" s="11">
        <f>IF(預測IC!CV18&gt;預測IC!CV$27,1,0)</f>
        <v>0</v>
      </c>
      <c r="CW18" s="11">
        <f>IF(預測IC!CW18&gt;預測IC!CW$27,1,0)</f>
        <v>0</v>
      </c>
      <c r="CX18" s="11">
        <f>IF(預測IC!CX18&gt;預測IC!CX$27,1,0)</f>
        <v>1</v>
      </c>
      <c r="CY18" s="11">
        <f>IF(預測IC!CY18&gt;預測IC!CY$27,1,0)</f>
        <v>1</v>
      </c>
      <c r="CZ18" s="11">
        <f>IF(預測IC!CZ18&gt;預測IC!CZ$27,1,0)</f>
        <v>1</v>
      </c>
      <c r="DA18" s="11">
        <f>IF(預測IC!DA18&gt;預測IC!DA$27,1,0)</f>
        <v>1</v>
      </c>
      <c r="DB18" s="11">
        <f>IF(預測IC!DB18&gt;預測IC!DB$27,1,0)</f>
        <v>0</v>
      </c>
      <c r="DC18" s="11">
        <f>IF(預測IC!DC18&gt;預測IC!DC$27,1,0)</f>
        <v>1</v>
      </c>
      <c r="DD18" s="11">
        <f>IF(預測IC!DD18&gt;預測IC!DD$27,1,0)</f>
        <v>0</v>
      </c>
      <c r="DE18" s="11">
        <f>IF(預測IC!DE18&gt;預測IC!DE$27,1,0)</f>
        <v>0</v>
      </c>
      <c r="DF18" s="11">
        <f>IF(預測IC!DF18&gt;預測IC!DF$27,1,0)</f>
        <v>1</v>
      </c>
      <c r="DG18" s="11">
        <f>IF(預測IC!DG18&gt;預測IC!DG$27,1,0)</f>
        <v>0</v>
      </c>
      <c r="DH18" s="11">
        <f>IF(預測IC!DH18&gt;預測IC!DH$27,1,0)</f>
        <v>1</v>
      </c>
      <c r="DI18" s="11">
        <f>IF(預測IC!DI18&gt;預測IC!DI$27,1,0)</f>
        <v>1</v>
      </c>
      <c r="DJ18" s="11">
        <f>IF(預測IC!DJ18&gt;預測IC!DJ$27,1,0)</f>
        <v>1</v>
      </c>
      <c r="DK18" s="11">
        <f>IF(預測IC!DK18&gt;預測IC!DK$27,1,0)</f>
        <v>0</v>
      </c>
      <c r="DL18" s="11">
        <f>IF(預測IC!DL18&gt;預測IC!DL$27,1,0)</f>
        <v>0</v>
      </c>
      <c r="DM18" s="11">
        <f>IF(預測IC!DM18&gt;預測IC!DM$27,1,0)</f>
        <v>0</v>
      </c>
      <c r="DN18" s="11">
        <f>IF(預測IC!DN18&gt;預測IC!DN$27,1,0)</f>
        <v>1</v>
      </c>
      <c r="DO18" s="11">
        <f>IF(預測IC!DO18&gt;預測IC!DO$27,1,0)</f>
        <v>0</v>
      </c>
      <c r="DP18" s="11">
        <f>IF(預測IC!DP18&gt;預測IC!DP$27,1,0)</f>
        <v>1</v>
      </c>
      <c r="DQ18" s="11">
        <f>IF(預測IC!DQ18&gt;預測IC!DQ$27,1,0)</f>
        <v>0</v>
      </c>
      <c r="DR18" s="11">
        <f>IF(預測IC!DR18&gt;預測IC!DR$27,1,0)</f>
        <v>0</v>
      </c>
      <c r="DS18" s="11">
        <f>IF(預測IC!DS18&gt;預測IC!DS$27,1,0)</f>
        <v>1</v>
      </c>
      <c r="DT18" s="11">
        <f>IF(預測IC!DT18&gt;預測IC!DT$27,1,0)</f>
        <v>0</v>
      </c>
      <c r="DU18" s="11">
        <f>IF(預測IC!DU18&gt;預測IC!DU$27,1,0)</f>
        <v>1</v>
      </c>
      <c r="DV18" s="11">
        <f>IF(預測IC!DV18&gt;預測IC!DV$27,1,0)</f>
        <v>1</v>
      </c>
      <c r="DW18" s="11">
        <f>IF(預測IC!DW18&gt;預測IC!DW$27,1,0)</f>
        <v>1</v>
      </c>
      <c r="DX18" s="11">
        <f>IF(預測IC!DX18&gt;預測IC!DX$27,1,0)</f>
        <v>0</v>
      </c>
      <c r="DY18" s="11">
        <f>IF(預測IC!DY18&gt;預測IC!DY$27,1,0)</f>
        <v>1</v>
      </c>
      <c r="DZ18" s="11">
        <f>IF(預測IC!DZ18&gt;預測IC!DZ$27,1,0)</f>
        <v>1</v>
      </c>
      <c r="EA18" s="11">
        <f>IF(預測IC!EA18&gt;預測IC!EA$27,1,0)</f>
        <v>0</v>
      </c>
      <c r="EB18" s="11">
        <f>IF(預測IC!EB18&gt;預測IC!EB$27,1,0)</f>
        <v>1</v>
      </c>
      <c r="EC18" s="11">
        <f>IF(預測IC!EC18&gt;預測IC!EC$27,1,0)</f>
        <v>1</v>
      </c>
      <c r="ED18" s="11">
        <v>1</v>
      </c>
      <c r="EE18" s="11">
        <v>1</v>
      </c>
      <c r="EF18" s="11">
        <f>IF(預測IC!EF18&gt;預測IC!EF$27,1,0)</f>
        <v>1</v>
      </c>
      <c r="EG18" s="1">
        <f t="shared" si="6"/>
        <v>64</v>
      </c>
      <c r="EH18" s="46">
        <f t="shared" si="7"/>
        <v>0.47761194029850745</v>
      </c>
    </row>
    <row r="19" spans="1:138" ht="16" customHeight="1">
      <c r="A19" s="6">
        <v>120</v>
      </c>
      <c r="B19" s="6">
        <v>8</v>
      </c>
      <c r="C19" s="11">
        <f>IF(預測IC!C19&gt;預測IC!C$27,1,0)</f>
        <v>1</v>
      </c>
      <c r="D19" s="11">
        <f>IF(預測IC!D19&gt;預測IC!D$27,1,0)</f>
        <v>1</v>
      </c>
      <c r="E19" s="11">
        <f>IF(預測IC!E19&gt;預測IC!E$27,1,0)</f>
        <v>1</v>
      </c>
      <c r="F19" s="11">
        <f>IF(預測IC!F19&gt;預測IC!F$27,1,0)</f>
        <v>1</v>
      </c>
      <c r="G19" s="11">
        <f>IF(預測IC!G19&gt;預測IC!G$27,1,0)</f>
        <v>1</v>
      </c>
      <c r="H19" s="11">
        <f>IF(預測IC!H19&gt;預測IC!H$27,1,0)</f>
        <v>0</v>
      </c>
      <c r="I19" s="11">
        <f>IF(預測IC!I19&gt;預測IC!I$27,1,0)</f>
        <v>0</v>
      </c>
      <c r="J19" s="11">
        <f>IF(預測IC!J19&gt;預測IC!J$27,1,0)</f>
        <v>0</v>
      </c>
      <c r="K19" s="11">
        <f>IF(預測IC!K19&gt;預測IC!K$27,1,0)</f>
        <v>0</v>
      </c>
      <c r="L19" s="11">
        <f>IF(預測IC!L19&gt;預測IC!L$27,1,0)</f>
        <v>1</v>
      </c>
      <c r="M19" s="11">
        <f>IF(預測IC!M19&gt;預測IC!M$27,1,0)</f>
        <v>1</v>
      </c>
      <c r="N19" s="11">
        <f>IF(預測IC!N19&gt;預測IC!N$27,1,0)</f>
        <v>1</v>
      </c>
      <c r="O19" s="11">
        <f>IF(預測IC!O19&gt;預測IC!O$27,1,0)</f>
        <v>1</v>
      </c>
      <c r="P19" s="11">
        <f>IF(預測IC!P19&gt;預測IC!P$27,1,0)</f>
        <v>1</v>
      </c>
      <c r="Q19" s="11">
        <f>IF(預測IC!Q19&gt;預測IC!Q$27,1,0)</f>
        <v>1</v>
      </c>
      <c r="R19" s="11">
        <f>IF(預測IC!R19&gt;預測IC!R$27,1,0)</f>
        <v>1</v>
      </c>
      <c r="S19" s="11">
        <f>IF(預測IC!S19&gt;預測IC!S$27,1,0)</f>
        <v>0</v>
      </c>
      <c r="T19" s="11">
        <f>IF(預測IC!T19&gt;預測IC!T$27,1,0)</f>
        <v>1</v>
      </c>
      <c r="U19" s="11">
        <f>IF(預測IC!U19&gt;預測IC!U$27,1,0)</f>
        <v>0</v>
      </c>
      <c r="V19" s="11">
        <f>IF(預測IC!V19&gt;預測IC!V$27,1,0)</f>
        <v>1</v>
      </c>
      <c r="W19" s="11">
        <f>IF(預測IC!W19&gt;預測IC!W$27,1,0)</f>
        <v>0</v>
      </c>
      <c r="X19" s="11">
        <f>IF(預測IC!X19&gt;預測IC!X$27,1,0)</f>
        <v>1</v>
      </c>
      <c r="Y19" s="11">
        <f>IF(預測IC!Y19&gt;預測IC!Y$27,1,0)</f>
        <v>0</v>
      </c>
      <c r="Z19" s="11">
        <f>IF(預測IC!Z19&gt;預測IC!Z$27,1,0)</f>
        <v>1</v>
      </c>
      <c r="AA19" s="11">
        <f>IF(預測IC!AA19&gt;預測IC!AA$27,1,0)</f>
        <v>1</v>
      </c>
      <c r="AB19" s="11">
        <f>IF(預測IC!AB19&gt;預測IC!AB$27,1,0)</f>
        <v>1</v>
      </c>
      <c r="AC19" s="11">
        <f>IF(預測IC!AC19&gt;預測IC!AC$27,1,0)</f>
        <v>1</v>
      </c>
      <c r="AD19" s="11">
        <f>IF(預測IC!AD19&gt;預測IC!AD$27,1,0)</f>
        <v>1</v>
      </c>
      <c r="AE19" s="11">
        <f>IF(預測IC!AE19&gt;預測IC!AE$27,1,0)</f>
        <v>1</v>
      </c>
      <c r="AF19" s="11">
        <f>IF(預測IC!AF19&gt;預測IC!AF$27,1,0)</f>
        <v>1</v>
      </c>
      <c r="AG19" s="11">
        <f>IF(預測IC!AG19&gt;預測IC!AG$27,1,0)</f>
        <v>0</v>
      </c>
      <c r="AH19" s="11">
        <f>IF(預測IC!AH19&gt;預測IC!AH$27,1,0)</f>
        <v>1</v>
      </c>
      <c r="AI19" s="11">
        <f>IF(預測IC!AI19&gt;預測IC!AI$27,1,0)</f>
        <v>0</v>
      </c>
      <c r="AJ19" s="11">
        <f>IF(預測IC!AJ19&gt;預測IC!AJ$27,1,0)</f>
        <v>1</v>
      </c>
      <c r="AK19" s="11">
        <f>IF(預測IC!AK19&gt;預測IC!AK$27,1,0)</f>
        <v>1</v>
      </c>
      <c r="AL19" s="11">
        <f>IF(預測IC!AL19&gt;預測IC!AL$27,1,0)</f>
        <v>0</v>
      </c>
      <c r="AM19" s="11">
        <f>IF(預測IC!AM19&gt;預測IC!AM$27,1,0)</f>
        <v>1</v>
      </c>
      <c r="AN19" s="11">
        <f>IF(預測IC!AN19&gt;預測IC!AN$27,1,0)</f>
        <v>1</v>
      </c>
      <c r="AO19" s="11">
        <f>IF(預測IC!AO19&gt;預測IC!AO$27,1,0)</f>
        <v>0</v>
      </c>
      <c r="AP19" s="11">
        <f>IF(預測IC!AP19&gt;預測IC!AP$27,1,0)</f>
        <v>0</v>
      </c>
      <c r="AQ19" s="11">
        <f>IF(預測IC!AQ19&gt;預測IC!AQ$27,1,0)</f>
        <v>1</v>
      </c>
      <c r="AR19" s="11">
        <f>IF(預測IC!AR19&gt;預測IC!AR$27,1,0)</f>
        <v>0</v>
      </c>
      <c r="AS19" s="11">
        <f>IF(預測IC!AS19&gt;預測IC!AS$27,1,0)</f>
        <v>0</v>
      </c>
      <c r="AT19" s="11">
        <f>IF(預測IC!AT19&gt;預測IC!AT$27,1,0)</f>
        <v>0</v>
      </c>
      <c r="AU19" s="11">
        <f>IF(預測IC!AU19&gt;預測IC!AU$27,1,0)</f>
        <v>0</v>
      </c>
      <c r="AV19" s="11">
        <f>IF(預測IC!AV19&gt;預測IC!AV$27,1,0)</f>
        <v>0</v>
      </c>
      <c r="AW19" s="11">
        <f>IF(預測IC!AW19&gt;預測IC!AW$27,1,0)</f>
        <v>0</v>
      </c>
      <c r="AX19" s="11">
        <f>IF(預測IC!AX19&gt;預測IC!AX$27,1,0)</f>
        <v>1</v>
      </c>
      <c r="AY19" s="11">
        <f>IF(預測IC!AY19&gt;預測IC!AY$27,1,0)</f>
        <v>1</v>
      </c>
      <c r="AZ19" s="11">
        <f>IF(預測IC!AZ19&gt;預測IC!AZ$27,1,0)</f>
        <v>0</v>
      </c>
      <c r="BA19" s="11">
        <f>IF(預測IC!BA19&gt;預測IC!BA$27,1,0)</f>
        <v>1</v>
      </c>
      <c r="BB19" s="11">
        <f>IF(預測IC!BB19&gt;預測IC!BB$27,1,0)</f>
        <v>0</v>
      </c>
      <c r="BC19" s="11">
        <f>IF(預測IC!BC19&gt;預測IC!BC$27,1,0)</f>
        <v>0</v>
      </c>
      <c r="BD19" s="11">
        <f>IF(預測IC!BD19&gt;預測IC!BD$27,1,0)</f>
        <v>1</v>
      </c>
      <c r="BE19" s="11">
        <f>IF(預測IC!BE19&gt;預測IC!BE$27,1,0)</f>
        <v>1</v>
      </c>
      <c r="BF19" s="11">
        <f>IF(預測IC!BF19&gt;預測IC!BF$27,1,0)</f>
        <v>1</v>
      </c>
      <c r="BG19" s="11">
        <f>IF(預測IC!BG19&gt;預測IC!BG$27,1,0)</f>
        <v>1</v>
      </c>
      <c r="BH19" s="11">
        <f>IF(預測IC!BH19&gt;預測IC!BH$27,1,0)</f>
        <v>1</v>
      </c>
      <c r="BI19" s="11">
        <f>IF(預測IC!BI19&gt;預測IC!BI$27,1,0)</f>
        <v>0</v>
      </c>
      <c r="BJ19" s="11">
        <f>IF(預測IC!BJ19&gt;預測IC!BJ$27,1,0)</f>
        <v>1</v>
      </c>
      <c r="BK19" s="11">
        <f>IF(預測IC!BK19&gt;預測IC!BK$27,1,0)</f>
        <v>1</v>
      </c>
      <c r="BL19" s="11">
        <f>IF(預測IC!BL19&gt;預測IC!BL$27,1,0)</f>
        <v>0</v>
      </c>
      <c r="BM19" s="11">
        <f>IF(預測IC!BM19&gt;預測IC!BM$27,1,0)</f>
        <v>1</v>
      </c>
      <c r="BN19" s="11">
        <f>IF(預測IC!BN19&gt;預測IC!BN$27,1,0)</f>
        <v>0</v>
      </c>
      <c r="BO19" s="11">
        <f>IF(預測IC!BO19&gt;預測IC!BO$27,1,0)</f>
        <v>0</v>
      </c>
      <c r="BP19" s="11">
        <f>IF(預測IC!BP19&gt;預測IC!BP$27,1,0)</f>
        <v>1</v>
      </c>
      <c r="BQ19" s="11">
        <f>IF(預測IC!BQ19&gt;預測IC!BQ$27,1,0)</f>
        <v>0</v>
      </c>
      <c r="BR19" s="11">
        <f>IF(預測IC!BR19&gt;預測IC!BR$27,1,0)</f>
        <v>0</v>
      </c>
      <c r="BS19" s="11">
        <f>IF(預測IC!BS19&gt;預測IC!BS$27,1,0)</f>
        <v>0</v>
      </c>
      <c r="BT19" s="11">
        <f>IF(預測IC!BT19&gt;預測IC!BT$27,1,0)</f>
        <v>0</v>
      </c>
      <c r="BU19" s="11">
        <f>IF(預測IC!BU19&gt;預測IC!BU$27,1,0)</f>
        <v>0</v>
      </c>
      <c r="BV19" s="11">
        <f>IF(預測IC!BV19&gt;預測IC!BV$27,1,0)</f>
        <v>0</v>
      </c>
      <c r="BW19" s="11">
        <f>IF(預測IC!BW19&gt;預測IC!BW$27,1,0)</f>
        <v>1</v>
      </c>
      <c r="BX19" s="11">
        <f>IF(預測IC!BX19&gt;預測IC!BX$27,1,0)</f>
        <v>1</v>
      </c>
      <c r="BY19" s="11">
        <f>IF(預測IC!BY19&gt;預測IC!BY$27,1,0)</f>
        <v>1</v>
      </c>
      <c r="BZ19" s="11">
        <f>IF(預測IC!BZ19&gt;預測IC!BZ$27,1,0)</f>
        <v>0</v>
      </c>
      <c r="CA19" s="11">
        <f>IF(預測IC!CA19&gt;預測IC!CA$27,1,0)</f>
        <v>0</v>
      </c>
      <c r="CB19" s="11">
        <f>IF(預測IC!CB19&gt;預測IC!CB$27,1,0)</f>
        <v>0</v>
      </c>
      <c r="CC19" s="11">
        <f>IF(預測IC!CC19&gt;預測IC!CC$27,1,0)</f>
        <v>0</v>
      </c>
      <c r="CD19" s="11">
        <f>IF(預測IC!CD19&gt;預測IC!CD$27,1,0)</f>
        <v>0</v>
      </c>
      <c r="CE19" s="11">
        <f>IF(預測IC!CE19&gt;預測IC!CE$27,1,0)</f>
        <v>0</v>
      </c>
      <c r="CF19" s="11">
        <f>IF(預測IC!CF19&gt;預測IC!CF$27,1,0)</f>
        <v>0</v>
      </c>
      <c r="CG19" s="11">
        <f>IF(預測IC!CG19&gt;預測IC!CG$27,1,0)</f>
        <v>0</v>
      </c>
      <c r="CH19" s="11">
        <f>IF(預測IC!CH19&gt;預測IC!CH$27,1,0)</f>
        <v>0</v>
      </c>
      <c r="CI19" s="11">
        <f>IF(預測IC!CI19&gt;預測IC!CI$27,1,0)</f>
        <v>0</v>
      </c>
      <c r="CJ19" s="11">
        <f>IF(預測IC!CJ19&gt;預測IC!CJ$27,1,0)</f>
        <v>0</v>
      </c>
      <c r="CK19" s="11">
        <f>IF(預測IC!CK19&gt;預測IC!CK$27,1,0)</f>
        <v>0</v>
      </c>
      <c r="CL19" s="11">
        <f>IF(預測IC!CL19&gt;預測IC!CL$27,1,0)</f>
        <v>1</v>
      </c>
      <c r="CM19" s="11">
        <f>IF(預測IC!CM19&gt;預測IC!CM$27,1,0)</f>
        <v>0</v>
      </c>
      <c r="CN19" s="11">
        <f>IF(預測IC!CN19&gt;預測IC!CN$27,1,0)</f>
        <v>0</v>
      </c>
      <c r="CO19" s="11">
        <f>IF(預測IC!CO19&gt;預測IC!CO$27,1,0)</f>
        <v>1</v>
      </c>
      <c r="CP19" s="11">
        <f>IF(預測IC!CP19&gt;預測IC!CP$27,1,0)</f>
        <v>0</v>
      </c>
      <c r="CQ19" s="11">
        <f>IF(預測IC!CQ19&gt;預測IC!CQ$27,1,0)</f>
        <v>1</v>
      </c>
      <c r="CR19" s="11">
        <f>IF(預測IC!CR19&gt;預測IC!CR$27,1,0)</f>
        <v>0</v>
      </c>
      <c r="CS19" s="11">
        <f>IF(預測IC!CS19&gt;預測IC!CS$27,1,0)</f>
        <v>0</v>
      </c>
      <c r="CT19" s="11">
        <f>IF(預測IC!CT19&gt;預測IC!CT$27,1,0)</f>
        <v>0</v>
      </c>
      <c r="CU19" s="11">
        <f>IF(預測IC!CU19&gt;預測IC!CU$27,1,0)</f>
        <v>1</v>
      </c>
      <c r="CV19" s="11">
        <f>IF(預測IC!CV19&gt;預測IC!CV$27,1,0)</f>
        <v>0</v>
      </c>
      <c r="CW19" s="11">
        <f>IF(預測IC!CW19&gt;預測IC!CW$27,1,0)</f>
        <v>0</v>
      </c>
      <c r="CX19" s="11">
        <f>IF(預測IC!CX19&gt;預測IC!CX$27,1,0)</f>
        <v>1</v>
      </c>
      <c r="CY19" s="11">
        <f>IF(預測IC!CY19&gt;預測IC!CY$27,1,0)</f>
        <v>1</v>
      </c>
      <c r="CZ19" s="11">
        <f>IF(預測IC!CZ19&gt;預測IC!CZ$27,1,0)</f>
        <v>1</v>
      </c>
      <c r="DA19" s="11">
        <f>IF(預測IC!DA19&gt;預測IC!DA$27,1,0)</f>
        <v>1</v>
      </c>
      <c r="DB19" s="11">
        <f>IF(預測IC!DB19&gt;預測IC!DB$27,1,0)</f>
        <v>0</v>
      </c>
      <c r="DC19" s="11">
        <f>IF(預測IC!DC19&gt;預測IC!DC$27,1,0)</f>
        <v>1</v>
      </c>
      <c r="DD19" s="11">
        <f>IF(預測IC!DD19&gt;預測IC!DD$27,1,0)</f>
        <v>0</v>
      </c>
      <c r="DE19" s="11">
        <f>IF(預測IC!DE19&gt;預測IC!DE$27,1,0)</f>
        <v>0</v>
      </c>
      <c r="DF19" s="11">
        <f>IF(預測IC!DF19&gt;預測IC!DF$27,1,0)</f>
        <v>0</v>
      </c>
      <c r="DG19" s="11">
        <f>IF(預測IC!DG19&gt;預測IC!DG$27,1,0)</f>
        <v>0</v>
      </c>
      <c r="DH19" s="11">
        <f>IF(預測IC!DH19&gt;預測IC!DH$27,1,0)</f>
        <v>1</v>
      </c>
      <c r="DI19" s="11">
        <f>IF(預測IC!DI19&gt;預測IC!DI$27,1,0)</f>
        <v>1</v>
      </c>
      <c r="DJ19" s="11">
        <f>IF(預測IC!DJ19&gt;預測IC!DJ$27,1,0)</f>
        <v>1</v>
      </c>
      <c r="DK19" s="11">
        <f>IF(預測IC!DK19&gt;預測IC!DK$27,1,0)</f>
        <v>0</v>
      </c>
      <c r="DL19" s="11">
        <f>IF(預測IC!DL19&gt;預測IC!DL$27,1,0)</f>
        <v>0</v>
      </c>
      <c r="DM19" s="11">
        <f>IF(預測IC!DM19&gt;預測IC!DM$27,1,0)</f>
        <v>0</v>
      </c>
      <c r="DN19" s="11">
        <f>IF(預測IC!DN19&gt;預測IC!DN$27,1,0)</f>
        <v>1</v>
      </c>
      <c r="DO19" s="11">
        <f>IF(預測IC!DO19&gt;預測IC!DO$27,1,0)</f>
        <v>0</v>
      </c>
      <c r="DP19" s="11">
        <f>IF(預測IC!DP19&gt;預測IC!DP$27,1,0)</f>
        <v>1</v>
      </c>
      <c r="DQ19" s="11">
        <f>IF(預測IC!DQ19&gt;預測IC!DQ$27,1,0)</f>
        <v>0</v>
      </c>
      <c r="DR19" s="11">
        <f>IF(預測IC!DR19&gt;預測IC!DR$27,1,0)</f>
        <v>0</v>
      </c>
      <c r="DS19" s="11">
        <f>IF(預測IC!DS19&gt;預測IC!DS$27,1,0)</f>
        <v>1</v>
      </c>
      <c r="DT19" s="11">
        <f>IF(預測IC!DT19&gt;預測IC!DT$27,1,0)</f>
        <v>0</v>
      </c>
      <c r="DU19" s="11">
        <f>IF(預測IC!DU19&gt;預測IC!DU$27,1,0)</f>
        <v>1</v>
      </c>
      <c r="DV19" s="11">
        <f>IF(預測IC!DV19&gt;預測IC!DV$27,1,0)</f>
        <v>1</v>
      </c>
      <c r="DW19" s="11">
        <f>IF(預測IC!DW19&gt;預測IC!DW$27,1,0)</f>
        <v>0</v>
      </c>
      <c r="DX19" s="11">
        <f>IF(預測IC!DX19&gt;預測IC!DX$27,1,0)</f>
        <v>0</v>
      </c>
      <c r="DY19" s="11">
        <f>IF(預測IC!DY19&gt;預測IC!DY$27,1,0)</f>
        <v>1</v>
      </c>
      <c r="DZ19" s="11">
        <f>IF(預測IC!DZ19&gt;預測IC!DZ$27,1,0)</f>
        <v>1</v>
      </c>
      <c r="EA19" s="11">
        <f>IF(預測IC!EA19&gt;預測IC!EA$27,1,0)</f>
        <v>1</v>
      </c>
      <c r="EB19" s="11">
        <f>IF(預測IC!EB19&gt;預測IC!EB$27,1,0)</f>
        <v>1</v>
      </c>
      <c r="EC19" s="11">
        <f>IF(預測IC!EC19&gt;預測IC!EC$27,1,0)</f>
        <v>1</v>
      </c>
      <c r="ED19" s="11">
        <f>IF(預測IC!ED19&gt;預測IC!ED$27,1,0)</f>
        <v>1</v>
      </c>
      <c r="EE19" s="11">
        <f>IF(預測IC!EE19&gt;預測IC!EE$27,1,0)</f>
        <v>1</v>
      </c>
      <c r="EF19" s="11">
        <f>IF(預測IC!EF19&gt;預測IC!EF$27,1,0)</f>
        <v>1</v>
      </c>
      <c r="EG19" s="1">
        <f t="shared" si="6"/>
        <v>68</v>
      </c>
      <c r="EH19" s="46">
        <f t="shared" si="7"/>
        <v>0.5074626865671642</v>
      </c>
    </row>
    <row r="20" spans="1:138" ht="16" customHeight="1">
      <c r="A20" s="6">
        <v>137</v>
      </c>
      <c r="B20" s="6">
        <v>7</v>
      </c>
      <c r="C20" s="11">
        <f>IF(預測IC!C20&gt;預測IC!C$27,1,0)</f>
        <v>1</v>
      </c>
      <c r="D20" s="11">
        <f>IF(預測IC!D20&gt;預測IC!D$27,1,0)</f>
        <v>1</v>
      </c>
      <c r="E20" s="11">
        <f>IF(預測IC!E20&gt;預測IC!E$27,1,0)</f>
        <v>1</v>
      </c>
      <c r="F20" s="11">
        <f>IF(預測IC!F20&gt;預測IC!F$27,1,0)</f>
        <v>0</v>
      </c>
      <c r="G20" s="11">
        <f>IF(預測IC!G20&gt;預測IC!G$27,1,0)</f>
        <v>1</v>
      </c>
      <c r="H20" s="11">
        <f>IF(預測IC!H20&gt;預測IC!H$27,1,0)</f>
        <v>0</v>
      </c>
      <c r="I20" s="11">
        <f>IF(預測IC!I20&gt;預測IC!I$27,1,0)</f>
        <v>0</v>
      </c>
      <c r="J20" s="11">
        <f>IF(預測IC!J20&gt;預測IC!J$27,1,0)</f>
        <v>1</v>
      </c>
      <c r="K20" s="11">
        <f>IF(預測IC!K20&gt;預測IC!K$27,1,0)</f>
        <v>1</v>
      </c>
      <c r="L20" s="11">
        <f>IF(預測IC!L20&gt;預測IC!L$27,1,0)</f>
        <v>1</v>
      </c>
      <c r="M20" s="11">
        <f>IF(預測IC!M20&gt;預測IC!M$27,1,0)</f>
        <v>1</v>
      </c>
      <c r="N20" s="11">
        <f>IF(預測IC!N20&gt;預測IC!N$27,1,0)</f>
        <v>1</v>
      </c>
      <c r="O20" s="11">
        <f>IF(預測IC!O20&gt;預測IC!O$27,1,0)</f>
        <v>1</v>
      </c>
      <c r="P20" s="11">
        <f>IF(預測IC!P20&gt;預測IC!P$27,1,0)</f>
        <v>1</v>
      </c>
      <c r="Q20" s="11">
        <f>IF(預測IC!Q20&gt;預測IC!Q$27,1,0)</f>
        <v>1</v>
      </c>
      <c r="R20" s="11">
        <f>IF(預測IC!R20&gt;預測IC!R$27,1,0)</f>
        <v>1</v>
      </c>
      <c r="S20" s="11">
        <f>IF(預測IC!S20&gt;預測IC!S$27,1,0)</f>
        <v>0</v>
      </c>
      <c r="T20" s="11">
        <f>IF(預測IC!T20&gt;預測IC!T$27,1,0)</f>
        <v>1</v>
      </c>
      <c r="U20" s="11">
        <f>IF(預測IC!U20&gt;預測IC!U$27,1,0)</f>
        <v>0</v>
      </c>
      <c r="V20" s="11">
        <f>IF(預測IC!V20&gt;預測IC!V$27,1,0)</f>
        <v>1</v>
      </c>
      <c r="W20" s="11">
        <f>IF(預測IC!W20&gt;預測IC!W$27,1,0)</f>
        <v>0</v>
      </c>
      <c r="X20" s="11">
        <f>IF(預測IC!X20&gt;預測IC!X$27,1,0)</f>
        <v>1</v>
      </c>
      <c r="Y20" s="11">
        <f>IF(預測IC!Y20&gt;預測IC!Y$27,1,0)</f>
        <v>0</v>
      </c>
      <c r="Z20" s="11">
        <f>IF(預測IC!Z20&gt;預測IC!Z$27,1,0)</f>
        <v>1</v>
      </c>
      <c r="AA20" s="11">
        <f>IF(預測IC!AA20&gt;預測IC!AA$27,1,0)</f>
        <v>1</v>
      </c>
      <c r="AB20" s="11">
        <f>IF(預測IC!AB20&gt;預測IC!AB$27,1,0)</f>
        <v>1</v>
      </c>
      <c r="AC20" s="11">
        <f>IF(預測IC!AC20&gt;預測IC!AC$27,1,0)</f>
        <v>0</v>
      </c>
      <c r="AD20" s="11">
        <f>IF(預測IC!AD20&gt;預測IC!AD$27,1,0)</f>
        <v>1</v>
      </c>
      <c r="AE20" s="11">
        <f>IF(預測IC!AE20&gt;預測IC!AE$27,1,0)</f>
        <v>1</v>
      </c>
      <c r="AF20" s="11">
        <f>IF(預測IC!AF20&gt;預測IC!AF$27,1,0)</f>
        <v>1</v>
      </c>
      <c r="AG20" s="11">
        <f>IF(預測IC!AG20&gt;預測IC!AG$27,1,0)</f>
        <v>0</v>
      </c>
      <c r="AH20" s="11">
        <f>IF(預測IC!AH20&gt;預測IC!AH$27,1,0)</f>
        <v>1</v>
      </c>
      <c r="AI20" s="11">
        <f>IF(預測IC!AI20&gt;預測IC!AI$27,1,0)</f>
        <v>0</v>
      </c>
      <c r="AJ20" s="11">
        <f>IF(預測IC!AJ20&gt;預測IC!AJ$27,1,0)</f>
        <v>1</v>
      </c>
      <c r="AK20" s="11">
        <f>IF(預測IC!AK20&gt;預測IC!AK$27,1,0)</f>
        <v>1</v>
      </c>
      <c r="AL20" s="11">
        <f>IF(預測IC!AL20&gt;預測IC!AL$27,1,0)</f>
        <v>0</v>
      </c>
      <c r="AM20" s="11">
        <f>IF(預測IC!AM20&gt;預測IC!AM$27,1,0)</f>
        <v>1</v>
      </c>
      <c r="AN20" s="11">
        <f>IF(預測IC!AN20&gt;預測IC!AN$27,1,0)</f>
        <v>1</v>
      </c>
      <c r="AO20" s="11">
        <f>IF(預測IC!AO20&gt;預測IC!AO$27,1,0)</f>
        <v>0</v>
      </c>
      <c r="AP20" s="11">
        <f>IF(預測IC!AP20&gt;預測IC!AP$27,1,0)</f>
        <v>0</v>
      </c>
      <c r="AQ20" s="11">
        <f>IF(預測IC!AQ20&gt;預測IC!AQ$27,1,0)</f>
        <v>1</v>
      </c>
      <c r="AR20" s="11">
        <f>IF(預測IC!AR20&gt;預測IC!AR$27,1,0)</f>
        <v>0</v>
      </c>
      <c r="AS20" s="11">
        <f>IF(預測IC!AS20&gt;預測IC!AS$27,1,0)</f>
        <v>0</v>
      </c>
      <c r="AT20" s="11">
        <f>IF(預測IC!AT20&gt;預測IC!AT$27,1,0)</f>
        <v>0</v>
      </c>
      <c r="AU20" s="11">
        <f>IF(預測IC!AU20&gt;預測IC!AU$27,1,0)</f>
        <v>0</v>
      </c>
      <c r="AV20" s="11">
        <f>IF(預測IC!AV20&gt;預測IC!AV$27,1,0)</f>
        <v>0</v>
      </c>
      <c r="AW20" s="11">
        <f>IF(預測IC!AW20&gt;預測IC!AW$27,1,0)</f>
        <v>1</v>
      </c>
      <c r="AX20" s="11">
        <f>IF(預測IC!AX20&gt;預測IC!AX$27,1,0)</f>
        <v>1</v>
      </c>
      <c r="AY20" s="11">
        <f>IF(預測IC!AY20&gt;預測IC!AY$27,1,0)</f>
        <v>1</v>
      </c>
      <c r="AZ20" s="11">
        <f>IF(預測IC!AZ20&gt;預測IC!AZ$27,1,0)</f>
        <v>0</v>
      </c>
      <c r="BA20" s="11">
        <f>IF(預測IC!BA20&gt;預測IC!BA$27,1,0)</f>
        <v>1</v>
      </c>
      <c r="BB20" s="11">
        <f>IF(預測IC!BB20&gt;預測IC!BB$27,1,0)</f>
        <v>0</v>
      </c>
      <c r="BC20" s="11">
        <f>IF(預測IC!BC20&gt;預測IC!BC$27,1,0)</f>
        <v>0</v>
      </c>
      <c r="BD20" s="11">
        <f>IF(預測IC!BD20&gt;預測IC!BD$27,1,0)</f>
        <v>1</v>
      </c>
      <c r="BE20" s="11">
        <f>IF(預測IC!BE20&gt;預測IC!BE$27,1,0)</f>
        <v>1</v>
      </c>
      <c r="BF20" s="11">
        <f>IF(預測IC!BF20&gt;預測IC!BF$27,1,0)</f>
        <v>1</v>
      </c>
      <c r="BG20" s="11">
        <f>IF(預測IC!BG20&gt;預測IC!BG$27,1,0)</f>
        <v>1</v>
      </c>
      <c r="BH20" s="11">
        <f>IF(預測IC!BH20&gt;預測IC!BH$27,1,0)</f>
        <v>1</v>
      </c>
      <c r="BI20" s="11">
        <f>IF(預測IC!BI20&gt;預測IC!BI$27,1,0)</f>
        <v>0</v>
      </c>
      <c r="BJ20" s="11">
        <f>IF(預測IC!BJ20&gt;預測IC!BJ$27,1,0)</f>
        <v>1</v>
      </c>
      <c r="BK20" s="11">
        <f>IF(預測IC!BK20&gt;預測IC!BK$27,1,0)</f>
        <v>1</v>
      </c>
      <c r="BL20" s="11">
        <f>IF(預測IC!BL20&gt;預測IC!BL$27,1,0)</f>
        <v>0</v>
      </c>
      <c r="BM20" s="11">
        <f>IF(預測IC!BM20&gt;預測IC!BM$27,1,0)</f>
        <v>1</v>
      </c>
      <c r="BN20" s="11">
        <f>IF(預測IC!BN20&gt;預測IC!BN$27,1,0)</f>
        <v>1</v>
      </c>
      <c r="BO20" s="11">
        <f>IF(預測IC!BO20&gt;預測IC!BO$27,1,0)</f>
        <v>0</v>
      </c>
      <c r="BP20" s="11">
        <f>IF(預測IC!BP20&gt;預測IC!BP$27,1,0)</f>
        <v>1</v>
      </c>
      <c r="BQ20" s="11">
        <f>IF(預測IC!BQ20&gt;預測IC!BQ$27,1,0)</f>
        <v>1</v>
      </c>
      <c r="BR20" s="11">
        <f>IF(預測IC!BR20&gt;預測IC!BR$27,1,0)</f>
        <v>0</v>
      </c>
      <c r="BS20" s="11">
        <f>IF(預測IC!BS20&gt;預測IC!BS$27,1,0)</f>
        <v>0</v>
      </c>
      <c r="BT20" s="11">
        <f>IF(預測IC!BT20&gt;預測IC!BT$27,1,0)</f>
        <v>0</v>
      </c>
      <c r="BU20" s="11">
        <f>IF(預測IC!BU20&gt;預測IC!BU$27,1,0)</f>
        <v>1</v>
      </c>
      <c r="BV20" s="11">
        <f>IF(預測IC!BV20&gt;預測IC!BV$27,1,0)</f>
        <v>0</v>
      </c>
      <c r="BW20" s="11">
        <f>IF(預測IC!BW20&gt;預測IC!BW$27,1,0)</f>
        <v>1</v>
      </c>
      <c r="BX20" s="11">
        <f>IF(預測IC!BX20&gt;預測IC!BX$27,1,0)</f>
        <v>1</v>
      </c>
      <c r="BY20" s="11">
        <f>IF(預測IC!BY20&gt;預測IC!BY$27,1,0)</f>
        <v>1</v>
      </c>
      <c r="BZ20" s="11">
        <f>IF(預測IC!BZ20&gt;預測IC!BZ$27,1,0)</f>
        <v>0</v>
      </c>
      <c r="CA20" s="11">
        <f>IF(預測IC!CA20&gt;預測IC!CA$27,1,0)</f>
        <v>0</v>
      </c>
      <c r="CB20" s="11">
        <f>IF(預測IC!CB20&gt;預測IC!CB$27,1,0)</f>
        <v>0</v>
      </c>
      <c r="CC20" s="11">
        <f>IF(預測IC!CC20&gt;預測IC!CC$27,1,0)</f>
        <v>0</v>
      </c>
      <c r="CD20" s="11">
        <f>IF(預測IC!CD20&gt;預測IC!CD$27,1,0)</f>
        <v>0</v>
      </c>
      <c r="CE20" s="11">
        <f>IF(預測IC!CE20&gt;預測IC!CE$27,1,0)</f>
        <v>0</v>
      </c>
      <c r="CF20" s="11">
        <f>IF(預測IC!CF20&gt;預測IC!CF$27,1,0)</f>
        <v>0</v>
      </c>
      <c r="CG20" s="11">
        <f>IF(預測IC!CG20&gt;預測IC!CG$27,1,0)</f>
        <v>1</v>
      </c>
      <c r="CH20" s="11">
        <f>IF(預測IC!CH20&gt;預測IC!CH$27,1,0)</f>
        <v>0</v>
      </c>
      <c r="CI20" s="11">
        <f>IF(預測IC!CI20&gt;預測IC!CI$27,1,0)</f>
        <v>0</v>
      </c>
      <c r="CJ20" s="11">
        <f>IF(預測IC!CJ20&gt;預測IC!CJ$27,1,0)</f>
        <v>1</v>
      </c>
      <c r="CK20" s="11">
        <f>IF(預測IC!CK20&gt;預測IC!CK$27,1,0)</f>
        <v>0</v>
      </c>
      <c r="CL20" s="11">
        <f>IF(預測IC!CL20&gt;預測IC!CL$27,1,0)</f>
        <v>0</v>
      </c>
      <c r="CM20" s="11">
        <f>IF(預測IC!CM20&gt;預測IC!CM$27,1,0)</f>
        <v>0</v>
      </c>
      <c r="CN20" s="11">
        <f>IF(預測IC!CN20&gt;預測IC!CN$27,1,0)</f>
        <v>0</v>
      </c>
      <c r="CO20" s="11">
        <f>IF(預測IC!CO20&gt;預測IC!CO$27,1,0)</f>
        <v>1</v>
      </c>
      <c r="CP20" s="11">
        <f>IF(預測IC!CP20&gt;預測IC!CP$27,1,0)</f>
        <v>0</v>
      </c>
      <c r="CQ20" s="11">
        <f>IF(預測IC!CQ20&gt;預測IC!CQ$27,1,0)</f>
        <v>0</v>
      </c>
      <c r="CR20" s="11">
        <f>IF(預測IC!CR20&gt;預測IC!CR$27,1,0)</f>
        <v>0</v>
      </c>
      <c r="CS20" s="11">
        <f>IF(預測IC!CS20&gt;預測IC!CS$27,1,0)</f>
        <v>0</v>
      </c>
      <c r="CT20" s="11">
        <f>IF(預測IC!CT20&gt;預測IC!CT$27,1,0)</f>
        <v>0</v>
      </c>
      <c r="CU20" s="11">
        <f>IF(預測IC!CU20&gt;預測IC!CU$27,1,0)</f>
        <v>1</v>
      </c>
      <c r="CV20" s="11">
        <f>IF(預測IC!CV20&gt;預測IC!CV$27,1,0)</f>
        <v>0</v>
      </c>
      <c r="CW20" s="11">
        <f>IF(預測IC!CW20&gt;預測IC!CW$27,1,0)</f>
        <v>1</v>
      </c>
      <c r="CX20" s="11">
        <f>IF(預測IC!CX20&gt;預測IC!CX$27,1,0)</f>
        <v>1</v>
      </c>
      <c r="CY20" s="11">
        <f>IF(預測IC!CY20&gt;預測IC!CY$27,1,0)</f>
        <v>0</v>
      </c>
      <c r="CZ20" s="11">
        <f>IF(預測IC!CZ20&gt;預測IC!CZ$27,1,0)</f>
        <v>1</v>
      </c>
      <c r="DA20" s="11">
        <f>IF(預測IC!DA20&gt;預測IC!DA$27,1,0)</f>
        <v>1</v>
      </c>
      <c r="DB20" s="11">
        <f>IF(預測IC!DB20&gt;預測IC!DB$27,1,0)</f>
        <v>0</v>
      </c>
      <c r="DC20" s="11">
        <f>IF(預測IC!DC20&gt;預測IC!DC$27,1,0)</f>
        <v>1</v>
      </c>
      <c r="DD20" s="11">
        <f>IF(預測IC!DD20&gt;預測IC!DD$27,1,0)</f>
        <v>0</v>
      </c>
      <c r="DE20" s="11">
        <f>IF(預測IC!DE20&gt;預測IC!DE$27,1,0)</f>
        <v>0</v>
      </c>
      <c r="DF20" s="11">
        <f>IF(預測IC!DF20&gt;預測IC!DF$27,1,0)</f>
        <v>0</v>
      </c>
      <c r="DG20" s="11">
        <f>IF(預測IC!DG20&gt;預測IC!DG$27,1,0)</f>
        <v>0</v>
      </c>
      <c r="DH20" s="11">
        <f>IF(預測IC!DH20&gt;預測IC!DH$27,1,0)</f>
        <v>0</v>
      </c>
      <c r="DI20" s="11">
        <f>IF(預測IC!DI20&gt;預測IC!DI$27,1,0)</f>
        <v>1</v>
      </c>
      <c r="DJ20" s="11">
        <f>IF(預測IC!DJ20&gt;預測IC!DJ$27,1,0)</f>
        <v>1</v>
      </c>
      <c r="DK20" s="11">
        <f>IF(預測IC!DK20&gt;預測IC!DK$27,1,0)</f>
        <v>0</v>
      </c>
      <c r="DL20" s="11">
        <f>IF(預測IC!DL20&gt;預測IC!DL$27,1,0)</f>
        <v>0</v>
      </c>
      <c r="DM20" s="11">
        <f>IF(預測IC!DM20&gt;預測IC!DM$27,1,0)</f>
        <v>0</v>
      </c>
      <c r="DN20" s="11">
        <f>IF(預測IC!DN20&gt;預測IC!DN$27,1,0)</f>
        <v>1</v>
      </c>
      <c r="DO20" s="11">
        <f>IF(預測IC!DO20&gt;預測IC!DO$27,1,0)</f>
        <v>0</v>
      </c>
      <c r="DP20" s="11">
        <f>IF(預測IC!DP20&gt;預測IC!DP$27,1,0)</f>
        <v>1</v>
      </c>
      <c r="DQ20" s="11">
        <f>IF(預測IC!DQ20&gt;預測IC!DQ$27,1,0)</f>
        <v>0</v>
      </c>
      <c r="DR20" s="11">
        <f>IF(預測IC!DR20&gt;預測IC!DR$27,1,0)</f>
        <v>1</v>
      </c>
      <c r="DS20" s="11">
        <f>IF(預測IC!DS20&gt;預測IC!DS$27,1,0)</f>
        <v>1</v>
      </c>
      <c r="DT20" s="11">
        <v>1</v>
      </c>
      <c r="DU20" s="11">
        <f>IF(預測IC!DU20&gt;預測IC!DU$27,1,0)</f>
        <v>1</v>
      </c>
      <c r="DV20" s="11">
        <f>IF(預測IC!DV20&gt;預測IC!DV$27,1,0)</f>
        <v>0</v>
      </c>
      <c r="DW20" s="11">
        <f>IF(預測IC!DW20&gt;預測IC!DW$27,1,0)</f>
        <v>0</v>
      </c>
      <c r="DX20" s="11">
        <f>IF(預測IC!DX20&gt;預測IC!DX$27,1,0)</f>
        <v>0</v>
      </c>
      <c r="DY20" s="11">
        <f>IF(預測IC!DY20&gt;預測IC!DY$27,1,0)</f>
        <v>1</v>
      </c>
      <c r="DZ20" s="11">
        <f>IF(預測IC!DZ20&gt;預測IC!DZ$27,1,0)</f>
        <v>1</v>
      </c>
      <c r="EA20" s="11">
        <f>IF(預測IC!EA20&gt;預測IC!EA$27,1,0)</f>
        <v>1</v>
      </c>
      <c r="EB20" s="11">
        <f>IF(預測IC!EB20&gt;預測IC!EB$27,1,0)</f>
        <v>1</v>
      </c>
      <c r="EC20" s="11">
        <f>IF(預測IC!EC20&gt;預測IC!EC$27,1,0)</f>
        <v>1</v>
      </c>
      <c r="ED20" s="11">
        <f>IF(預測IC!ED20&gt;預測IC!ED$27,1,0)</f>
        <v>1</v>
      </c>
      <c r="EE20" s="11">
        <f>IF(預測IC!EE20&gt;預測IC!EE$27,1,0)</f>
        <v>1</v>
      </c>
      <c r="EF20" s="11">
        <f>IF(預測IC!EF20&gt;預測IC!EF$27,1,0)</f>
        <v>0</v>
      </c>
      <c r="EG20" s="1">
        <f t="shared" si="6"/>
        <v>71</v>
      </c>
      <c r="EH20" s="46">
        <f t="shared" si="7"/>
        <v>0.52985074626865669</v>
      </c>
    </row>
    <row r="21" spans="1:138" ht="16" customHeight="1">
      <c r="A21" s="6">
        <v>160</v>
      </c>
      <c r="B21" s="6">
        <v>6</v>
      </c>
      <c r="C21" s="11">
        <f>IF(預測IC!C21&gt;預測IC!C$27,1,0)</f>
        <v>1</v>
      </c>
      <c r="D21" s="11">
        <f>IF(預測IC!D21&gt;預測IC!D$27,1,0)</f>
        <v>1</v>
      </c>
      <c r="E21" s="11">
        <f>IF(預測IC!E21&gt;預測IC!E$27,1,0)</f>
        <v>0</v>
      </c>
      <c r="F21" s="11">
        <f>IF(預測IC!F21&gt;預測IC!F$27,1,0)</f>
        <v>1</v>
      </c>
      <c r="G21" s="11">
        <f>IF(預測IC!G21&gt;預測IC!G$27,1,0)</f>
        <v>1</v>
      </c>
      <c r="H21" s="11">
        <f>IF(預測IC!H21&gt;預測IC!H$27,1,0)</f>
        <v>0</v>
      </c>
      <c r="I21" s="11">
        <f>IF(預測IC!I21&gt;預測IC!I$27,1,0)</f>
        <v>0</v>
      </c>
      <c r="J21" s="11">
        <f>IF(預測IC!J21&gt;預測IC!J$27,1,0)</f>
        <v>1</v>
      </c>
      <c r="K21" s="11">
        <f>IF(預測IC!K21&gt;預測IC!K$27,1,0)</f>
        <v>0</v>
      </c>
      <c r="L21" s="11">
        <f>IF(預測IC!L21&gt;預測IC!L$27,1,0)</f>
        <v>1</v>
      </c>
      <c r="M21" s="11">
        <f>IF(預測IC!M21&gt;預測IC!M$27,1,0)</f>
        <v>1</v>
      </c>
      <c r="N21" s="11">
        <f>IF(預測IC!N21&gt;預測IC!N$27,1,0)</f>
        <v>1</v>
      </c>
      <c r="O21" s="11">
        <f>IF(預測IC!O21&gt;預測IC!O$27,1,0)</f>
        <v>0</v>
      </c>
      <c r="P21" s="11">
        <f>IF(預測IC!P21&gt;預測IC!P$27,1,0)</f>
        <v>1</v>
      </c>
      <c r="Q21" s="11">
        <f>IF(預測IC!Q21&gt;預測IC!Q$27,1,0)</f>
        <v>0</v>
      </c>
      <c r="R21" s="11">
        <f>IF(預測IC!R21&gt;預測IC!R$27,1,0)</f>
        <v>1</v>
      </c>
      <c r="S21" s="11">
        <f>IF(預測IC!S21&gt;預測IC!S$27,1,0)</f>
        <v>0</v>
      </c>
      <c r="T21" s="11">
        <f>IF(預測IC!T21&gt;預測IC!T$27,1,0)</f>
        <v>1</v>
      </c>
      <c r="U21" s="11">
        <f>IF(預測IC!U21&gt;預測IC!U$27,1,0)</f>
        <v>0</v>
      </c>
      <c r="V21" s="11">
        <f>IF(預測IC!V21&gt;預測IC!V$27,1,0)</f>
        <v>1</v>
      </c>
      <c r="W21" s="11">
        <f>IF(預測IC!W21&gt;預測IC!W$27,1,0)</f>
        <v>0</v>
      </c>
      <c r="X21" s="11">
        <f>IF(預測IC!X21&gt;預測IC!X$27,1,0)</f>
        <v>1</v>
      </c>
      <c r="Y21" s="11">
        <f>IF(預測IC!Y21&gt;預測IC!Y$27,1,0)</f>
        <v>0</v>
      </c>
      <c r="Z21" s="11">
        <f>IF(預測IC!Z21&gt;預測IC!Z$27,1,0)</f>
        <v>1</v>
      </c>
      <c r="AA21" s="11">
        <f>IF(預測IC!AA21&gt;預測IC!AA$27,1,0)</f>
        <v>1</v>
      </c>
      <c r="AB21" s="11">
        <f>IF(預測IC!AB21&gt;預測IC!AB$27,1,0)</f>
        <v>0</v>
      </c>
      <c r="AC21" s="11">
        <f>IF(預測IC!AC21&gt;預測IC!AC$27,1,0)</f>
        <v>0</v>
      </c>
      <c r="AD21" s="11">
        <f>IF(預測IC!AD21&gt;預測IC!AD$27,1,0)</f>
        <v>1</v>
      </c>
      <c r="AE21" s="11">
        <f>IF(預測IC!AE21&gt;預測IC!AE$27,1,0)</f>
        <v>1</v>
      </c>
      <c r="AF21" s="11">
        <f>IF(預測IC!AF21&gt;預測IC!AF$27,1,0)</f>
        <v>1</v>
      </c>
      <c r="AG21" s="11">
        <f>IF(預測IC!AG21&gt;預測IC!AG$27,1,0)</f>
        <v>0</v>
      </c>
      <c r="AH21" s="11">
        <f>IF(預測IC!AH21&gt;預測IC!AH$27,1,0)</f>
        <v>1</v>
      </c>
      <c r="AI21" s="11">
        <f>IF(預測IC!AI21&gt;預測IC!AI$27,1,0)</f>
        <v>0</v>
      </c>
      <c r="AJ21" s="11">
        <f>IF(預測IC!AJ21&gt;預測IC!AJ$27,1,0)</f>
        <v>1</v>
      </c>
      <c r="AK21" s="11">
        <f>IF(預測IC!AK21&gt;預測IC!AK$27,1,0)</f>
        <v>1</v>
      </c>
      <c r="AL21" s="11">
        <f>IF(預測IC!AL21&gt;預測IC!AL$27,1,0)</f>
        <v>0</v>
      </c>
      <c r="AM21" s="11">
        <f>IF(預測IC!AM21&gt;預測IC!AM$27,1,0)</f>
        <v>1</v>
      </c>
      <c r="AN21" s="11">
        <f>IF(預測IC!AN21&gt;預測IC!AN$27,1,0)</f>
        <v>1</v>
      </c>
      <c r="AO21" s="11">
        <f>IF(預測IC!AO21&gt;預測IC!AO$27,1,0)</f>
        <v>0</v>
      </c>
      <c r="AP21" s="11">
        <f>IF(預測IC!AP21&gt;預測IC!AP$27,1,0)</f>
        <v>0</v>
      </c>
      <c r="AQ21" s="11">
        <f>IF(預測IC!AQ21&gt;預測IC!AQ$27,1,0)</f>
        <v>1</v>
      </c>
      <c r="AR21" s="11">
        <f>IF(預測IC!AR21&gt;預測IC!AR$27,1,0)</f>
        <v>0</v>
      </c>
      <c r="AS21" s="11">
        <f>IF(預測IC!AS21&gt;預測IC!AS$27,1,0)</f>
        <v>1</v>
      </c>
      <c r="AT21" s="11">
        <f>IF(預測IC!AT21&gt;預測IC!AT$27,1,0)</f>
        <v>0</v>
      </c>
      <c r="AU21" s="11">
        <f>IF(預測IC!AU21&gt;預測IC!AU$27,1,0)</f>
        <v>0</v>
      </c>
      <c r="AV21" s="11">
        <f>IF(預測IC!AV21&gt;預測IC!AV$27,1,0)</f>
        <v>0</v>
      </c>
      <c r="AW21" s="11">
        <f>IF(預測IC!AW21&gt;預測IC!AW$27,1,0)</f>
        <v>1</v>
      </c>
      <c r="AX21" s="11">
        <f>IF(預測IC!AX21&gt;預測IC!AX$27,1,0)</f>
        <v>1</v>
      </c>
      <c r="AY21" s="11">
        <f>IF(預測IC!AY21&gt;預測IC!AY$27,1,0)</f>
        <v>1</v>
      </c>
      <c r="AZ21" s="11">
        <f>IF(預測IC!AZ21&gt;預測IC!AZ$27,1,0)</f>
        <v>0</v>
      </c>
      <c r="BA21" s="11">
        <f>IF(預測IC!BA21&gt;預測IC!BA$27,1,0)</f>
        <v>1</v>
      </c>
      <c r="BB21" s="11">
        <f>IF(預測IC!BB21&gt;預測IC!BB$27,1,0)</f>
        <v>0</v>
      </c>
      <c r="BC21" s="11">
        <f>IF(預測IC!BC21&gt;預測IC!BC$27,1,0)</f>
        <v>0</v>
      </c>
      <c r="BD21" s="11">
        <f>IF(預測IC!BD21&gt;預測IC!BD$27,1,0)</f>
        <v>1</v>
      </c>
      <c r="BE21" s="11">
        <f>IF(預測IC!BE21&gt;預測IC!BE$27,1,0)</f>
        <v>1</v>
      </c>
      <c r="BF21" s="11">
        <f>IF(預測IC!BF21&gt;預測IC!BF$27,1,0)</f>
        <v>1</v>
      </c>
      <c r="BG21" s="11">
        <f>IF(預測IC!BG21&gt;預測IC!BG$27,1,0)</f>
        <v>1</v>
      </c>
      <c r="BH21" s="11">
        <f>IF(預測IC!BH21&gt;預測IC!BH$27,1,0)</f>
        <v>1</v>
      </c>
      <c r="BI21" s="11">
        <f>IF(預測IC!BI21&gt;預測IC!BI$27,1,0)</f>
        <v>1</v>
      </c>
      <c r="BJ21" s="11">
        <f>IF(預測IC!BJ21&gt;預測IC!BJ$27,1,0)</f>
        <v>1</v>
      </c>
      <c r="BK21" s="11">
        <f>IF(預測IC!BK21&gt;預測IC!BK$27,1,0)</f>
        <v>1</v>
      </c>
      <c r="BL21" s="11">
        <f>IF(預測IC!BL21&gt;預測IC!BL$27,1,0)</f>
        <v>0</v>
      </c>
      <c r="BM21" s="11">
        <f>IF(預測IC!BM21&gt;預測IC!BM$27,1,0)</f>
        <v>1</v>
      </c>
      <c r="BN21" s="11">
        <f>IF(預測IC!BN21&gt;預測IC!BN$27,1,0)</f>
        <v>0</v>
      </c>
      <c r="BO21" s="11">
        <f>IF(預測IC!BO21&gt;預測IC!BO$27,1,0)</f>
        <v>0</v>
      </c>
      <c r="BP21" s="11">
        <f>IF(預測IC!BP21&gt;預測IC!BP$27,1,0)</f>
        <v>1</v>
      </c>
      <c r="BQ21" s="11">
        <f>IF(預測IC!BQ21&gt;預測IC!BQ$27,1,0)</f>
        <v>0</v>
      </c>
      <c r="BR21" s="11">
        <f>IF(預測IC!BR21&gt;預測IC!BR$27,1,0)</f>
        <v>0</v>
      </c>
      <c r="BS21" s="11">
        <f>IF(預測IC!BS21&gt;預測IC!BS$27,1,0)</f>
        <v>0</v>
      </c>
      <c r="BT21" s="11">
        <f>IF(預測IC!BT21&gt;預測IC!BT$27,1,0)</f>
        <v>0</v>
      </c>
      <c r="BU21" s="11">
        <f>IF(預測IC!BU21&gt;預測IC!BU$27,1,0)</f>
        <v>1</v>
      </c>
      <c r="BV21" s="11">
        <f>IF(預測IC!BV21&gt;預測IC!BV$27,1,0)</f>
        <v>0</v>
      </c>
      <c r="BW21" s="11">
        <f>IF(預測IC!BW21&gt;預測IC!BW$27,1,0)</f>
        <v>1</v>
      </c>
      <c r="BX21" s="11">
        <f>IF(預測IC!BX21&gt;預測IC!BX$27,1,0)</f>
        <v>1</v>
      </c>
      <c r="BY21" s="11">
        <f>IF(預測IC!BY21&gt;預測IC!BY$27,1,0)</f>
        <v>1</v>
      </c>
      <c r="BZ21" s="11">
        <f>IF(預測IC!BZ21&gt;預測IC!BZ$27,1,0)</f>
        <v>0</v>
      </c>
      <c r="CA21" s="11">
        <f>IF(預測IC!CA21&gt;預測IC!CA$27,1,0)</f>
        <v>0</v>
      </c>
      <c r="CB21" s="11">
        <f>IF(預測IC!CB21&gt;預測IC!CB$27,1,0)</f>
        <v>0</v>
      </c>
      <c r="CC21" s="11">
        <f>IF(預測IC!CC21&gt;預測IC!CC$27,1,0)</f>
        <v>0</v>
      </c>
      <c r="CD21" s="11">
        <f>IF(預測IC!CD21&gt;預測IC!CD$27,1,0)</f>
        <v>1</v>
      </c>
      <c r="CE21" s="11">
        <f>IF(預測IC!CE21&gt;預測IC!CE$27,1,0)</f>
        <v>1</v>
      </c>
      <c r="CF21" s="11">
        <f>IF(預測IC!CF21&gt;預測IC!CF$27,1,0)</f>
        <v>0</v>
      </c>
      <c r="CG21" s="11">
        <f>IF(預測IC!CG21&gt;預測IC!CG$27,1,0)</f>
        <v>1</v>
      </c>
      <c r="CH21" s="11">
        <f>IF(預測IC!CH21&gt;預測IC!CH$27,1,0)</f>
        <v>0</v>
      </c>
      <c r="CI21" s="11">
        <f>IF(預測IC!CI21&gt;預測IC!CI$27,1,0)</f>
        <v>1</v>
      </c>
      <c r="CJ21" s="11">
        <f>IF(預測IC!CJ21&gt;預測IC!CJ$27,1,0)</f>
        <v>1</v>
      </c>
      <c r="CK21" s="11">
        <f>IF(預測IC!CK21&gt;預測IC!CK$27,1,0)</f>
        <v>0</v>
      </c>
      <c r="CL21" s="11">
        <f>IF(預測IC!CL21&gt;預測IC!CL$27,1,0)</f>
        <v>0</v>
      </c>
      <c r="CM21" s="11">
        <f>IF(預測IC!CM21&gt;預測IC!CM$27,1,0)</f>
        <v>0</v>
      </c>
      <c r="CN21" s="11">
        <f>IF(預測IC!CN21&gt;預測IC!CN$27,1,0)</f>
        <v>0</v>
      </c>
      <c r="CO21" s="11">
        <f>IF(預測IC!CO21&gt;預測IC!CO$27,1,0)</f>
        <v>1</v>
      </c>
      <c r="CP21" s="11">
        <f>IF(預測IC!CP21&gt;預測IC!CP$27,1,0)</f>
        <v>0</v>
      </c>
      <c r="CQ21" s="11">
        <f>IF(預測IC!CQ21&gt;預測IC!CQ$27,1,0)</f>
        <v>0</v>
      </c>
      <c r="CR21" s="11">
        <f>IF(預測IC!CR21&gt;預測IC!CR$27,1,0)</f>
        <v>0</v>
      </c>
      <c r="CS21" s="11">
        <f>IF(預測IC!CS21&gt;預測IC!CS$27,1,0)</f>
        <v>0</v>
      </c>
      <c r="CT21" s="11">
        <f>IF(預測IC!CT21&gt;預測IC!CT$27,1,0)</f>
        <v>0</v>
      </c>
      <c r="CU21" s="11">
        <f>IF(預測IC!CU21&gt;預測IC!CU$27,1,0)</f>
        <v>1</v>
      </c>
      <c r="CV21" s="11">
        <f>IF(預測IC!CV21&gt;預測IC!CV$27,1,0)</f>
        <v>0</v>
      </c>
      <c r="CW21" s="11">
        <f>IF(預測IC!CW21&gt;預測IC!CW$27,1,0)</f>
        <v>1</v>
      </c>
      <c r="CX21" s="11">
        <f>IF(預測IC!CX21&gt;預測IC!CX$27,1,0)</f>
        <v>1</v>
      </c>
      <c r="CY21" s="11">
        <f>IF(預測IC!CY21&gt;預測IC!CY$27,1,0)</f>
        <v>0</v>
      </c>
      <c r="CZ21" s="11">
        <f>IF(預測IC!CZ21&gt;預測IC!CZ$27,1,0)</f>
        <v>1</v>
      </c>
      <c r="DA21" s="11">
        <f>IF(預測IC!DA21&gt;預測IC!DA$27,1,0)</f>
        <v>1</v>
      </c>
      <c r="DB21" s="11">
        <f>IF(預測IC!DB21&gt;預測IC!DB$27,1,0)</f>
        <v>1</v>
      </c>
      <c r="DC21" s="11">
        <f>IF(預測IC!DC21&gt;預測IC!DC$27,1,0)</f>
        <v>1</v>
      </c>
      <c r="DD21" s="11">
        <f>IF(預測IC!DD21&gt;預測IC!DD$27,1,0)</f>
        <v>0</v>
      </c>
      <c r="DE21" s="11">
        <f>IF(預測IC!DE21&gt;預測IC!DE$27,1,0)</f>
        <v>0</v>
      </c>
      <c r="DF21" s="11">
        <f>IF(預測IC!DF21&gt;預測IC!DF$27,1,0)</f>
        <v>0</v>
      </c>
      <c r="DG21" s="11">
        <f>IF(預測IC!DG21&gt;預測IC!DG$27,1,0)</f>
        <v>0</v>
      </c>
      <c r="DH21" s="11">
        <f>IF(預測IC!DH21&gt;預測IC!DH$27,1,0)</f>
        <v>1</v>
      </c>
      <c r="DI21" s="11">
        <f>IF(預測IC!DI21&gt;預測IC!DI$27,1,0)</f>
        <v>1</v>
      </c>
      <c r="DJ21" s="11">
        <f>IF(預測IC!DJ21&gt;預測IC!DJ$27,1,0)</f>
        <v>1</v>
      </c>
      <c r="DK21" s="11">
        <f>IF(預測IC!DK21&gt;預測IC!DK$27,1,0)</f>
        <v>0</v>
      </c>
      <c r="DL21" s="11">
        <f>IF(預測IC!DL21&gt;預測IC!DL$27,1,0)</f>
        <v>0</v>
      </c>
      <c r="DM21" s="11">
        <f>IF(預測IC!DM21&gt;預測IC!DM$27,1,0)</f>
        <v>0</v>
      </c>
      <c r="DN21" s="11">
        <f>IF(預測IC!DN21&gt;預測IC!DN$27,1,0)</f>
        <v>1</v>
      </c>
      <c r="DO21" s="11">
        <f>IF(預測IC!DO21&gt;預測IC!DO$27,1,0)</f>
        <v>0</v>
      </c>
      <c r="DP21" s="11">
        <v>1</v>
      </c>
      <c r="DQ21" s="11">
        <f>IF(預測IC!DQ21&gt;預測IC!DQ$27,1,0)</f>
        <v>0</v>
      </c>
      <c r="DR21" s="11">
        <f>IF(預測IC!DR21&gt;預測IC!DR$27,1,0)</f>
        <v>1</v>
      </c>
      <c r="DS21" s="11">
        <f>IF(預測IC!DS21&gt;預測IC!DS$27,1,0)</f>
        <v>1</v>
      </c>
      <c r="DT21" s="11">
        <f>IF(預測IC!DT21&gt;預測IC!DT$27,1,0)</f>
        <v>0</v>
      </c>
      <c r="DU21" s="11">
        <f>IF(預測IC!DU21&gt;預測IC!DU$27,1,0)</f>
        <v>1</v>
      </c>
      <c r="DV21" s="11">
        <v>1</v>
      </c>
      <c r="DW21" s="11">
        <f>IF(預測IC!DW21&gt;預測IC!DW$27,1,0)</f>
        <v>0</v>
      </c>
      <c r="DX21" s="11">
        <f>IF(預測IC!DX21&gt;預測IC!DX$27,1,0)</f>
        <v>0</v>
      </c>
      <c r="DY21" s="11">
        <f>IF(預測IC!DY21&gt;預測IC!DY$27,1,0)</f>
        <v>1</v>
      </c>
      <c r="DZ21" s="11">
        <f>IF(預測IC!DZ21&gt;預測IC!DZ$27,1,0)</f>
        <v>1</v>
      </c>
      <c r="EA21" s="11">
        <f>IF(預測IC!EA21&gt;預測IC!EA$27,1,0)</f>
        <v>1</v>
      </c>
      <c r="EB21" s="11">
        <f>IF(預測IC!EB21&gt;預測IC!EB$27,1,0)</f>
        <v>1</v>
      </c>
      <c r="EC21" s="11">
        <f>IF(預測IC!EC21&gt;預測IC!EC$27,1,0)</f>
        <v>1</v>
      </c>
      <c r="ED21" s="11">
        <f>IF(預測IC!ED21&gt;預測IC!ED$27,1,0)</f>
        <v>1</v>
      </c>
      <c r="EE21" s="11">
        <f>IF(預測IC!EE21&gt;預測IC!EE$27,1,0)</f>
        <v>1</v>
      </c>
      <c r="EF21" s="11">
        <f>IF(預測IC!EF21&gt;預測IC!EF$27,1,0)</f>
        <v>0</v>
      </c>
      <c r="EG21" s="1">
        <f t="shared" si="6"/>
        <v>72</v>
      </c>
      <c r="EH21" s="46">
        <f t="shared" si="7"/>
        <v>0.53731343283582089</v>
      </c>
    </row>
    <row r="22" spans="1:138" ht="16" customHeight="1">
      <c r="A22" s="6">
        <v>192</v>
      </c>
      <c r="B22" s="6">
        <v>5</v>
      </c>
      <c r="C22" s="11">
        <f>IF(預測IC!C22&gt;預測IC!C$27,1,0)</f>
        <v>1</v>
      </c>
      <c r="D22" s="11">
        <f>IF(預測IC!D22&gt;預測IC!D$27,1,0)</f>
        <v>1</v>
      </c>
      <c r="E22" s="11">
        <f>IF(預測IC!E22&gt;預測IC!E$27,1,0)</f>
        <v>0</v>
      </c>
      <c r="F22" s="11">
        <f>IF(預測IC!F22&gt;預測IC!F$27,1,0)</f>
        <v>1</v>
      </c>
      <c r="G22" s="11">
        <f>IF(預測IC!G22&gt;預測IC!G$27,1,0)</f>
        <v>1</v>
      </c>
      <c r="H22" s="11">
        <f>IF(預測IC!H22&gt;預測IC!H$27,1,0)</f>
        <v>0</v>
      </c>
      <c r="I22" s="11">
        <f>IF(預測IC!I22&gt;預測IC!I$27,1,0)</f>
        <v>1</v>
      </c>
      <c r="J22" s="11">
        <f>IF(預測IC!J22&gt;預測IC!J$27,1,0)</f>
        <v>1</v>
      </c>
      <c r="K22" s="11">
        <f>IF(預測IC!K22&gt;預測IC!K$27,1,0)</f>
        <v>1</v>
      </c>
      <c r="L22" s="11">
        <f>IF(預測IC!L22&gt;預測IC!L$27,1,0)</f>
        <v>1</v>
      </c>
      <c r="M22" s="11">
        <f>IF(預測IC!M22&gt;預測IC!M$27,1,0)</f>
        <v>1</v>
      </c>
      <c r="N22" s="11">
        <f>IF(預測IC!N22&gt;預測IC!N$27,1,0)</f>
        <v>1</v>
      </c>
      <c r="O22" s="11">
        <f>IF(預測IC!O22&gt;預測IC!O$27,1,0)</f>
        <v>0</v>
      </c>
      <c r="P22" s="11">
        <f>IF(預測IC!P22&gt;預測IC!P$27,1,0)</f>
        <v>1</v>
      </c>
      <c r="Q22" s="11">
        <f>IF(預測IC!Q22&gt;預測IC!Q$27,1,0)</f>
        <v>0</v>
      </c>
      <c r="R22" s="11">
        <f>IF(預測IC!R22&gt;預測IC!R$27,1,0)</f>
        <v>1</v>
      </c>
      <c r="S22" s="11">
        <f>IF(預測IC!S22&gt;預測IC!S$27,1,0)</f>
        <v>0</v>
      </c>
      <c r="T22" s="11">
        <f>IF(預測IC!T22&gt;預測IC!T$27,1,0)</f>
        <v>1</v>
      </c>
      <c r="U22" s="11">
        <f>IF(預測IC!U22&gt;預測IC!U$27,1,0)</f>
        <v>1</v>
      </c>
      <c r="V22" s="11">
        <f>IF(預測IC!V22&gt;預測IC!V$27,1,0)</f>
        <v>1</v>
      </c>
      <c r="W22" s="11">
        <f>IF(預測IC!W22&gt;預測IC!W$27,1,0)</f>
        <v>0</v>
      </c>
      <c r="X22" s="11">
        <f>IF(預測IC!X22&gt;預測IC!X$27,1,0)</f>
        <v>1</v>
      </c>
      <c r="Y22" s="11">
        <f>IF(預測IC!Y22&gt;預測IC!Y$27,1,0)</f>
        <v>0</v>
      </c>
      <c r="Z22" s="11">
        <f>IF(預測IC!Z22&gt;預測IC!Z$27,1,0)</f>
        <v>1</v>
      </c>
      <c r="AA22" s="11">
        <f>IF(預測IC!AA22&gt;預測IC!AA$27,1,0)</f>
        <v>1</v>
      </c>
      <c r="AB22" s="11">
        <f>IF(預測IC!AB22&gt;預測IC!AB$27,1,0)</f>
        <v>0</v>
      </c>
      <c r="AC22" s="11">
        <f>IF(預測IC!AC22&gt;預測IC!AC$27,1,0)</f>
        <v>0</v>
      </c>
      <c r="AD22" s="11">
        <f>IF(預測IC!AD22&gt;預測IC!AD$27,1,0)</f>
        <v>1</v>
      </c>
      <c r="AE22" s="11">
        <f>IF(預測IC!AE22&gt;預測IC!AE$27,1,0)</f>
        <v>1</v>
      </c>
      <c r="AF22" s="11">
        <f>IF(預測IC!AF22&gt;預測IC!AF$27,1,0)</f>
        <v>1</v>
      </c>
      <c r="AG22" s="11">
        <f>IF(預測IC!AG22&gt;預測IC!AG$27,1,0)</f>
        <v>0</v>
      </c>
      <c r="AH22" s="11">
        <f>IF(預測IC!AH22&gt;預測IC!AH$27,1,0)</f>
        <v>1</v>
      </c>
      <c r="AI22" s="11">
        <f>IF(預測IC!AI22&gt;預測IC!AI$27,1,0)</f>
        <v>0</v>
      </c>
      <c r="AJ22" s="11">
        <f>IF(預測IC!AJ22&gt;預測IC!AJ$27,1,0)</f>
        <v>1</v>
      </c>
      <c r="AK22" s="11">
        <f>IF(預測IC!AK22&gt;預測IC!AK$27,1,0)</f>
        <v>1</v>
      </c>
      <c r="AL22" s="11">
        <f>IF(預測IC!AL22&gt;預測IC!AL$27,1,0)</f>
        <v>0</v>
      </c>
      <c r="AM22" s="11">
        <f>IF(預測IC!AM22&gt;預測IC!AM$27,1,0)</f>
        <v>1</v>
      </c>
      <c r="AN22" s="11">
        <f>IF(預測IC!AN22&gt;預測IC!AN$27,1,0)</f>
        <v>1</v>
      </c>
      <c r="AO22" s="11">
        <f>IF(預測IC!AO22&gt;預測IC!AO$27,1,0)</f>
        <v>0</v>
      </c>
      <c r="AP22" s="11">
        <f>IF(預測IC!AP22&gt;預測IC!AP$27,1,0)</f>
        <v>0</v>
      </c>
      <c r="AQ22" s="11">
        <f>IF(預測IC!AQ22&gt;預測IC!AQ$27,1,0)</f>
        <v>1</v>
      </c>
      <c r="AR22" s="11">
        <f>IF(預測IC!AR22&gt;預測IC!AR$27,1,0)</f>
        <v>0</v>
      </c>
      <c r="AS22" s="11">
        <f>IF(預測IC!AS22&gt;預測IC!AS$27,1,0)</f>
        <v>1</v>
      </c>
      <c r="AT22" s="11">
        <f>IF(預測IC!AT22&gt;預測IC!AT$27,1,0)</f>
        <v>0</v>
      </c>
      <c r="AU22" s="11">
        <f>IF(預測IC!AU22&gt;預測IC!AU$27,1,0)</f>
        <v>0</v>
      </c>
      <c r="AV22" s="11">
        <f>IF(預測IC!AV22&gt;預測IC!AV$27,1,0)</f>
        <v>0</v>
      </c>
      <c r="AW22" s="11">
        <f>IF(預測IC!AW22&gt;預測IC!AW$27,1,0)</f>
        <v>1</v>
      </c>
      <c r="AX22" s="11">
        <f>IF(預測IC!AX22&gt;預測IC!AX$27,1,0)</f>
        <v>1</v>
      </c>
      <c r="AY22" s="11">
        <f>IF(預測IC!AY22&gt;預測IC!AY$27,1,0)</f>
        <v>1</v>
      </c>
      <c r="AZ22" s="11">
        <f>IF(預測IC!AZ22&gt;預測IC!AZ$27,1,0)</f>
        <v>0</v>
      </c>
      <c r="BA22" s="11">
        <f>IF(預測IC!BA22&gt;預測IC!BA$27,1,0)</f>
        <v>1</v>
      </c>
      <c r="BB22" s="11">
        <f>IF(預測IC!BB22&gt;預測IC!BB$27,1,0)</f>
        <v>0</v>
      </c>
      <c r="BC22" s="11">
        <f>IF(預測IC!BC22&gt;預測IC!BC$27,1,0)</f>
        <v>0</v>
      </c>
      <c r="BD22" s="11">
        <f>IF(預測IC!BD22&gt;預測IC!BD$27,1,0)</f>
        <v>1</v>
      </c>
      <c r="BE22" s="11">
        <f>IF(預測IC!BE22&gt;預測IC!BE$27,1,0)</f>
        <v>1</v>
      </c>
      <c r="BF22" s="11">
        <f>IF(預測IC!BF22&gt;預測IC!BF$27,1,0)</f>
        <v>1</v>
      </c>
      <c r="BG22" s="11">
        <f>IF(預測IC!BG22&gt;預測IC!BG$27,1,0)</f>
        <v>1</v>
      </c>
      <c r="BH22" s="11">
        <f>IF(預測IC!BH22&gt;預測IC!BH$27,1,0)</f>
        <v>1</v>
      </c>
      <c r="BI22" s="11">
        <f>IF(預測IC!BI22&gt;預測IC!BI$27,1,0)</f>
        <v>1</v>
      </c>
      <c r="BJ22" s="11">
        <f>IF(預測IC!BJ22&gt;預測IC!BJ$27,1,0)</f>
        <v>1</v>
      </c>
      <c r="BK22" s="11">
        <f>IF(預測IC!BK22&gt;預測IC!BK$27,1,0)</f>
        <v>1</v>
      </c>
      <c r="BL22" s="11">
        <f>IF(預測IC!BL22&gt;預測IC!BL$27,1,0)</f>
        <v>1</v>
      </c>
      <c r="BM22" s="11">
        <f>IF(預測IC!BM22&gt;預測IC!BM$27,1,0)</f>
        <v>1</v>
      </c>
      <c r="BN22" s="11">
        <f>IF(預測IC!BN22&gt;預測IC!BN$27,1,0)</f>
        <v>0</v>
      </c>
      <c r="BO22" s="11">
        <f>IF(預測IC!BO22&gt;預測IC!BO$27,1,0)</f>
        <v>0</v>
      </c>
      <c r="BP22" s="11">
        <f>IF(預測IC!BP22&gt;預測IC!BP$27,1,0)</f>
        <v>1</v>
      </c>
      <c r="BQ22" s="11">
        <f>IF(預測IC!BQ22&gt;預測IC!BQ$27,1,0)</f>
        <v>0</v>
      </c>
      <c r="BR22" s="11">
        <f>IF(預測IC!BR22&gt;預測IC!BR$27,1,0)</f>
        <v>0</v>
      </c>
      <c r="BS22" s="11">
        <f>IF(預測IC!BS22&gt;預測IC!BS$27,1,0)</f>
        <v>0</v>
      </c>
      <c r="BT22" s="11">
        <f>IF(預測IC!BT22&gt;預測IC!BT$27,1,0)</f>
        <v>0</v>
      </c>
      <c r="BU22" s="11">
        <f>IF(預測IC!BU22&gt;預測IC!BU$27,1,0)</f>
        <v>1</v>
      </c>
      <c r="BV22" s="11">
        <f>IF(預測IC!BV22&gt;預測IC!BV$27,1,0)</f>
        <v>0</v>
      </c>
      <c r="BW22" s="11">
        <f>IF(預測IC!BW22&gt;預測IC!BW$27,1,0)</f>
        <v>1</v>
      </c>
      <c r="BX22" s="11">
        <f>IF(預測IC!BX22&gt;預測IC!BX$27,1,0)</f>
        <v>1</v>
      </c>
      <c r="BY22" s="11">
        <f>IF(預測IC!BY22&gt;預測IC!BY$27,1,0)</f>
        <v>1</v>
      </c>
      <c r="BZ22" s="11">
        <f>IF(預測IC!BZ22&gt;預測IC!BZ$27,1,0)</f>
        <v>0</v>
      </c>
      <c r="CA22" s="11">
        <f>IF(預測IC!CA22&gt;預測IC!CA$27,1,0)</f>
        <v>0</v>
      </c>
      <c r="CB22" s="11">
        <f>IF(預測IC!CB22&gt;預測IC!CB$27,1,0)</f>
        <v>0</v>
      </c>
      <c r="CC22" s="11">
        <f>IF(預測IC!CC22&gt;預測IC!CC$27,1,0)</f>
        <v>0</v>
      </c>
      <c r="CD22" s="11">
        <f>IF(預測IC!CD22&gt;預測IC!CD$27,1,0)</f>
        <v>0</v>
      </c>
      <c r="CE22" s="11">
        <f>IF(預測IC!CE22&gt;預測IC!CE$27,1,0)</f>
        <v>1</v>
      </c>
      <c r="CF22" s="11">
        <f>IF(預測IC!CF22&gt;預測IC!CF$27,1,0)</f>
        <v>0</v>
      </c>
      <c r="CG22" s="11">
        <f>IF(預測IC!CG22&gt;預測IC!CG$27,1,0)</f>
        <v>1</v>
      </c>
      <c r="CH22" s="11">
        <f>IF(預測IC!CH22&gt;預測IC!CH$27,1,0)</f>
        <v>0</v>
      </c>
      <c r="CI22" s="11">
        <f>IF(預測IC!CI22&gt;預測IC!CI$27,1,0)</f>
        <v>1</v>
      </c>
      <c r="CJ22" s="11">
        <f>IF(預測IC!CJ22&gt;預測IC!CJ$27,1,0)</f>
        <v>1</v>
      </c>
      <c r="CK22" s="11">
        <f>IF(預測IC!CK22&gt;預測IC!CK$27,1,0)</f>
        <v>0</v>
      </c>
      <c r="CL22" s="11">
        <f>IF(預測IC!CL22&gt;預測IC!CL$27,1,0)</f>
        <v>0</v>
      </c>
      <c r="CM22" s="11">
        <f>IF(預測IC!CM22&gt;預測IC!CM$27,1,0)</f>
        <v>0</v>
      </c>
      <c r="CN22" s="11">
        <f>IF(預測IC!CN22&gt;預測IC!CN$27,1,0)</f>
        <v>0</v>
      </c>
      <c r="CO22" s="11">
        <f>IF(預測IC!CO22&gt;預測IC!CO$27,1,0)</f>
        <v>1</v>
      </c>
      <c r="CP22" s="11">
        <f>IF(預測IC!CP22&gt;預測IC!CP$27,1,0)</f>
        <v>0</v>
      </c>
      <c r="CQ22" s="11">
        <f>IF(預測IC!CQ22&gt;預測IC!CQ$27,1,0)</f>
        <v>0</v>
      </c>
      <c r="CR22" s="11">
        <f>IF(預測IC!CR22&gt;預測IC!CR$27,1,0)</f>
        <v>0</v>
      </c>
      <c r="CS22" s="11">
        <f>IF(預測IC!CS22&gt;預測IC!CS$27,1,0)</f>
        <v>0</v>
      </c>
      <c r="CT22" s="11">
        <f>IF(預測IC!CT22&gt;預測IC!CT$27,1,0)</f>
        <v>0</v>
      </c>
      <c r="CU22" s="11">
        <f>IF(預測IC!CU22&gt;預測IC!CU$27,1,0)</f>
        <v>1</v>
      </c>
      <c r="CV22" s="11">
        <f>IF(預測IC!CV22&gt;預測IC!CV$27,1,0)</f>
        <v>0</v>
      </c>
      <c r="CW22" s="11">
        <f>IF(預測IC!CW22&gt;預測IC!CW$27,1,0)</f>
        <v>0</v>
      </c>
      <c r="CX22" s="11">
        <f>IF(預測IC!CX22&gt;預測IC!CX$27,1,0)</f>
        <v>1</v>
      </c>
      <c r="CY22" s="11">
        <f>IF(預測IC!CY22&gt;預測IC!CY$27,1,0)</f>
        <v>0</v>
      </c>
      <c r="CZ22" s="11">
        <f>IF(預測IC!CZ22&gt;預測IC!CZ$27,1,0)</f>
        <v>1</v>
      </c>
      <c r="DA22" s="11">
        <f>IF(預測IC!DA22&gt;預測IC!DA$27,1,0)</f>
        <v>1</v>
      </c>
      <c r="DB22" s="11">
        <f>IF(預測IC!DB22&gt;預測IC!DB$27,1,0)</f>
        <v>1</v>
      </c>
      <c r="DC22" s="11">
        <f>IF(預測IC!DC22&gt;預測IC!DC$27,1,0)</f>
        <v>1</v>
      </c>
      <c r="DD22" s="11">
        <f>IF(預測IC!DD22&gt;預測IC!DD$27,1,0)</f>
        <v>0</v>
      </c>
      <c r="DE22" s="11">
        <f>IF(預測IC!DE22&gt;預測IC!DE$27,1,0)</f>
        <v>0</v>
      </c>
      <c r="DF22" s="11">
        <f>IF(預測IC!DF22&gt;預測IC!DF$27,1,0)</f>
        <v>0</v>
      </c>
      <c r="DG22" s="11">
        <f>IF(預測IC!DG22&gt;預測IC!DG$27,1,0)</f>
        <v>0</v>
      </c>
      <c r="DH22" s="11">
        <f>IF(預測IC!DH22&gt;預測IC!DH$27,1,0)</f>
        <v>1</v>
      </c>
      <c r="DI22" s="11">
        <f>IF(預測IC!DI22&gt;預測IC!DI$27,1,0)</f>
        <v>1</v>
      </c>
      <c r="DJ22" s="11">
        <f>IF(預測IC!DJ22&gt;預測IC!DJ$27,1,0)</f>
        <v>1</v>
      </c>
      <c r="DK22" s="11">
        <f>IF(預測IC!DK22&gt;預測IC!DK$27,1,0)</f>
        <v>0</v>
      </c>
      <c r="DL22" s="11">
        <f>IF(預測IC!DL22&gt;預測IC!DL$27,1,0)</f>
        <v>0</v>
      </c>
      <c r="DM22" s="11">
        <f>IF(預測IC!DM22&gt;預測IC!DM$27,1,0)</f>
        <v>0</v>
      </c>
      <c r="DN22" s="11">
        <f>IF(預測IC!DN22&gt;預測IC!DN$27,1,0)</f>
        <v>1</v>
      </c>
      <c r="DO22" s="11">
        <v>1</v>
      </c>
      <c r="DP22" s="11">
        <f>IF(預測IC!DP22&gt;預測IC!DP$27,1,0)</f>
        <v>1</v>
      </c>
      <c r="DQ22" s="11">
        <f>IF(預測IC!DQ22&gt;預測IC!DQ$27,1,0)</f>
        <v>0</v>
      </c>
      <c r="DR22" s="11">
        <f>IF(預測IC!DR22&gt;預測IC!DR$27,1,0)</f>
        <v>1</v>
      </c>
      <c r="DS22" s="11">
        <f>IF(預測IC!DS22&gt;預測IC!DS$27,1,0)</f>
        <v>1</v>
      </c>
      <c r="DT22" s="11">
        <f>IF(預測IC!DT22&gt;預測IC!DT$27,1,0)</f>
        <v>0</v>
      </c>
      <c r="DU22" s="11">
        <v>1</v>
      </c>
      <c r="DV22" s="11">
        <v>1</v>
      </c>
      <c r="DW22" s="11">
        <f>IF(預測IC!DW22&gt;預測IC!DW$27,1,0)</f>
        <v>1</v>
      </c>
      <c r="DX22" s="11">
        <f>IF(預測IC!DX22&gt;預測IC!DX$27,1,0)</f>
        <v>0</v>
      </c>
      <c r="DY22" s="11">
        <f>IF(預測IC!DY22&gt;預測IC!DY$27,1,0)</f>
        <v>1</v>
      </c>
      <c r="DZ22" s="11">
        <f>IF(預測IC!DZ22&gt;預測IC!DZ$27,1,0)</f>
        <v>1</v>
      </c>
      <c r="EA22" s="11">
        <f>IF(預測IC!EA22&gt;預測IC!EA$27,1,0)</f>
        <v>1</v>
      </c>
      <c r="EB22" s="11">
        <v>1</v>
      </c>
      <c r="EC22" s="11">
        <f>IF(預測IC!EC22&gt;預測IC!EC$27,1,0)</f>
        <v>1</v>
      </c>
      <c r="ED22" s="11">
        <f>IF(預測IC!ED22&gt;預測IC!ED$27,1,0)</f>
        <v>1</v>
      </c>
      <c r="EE22" s="11">
        <f>IF(預測IC!EE22&gt;預測IC!EE$27,1,0)</f>
        <v>1</v>
      </c>
      <c r="EF22" s="11">
        <f>IF(預測IC!EF22&gt;預測IC!EF$27,1,0)</f>
        <v>0</v>
      </c>
      <c r="EG22" s="1">
        <f t="shared" si="6"/>
        <v>76</v>
      </c>
      <c r="EH22" s="46">
        <f t="shared" si="7"/>
        <v>0.56716417910447758</v>
      </c>
    </row>
    <row r="23" spans="1:138" ht="16" customHeight="1">
      <c r="A23" s="6">
        <v>241</v>
      </c>
      <c r="B23" s="6">
        <v>4</v>
      </c>
      <c r="C23" s="11">
        <f>IF(預測IC!C23&gt;預測IC!C$27,1,0)</f>
        <v>1</v>
      </c>
      <c r="D23" s="11">
        <f>IF(預測IC!D23&gt;預測IC!D$27,1,0)</f>
        <v>1</v>
      </c>
      <c r="E23" s="11">
        <f>IF(預測IC!E23&gt;預測IC!E$27,1,0)</f>
        <v>0</v>
      </c>
      <c r="F23" s="11">
        <f>IF(預測IC!F23&gt;預測IC!F$27,1,0)</f>
        <v>0</v>
      </c>
      <c r="G23" s="11">
        <f>IF(預測IC!G23&gt;預測IC!G$27,1,0)</f>
        <v>0</v>
      </c>
      <c r="H23" s="11">
        <f>IF(預測IC!H23&gt;預測IC!H$27,1,0)</f>
        <v>0</v>
      </c>
      <c r="I23" s="11">
        <f>IF(預測IC!I23&gt;預測IC!I$27,1,0)</f>
        <v>1</v>
      </c>
      <c r="J23" s="11">
        <f>IF(預測IC!J23&gt;預測IC!J$27,1,0)</f>
        <v>1</v>
      </c>
      <c r="K23" s="11">
        <f>IF(預測IC!K23&gt;預測IC!K$27,1,0)</f>
        <v>0</v>
      </c>
      <c r="L23" s="11">
        <f>IF(預測IC!L23&gt;預測IC!L$27,1,0)</f>
        <v>1</v>
      </c>
      <c r="M23" s="11">
        <f>IF(預測IC!M23&gt;預測IC!M$27,1,0)</f>
        <v>1</v>
      </c>
      <c r="N23" s="11">
        <f>IF(預測IC!N23&gt;預測IC!N$27,1,0)</f>
        <v>0</v>
      </c>
      <c r="O23" s="11">
        <f>IF(預測IC!O23&gt;預測IC!O$27,1,0)</f>
        <v>0</v>
      </c>
      <c r="P23" s="11">
        <f>IF(預測IC!P23&gt;預測IC!P$27,1,0)</f>
        <v>1</v>
      </c>
      <c r="Q23" s="11">
        <f>IF(預測IC!Q23&gt;預測IC!Q$27,1,0)</f>
        <v>0</v>
      </c>
      <c r="R23" s="11">
        <f>IF(預測IC!R23&gt;預測IC!R$27,1,0)</f>
        <v>1</v>
      </c>
      <c r="S23" s="11">
        <f>IF(預測IC!S23&gt;預測IC!S$27,1,0)</f>
        <v>0</v>
      </c>
      <c r="T23" s="11">
        <f>IF(預測IC!T23&gt;預測IC!T$27,1,0)</f>
        <v>1</v>
      </c>
      <c r="U23" s="11">
        <f>IF(預測IC!U23&gt;預測IC!U$27,1,0)</f>
        <v>0</v>
      </c>
      <c r="V23" s="11">
        <f>IF(預測IC!V23&gt;預測IC!V$27,1,0)</f>
        <v>1</v>
      </c>
      <c r="W23" s="11">
        <f>IF(預測IC!W23&gt;預測IC!W$27,1,0)</f>
        <v>0</v>
      </c>
      <c r="X23" s="11">
        <f>IF(預測IC!X23&gt;預測IC!X$27,1,0)</f>
        <v>1</v>
      </c>
      <c r="Y23" s="11">
        <f>IF(預測IC!Y23&gt;預測IC!Y$27,1,0)</f>
        <v>0</v>
      </c>
      <c r="Z23" s="11">
        <f>IF(預測IC!Z23&gt;預測IC!Z$27,1,0)</f>
        <v>1</v>
      </c>
      <c r="AA23" s="11">
        <f>IF(預測IC!AA23&gt;預測IC!AA$27,1,0)</f>
        <v>1</v>
      </c>
      <c r="AB23" s="11">
        <f>IF(預測IC!AB23&gt;預測IC!AB$27,1,0)</f>
        <v>0</v>
      </c>
      <c r="AC23" s="11">
        <f>IF(預測IC!AC23&gt;預測IC!AC$27,1,0)</f>
        <v>0</v>
      </c>
      <c r="AD23" s="11">
        <f>IF(預測IC!AD23&gt;預測IC!AD$27,1,0)</f>
        <v>1</v>
      </c>
      <c r="AE23" s="11">
        <f>IF(預測IC!AE23&gt;預測IC!AE$27,1,0)</f>
        <v>1</v>
      </c>
      <c r="AF23" s="11">
        <f>IF(預測IC!AF23&gt;預測IC!AF$27,1,0)</f>
        <v>1</v>
      </c>
      <c r="AG23" s="11">
        <f>IF(預測IC!AG23&gt;預測IC!AG$27,1,0)</f>
        <v>0</v>
      </c>
      <c r="AH23" s="11">
        <f>IF(預測IC!AH23&gt;預測IC!AH$27,1,0)</f>
        <v>1</v>
      </c>
      <c r="AI23" s="11">
        <f>IF(預測IC!AI23&gt;預測IC!AI$27,1,0)</f>
        <v>0</v>
      </c>
      <c r="AJ23" s="11">
        <f>IF(預測IC!AJ23&gt;預測IC!AJ$27,1,0)</f>
        <v>1</v>
      </c>
      <c r="AK23" s="11">
        <f>IF(預測IC!AK23&gt;預測IC!AK$27,1,0)</f>
        <v>1</v>
      </c>
      <c r="AL23" s="11">
        <f>IF(預測IC!AL23&gt;預測IC!AL$27,1,0)</f>
        <v>0</v>
      </c>
      <c r="AM23" s="11">
        <f>IF(預測IC!AM23&gt;預測IC!AM$27,1,0)</f>
        <v>1</v>
      </c>
      <c r="AN23" s="11">
        <f>IF(預測IC!AN23&gt;預測IC!AN$27,1,0)</f>
        <v>1</v>
      </c>
      <c r="AO23" s="11">
        <f>IF(預測IC!AO23&gt;預測IC!AO$27,1,0)</f>
        <v>0</v>
      </c>
      <c r="AP23" s="11">
        <f>IF(預測IC!AP23&gt;預測IC!AP$27,1,0)</f>
        <v>0</v>
      </c>
      <c r="AQ23" s="11">
        <f>IF(預測IC!AQ23&gt;預測IC!AQ$27,1,0)</f>
        <v>1</v>
      </c>
      <c r="AR23" s="11">
        <f>IF(預測IC!AR23&gt;預測IC!AR$27,1,0)</f>
        <v>0</v>
      </c>
      <c r="AS23" s="11">
        <f>IF(預測IC!AS23&gt;預測IC!AS$27,1,0)</f>
        <v>1</v>
      </c>
      <c r="AT23" s="11">
        <f>IF(預測IC!AT23&gt;預測IC!AT$27,1,0)</f>
        <v>0</v>
      </c>
      <c r="AU23" s="11">
        <f>IF(預測IC!AU23&gt;預測IC!AU$27,1,0)</f>
        <v>0</v>
      </c>
      <c r="AV23" s="11">
        <f>IF(預測IC!AV23&gt;預測IC!AV$27,1,0)</f>
        <v>0</v>
      </c>
      <c r="AW23" s="11">
        <f>IF(預測IC!AW23&gt;預測IC!AW$27,1,0)</f>
        <v>0</v>
      </c>
      <c r="AX23" s="11">
        <f>IF(預測IC!AX23&gt;預測IC!AX$27,1,0)</f>
        <v>1</v>
      </c>
      <c r="AY23" s="11">
        <f>IF(預測IC!AY23&gt;預測IC!AY$27,1,0)</f>
        <v>1</v>
      </c>
      <c r="AZ23" s="11">
        <f>IF(預測IC!AZ23&gt;預測IC!AZ$27,1,0)</f>
        <v>0</v>
      </c>
      <c r="BA23" s="11">
        <f>IF(預測IC!BA23&gt;預測IC!BA$27,1,0)</f>
        <v>0</v>
      </c>
      <c r="BB23" s="11">
        <f>IF(預測IC!BB23&gt;預測IC!BB$27,1,0)</f>
        <v>0</v>
      </c>
      <c r="BC23" s="11">
        <f>IF(預測IC!BC23&gt;預測IC!BC$27,1,0)</f>
        <v>0</v>
      </c>
      <c r="BD23" s="11">
        <f>IF(預測IC!BD23&gt;預測IC!BD$27,1,0)</f>
        <v>1</v>
      </c>
      <c r="BE23" s="11">
        <f>IF(預測IC!BE23&gt;預測IC!BE$27,1,0)</f>
        <v>0</v>
      </c>
      <c r="BF23" s="11">
        <f>IF(預測IC!BF23&gt;預測IC!BF$27,1,0)</f>
        <v>1</v>
      </c>
      <c r="BG23" s="11">
        <f>IF(預測IC!BG23&gt;預測IC!BG$27,1,0)</f>
        <v>1</v>
      </c>
      <c r="BH23" s="11">
        <f>IF(預測IC!BH23&gt;預測IC!BH$27,1,0)</f>
        <v>1</v>
      </c>
      <c r="BI23" s="11">
        <f>IF(預測IC!BI23&gt;預測IC!BI$27,1,0)</f>
        <v>1</v>
      </c>
      <c r="BJ23" s="11">
        <f>IF(預測IC!BJ23&gt;預測IC!BJ$27,1,0)</f>
        <v>1</v>
      </c>
      <c r="BK23" s="11">
        <f>IF(預測IC!BK23&gt;預測IC!BK$27,1,0)</f>
        <v>1</v>
      </c>
      <c r="BL23" s="11">
        <f>IF(預測IC!BL23&gt;預測IC!BL$27,1,0)</f>
        <v>1</v>
      </c>
      <c r="BM23" s="11">
        <f>IF(預測IC!BM23&gt;預測IC!BM$27,1,0)</f>
        <v>1</v>
      </c>
      <c r="BN23" s="11">
        <f>IF(預測IC!BN23&gt;預測IC!BN$27,1,0)</f>
        <v>0</v>
      </c>
      <c r="BO23" s="11">
        <f>IF(預測IC!BO23&gt;預測IC!BO$27,1,0)</f>
        <v>0</v>
      </c>
      <c r="BP23" s="11">
        <f>IF(預測IC!BP23&gt;預測IC!BP$27,1,0)</f>
        <v>1</v>
      </c>
      <c r="BQ23" s="11">
        <f>IF(預測IC!BQ23&gt;預測IC!BQ$27,1,0)</f>
        <v>0</v>
      </c>
      <c r="BR23" s="11">
        <f>IF(預測IC!BR23&gt;預測IC!BR$27,1,0)</f>
        <v>0</v>
      </c>
      <c r="BS23" s="11">
        <f>IF(預測IC!BS23&gt;預測IC!BS$27,1,0)</f>
        <v>0</v>
      </c>
      <c r="BT23" s="11">
        <f>IF(預測IC!BT23&gt;預測IC!BT$27,1,0)</f>
        <v>0</v>
      </c>
      <c r="BU23" s="11">
        <f>IF(預測IC!BU23&gt;預測IC!BU$27,1,0)</f>
        <v>1</v>
      </c>
      <c r="BV23" s="11">
        <f>IF(預測IC!BV23&gt;預測IC!BV$27,1,0)</f>
        <v>0</v>
      </c>
      <c r="BW23" s="11">
        <f>IF(預測IC!BW23&gt;預測IC!BW$27,1,0)</f>
        <v>1</v>
      </c>
      <c r="BX23" s="11">
        <f>IF(預測IC!BX23&gt;預測IC!BX$27,1,0)</f>
        <v>1</v>
      </c>
      <c r="BY23" s="11">
        <f>IF(預測IC!BY23&gt;預測IC!BY$27,1,0)</f>
        <v>1</v>
      </c>
      <c r="BZ23" s="11">
        <f>IF(預測IC!BZ23&gt;預測IC!BZ$27,1,0)</f>
        <v>0</v>
      </c>
      <c r="CA23" s="11">
        <f>IF(預測IC!CA23&gt;預測IC!CA$27,1,0)</f>
        <v>0</v>
      </c>
      <c r="CB23" s="11">
        <f>IF(預測IC!CB23&gt;預測IC!CB$27,1,0)</f>
        <v>0</v>
      </c>
      <c r="CC23" s="11">
        <f>IF(預測IC!CC23&gt;預測IC!CC$27,1,0)</f>
        <v>0</v>
      </c>
      <c r="CD23" s="11">
        <f>IF(預測IC!CD23&gt;預測IC!CD$27,1,0)</f>
        <v>1</v>
      </c>
      <c r="CE23" s="11">
        <f>IF(預測IC!CE23&gt;預測IC!CE$27,1,0)</f>
        <v>1</v>
      </c>
      <c r="CF23" s="11">
        <f>IF(預測IC!CF23&gt;預測IC!CF$27,1,0)</f>
        <v>0</v>
      </c>
      <c r="CG23" s="11">
        <f>IF(預測IC!CG23&gt;預測IC!CG$27,1,0)</f>
        <v>1</v>
      </c>
      <c r="CH23" s="11">
        <f>IF(預測IC!CH23&gt;預測IC!CH$27,1,0)</f>
        <v>0</v>
      </c>
      <c r="CI23" s="11">
        <f>IF(預測IC!CI23&gt;預測IC!CI$27,1,0)</f>
        <v>1</v>
      </c>
      <c r="CJ23" s="11">
        <f>IF(預測IC!CJ23&gt;預測IC!CJ$27,1,0)</f>
        <v>1</v>
      </c>
      <c r="CK23" s="11">
        <f>IF(預測IC!CK23&gt;預測IC!CK$27,1,0)</f>
        <v>0</v>
      </c>
      <c r="CL23" s="11">
        <f>IF(預測IC!CL23&gt;預測IC!CL$27,1,0)</f>
        <v>0</v>
      </c>
      <c r="CM23" s="11">
        <f>IF(預測IC!CM23&gt;預測IC!CM$27,1,0)</f>
        <v>0</v>
      </c>
      <c r="CN23" s="11">
        <f>IF(預測IC!CN23&gt;預測IC!CN$27,1,0)</f>
        <v>0</v>
      </c>
      <c r="CO23" s="11">
        <f>IF(預測IC!CO23&gt;預測IC!CO$27,1,0)</f>
        <v>1</v>
      </c>
      <c r="CP23" s="11">
        <f>IF(預測IC!CP23&gt;預測IC!CP$27,1,0)</f>
        <v>0</v>
      </c>
      <c r="CQ23" s="11">
        <f>IF(預測IC!CQ23&gt;預測IC!CQ$27,1,0)</f>
        <v>0</v>
      </c>
      <c r="CR23" s="11">
        <f>IF(預測IC!CR23&gt;預測IC!CR$27,1,0)</f>
        <v>0</v>
      </c>
      <c r="CS23" s="11">
        <f>IF(預測IC!CS23&gt;預測IC!CS$27,1,0)</f>
        <v>0</v>
      </c>
      <c r="CT23" s="11">
        <f>IF(預測IC!CT23&gt;預測IC!CT$27,1,0)</f>
        <v>0</v>
      </c>
      <c r="CU23" s="11">
        <f>IF(預測IC!CU23&gt;預測IC!CU$27,1,0)</f>
        <v>1</v>
      </c>
      <c r="CV23" s="11">
        <f>IF(預測IC!CV23&gt;預測IC!CV$27,1,0)</f>
        <v>0</v>
      </c>
      <c r="CW23" s="11">
        <f>IF(預測IC!CW23&gt;預測IC!CW$27,1,0)</f>
        <v>0</v>
      </c>
      <c r="CX23" s="11">
        <f>IF(預測IC!CX23&gt;預測IC!CX$27,1,0)</f>
        <v>1</v>
      </c>
      <c r="CY23" s="11">
        <f>IF(預測IC!CY23&gt;預測IC!CY$27,1,0)</f>
        <v>1</v>
      </c>
      <c r="CZ23" s="11">
        <f>IF(預測IC!CZ23&gt;預測IC!CZ$27,1,0)</f>
        <v>1</v>
      </c>
      <c r="DA23" s="11">
        <f>IF(預測IC!DA23&gt;預測IC!DA$27,1,0)</f>
        <v>1</v>
      </c>
      <c r="DB23" s="11">
        <f>IF(預測IC!DB23&gt;預測IC!DB$27,1,0)</f>
        <v>0</v>
      </c>
      <c r="DC23" s="11">
        <f>IF(預測IC!DC23&gt;預測IC!DC$27,1,0)</f>
        <v>1</v>
      </c>
      <c r="DD23" s="11">
        <f>IF(預測IC!DD23&gt;預測IC!DD$27,1,0)</f>
        <v>0</v>
      </c>
      <c r="DE23" s="11">
        <f>IF(預測IC!DE23&gt;預測IC!DE$27,1,0)</f>
        <v>0</v>
      </c>
      <c r="DF23" s="11">
        <f>IF(預測IC!DF23&gt;預測IC!DF$27,1,0)</f>
        <v>0</v>
      </c>
      <c r="DG23" s="11">
        <f>IF(預測IC!DG23&gt;預測IC!DG$27,1,0)</f>
        <v>0</v>
      </c>
      <c r="DH23" s="11">
        <f>IF(預測IC!DH23&gt;預測IC!DH$27,1,0)</f>
        <v>1</v>
      </c>
      <c r="DI23" s="11">
        <f>IF(預測IC!DI23&gt;預測IC!DI$27,1,0)</f>
        <v>1</v>
      </c>
      <c r="DJ23" s="11">
        <f>IF(預測IC!DJ23&gt;預測IC!DJ$27,1,0)</f>
        <v>1</v>
      </c>
      <c r="DK23" s="11">
        <f>IF(預測IC!DK23&gt;預測IC!DK$27,1,0)</f>
        <v>0</v>
      </c>
      <c r="DL23" s="11">
        <f>IF(預測IC!DL23&gt;預測IC!DL$27,1,0)</f>
        <v>0</v>
      </c>
      <c r="DM23" s="11">
        <f>IF(預測IC!DM23&gt;預測IC!DM$27,1,0)</f>
        <v>0</v>
      </c>
      <c r="DN23" s="11">
        <f>IF(預測IC!DN23&gt;預測IC!DN$27,1,0)</f>
        <v>1</v>
      </c>
      <c r="DO23" s="11">
        <f>IF(預測IC!DO23&gt;預測IC!DO$27,1,0)</f>
        <v>0</v>
      </c>
      <c r="DP23" s="11">
        <f>IF(預測IC!DP23&gt;預測IC!DP$27,1,0)</f>
        <v>1</v>
      </c>
      <c r="DQ23" s="11">
        <f>IF(預測IC!DQ23&gt;預測IC!DQ$27,1,0)</f>
        <v>0</v>
      </c>
      <c r="DR23" s="11">
        <f>IF(預測IC!DR23&gt;預測IC!DR$27,1,0)</f>
        <v>1</v>
      </c>
      <c r="DS23" s="11">
        <f>IF(預測IC!DS23&gt;預測IC!DS$27,1,0)</f>
        <v>1</v>
      </c>
      <c r="DT23" s="11">
        <f>IF(預測IC!DT23&gt;預測IC!DT$27,1,0)</f>
        <v>1</v>
      </c>
      <c r="DU23" s="11">
        <f>IF(預測IC!DU23&gt;預測IC!DU$27,1,0)</f>
        <v>1</v>
      </c>
      <c r="DV23" s="11">
        <f>IF(預測IC!DV23&gt;預測IC!DV$27,1,0)</f>
        <v>1</v>
      </c>
      <c r="DW23" s="11">
        <f>IF(預測IC!DW23&gt;預測IC!DW$27,1,0)</f>
        <v>0</v>
      </c>
      <c r="DX23" s="11">
        <f>IF(預測IC!DX23&gt;預測IC!DX$27,1,0)</f>
        <v>0</v>
      </c>
      <c r="DY23" s="11">
        <f>IF(預測IC!DY23&gt;預測IC!DY$27,1,0)</f>
        <v>1</v>
      </c>
      <c r="DZ23" s="11">
        <f>IF(預測IC!DZ23&gt;預測IC!DZ$27,1,0)</f>
        <v>1</v>
      </c>
      <c r="EA23" s="11">
        <f>IF(預測IC!EA23&gt;預測IC!EA$27,1,0)</f>
        <v>1</v>
      </c>
      <c r="EB23" s="11">
        <v>1</v>
      </c>
      <c r="EC23" s="11">
        <f>IF(預測IC!EC23&gt;預測IC!EC$27,1,0)</f>
        <v>1</v>
      </c>
      <c r="ED23" s="11">
        <f>IF(預測IC!ED23&gt;預測IC!ED$27,1,0)</f>
        <v>1</v>
      </c>
      <c r="EE23" s="11">
        <f>IF(預測IC!EE23&gt;預測IC!EE$27,1,0)</f>
        <v>1</v>
      </c>
      <c r="EF23" s="11">
        <f>IF(預測IC!EF23&gt;預測IC!EF$27,1,0)</f>
        <v>1</v>
      </c>
      <c r="EG23" s="1">
        <f t="shared" si="6"/>
        <v>69</v>
      </c>
      <c r="EH23" s="46">
        <f t="shared" si="7"/>
        <v>0.5149253731343284</v>
      </c>
    </row>
    <row r="24" spans="1:138" ht="16" customHeight="1">
      <c r="A24" s="6">
        <v>321</v>
      </c>
      <c r="B24" s="6">
        <v>3</v>
      </c>
      <c r="C24" s="11">
        <f>IF(預測IC!C24&gt;預測IC!C$27,1,0)</f>
        <v>0</v>
      </c>
      <c r="D24" s="11">
        <f>IF(預測IC!D24&gt;預測IC!D$27,1,0)</f>
        <v>1</v>
      </c>
      <c r="E24" s="11">
        <f>IF(預測IC!E24&gt;預測IC!E$27,1,0)</f>
        <v>0</v>
      </c>
      <c r="F24" s="11">
        <f>IF(預測IC!F24&gt;預測IC!F$27,1,0)</f>
        <v>0</v>
      </c>
      <c r="G24" s="11">
        <f>IF(預測IC!G24&gt;預測IC!G$27,1,0)</f>
        <v>0</v>
      </c>
      <c r="H24" s="11">
        <f>IF(預測IC!H24&gt;預測IC!H$27,1,0)</f>
        <v>0</v>
      </c>
      <c r="I24" s="11">
        <f>IF(預測IC!I24&gt;預測IC!I$27,1,0)</f>
        <v>1</v>
      </c>
      <c r="J24" s="11">
        <f>IF(預測IC!J24&gt;預測IC!J$27,1,0)</f>
        <v>1</v>
      </c>
      <c r="K24" s="11">
        <f>IF(預測IC!K24&gt;預測IC!K$27,1,0)</f>
        <v>1</v>
      </c>
      <c r="L24" s="11">
        <f>IF(預測IC!L24&gt;預測IC!L$27,1,0)</f>
        <v>0</v>
      </c>
      <c r="M24" s="11">
        <f>IF(預測IC!M24&gt;預測IC!M$27,1,0)</f>
        <v>1</v>
      </c>
      <c r="N24" s="11">
        <f>IF(預測IC!N24&gt;預測IC!N$27,1,0)</f>
        <v>0</v>
      </c>
      <c r="O24" s="11">
        <f>IF(預測IC!O24&gt;預測IC!O$27,1,0)</f>
        <v>1</v>
      </c>
      <c r="P24" s="11">
        <f>IF(預測IC!P24&gt;預測IC!P$27,1,0)</f>
        <v>1</v>
      </c>
      <c r="Q24" s="11">
        <f>IF(預測IC!Q24&gt;預測IC!Q$27,1,0)</f>
        <v>0</v>
      </c>
      <c r="R24" s="11">
        <f>IF(預測IC!R24&gt;預測IC!R$27,1,0)</f>
        <v>1</v>
      </c>
      <c r="S24" s="11">
        <f>IF(預測IC!S24&gt;預測IC!S$27,1,0)</f>
        <v>0</v>
      </c>
      <c r="T24" s="11">
        <f>IF(預測IC!T24&gt;預測IC!T$27,1,0)</f>
        <v>1</v>
      </c>
      <c r="U24" s="11">
        <f>IF(預測IC!U24&gt;預測IC!U$27,1,0)</f>
        <v>0</v>
      </c>
      <c r="V24" s="11">
        <f>IF(預測IC!V24&gt;預測IC!V$27,1,0)</f>
        <v>1</v>
      </c>
      <c r="W24" s="11">
        <f>IF(預測IC!W24&gt;預測IC!W$27,1,0)</f>
        <v>0</v>
      </c>
      <c r="X24" s="11">
        <f>IF(預測IC!X24&gt;預測IC!X$27,1,0)</f>
        <v>1</v>
      </c>
      <c r="Y24" s="11">
        <f>IF(預測IC!Y24&gt;預測IC!Y$27,1,0)</f>
        <v>1</v>
      </c>
      <c r="Z24" s="11">
        <f>IF(預測IC!Z24&gt;預測IC!Z$27,1,0)</f>
        <v>1</v>
      </c>
      <c r="AA24" s="11">
        <f>IF(預測IC!AA24&gt;預測IC!AA$27,1,0)</f>
        <v>1</v>
      </c>
      <c r="AB24" s="11">
        <f>IF(預測IC!AB24&gt;預測IC!AB$27,1,0)</f>
        <v>0</v>
      </c>
      <c r="AC24" s="11">
        <f>IF(預測IC!AC24&gt;預測IC!AC$27,1,0)</f>
        <v>0</v>
      </c>
      <c r="AD24" s="11">
        <f>IF(預測IC!AD24&gt;預測IC!AD$27,1,0)</f>
        <v>0</v>
      </c>
      <c r="AE24" s="11">
        <f>IF(預測IC!AE24&gt;預測IC!AE$27,1,0)</f>
        <v>1</v>
      </c>
      <c r="AF24" s="11">
        <f>IF(預測IC!AF24&gt;預測IC!AF$27,1,0)</f>
        <v>0</v>
      </c>
      <c r="AG24" s="11">
        <f>IF(預測IC!AG24&gt;預測IC!AG$27,1,0)</f>
        <v>1</v>
      </c>
      <c r="AH24" s="11">
        <f>IF(預測IC!AH24&gt;預測IC!AH$27,1,0)</f>
        <v>1</v>
      </c>
      <c r="AI24" s="11">
        <f>IF(預測IC!AI24&gt;預測IC!AI$27,1,0)</f>
        <v>0</v>
      </c>
      <c r="AJ24" s="11">
        <f>IF(預測IC!AJ24&gt;預測IC!AJ$27,1,0)</f>
        <v>1</v>
      </c>
      <c r="AK24" s="11">
        <f>IF(預測IC!AK24&gt;預測IC!AK$27,1,0)</f>
        <v>1</v>
      </c>
      <c r="AL24" s="11">
        <f>IF(預測IC!AL24&gt;預測IC!AL$27,1,0)</f>
        <v>0</v>
      </c>
      <c r="AM24" s="11">
        <f>IF(預測IC!AM24&gt;預測IC!AM$27,1,0)</f>
        <v>1</v>
      </c>
      <c r="AN24" s="11">
        <f>IF(預測IC!AN24&gt;預測IC!AN$27,1,0)</f>
        <v>1</v>
      </c>
      <c r="AO24" s="11">
        <f>IF(預測IC!AO24&gt;預測IC!AO$27,1,0)</f>
        <v>0</v>
      </c>
      <c r="AP24" s="11">
        <f>IF(預測IC!AP24&gt;預測IC!AP$27,1,0)</f>
        <v>0</v>
      </c>
      <c r="AQ24" s="11">
        <f>IF(預測IC!AQ24&gt;預測IC!AQ$27,1,0)</f>
        <v>1</v>
      </c>
      <c r="AR24" s="11">
        <f>IF(預測IC!AR24&gt;預測IC!AR$27,1,0)</f>
        <v>0</v>
      </c>
      <c r="AS24" s="11">
        <f>IF(預測IC!AS24&gt;預測IC!AS$27,1,0)</f>
        <v>1</v>
      </c>
      <c r="AT24" s="11">
        <f>IF(預測IC!AT24&gt;預測IC!AT$27,1,0)</f>
        <v>0</v>
      </c>
      <c r="AU24" s="11">
        <f>IF(預測IC!AU24&gt;預測IC!AU$27,1,0)</f>
        <v>0</v>
      </c>
      <c r="AV24" s="11">
        <f>IF(預測IC!AV24&gt;預測IC!AV$27,1,0)</f>
        <v>0</v>
      </c>
      <c r="AW24" s="11">
        <f>IF(預測IC!AW24&gt;預測IC!AW$27,1,0)</f>
        <v>0</v>
      </c>
      <c r="AX24" s="11">
        <f>IF(預測IC!AX24&gt;預測IC!AX$27,1,0)</f>
        <v>1</v>
      </c>
      <c r="AY24" s="11">
        <f>IF(預測IC!AY24&gt;預測IC!AY$27,1,0)</f>
        <v>1</v>
      </c>
      <c r="AZ24" s="11">
        <f>IF(預測IC!AZ24&gt;預測IC!AZ$27,1,0)</f>
        <v>1</v>
      </c>
      <c r="BA24" s="11">
        <f>IF(預測IC!BA24&gt;預測IC!BA$27,1,0)</f>
        <v>0</v>
      </c>
      <c r="BB24" s="11">
        <f>IF(預測IC!BB24&gt;預測IC!BB$27,1,0)</f>
        <v>0</v>
      </c>
      <c r="BC24" s="11">
        <f>IF(預測IC!BC24&gt;預測IC!BC$27,1,0)</f>
        <v>0</v>
      </c>
      <c r="BD24" s="11">
        <f>IF(預測IC!BD24&gt;預測IC!BD$27,1,0)</f>
        <v>1</v>
      </c>
      <c r="BE24" s="11">
        <f>IF(預測IC!BE24&gt;預測IC!BE$27,1,0)</f>
        <v>1</v>
      </c>
      <c r="BF24" s="11">
        <f>IF(預測IC!BF24&gt;預測IC!BF$27,1,0)</f>
        <v>0</v>
      </c>
      <c r="BG24" s="11">
        <f>IF(預測IC!BG24&gt;預測IC!BG$27,1,0)</f>
        <v>1</v>
      </c>
      <c r="BH24" s="11">
        <f>IF(預測IC!BH24&gt;預測IC!BH$27,1,0)</f>
        <v>1</v>
      </c>
      <c r="BI24" s="11">
        <f>IF(預測IC!BI24&gt;預測IC!BI$27,1,0)</f>
        <v>1</v>
      </c>
      <c r="BJ24" s="11">
        <f>IF(預測IC!BJ24&gt;預測IC!BJ$27,1,0)</f>
        <v>1</v>
      </c>
      <c r="BK24" s="11">
        <f>IF(預測IC!BK24&gt;預測IC!BK$27,1,0)</f>
        <v>1</v>
      </c>
      <c r="BL24" s="11">
        <f>IF(預測IC!BL24&gt;預測IC!BL$27,1,0)</f>
        <v>1</v>
      </c>
      <c r="BM24" s="11">
        <f>IF(預測IC!BM24&gt;預測IC!BM$27,1,0)</f>
        <v>0</v>
      </c>
      <c r="BN24" s="11">
        <f>IF(預測IC!BN24&gt;預測IC!BN$27,1,0)</f>
        <v>0</v>
      </c>
      <c r="BO24" s="11">
        <f>IF(預測IC!BO24&gt;預測IC!BO$27,1,0)</f>
        <v>1</v>
      </c>
      <c r="BP24" s="11">
        <f>IF(預測IC!BP24&gt;預測IC!BP$27,1,0)</f>
        <v>1</v>
      </c>
      <c r="BQ24" s="11">
        <f>IF(預測IC!BQ24&gt;預測IC!BQ$27,1,0)</f>
        <v>0</v>
      </c>
      <c r="BR24" s="11">
        <f>IF(預測IC!BR24&gt;預測IC!BR$27,1,0)</f>
        <v>0</v>
      </c>
      <c r="BS24" s="11">
        <f>IF(預測IC!BS24&gt;預測IC!BS$27,1,0)</f>
        <v>0</v>
      </c>
      <c r="BT24" s="11">
        <f>IF(預測IC!BT24&gt;預測IC!BT$27,1,0)</f>
        <v>0</v>
      </c>
      <c r="BU24" s="11">
        <f>IF(預測IC!BU24&gt;預測IC!BU$27,1,0)</f>
        <v>0</v>
      </c>
      <c r="BV24" s="11">
        <f>IF(預測IC!BV24&gt;預測IC!BV$27,1,0)</f>
        <v>0</v>
      </c>
      <c r="BW24" s="11">
        <f>IF(預測IC!BW24&gt;預測IC!BW$27,1,0)</f>
        <v>1</v>
      </c>
      <c r="BX24" s="11">
        <f>IF(預測IC!BX24&gt;預測IC!BX$27,1,0)</f>
        <v>1</v>
      </c>
      <c r="BY24" s="11">
        <f>IF(預測IC!BY24&gt;預測IC!BY$27,1,0)</f>
        <v>1</v>
      </c>
      <c r="BZ24" s="11">
        <f>IF(預測IC!BZ24&gt;預測IC!BZ$27,1,0)</f>
        <v>0</v>
      </c>
      <c r="CA24" s="11">
        <f>IF(預測IC!CA24&gt;預測IC!CA$27,1,0)</f>
        <v>1</v>
      </c>
      <c r="CB24" s="11">
        <f>IF(預測IC!CB24&gt;預測IC!CB$27,1,0)</f>
        <v>0</v>
      </c>
      <c r="CC24" s="11">
        <f>IF(預測IC!CC24&gt;預測IC!CC$27,1,0)</f>
        <v>0</v>
      </c>
      <c r="CD24" s="11">
        <f>IF(預測IC!CD24&gt;預測IC!CD$27,1,0)</f>
        <v>0</v>
      </c>
      <c r="CE24" s="11">
        <f>IF(預測IC!CE24&gt;預測IC!CE$27,1,0)</f>
        <v>1</v>
      </c>
      <c r="CF24" s="11">
        <f>IF(預測IC!CF24&gt;預測IC!CF$27,1,0)</f>
        <v>0</v>
      </c>
      <c r="CG24" s="11">
        <f>IF(預測IC!CG24&gt;預測IC!CG$27,1,0)</f>
        <v>1</v>
      </c>
      <c r="CH24" s="11">
        <f>IF(預測IC!CH24&gt;預測IC!CH$27,1,0)</f>
        <v>0</v>
      </c>
      <c r="CI24" s="11">
        <f>IF(預測IC!CI24&gt;預測IC!CI$27,1,0)</f>
        <v>1</v>
      </c>
      <c r="CJ24" s="11">
        <f>IF(預測IC!CJ24&gt;預測IC!CJ$27,1,0)</f>
        <v>1</v>
      </c>
      <c r="CK24" s="11">
        <f>IF(預測IC!CK24&gt;預測IC!CK$27,1,0)</f>
        <v>0</v>
      </c>
      <c r="CL24" s="11">
        <f>IF(預測IC!CL24&gt;預測IC!CL$27,1,0)</f>
        <v>0</v>
      </c>
      <c r="CM24" s="11">
        <f>IF(預測IC!CM24&gt;預測IC!CM$27,1,0)</f>
        <v>0</v>
      </c>
      <c r="CN24" s="11">
        <f>IF(預測IC!CN24&gt;預測IC!CN$27,1,0)</f>
        <v>0</v>
      </c>
      <c r="CO24" s="11">
        <f>IF(預測IC!CO24&gt;預測IC!CO$27,1,0)</f>
        <v>1</v>
      </c>
      <c r="CP24" s="11">
        <f>IF(預測IC!CP24&gt;預測IC!CP$27,1,0)</f>
        <v>0</v>
      </c>
      <c r="CQ24" s="11">
        <f>IF(預測IC!CQ24&gt;預測IC!CQ$27,1,0)</f>
        <v>1</v>
      </c>
      <c r="CR24" s="11">
        <f>IF(預測IC!CR24&gt;預測IC!CR$27,1,0)</f>
        <v>0</v>
      </c>
      <c r="CS24" s="11">
        <f>IF(預測IC!CS24&gt;預測IC!CS$27,1,0)</f>
        <v>0</v>
      </c>
      <c r="CT24" s="11">
        <f>IF(預測IC!CT24&gt;預測IC!CT$27,1,0)</f>
        <v>0</v>
      </c>
      <c r="CU24" s="11">
        <f>IF(預測IC!CU24&gt;預測IC!CU$27,1,0)</f>
        <v>1</v>
      </c>
      <c r="CV24" s="11">
        <f>IF(預測IC!CV24&gt;預測IC!CV$27,1,0)</f>
        <v>0</v>
      </c>
      <c r="CW24" s="11">
        <f>IF(預測IC!CW24&gt;預測IC!CW$27,1,0)</f>
        <v>0</v>
      </c>
      <c r="CX24" s="11">
        <f>IF(預測IC!CX24&gt;預測IC!CX$27,1,0)</f>
        <v>1</v>
      </c>
      <c r="CY24" s="11">
        <f>IF(預測IC!CY24&gt;預測IC!CY$27,1,0)</f>
        <v>1</v>
      </c>
      <c r="CZ24" s="11">
        <f>IF(預測IC!CZ24&gt;預測IC!CZ$27,1,0)</f>
        <v>1</v>
      </c>
      <c r="DA24" s="11">
        <f>IF(預測IC!DA24&gt;預測IC!DA$27,1,0)</f>
        <v>1</v>
      </c>
      <c r="DB24" s="11">
        <f>IF(預測IC!DB24&gt;預測IC!DB$27,1,0)</f>
        <v>0</v>
      </c>
      <c r="DC24" s="11">
        <f>IF(預測IC!DC24&gt;預測IC!DC$27,1,0)</f>
        <v>1</v>
      </c>
      <c r="DD24" s="11">
        <f>IF(預測IC!DD24&gt;預測IC!DD$27,1,0)</f>
        <v>0</v>
      </c>
      <c r="DE24" s="11">
        <f>IF(預測IC!DE24&gt;預測IC!DE$27,1,0)</f>
        <v>0</v>
      </c>
      <c r="DF24" s="11">
        <f>IF(預測IC!DF24&gt;預測IC!DF$27,1,0)</f>
        <v>0</v>
      </c>
      <c r="DG24" s="11">
        <f>IF(預測IC!DG24&gt;預測IC!DG$27,1,0)</f>
        <v>0</v>
      </c>
      <c r="DH24" s="11">
        <f>IF(預測IC!DH24&gt;預測IC!DH$27,1,0)</f>
        <v>1</v>
      </c>
      <c r="DI24" s="11">
        <f>IF(預測IC!DI24&gt;預測IC!DI$27,1,0)</f>
        <v>0</v>
      </c>
      <c r="DJ24" s="11">
        <f>IF(預測IC!DJ24&gt;預測IC!DJ$27,1,0)</f>
        <v>1</v>
      </c>
      <c r="DK24" s="11">
        <f>IF(預測IC!DK24&gt;預測IC!DK$27,1,0)</f>
        <v>0</v>
      </c>
      <c r="DL24" s="11">
        <f>IF(預測IC!DL24&gt;預測IC!DL$27,1,0)</f>
        <v>0</v>
      </c>
      <c r="DM24" s="11">
        <f>IF(預測IC!DM24&gt;預測IC!DM$27,1,0)</f>
        <v>1</v>
      </c>
      <c r="DN24" s="11">
        <f>IF(預測IC!DN24&gt;預測IC!DN$27,1,0)</f>
        <v>1</v>
      </c>
      <c r="DO24" s="11">
        <f>IF(預測IC!DO24&gt;預測IC!DO$27,1,0)</f>
        <v>0</v>
      </c>
      <c r="DP24" s="11">
        <f>IF(預測IC!DP24&gt;預測IC!DP$27,1,0)</f>
        <v>1</v>
      </c>
      <c r="DQ24" s="11">
        <f>IF(預測IC!DQ24&gt;預測IC!DQ$27,1,0)</f>
        <v>1</v>
      </c>
      <c r="DR24" s="11">
        <f>IF(預測IC!DR24&gt;預測IC!DR$27,1,0)</f>
        <v>1</v>
      </c>
      <c r="DS24" s="11">
        <f>IF(預測IC!DS24&gt;預測IC!DS$27,1,0)</f>
        <v>1</v>
      </c>
      <c r="DT24" s="11">
        <f>IF(預測IC!DT24&gt;預測IC!DT$27,1,0)</f>
        <v>1</v>
      </c>
      <c r="DU24" s="11">
        <f>IF(預測IC!DU24&gt;預測IC!DU$27,1,0)</f>
        <v>1</v>
      </c>
      <c r="DV24" s="11">
        <f>IF(預測IC!DV24&gt;預測IC!DV$27,1,0)</f>
        <v>1</v>
      </c>
      <c r="DW24" s="11">
        <f>IF(預測IC!DW24&gt;預測IC!DW$27,1,0)</f>
        <v>1</v>
      </c>
      <c r="DX24" s="11">
        <f>IF(預測IC!DX24&gt;預測IC!DX$27,1,0)</f>
        <v>0</v>
      </c>
      <c r="DY24" s="11">
        <f>IF(預測IC!DY24&gt;預測IC!DY$27,1,0)</f>
        <v>0</v>
      </c>
      <c r="DZ24" s="11">
        <f>IF(預測IC!DZ24&gt;預測IC!DZ$27,1,0)</f>
        <v>1</v>
      </c>
      <c r="EA24" s="11">
        <f>IF(預測IC!EA24&gt;預測IC!EA$27,1,0)</f>
        <v>1</v>
      </c>
      <c r="EB24" s="11">
        <f>IF(預測IC!EB24&gt;預測IC!EB$27,1,0)</f>
        <v>1</v>
      </c>
      <c r="EC24" s="11">
        <f>IF(預測IC!EC24&gt;預測IC!EC$27,1,0)</f>
        <v>1</v>
      </c>
      <c r="ED24" s="11">
        <f>IF(預測IC!ED24&gt;預測IC!ED$27,1,0)</f>
        <v>1</v>
      </c>
      <c r="EE24" s="11">
        <f>IF(預測IC!EE24&gt;預測IC!EE$27,1,0)</f>
        <v>1</v>
      </c>
      <c r="EF24" s="11">
        <f>IF(預測IC!EF24&gt;預測IC!EF$27,1,0)</f>
        <v>1</v>
      </c>
      <c r="EG24" s="1">
        <f t="shared" si="6"/>
        <v>71</v>
      </c>
      <c r="EH24" s="46">
        <f t="shared" si="7"/>
        <v>0.52985074626865669</v>
      </c>
    </row>
    <row r="25" spans="1:138" ht="16" customHeight="1">
      <c r="A25" s="6">
        <v>482</v>
      </c>
      <c r="B25" s="6">
        <v>2</v>
      </c>
      <c r="C25" s="11">
        <f>IF(預測IC!C25&gt;預測IC!C$27,1,0)</f>
        <v>0</v>
      </c>
      <c r="D25" s="11">
        <f>IF(預測IC!D25&gt;預測IC!D$27,1,0)</f>
        <v>1</v>
      </c>
      <c r="E25" s="11">
        <f>IF(預測IC!E25&gt;預測IC!E$27,1,0)</f>
        <v>1</v>
      </c>
      <c r="F25" s="11">
        <f>IF(預測IC!F25&gt;預測IC!F$27,1,0)</f>
        <v>1</v>
      </c>
      <c r="G25" s="11">
        <f>IF(預測IC!G25&gt;預測IC!G$27,1,0)</f>
        <v>0</v>
      </c>
      <c r="H25" s="11">
        <f>IF(預測IC!H25&gt;預測IC!H$27,1,0)</f>
        <v>0</v>
      </c>
      <c r="I25" s="11">
        <f>IF(預測IC!I25&gt;預測IC!I$27,1,0)</f>
        <v>1</v>
      </c>
      <c r="J25" s="11">
        <f>IF(預測IC!J25&gt;預測IC!J$27,1,0)</f>
        <v>1</v>
      </c>
      <c r="K25" s="11">
        <f>IF(預測IC!K25&gt;預測IC!K$27,1,0)</f>
        <v>1</v>
      </c>
      <c r="L25" s="11">
        <f>IF(預測IC!L25&gt;預測IC!L$27,1,0)</f>
        <v>0</v>
      </c>
      <c r="M25" s="11">
        <f>IF(預測IC!M25&gt;預測IC!M$27,1,0)</f>
        <v>1</v>
      </c>
      <c r="N25" s="11">
        <f>IF(預測IC!N25&gt;預測IC!N$27,1,0)</f>
        <v>0</v>
      </c>
      <c r="O25" s="11">
        <f>IF(預測IC!O25&gt;預測IC!O$27,1,0)</f>
        <v>0</v>
      </c>
      <c r="P25" s="11">
        <f>IF(預測IC!P25&gt;預測IC!P$27,1,0)</f>
        <v>1</v>
      </c>
      <c r="Q25" s="11">
        <f>IF(預測IC!Q25&gt;預測IC!Q$27,1,0)</f>
        <v>0</v>
      </c>
      <c r="R25" s="11">
        <f>IF(預測IC!R25&gt;預測IC!R$27,1,0)</f>
        <v>1</v>
      </c>
      <c r="S25" s="11">
        <f>IF(預測IC!S25&gt;預測IC!S$27,1,0)</f>
        <v>0</v>
      </c>
      <c r="T25" s="11">
        <f>IF(預測IC!T25&gt;預測IC!T$27,1,0)</f>
        <v>1</v>
      </c>
      <c r="U25" s="11">
        <f>IF(預測IC!U25&gt;預測IC!U$27,1,0)</f>
        <v>0</v>
      </c>
      <c r="V25" s="11">
        <f>IF(預測IC!V25&gt;預測IC!V$27,1,0)</f>
        <v>1</v>
      </c>
      <c r="W25" s="11">
        <f>IF(預測IC!W25&gt;預測IC!W$27,1,0)</f>
        <v>0</v>
      </c>
      <c r="X25" s="11">
        <f>IF(預測IC!X25&gt;預測IC!X$27,1,0)</f>
        <v>1</v>
      </c>
      <c r="Y25" s="11">
        <f>IF(預測IC!Y25&gt;預測IC!Y$27,1,0)</f>
        <v>0</v>
      </c>
      <c r="Z25" s="11">
        <f>IF(預測IC!Z25&gt;預測IC!Z$27,1,0)</f>
        <v>1</v>
      </c>
      <c r="AA25" s="11">
        <f>IF(預測IC!AA25&gt;預測IC!AA$27,1,0)</f>
        <v>1</v>
      </c>
      <c r="AB25" s="11">
        <f>IF(預測IC!AB25&gt;預測IC!AB$27,1,0)</f>
        <v>0</v>
      </c>
      <c r="AC25" s="11">
        <f>IF(預測IC!AC25&gt;預測IC!AC$27,1,0)</f>
        <v>0</v>
      </c>
      <c r="AD25" s="11">
        <f>IF(預測IC!AD25&gt;預測IC!AD$27,1,0)</f>
        <v>0</v>
      </c>
      <c r="AE25" s="11">
        <f>IF(預測IC!AE25&gt;預測IC!AE$27,1,0)</f>
        <v>1</v>
      </c>
      <c r="AF25" s="11">
        <f>IF(預測IC!AF25&gt;預測IC!AF$27,1,0)</f>
        <v>0</v>
      </c>
      <c r="AG25" s="11">
        <f>IF(預測IC!AG25&gt;預測IC!AG$27,1,0)</f>
        <v>1</v>
      </c>
      <c r="AH25" s="11">
        <f>IF(預測IC!AH25&gt;預測IC!AH$27,1,0)</f>
        <v>0</v>
      </c>
      <c r="AI25" s="11">
        <f>IF(預測IC!AI25&gt;預測IC!AI$27,1,0)</f>
        <v>0</v>
      </c>
      <c r="AJ25" s="11">
        <f>IF(預測IC!AJ25&gt;預測IC!AJ$27,1,0)</f>
        <v>1</v>
      </c>
      <c r="AK25" s="11">
        <f>IF(預測IC!AK25&gt;預測IC!AK$27,1,0)</f>
        <v>1</v>
      </c>
      <c r="AL25" s="11">
        <f>IF(預測IC!AL25&gt;預測IC!AL$27,1,0)</f>
        <v>1</v>
      </c>
      <c r="AM25" s="11">
        <f>IF(預測IC!AM25&gt;預測IC!AM$27,1,0)</f>
        <v>1</v>
      </c>
      <c r="AN25" s="11">
        <f>IF(預測IC!AN25&gt;預測IC!AN$27,1,0)</f>
        <v>1</v>
      </c>
      <c r="AO25" s="11">
        <f>IF(預測IC!AO25&gt;預測IC!AO$27,1,0)</f>
        <v>0</v>
      </c>
      <c r="AP25" s="11">
        <f>IF(預測IC!AP25&gt;預測IC!AP$27,1,0)</f>
        <v>0</v>
      </c>
      <c r="AQ25" s="11">
        <f>IF(預測IC!AQ25&gt;預測IC!AQ$27,1,0)</f>
        <v>0</v>
      </c>
      <c r="AR25" s="11">
        <f>IF(預測IC!AR25&gt;預測IC!AR$27,1,0)</f>
        <v>0</v>
      </c>
      <c r="AS25" s="11">
        <f>IF(預測IC!AS25&gt;預測IC!AS$27,1,0)</f>
        <v>1</v>
      </c>
      <c r="AT25" s="11">
        <f>IF(預測IC!AT25&gt;預測IC!AT$27,1,0)</f>
        <v>0</v>
      </c>
      <c r="AU25" s="11">
        <f>IF(預測IC!AU25&gt;預測IC!AU$27,1,0)</f>
        <v>0</v>
      </c>
      <c r="AV25" s="11">
        <f>IF(預測IC!AV25&gt;預測IC!AV$27,1,0)</f>
        <v>0</v>
      </c>
      <c r="AW25" s="11">
        <f>IF(預測IC!AW25&gt;預測IC!AW$27,1,0)</f>
        <v>1</v>
      </c>
      <c r="AX25" s="11">
        <f>IF(預測IC!AX25&gt;預測IC!AX$27,1,0)</f>
        <v>1</v>
      </c>
      <c r="AY25" s="11">
        <f>IF(預測IC!AY25&gt;預測IC!AY$27,1,0)</f>
        <v>1</v>
      </c>
      <c r="AZ25" s="11">
        <f>IF(預測IC!AZ25&gt;預測IC!AZ$27,1,0)</f>
        <v>0</v>
      </c>
      <c r="BA25" s="11">
        <f>IF(預測IC!BA25&gt;預測IC!BA$27,1,0)</f>
        <v>0</v>
      </c>
      <c r="BB25" s="11">
        <f>IF(預測IC!BB25&gt;預測IC!BB$27,1,0)</f>
        <v>0</v>
      </c>
      <c r="BC25" s="11">
        <f>IF(預測IC!BC25&gt;預測IC!BC$27,1,0)</f>
        <v>0</v>
      </c>
      <c r="BD25" s="11">
        <f>IF(預測IC!BD25&gt;預測IC!BD$27,1,0)</f>
        <v>1</v>
      </c>
      <c r="BE25" s="11">
        <f>IF(預測IC!BE25&gt;預測IC!BE$27,1,0)</f>
        <v>1</v>
      </c>
      <c r="BF25" s="11">
        <f>IF(預測IC!BF25&gt;預測IC!BF$27,1,0)</f>
        <v>0</v>
      </c>
      <c r="BG25" s="11">
        <f>IF(預測IC!BG25&gt;預測IC!BG$27,1,0)</f>
        <v>1</v>
      </c>
      <c r="BH25" s="11">
        <f>IF(預測IC!BH25&gt;預測IC!BH$27,1,0)</f>
        <v>1</v>
      </c>
      <c r="BI25" s="11">
        <f>IF(預測IC!BI25&gt;預測IC!BI$27,1,0)</f>
        <v>0</v>
      </c>
      <c r="BJ25" s="11">
        <f>IF(預測IC!BJ25&gt;預測IC!BJ$27,1,0)</f>
        <v>0</v>
      </c>
      <c r="BK25" s="11">
        <f>IF(預測IC!BK25&gt;預測IC!BK$27,1,0)</f>
        <v>1</v>
      </c>
      <c r="BL25" s="11">
        <f>IF(預測IC!BL25&gt;預測IC!BL$27,1,0)</f>
        <v>0</v>
      </c>
      <c r="BM25" s="11">
        <f>IF(預測IC!BM25&gt;預測IC!BM$27,1,0)</f>
        <v>0</v>
      </c>
      <c r="BN25" s="11">
        <f>IF(預測IC!BN25&gt;預測IC!BN$27,1,0)</f>
        <v>1</v>
      </c>
      <c r="BO25" s="11">
        <f>IF(預測IC!BO25&gt;預測IC!BO$27,1,0)</f>
        <v>0</v>
      </c>
      <c r="BP25" s="11">
        <f>IF(預測IC!BP25&gt;預測IC!BP$27,1,0)</f>
        <v>1</v>
      </c>
      <c r="BQ25" s="11">
        <f>IF(預測IC!BQ25&gt;預測IC!BQ$27,1,0)</f>
        <v>0</v>
      </c>
      <c r="BR25" s="11">
        <f>IF(預測IC!BR25&gt;預測IC!BR$27,1,0)</f>
        <v>0</v>
      </c>
      <c r="BS25" s="11">
        <f>IF(預測IC!BS25&gt;預測IC!BS$27,1,0)</f>
        <v>0</v>
      </c>
      <c r="BT25" s="11">
        <f>IF(預測IC!BT25&gt;預測IC!BT$27,1,0)</f>
        <v>0</v>
      </c>
      <c r="BU25" s="11">
        <f>IF(預測IC!BU25&gt;預測IC!BU$27,1,0)</f>
        <v>0</v>
      </c>
      <c r="BV25" s="11">
        <f>IF(預測IC!BV25&gt;預測IC!BV$27,1,0)</f>
        <v>0</v>
      </c>
      <c r="BW25" s="11">
        <f>IF(預測IC!BW25&gt;預測IC!BW$27,1,0)</f>
        <v>1</v>
      </c>
      <c r="BX25" s="11">
        <f>IF(預測IC!BX25&gt;預測IC!BX$27,1,0)</f>
        <v>1</v>
      </c>
      <c r="BY25" s="11">
        <f>IF(預測IC!BY25&gt;預測IC!BY$27,1,0)</f>
        <v>1</v>
      </c>
      <c r="BZ25" s="11">
        <f>IF(預測IC!BZ25&gt;預測IC!BZ$27,1,0)</f>
        <v>0</v>
      </c>
      <c r="CA25" s="11">
        <f>IF(預測IC!CA25&gt;預測IC!CA$27,1,0)</f>
        <v>1</v>
      </c>
      <c r="CB25" s="11">
        <f>IF(預測IC!CB25&gt;預測IC!CB$27,1,0)</f>
        <v>0</v>
      </c>
      <c r="CC25" s="11">
        <f>IF(預測IC!CC25&gt;預測IC!CC$27,1,0)</f>
        <v>0</v>
      </c>
      <c r="CD25" s="11">
        <f>IF(預測IC!CD25&gt;預測IC!CD$27,1,0)</f>
        <v>0</v>
      </c>
      <c r="CE25" s="11">
        <f>IF(預測IC!CE25&gt;預測IC!CE$27,1,0)</f>
        <v>1</v>
      </c>
      <c r="CF25" s="11">
        <f>IF(預測IC!CF25&gt;預測IC!CF$27,1,0)</f>
        <v>0</v>
      </c>
      <c r="CG25" s="11">
        <f>IF(預測IC!CG25&gt;預測IC!CG$27,1,0)</f>
        <v>0</v>
      </c>
      <c r="CH25" s="11">
        <f>IF(預測IC!CH25&gt;預測IC!CH$27,1,0)</f>
        <v>0</v>
      </c>
      <c r="CI25" s="11">
        <f>IF(預測IC!CI25&gt;預測IC!CI$27,1,0)</f>
        <v>1</v>
      </c>
      <c r="CJ25" s="11">
        <f>IF(預測IC!CJ25&gt;預測IC!CJ$27,1,0)</f>
        <v>1</v>
      </c>
      <c r="CK25" s="11">
        <f>IF(預測IC!CK25&gt;預測IC!CK$27,1,0)</f>
        <v>0</v>
      </c>
      <c r="CL25" s="11">
        <f>IF(預測IC!CL25&gt;預測IC!CL$27,1,0)</f>
        <v>0</v>
      </c>
      <c r="CM25" s="11">
        <f>IF(預測IC!CM25&gt;預測IC!CM$27,1,0)</f>
        <v>0</v>
      </c>
      <c r="CN25" s="11">
        <f>IF(預測IC!CN25&gt;預測IC!CN$27,1,0)</f>
        <v>0</v>
      </c>
      <c r="CO25" s="11">
        <f>IF(預測IC!CO25&gt;預測IC!CO$27,1,0)</f>
        <v>1</v>
      </c>
      <c r="CP25" s="11">
        <f>IF(預測IC!CP25&gt;預測IC!CP$27,1,0)</f>
        <v>0</v>
      </c>
      <c r="CQ25" s="11">
        <f>IF(預測IC!CQ25&gt;預測IC!CQ$27,1,0)</f>
        <v>0</v>
      </c>
      <c r="CR25" s="11">
        <f>IF(預測IC!CR25&gt;預測IC!CR$27,1,0)</f>
        <v>0</v>
      </c>
      <c r="CS25" s="11">
        <f>IF(預測IC!CS25&gt;預測IC!CS$27,1,0)</f>
        <v>0</v>
      </c>
      <c r="CT25" s="11">
        <f>IF(預測IC!CT25&gt;預測IC!CT$27,1,0)</f>
        <v>0</v>
      </c>
      <c r="CU25" s="11">
        <f>IF(預測IC!CU25&gt;預測IC!CU$27,1,0)</f>
        <v>1</v>
      </c>
      <c r="CV25" s="11">
        <f>IF(預測IC!CV25&gt;預測IC!CV$27,1,0)</f>
        <v>0</v>
      </c>
      <c r="CW25" s="11">
        <f>IF(預測IC!CW25&gt;預測IC!CW$27,1,0)</f>
        <v>0</v>
      </c>
      <c r="CX25" s="11">
        <f>IF(預測IC!CX25&gt;預測IC!CX$27,1,0)</f>
        <v>1</v>
      </c>
      <c r="CY25" s="11">
        <f>IF(預測IC!CY25&gt;預測IC!CY$27,1,0)</f>
        <v>1</v>
      </c>
      <c r="CZ25" s="11">
        <f>IF(預測IC!CZ25&gt;預測IC!CZ$27,1,0)</f>
        <v>1</v>
      </c>
      <c r="DA25" s="11">
        <f>IF(預測IC!DA25&gt;預測IC!DA$27,1,0)</f>
        <v>1</v>
      </c>
      <c r="DB25" s="11">
        <f>IF(預測IC!DB25&gt;預測IC!DB$27,1,0)</f>
        <v>1</v>
      </c>
      <c r="DC25" s="11">
        <f>IF(預測IC!DC25&gt;預測IC!DC$27,1,0)</f>
        <v>1</v>
      </c>
      <c r="DD25" s="11">
        <f>IF(預測IC!DD25&gt;預測IC!DD$27,1,0)</f>
        <v>0</v>
      </c>
      <c r="DE25" s="11">
        <f>IF(預測IC!DE25&gt;預測IC!DE$27,1,0)</f>
        <v>0</v>
      </c>
      <c r="DF25" s="11">
        <f>IF(預測IC!DF25&gt;預測IC!DF$27,1,0)</f>
        <v>0</v>
      </c>
      <c r="DG25" s="11">
        <f>IF(預測IC!DG25&gt;預測IC!DG$27,1,0)</f>
        <v>0</v>
      </c>
      <c r="DH25" s="11">
        <f>IF(預測IC!DH25&gt;預測IC!DH$27,1,0)</f>
        <v>1</v>
      </c>
      <c r="DI25" s="11">
        <f>IF(預測IC!DI25&gt;預測IC!DI$27,1,0)</f>
        <v>0</v>
      </c>
      <c r="DJ25" s="11">
        <f>IF(預測IC!DJ25&gt;預測IC!DJ$27,1,0)</f>
        <v>1</v>
      </c>
      <c r="DK25" s="11">
        <f>IF(預測IC!DK25&gt;預測IC!DK$27,1,0)</f>
        <v>0</v>
      </c>
      <c r="DL25" s="11">
        <f>IF(預測IC!DL25&gt;預測IC!DL$27,1,0)</f>
        <v>0</v>
      </c>
      <c r="DM25" s="11">
        <f>IF(預測IC!DM25&gt;預測IC!DM$27,1,0)</f>
        <v>1</v>
      </c>
      <c r="DN25" s="11">
        <f>IF(預測IC!DN25&gt;預測IC!DN$27,1,0)</f>
        <v>1</v>
      </c>
      <c r="DO25" s="11">
        <f>IF(預測IC!DO25&gt;預測IC!DO$27,1,0)</f>
        <v>0</v>
      </c>
      <c r="DP25" s="11">
        <f>IF(預測IC!DP25&gt;預測IC!DP$27,1,0)</f>
        <v>0</v>
      </c>
      <c r="DQ25" s="11">
        <f>IF(預測IC!DQ25&gt;預測IC!DQ$27,1,0)</f>
        <v>0</v>
      </c>
      <c r="DR25" s="11">
        <f>IF(預測IC!DR25&gt;預測IC!DR$27,1,0)</f>
        <v>1</v>
      </c>
      <c r="DS25" s="11">
        <f>IF(預測IC!DS25&gt;預測IC!DS$27,1,0)</f>
        <v>1</v>
      </c>
      <c r="DT25" s="11">
        <f>IF(預測IC!DT25&gt;預測IC!DT$27,1,0)</f>
        <v>0</v>
      </c>
      <c r="DU25" s="11">
        <f>IF(預測IC!DU25&gt;預測IC!DU$27,1,0)</f>
        <v>1</v>
      </c>
      <c r="DV25" s="11">
        <f>IF(預測IC!DV25&gt;預測IC!DV$27,1,0)</f>
        <v>1</v>
      </c>
      <c r="DW25" s="11">
        <f>IF(預測IC!DW25&gt;預測IC!DW$27,1,0)</f>
        <v>1</v>
      </c>
      <c r="DX25" s="11">
        <v>1</v>
      </c>
      <c r="DY25" s="11">
        <f>IF(預測IC!DY25&gt;預測IC!DY$27,1,0)</f>
        <v>0</v>
      </c>
      <c r="DZ25" s="11">
        <f>IF(預測IC!DZ25&gt;預測IC!DZ$27,1,0)</f>
        <v>1</v>
      </c>
      <c r="EA25" s="11">
        <f>IF(預測IC!EA25&gt;預測IC!EA$27,1,0)</f>
        <v>1</v>
      </c>
      <c r="EB25" s="11">
        <f>IF(預測IC!EB25&gt;預測IC!EB$27,1,0)</f>
        <v>1</v>
      </c>
      <c r="EC25" s="11">
        <f>IF(預測IC!EC25&gt;預測IC!EC$27,1,0)</f>
        <v>0</v>
      </c>
      <c r="ED25" s="11">
        <f>IF(預測IC!ED25&gt;預測IC!ED$27,1,0)</f>
        <v>1</v>
      </c>
      <c r="EE25" s="11">
        <f>IF(預測IC!EE25&gt;預測IC!EE$27,1,0)</f>
        <v>1</v>
      </c>
      <c r="EF25" s="11">
        <f>IF(預測IC!EF25&gt;預測IC!EF$27,1,0)</f>
        <v>1</v>
      </c>
      <c r="EG25" s="1">
        <f t="shared" si="6"/>
        <v>63</v>
      </c>
      <c r="EH25" s="2">
        <f t="shared" si="7"/>
        <v>0.47014925373134331</v>
      </c>
    </row>
    <row r="26" spans="1:138" ht="16" customHeight="1">
      <c r="A26" s="6">
        <v>964</v>
      </c>
      <c r="B26" s="6">
        <v>1</v>
      </c>
      <c r="C26" s="11">
        <f>IF(預測IC!C26&gt;預測IC!C$27,1,0)</f>
        <v>0</v>
      </c>
      <c r="D26" s="11">
        <f>IF(預測IC!D26&gt;預測IC!D$27,1,0)</f>
        <v>1</v>
      </c>
      <c r="E26" s="11">
        <f>IF(預測IC!E26&gt;預測IC!E$27,1,0)</f>
        <v>0</v>
      </c>
      <c r="F26" s="11">
        <f>IF(預測IC!F26&gt;預測IC!F$27,1,0)</f>
        <v>1</v>
      </c>
      <c r="G26" s="11">
        <f>IF(預測IC!G26&gt;預測IC!G$27,1,0)</f>
        <v>1</v>
      </c>
      <c r="H26" s="11">
        <f>IF(預測IC!H26&gt;預測IC!H$27,1,0)</f>
        <v>0</v>
      </c>
      <c r="I26" s="11">
        <f>IF(預測IC!I26&gt;預測IC!I$27,1,0)</f>
        <v>0</v>
      </c>
      <c r="J26" s="11">
        <f>IF(預測IC!J26&gt;預測IC!J$27,1,0)</f>
        <v>1</v>
      </c>
      <c r="K26" s="11">
        <f>IF(預測IC!K26&gt;預測IC!K$27,1,0)</f>
        <v>1</v>
      </c>
      <c r="L26" s="11">
        <f>IF(預測IC!L26&gt;預測IC!L$27,1,0)</f>
        <v>0</v>
      </c>
      <c r="M26" s="11">
        <f>IF(預測IC!M26&gt;預測IC!M$27,1,0)</f>
        <v>1</v>
      </c>
      <c r="N26" s="11">
        <f>IF(預測IC!N26&gt;預測IC!N$27,1,0)</f>
        <v>0</v>
      </c>
      <c r="O26" s="11">
        <f>IF(預測IC!O26&gt;預測IC!O$27,1,0)</f>
        <v>0</v>
      </c>
      <c r="P26" s="11">
        <f>IF(預測IC!P26&gt;預測IC!P$27,1,0)</f>
        <v>1</v>
      </c>
      <c r="Q26" s="11">
        <f>IF(預測IC!Q26&gt;預測IC!Q$27,1,0)</f>
        <v>0</v>
      </c>
      <c r="R26" s="11">
        <f>IF(預測IC!R26&gt;預測IC!R$27,1,0)</f>
        <v>1</v>
      </c>
      <c r="S26" s="11">
        <f>IF(預測IC!S26&gt;預測IC!S$27,1,0)</f>
        <v>0</v>
      </c>
      <c r="T26" s="11">
        <f>IF(預測IC!T26&gt;預測IC!T$27,1,0)</f>
        <v>1</v>
      </c>
      <c r="U26" s="11">
        <f>IF(預測IC!U26&gt;預測IC!U$27,1,0)</f>
        <v>0</v>
      </c>
      <c r="V26" s="11">
        <f>IF(預測IC!V26&gt;預測IC!V$27,1,0)</f>
        <v>1</v>
      </c>
      <c r="W26" s="11">
        <f>IF(預測IC!W26&gt;預測IC!W$27,1,0)</f>
        <v>0</v>
      </c>
      <c r="X26" s="11">
        <f>IF(預測IC!X26&gt;預測IC!X$27,1,0)</f>
        <v>1</v>
      </c>
      <c r="Y26" s="11">
        <f>IF(預測IC!Y26&gt;預測IC!Y$27,1,0)</f>
        <v>1</v>
      </c>
      <c r="Z26" s="11">
        <f>IF(預測IC!Z26&gt;預測IC!Z$27,1,0)</f>
        <v>1</v>
      </c>
      <c r="AA26" s="11">
        <f>IF(預測IC!AA26&gt;預測IC!AA$27,1,0)</f>
        <v>1</v>
      </c>
      <c r="AB26" s="11">
        <f>IF(預測IC!AB26&gt;預測IC!AB$27,1,0)</f>
        <v>0</v>
      </c>
      <c r="AC26" s="11">
        <f>IF(預測IC!AC26&gt;預測IC!AC$27,1,0)</f>
        <v>0</v>
      </c>
      <c r="AD26" s="11">
        <f>IF(預測IC!AD26&gt;預測IC!AD$27,1,0)</f>
        <v>0</v>
      </c>
      <c r="AE26" s="11">
        <f>IF(預測IC!AE26&gt;預測IC!AE$27,1,0)</f>
        <v>1</v>
      </c>
      <c r="AF26" s="11">
        <f>IF(預測IC!AF26&gt;預測IC!AF$27,1,0)</f>
        <v>0</v>
      </c>
      <c r="AG26" s="11">
        <f>IF(預測IC!AG26&gt;預測IC!AG$27,1,0)</f>
        <v>0</v>
      </c>
      <c r="AH26" s="11">
        <f>IF(預測IC!AH26&gt;預測IC!AH$27,1,0)</f>
        <v>1</v>
      </c>
      <c r="AI26" s="11">
        <f>IF(預測IC!AI26&gt;預測IC!AI$27,1,0)</f>
        <v>0</v>
      </c>
      <c r="AJ26" s="11">
        <f>IF(預測IC!AJ26&gt;預測IC!AJ$27,1,0)</f>
        <v>1</v>
      </c>
      <c r="AK26" s="11">
        <f>IF(預測IC!AK26&gt;預測IC!AK$27,1,0)</f>
        <v>1</v>
      </c>
      <c r="AL26" s="11">
        <f>IF(預測IC!AL26&gt;預測IC!AL$27,1,0)</f>
        <v>0</v>
      </c>
      <c r="AM26" s="11">
        <f>IF(預測IC!AM26&gt;預測IC!AM$27,1,0)</f>
        <v>1</v>
      </c>
      <c r="AN26" s="11">
        <f>IF(預測IC!AN26&gt;預測IC!AN$27,1,0)</f>
        <v>1</v>
      </c>
      <c r="AO26" s="11">
        <f>IF(預測IC!AO26&gt;預測IC!AO$27,1,0)</f>
        <v>0</v>
      </c>
      <c r="AP26" s="11">
        <f>IF(預測IC!AP26&gt;預測IC!AP$27,1,0)</f>
        <v>0</v>
      </c>
      <c r="AQ26" s="11">
        <f>IF(預測IC!AQ26&gt;預測IC!AQ$27,1,0)</f>
        <v>0</v>
      </c>
      <c r="AR26" s="11">
        <f>IF(預測IC!AR26&gt;預測IC!AR$27,1,0)</f>
        <v>0</v>
      </c>
      <c r="AS26" s="11">
        <f>IF(預測IC!AS26&gt;預測IC!AS$27,1,0)</f>
        <v>1</v>
      </c>
      <c r="AT26" s="11">
        <f>IF(預測IC!AT26&gt;預測IC!AT$27,1,0)</f>
        <v>0</v>
      </c>
      <c r="AU26" s="11">
        <f>IF(預測IC!AU26&gt;預測IC!AU$27,1,0)</f>
        <v>0</v>
      </c>
      <c r="AV26" s="11">
        <f>IF(預測IC!AV26&gt;預測IC!AV$27,1,0)</f>
        <v>0</v>
      </c>
      <c r="AW26" s="11">
        <f>IF(預測IC!AW26&gt;預測IC!AW$27,1,0)</f>
        <v>1</v>
      </c>
      <c r="AX26" s="11">
        <f>IF(預測IC!AX26&gt;預測IC!AX$27,1,0)</f>
        <v>1</v>
      </c>
      <c r="AY26" s="11">
        <f>IF(預測IC!AY26&gt;預測IC!AY$27,1,0)</f>
        <v>1</v>
      </c>
      <c r="AZ26" s="11">
        <f>IF(預測IC!AZ26&gt;預測IC!AZ$27,1,0)</f>
        <v>0</v>
      </c>
      <c r="BA26" s="11">
        <f>IF(預測IC!BA26&gt;預測IC!BA$27,1,0)</f>
        <v>0</v>
      </c>
      <c r="BB26" s="11">
        <f>IF(預測IC!BB26&gt;預測IC!BB$27,1,0)</f>
        <v>0</v>
      </c>
      <c r="BC26" s="11">
        <f>IF(預測IC!BC26&gt;預測IC!BC$27,1,0)</f>
        <v>1</v>
      </c>
      <c r="BD26" s="11">
        <f>IF(預測IC!BD26&gt;預測IC!BD$27,1,0)</f>
        <v>1</v>
      </c>
      <c r="BE26" s="11">
        <f>IF(預測IC!BE26&gt;預測IC!BE$27,1,0)</f>
        <v>1</v>
      </c>
      <c r="BF26" s="11">
        <f>IF(預測IC!BF26&gt;預測IC!BF$27,1,0)</f>
        <v>0</v>
      </c>
      <c r="BG26" s="11">
        <f>IF(預測IC!BG26&gt;預測IC!BG$27,1,0)</f>
        <v>1</v>
      </c>
      <c r="BH26" s="11">
        <f>IF(預測IC!BH26&gt;預測IC!BH$27,1,0)</f>
        <v>1</v>
      </c>
      <c r="BI26" s="11">
        <f>IF(預測IC!BI26&gt;預測IC!BI$27,1,0)</f>
        <v>0</v>
      </c>
      <c r="BJ26" s="11">
        <f>IF(預測IC!BJ26&gt;預測IC!BJ$27,1,0)</f>
        <v>0</v>
      </c>
      <c r="BK26" s="11">
        <f>IF(預測IC!BK26&gt;預測IC!BK$27,1,0)</f>
        <v>1</v>
      </c>
      <c r="BL26" s="11">
        <f>IF(預測IC!BL26&gt;預測IC!BL$27,1,0)</f>
        <v>0</v>
      </c>
      <c r="BM26" s="11">
        <f>IF(預測IC!BM26&gt;預測IC!BM$27,1,0)</f>
        <v>0</v>
      </c>
      <c r="BN26" s="11">
        <f>IF(預測IC!BN26&gt;預測IC!BN$27,1,0)</f>
        <v>0</v>
      </c>
      <c r="BO26" s="11">
        <f>IF(預測IC!BO26&gt;預測IC!BO$27,1,0)</f>
        <v>0</v>
      </c>
      <c r="BP26" s="11">
        <f>IF(預測IC!BP26&gt;預測IC!BP$27,1,0)</f>
        <v>1</v>
      </c>
      <c r="BQ26" s="11">
        <f>IF(預測IC!BQ26&gt;預測IC!BQ$27,1,0)</f>
        <v>0</v>
      </c>
      <c r="BR26" s="11">
        <f>IF(預測IC!BR26&gt;預測IC!BR$27,1,0)</f>
        <v>0</v>
      </c>
      <c r="BS26" s="11">
        <f>IF(預測IC!BS26&gt;預測IC!BS$27,1,0)</f>
        <v>0</v>
      </c>
      <c r="BT26" s="11">
        <f>IF(預測IC!BT26&gt;預測IC!BT$27,1,0)</f>
        <v>0</v>
      </c>
      <c r="BU26" s="11">
        <f>IF(預測IC!BU26&gt;預測IC!BU$27,1,0)</f>
        <v>0</v>
      </c>
      <c r="BV26" s="11">
        <f>IF(預測IC!BV26&gt;預測IC!BV$27,1,0)</f>
        <v>1</v>
      </c>
      <c r="BW26" s="11">
        <f>IF(預測IC!BW26&gt;預測IC!BW$27,1,0)</f>
        <v>1</v>
      </c>
      <c r="BX26" s="11">
        <f>IF(預測IC!BX26&gt;預測IC!BX$27,1,0)</f>
        <v>1</v>
      </c>
      <c r="BY26" s="11">
        <f>IF(預測IC!BY26&gt;預測IC!BY$27,1,0)</f>
        <v>1</v>
      </c>
      <c r="BZ26" s="11">
        <f>IF(預測IC!BZ26&gt;預測IC!BZ$27,1,0)</f>
        <v>0</v>
      </c>
      <c r="CA26" s="11">
        <f>IF(預測IC!CA26&gt;預測IC!CA$27,1,0)</f>
        <v>1</v>
      </c>
      <c r="CB26" s="11">
        <f>IF(預測IC!CB26&gt;預測IC!CB$27,1,0)</f>
        <v>0</v>
      </c>
      <c r="CC26" s="11">
        <f>IF(預測IC!CC26&gt;預測IC!CC$27,1,0)</f>
        <v>0</v>
      </c>
      <c r="CD26" s="11">
        <f>IF(預測IC!CD26&gt;預測IC!CD$27,1,0)</f>
        <v>1</v>
      </c>
      <c r="CE26" s="11">
        <f>IF(預測IC!CE26&gt;預測IC!CE$27,1,0)</f>
        <v>1</v>
      </c>
      <c r="CF26" s="11">
        <f>IF(預測IC!CF26&gt;預測IC!CF$27,1,0)</f>
        <v>0</v>
      </c>
      <c r="CG26" s="11">
        <f>IF(預測IC!CG26&gt;預測IC!CG$27,1,0)</f>
        <v>0</v>
      </c>
      <c r="CH26" s="11">
        <f>IF(預測IC!CH26&gt;預測IC!CH$27,1,0)</f>
        <v>0</v>
      </c>
      <c r="CI26" s="11">
        <f>IF(預測IC!CI26&gt;預測IC!CI$27,1,0)</f>
        <v>1</v>
      </c>
      <c r="CJ26" s="11">
        <f>IF(預測IC!CJ26&gt;預測IC!CJ$27,1,0)</f>
        <v>1</v>
      </c>
      <c r="CK26" s="11">
        <f>IF(預測IC!CK26&gt;預測IC!CK$27,1,0)</f>
        <v>0</v>
      </c>
      <c r="CL26" s="11">
        <f>IF(預測IC!CL26&gt;預測IC!CL$27,1,0)</f>
        <v>0</v>
      </c>
      <c r="CM26" s="11">
        <f>IF(預測IC!CM26&gt;預測IC!CM$27,1,0)</f>
        <v>0</v>
      </c>
      <c r="CN26" s="11">
        <f>IF(預測IC!CN26&gt;預測IC!CN$27,1,0)</f>
        <v>0</v>
      </c>
      <c r="CO26" s="11">
        <f>IF(預測IC!CO26&gt;預測IC!CO$27,1,0)</f>
        <v>1</v>
      </c>
      <c r="CP26" s="11">
        <f>IF(預測IC!CP26&gt;預測IC!CP$27,1,0)</f>
        <v>1</v>
      </c>
      <c r="CQ26" s="11">
        <f>IF(預測IC!CQ26&gt;預測IC!CQ$27,1,0)</f>
        <v>0</v>
      </c>
      <c r="CR26" s="11">
        <f>IF(預測IC!CR26&gt;預測IC!CR$27,1,0)</f>
        <v>0</v>
      </c>
      <c r="CS26" s="11">
        <f>IF(預測IC!CS26&gt;預測IC!CS$27,1,0)</f>
        <v>0</v>
      </c>
      <c r="CT26" s="11">
        <f>IF(預測IC!CT26&gt;預測IC!CT$27,1,0)</f>
        <v>1</v>
      </c>
      <c r="CU26" s="11">
        <f>IF(預測IC!CU26&gt;預測IC!CU$27,1,0)</f>
        <v>1</v>
      </c>
      <c r="CV26" s="11">
        <f>IF(預測IC!CV26&gt;預測IC!CV$27,1,0)</f>
        <v>0</v>
      </c>
      <c r="CW26" s="11">
        <f>IF(預測IC!CW26&gt;預測IC!CW$27,1,0)</f>
        <v>0</v>
      </c>
      <c r="CX26" s="11">
        <f>IF(預測IC!CX26&gt;預測IC!CX$27,1,0)</f>
        <v>1</v>
      </c>
      <c r="CY26" s="11">
        <f>IF(預測IC!CY26&gt;預測IC!CY$27,1,0)</f>
        <v>1</v>
      </c>
      <c r="CZ26" s="11">
        <f>IF(預測IC!CZ26&gt;預測IC!CZ$27,1,0)</f>
        <v>0</v>
      </c>
      <c r="DA26" s="11">
        <f>IF(預測IC!DA26&gt;預測IC!DA$27,1,0)</f>
        <v>1</v>
      </c>
      <c r="DB26" s="11">
        <f>IF(預測IC!DB26&gt;預測IC!DB$27,1,0)</f>
        <v>1</v>
      </c>
      <c r="DC26" s="11">
        <f>IF(預測IC!DC26&gt;預測IC!DC$27,1,0)</f>
        <v>1</v>
      </c>
      <c r="DD26" s="11">
        <f>IF(預測IC!DD26&gt;預測IC!DD$27,1,0)</f>
        <v>0</v>
      </c>
      <c r="DE26" s="11">
        <f>IF(預測IC!DE26&gt;預測IC!DE$27,1,0)</f>
        <v>0</v>
      </c>
      <c r="DF26" s="11">
        <f>IF(預測IC!DF26&gt;預測IC!DF$27,1,0)</f>
        <v>0</v>
      </c>
      <c r="DG26" s="11">
        <f>IF(預測IC!DG26&gt;預測IC!DG$27,1,0)</f>
        <v>0</v>
      </c>
      <c r="DH26" s="11">
        <f>IF(預測IC!DH26&gt;預測IC!DH$27,1,0)</f>
        <v>1</v>
      </c>
      <c r="DI26" s="11">
        <f>IF(預測IC!DI26&gt;預測IC!DI$27,1,0)</f>
        <v>0</v>
      </c>
      <c r="DJ26" s="11">
        <f>IF(預測IC!DJ26&gt;預測IC!DJ$27,1,0)</f>
        <v>1</v>
      </c>
      <c r="DK26" s="11">
        <f>IF(預測IC!DK26&gt;預測IC!DK$27,1,0)</f>
        <v>0</v>
      </c>
      <c r="DL26" s="11">
        <f>IF(預測IC!DL26&gt;預測IC!DL$27,1,0)</f>
        <v>0</v>
      </c>
      <c r="DM26" s="11">
        <f>IF(預測IC!DM26&gt;預測IC!DM$27,1,0)</f>
        <v>0</v>
      </c>
      <c r="DN26" s="11">
        <f>IF(預測IC!DN26&gt;預測IC!DN$27,1,0)</f>
        <v>1</v>
      </c>
      <c r="DO26" s="11">
        <f>IF(預測IC!DO26&gt;預測IC!DO$27,1,0)</f>
        <v>1</v>
      </c>
      <c r="DP26" s="11">
        <f>IF(預測IC!DP26&gt;預測IC!DP$27,1,0)</f>
        <v>0</v>
      </c>
      <c r="DQ26" s="11">
        <f>IF(預測IC!DQ26&gt;預測IC!DQ$27,1,0)</f>
        <v>0</v>
      </c>
      <c r="DR26" s="11">
        <f>IF(預測IC!DR26&gt;預測IC!DR$27,1,0)</f>
        <v>1</v>
      </c>
      <c r="DS26" s="11">
        <f>IF(預測IC!DS26&gt;預測IC!DS$27,1,0)</f>
        <v>1</v>
      </c>
      <c r="DT26" s="11">
        <f>IF(預測IC!DT26&gt;預測IC!DT$27,1,0)</f>
        <v>1</v>
      </c>
      <c r="DU26" s="11">
        <f>IF(預測IC!DU26&gt;預測IC!DU$27,1,0)</f>
        <v>1</v>
      </c>
      <c r="DV26" s="11">
        <f>IF(預測IC!DV26&gt;預測IC!DV$27,1,0)</f>
        <v>0</v>
      </c>
      <c r="DW26" s="11">
        <f>IF(預測IC!DW26&gt;預測IC!DW$27,1,0)</f>
        <v>1</v>
      </c>
      <c r="DX26" s="11">
        <f>IF(預測IC!DX26&gt;預測IC!DX$27,1,0)</f>
        <v>0</v>
      </c>
      <c r="DY26" s="11">
        <f>IF(預測IC!DY26&gt;預測IC!DY$27,1,0)</f>
        <v>0</v>
      </c>
      <c r="DZ26" s="11">
        <f>IF(預測IC!DZ26&gt;預測IC!DZ$27,1,0)</f>
        <v>1</v>
      </c>
      <c r="EA26" s="11">
        <f>IF(預測IC!EA26&gt;預測IC!EA$27,1,0)</f>
        <v>1</v>
      </c>
      <c r="EB26" s="11">
        <f>IF(預測IC!EB26&gt;預測IC!EB$27,1,0)</f>
        <v>1</v>
      </c>
      <c r="EC26" s="11">
        <f>IF(預測IC!EC26&gt;預測IC!EC$27,1,0)</f>
        <v>1</v>
      </c>
      <c r="ED26" s="11">
        <f>IF(預測IC!ED26&gt;預測IC!ED$27,1,0)</f>
        <v>1</v>
      </c>
      <c r="EE26" s="11">
        <f>IF(預測IC!EE26&gt;預測IC!EE$27,1,0)</f>
        <v>1</v>
      </c>
      <c r="EF26" s="11">
        <f>IF(預測IC!EF26&gt;預測IC!EF$27,1,0)</f>
        <v>0</v>
      </c>
      <c r="EG26" s="1">
        <f t="shared" si="6"/>
        <v>64</v>
      </c>
      <c r="EH26" s="2">
        <f t="shared" si="7"/>
        <v>0.47761194029850745</v>
      </c>
    </row>
    <row r="27" spans="1:138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  <c r="EG27" s="3"/>
    </row>
    <row r="28" spans="1:138" ht="16" customHeight="1">
      <c r="A28" s="22"/>
      <c r="B28" s="22"/>
      <c r="C28" s="22"/>
      <c r="D28" s="4"/>
      <c r="E28" s="4"/>
      <c r="F28" s="4"/>
      <c r="G28" s="4"/>
      <c r="H28" s="4"/>
      <c r="I28" s="4"/>
      <c r="J28" s="4"/>
      <c r="K28" s="2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1">
    <mergeCell ref="A8:B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39"/>
  <sheetViews>
    <sheetView tabSelected="1" zoomScale="82" workbookViewId="0">
      <selection activeCell="M7" sqref="M7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6" ht="16" customHeight="1">
      <c r="A1" s="22"/>
      <c r="B1" s="22"/>
      <c r="C1" s="22"/>
      <c r="D1" s="4"/>
      <c r="E1" s="4"/>
      <c r="F1" s="4"/>
      <c r="G1" s="4"/>
      <c r="H1" s="4"/>
      <c r="I1" s="4"/>
      <c r="J1" s="4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8" spans="1:136" ht="16" customHeight="1">
      <c r="A8" s="50" t="s">
        <v>142</v>
      </c>
      <c r="B8" s="51"/>
      <c r="C8" s="10" t="s">
        <v>143</v>
      </c>
      <c r="D8" s="10">
        <v>964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ht="18" customHeight="1">
      <c r="A9" s="23" t="s">
        <v>239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2" t="s">
        <v>24</v>
      </c>
      <c r="X9" s="12" t="s">
        <v>25</v>
      </c>
      <c r="Y9" s="12" t="s">
        <v>26</v>
      </c>
      <c r="Z9" s="12" t="s">
        <v>27</v>
      </c>
      <c r="AA9" s="12" t="s">
        <v>28</v>
      </c>
      <c r="AB9" s="12" t="s">
        <v>29</v>
      </c>
      <c r="AC9" s="12" t="s">
        <v>30</v>
      </c>
      <c r="AD9" s="12" t="s">
        <v>31</v>
      </c>
      <c r="AE9" s="12" t="s">
        <v>32</v>
      </c>
      <c r="AF9" s="12" t="s">
        <v>33</v>
      </c>
      <c r="AG9" s="12" t="s">
        <v>34</v>
      </c>
      <c r="AH9" s="12" t="s">
        <v>35</v>
      </c>
      <c r="AI9" s="12" t="s">
        <v>36</v>
      </c>
      <c r="AJ9" s="12" t="s">
        <v>37</v>
      </c>
      <c r="AK9" s="12" t="s">
        <v>38</v>
      </c>
      <c r="AL9" s="12" t="s">
        <v>39</v>
      </c>
      <c r="AM9" s="12" t="s">
        <v>40</v>
      </c>
      <c r="AN9" s="12" t="s">
        <v>41</v>
      </c>
      <c r="AO9" s="12" t="s">
        <v>42</v>
      </c>
      <c r="AP9" s="12" t="s">
        <v>43</v>
      </c>
      <c r="AQ9" s="12" t="s">
        <v>44</v>
      </c>
      <c r="AR9" s="12" t="s">
        <v>45</v>
      </c>
      <c r="AS9" s="12" t="s">
        <v>46</v>
      </c>
      <c r="AT9" s="12" t="s">
        <v>47</v>
      </c>
      <c r="AU9" s="12" t="s">
        <v>48</v>
      </c>
      <c r="AV9" s="12" t="s">
        <v>49</v>
      </c>
      <c r="AW9" s="12" t="s">
        <v>50</v>
      </c>
      <c r="AX9" s="12" t="s">
        <v>51</v>
      </c>
      <c r="AY9" s="12" t="s">
        <v>52</v>
      </c>
      <c r="AZ9" s="12" t="s">
        <v>53</v>
      </c>
      <c r="BA9" s="12" t="s">
        <v>54</v>
      </c>
      <c r="BB9" s="12" t="s">
        <v>55</v>
      </c>
      <c r="BC9" s="12" t="s">
        <v>56</v>
      </c>
      <c r="BD9" s="12" t="s">
        <v>57</v>
      </c>
      <c r="BE9" s="12" t="s">
        <v>58</v>
      </c>
      <c r="BF9" s="12" t="s">
        <v>59</v>
      </c>
      <c r="BG9" s="12" t="s">
        <v>60</v>
      </c>
      <c r="BH9" s="12" t="s">
        <v>61</v>
      </c>
      <c r="BI9" s="12" t="s">
        <v>62</v>
      </c>
      <c r="BJ9" s="12" t="s">
        <v>63</v>
      </c>
      <c r="BK9" s="12" t="s">
        <v>64</v>
      </c>
      <c r="BL9" s="12" t="s">
        <v>65</v>
      </c>
      <c r="BM9" s="12" t="s">
        <v>66</v>
      </c>
      <c r="BN9" s="12" t="s">
        <v>67</v>
      </c>
      <c r="BO9" s="12" t="s">
        <v>68</v>
      </c>
      <c r="BP9" s="12" t="s">
        <v>69</v>
      </c>
      <c r="BQ9" s="12" t="s">
        <v>70</v>
      </c>
      <c r="BR9" s="12" t="s">
        <v>71</v>
      </c>
      <c r="BS9" s="12" t="s">
        <v>72</v>
      </c>
      <c r="BT9" s="12" t="s">
        <v>73</v>
      </c>
      <c r="BU9" s="12" t="s">
        <v>74</v>
      </c>
      <c r="BV9" s="12" t="s">
        <v>75</v>
      </c>
      <c r="BW9" s="12" t="s">
        <v>76</v>
      </c>
      <c r="BX9" s="12" t="s">
        <v>77</v>
      </c>
      <c r="BY9" s="12" t="s">
        <v>78</v>
      </c>
      <c r="BZ9" s="12" t="s">
        <v>79</v>
      </c>
      <c r="CA9" s="12" t="s">
        <v>80</v>
      </c>
      <c r="CB9" s="12" t="s">
        <v>81</v>
      </c>
      <c r="CC9" s="12" t="s">
        <v>82</v>
      </c>
      <c r="CD9" s="12" t="s">
        <v>83</v>
      </c>
      <c r="CE9" s="12" t="s">
        <v>84</v>
      </c>
      <c r="CF9" s="12" t="s">
        <v>85</v>
      </c>
      <c r="CG9" s="12" t="s">
        <v>86</v>
      </c>
      <c r="CH9" s="12" t="s">
        <v>87</v>
      </c>
      <c r="CI9" s="12" t="s">
        <v>88</v>
      </c>
      <c r="CJ9" s="12" t="s">
        <v>89</v>
      </c>
      <c r="CK9" s="12" t="s">
        <v>90</v>
      </c>
      <c r="CL9" s="12" t="s">
        <v>91</v>
      </c>
      <c r="CM9" s="12" t="s">
        <v>92</v>
      </c>
      <c r="CN9" s="12" t="s">
        <v>93</v>
      </c>
      <c r="CO9" s="12" t="s">
        <v>94</v>
      </c>
      <c r="CP9" s="12" t="s">
        <v>95</v>
      </c>
      <c r="CQ9" s="12" t="s">
        <v>96</v>
      </c>
      <c r="CR9" s="12" t="s">
        <v>97</v>
      </c>
      <c r="CS9" s="12" t="s">
        <v>98</v>
      </c>
      <c r="CT9" s="12" t="s">
        <v>99</v>
      </c>
      <c r="CU9" s="12" t="s">
        <v>100</v>
      </c>
      <c r="CV9" s="12" t="s">
        <v>101</v>
      </c>
      <c r="CW9" s="12" t="s">
        <v>102</v>
      </c>
      <c r="CX9" s="12" t="s">
        <v>103</v>
      </c>
      <c r="CY9" s="12" t="s">
        <v>104</v>
      </c>
      <c r="CZ9" s="12" t="s">
        <v>105</v>
      </c>
      <c r="DA9" s="12" t="s">
        <v>106</v>
      </c>
      <c r="DB9" s="12" t="s">
        <v>107</v>
      </c>
      <c r="DC9" s="12" t="s">
        <v>108</v>
      </c>
      <c r="DD9" s="12" t="s">
        <v>109</v>
      </c>
      <c r="DE9" s="12" t="s">
        <v>110</v>
      </c>
      <c r="DF9" s="12" t="s">
        <v>111</v>
      </c>
      <c r="DG9" s="12" t="s">
        <v>112</v>
      </c>
      <c r="DH9" s="12" t="s">
        <v>113</v>
      </c>
      <c r="DI9" s="12" t="s">
        <v>114</v>
      </c>
      <c r="DJ9" s="12" t="s">
        <v>115</v>
      </c>
      <c r="DK9" s="12" t="s">
        <v>116</v>
      </c>
      <c r="DL9" s="12" t="s">
        <v>117</v>
      </c>
      <c r="DM9" s="12" t="s">
        <v>118</v>
      </c>
      <c r="DN9" s="12" t="s">
        <v>119</v>
      </c>
      <c r="DO9" s="12" t="s">
        <v>120</v>
      </c>
      <c r="DP9" s="12" t="s">
        <v>121</v>
      </c>
      <c r="DQ9" s="12" t="s">
        <v>122</v>
      </c>
      <c r="DR9" s="12" t="s">
        <v>123</v>
      </c>
      <c r="DS9" s="12" t="s">
        <v>124</v>
      </c>
      <c r="DT9" s="12" t="s">
        <v>125</v>
      </c>
      <c r="DU9" s="12" t="s">
        <v>126</v>
      </c>
      <c r="DV9" s="12" t="s">
        <v>127</v>
      </c>
      <c r="DW9" s="12" t="s">
        <v>128</v>
      </c>
      <c r="DX9" s="12" t="s">
        <v>129</v>
      </c>
      <c r="DY9" s="12" t="s">
        <v>130</v>
      </c>
      <c r="DZ9" s="12" t="s">
        <v>131</v>
      </c>
      <c r="EA9" s="12" t="s">
        <v>132</v>
      </c>
      <c r="EB9" s="12" t="s">
        <v>133</v>
      </c>
      <c r="EC9" s="12" t="s">
        <v>134</v>
      </c>
      <c r="ED9" s="12" t="s">
        <v>135</v>
      </c>
      <c r="EE9" s="12" t="s">
        <v>146</v>
      </c>
    </row>
    <row r="10" spans="1:136" ht="18" customHeight="1">
      <c r="A10" s="6" t="s">
        <v>240</v>
      </c>
      <c r="B10" s="2">
        <v>1.9976135343076479E-2</v>
      </c>
      <c r="C10" s="11">
        <f>B10+預測IC!D14</f>
        <v>7.5616895796217099E-3</v>
      </c>
      <c r="D10" s="11">
        <f>C10+預測IC!E14</f>
        <v>-5.1127351491374404E-3</v>
      </c>
      <c r="E10" s="11">
        <f>D10+預測IC!F14</f>
        <v>3.5284486752351022E-3</v>
      </c>
      <c r="F10" s="11">
        <f>E10+預測IC!G14</f>
        <v>-5.1781944620375425E-3</v>
      </c>
      <c r="G10" s="11">
        <f>F10+預測IC!H14</f>
        <v>6.4167886085770374E-3</v>
      </c>
      <c r="H10" s="11">
        <f>G10+預測IC!I14</f>
        <v>-5.2389044041868844E-4</v>
      </c>
      <c r="I10" s="11">
        <f>H10+預測IC!J14</f>
        <v>7.7927850556758164E-3</v>
      </c>
      <c r="J10" s="11">
        <f>I10+預測IC!K14</f>
        <v>9.8065365373159758E-3</v>
      </c>
      <c r="K10" s="11">
        <f>J10+預測IC!L14</f>
        <v>-1.5563745782678716E-2</v>
      </c>
      <c r="L10" s="11">
        <f>K10+預測IC!M14</f>
        <v>-2.1765157032023291E-2</v>
      </c>
      <c r="M10" s="11">
        <f>L10+預測IC!N14</f>
        <v>-1.7890216889468111E-3</v>
      </c>
      <c r="N10" s="11">
        <f>M10+預測IC!O14</f>
        <v>1.8356218891366727E-2</v>
      </c>
      <c r="O10" s="11">
        <f>N10+預測IC!P14</f>
        <v>1.9181599586534471E-2</v>
      </c>
      <c r="P10" s="11">
        <f>O10+預測IC!Q14</f>
        <v>2.9398701271568205E-3</v>
      </c>
      <c r="Q10" s="11">
        <f>P10+預測IC!R14</f>
        <v>2.295761144897375E-2</v>
      </c>
      <c r="R10" s="11">
        <f>Q10+預測IC!S14</f>
        <v>5.781026870572769E-2</v>
      </c>
      <c r="S10" s="11">
        <f>R10+預測IC!T14</f>
        <v>5.5298377301282411E-2</v>
      </c>
      <c r="T10" s="11">
        <f>S10+預測IC!U14</f>
        <v>4.9619936061144537E-2</v>
      </c>
      <c r="U10" s="11">
        <f>T10+預測IC!V14</f>
        <v>6.2993855187512798E-2</v>
      </c>
      <c r="V10" s="11">
        <f>U10+預測IC!W14</f>
        <v>6.2371522318229733E-2</v>
      </c>
      <c r="W10" s="11">
        <f>V10+預測IC!X14</f>
        <v>0.13635743140574269</v>
      </c>
      <c r="X10" s="11">
        <f>W10+預測IC!Y14</f>
        <v>0.1145487159939001</v>
      </c>
      <c r="Y10" s="11">
        <f>X10+預測IC!Z14</f>
        <v>0.13124285227390084</v>
      </c>
      <c r="Z10" s="11">
        <f>Y10+預測IC!AA14</f>
        <v>0.11609782639977111</v>
      </c>
      <c r="AA10" s="11">
        <f>Z10+預測IC!AB14</f>
        <v>0.13504548774568392</v>
      </c>
      <c r="AB10" s="11">
        <f>AA10+預測IC!AC14</f>
        <v>0.13849408374935249</v>
      </c>
      <c r="AC10" s="11">
        <f>AB10+預測IC!AD14</f>
        <v>0.13259688787413793</v>
      </c>
      <c r="AD10" s="11">
        <f>AC10+預測IC!AE14</f>
        <v>0.14387498952951688</v>
      </c>
      <c r="AE10" s="11">
        <f>AD10+預測IC!AF14</f>
        <v>0.13703768103268066</v>
      </c>
      <c r="AF10" s="11">
        <f>AE10+預測IC!AG14</f>
        <v>0.12434024007936809</v>
      </c>
      <c r="AG10" s="11">
        <f>AF10+預測IC!AH14</f>
        <v>0.13849268035158599</v>
      </c>
      <c r="AH10" s="11">
        <f>AG10+預測IC!AI14</f>
        <v>0.13973719646958421</v>
      </c>
      <c r="AI10" s="11">
        <f>AH10+預測IC!AJ14</f>
        <v>0.13181058491393083</v>
      </c>
      <c r="AJ10" s="11">
        <f>AI10+預測IC!AK14</f>
        <v>0.10944500878218272</v>
      </c>
      <c r="AK10" s="11">
        <f>AJ10+預測IC!AL14</f>
        <v>0.10404985616575897</v>
      </c>
      <c r="AL10" s="11">
        <f>AK10+預測IC!AM14</f>
        <v>0.13014051022389472</v>
      </c>
      <c r="AM10" s="11">
        <f>AL10+預測IC!AN14</f>
        <v>0.10794267202734907</v>
      </c>
      <c r="AN10" s="11">
        <f>AM10+預測IC!AO14</f>
        <v>0.11959249765149699</v>
      </c>
      <c r="AO10" s="11">
        <f>AN10+預測IC!AP14</f>
        <v>0.10444256714719237</v>
      </c>
      <c r="AP10" s="11">
        <f>AO10+預測IC!AQ14</f>
        <v>0.10482395109234183</v>
      </c>
      <c r="AQ10" s="11">
        <f>AP10+預測IC!AR14</f>
        <v>0.11023809590671861</v>
      </c>
      <c r="AR10" s="11">
        <f>AQ10+預測IC!AS14</f>
        <v>0.11588059500557826</v>
      </c>
      <c r="AS10" s="11">
        <f>AR10+預測IC!AT14</f>
        <v>0.11015752289623706</v>
      </c>
      <c r="AT10" s="11">
        <f>AS10+預測IC!AU14</f>
        <v>0.11315259499009811</v>
      </c>
      <c r="AU10" s="11">
        <f>AT10+預測IC!AV14</f>
        <v>0.10703654876803428</v>
      </c>
      <c r="AV10" s="11">
        <f>AU10+預測IC!AW14</f>
        <v>9.6683068796954388E-2</v>
      </c>
      <c r="AW10" s="11">
        <f>AV10+預測IC!AX14</f>
        <v>6.5041473414408496E-2</v>
      </c>
      <c r="AX10" s="11">
        <f>AW10+預測IC!AY14</f>
        <v>8.178083276938361E-2</v>
      </c>
      <c r="AY10" s="11">
        <f>AX10+預測IC!AZ14</f>
        <v>8.1025810249399172E-2</v>
      </c>
      <c r="AZ10" s="11">
        <f>AY10+預測IC!BA14</f>
        <v>5.8497230133476005E-2</v>
      </c>
      <c r="BA10" s="11">
        <f>AZ10+預測IC!BB14</f>
        <v>5.1163622149573235E-2</v>
      </c>
      <c r="BB10" s="11">
        <f>BA10+預測IC!BC14</f>
        <v>5.6684202570863221E-2</v>
      </c>
      <c r="BC10" s="11">
        <f>BB10+預測IC!BD14</f>
        <v>4.179172812458503E-2</v>
      </c>
      <c r="BD10" s="11">
        <f>BC10+預測IC!BE14</f>
        <v>3.4568241170278839E-2</v>
      </c>
      <c r="BE10" s="11">
        <f>BD10+預測IC!BF14</f>
        <v>5.4899810017189674E-2</v>
      </c>
      <c r="BF10" s="11">
        <f>BE10+預測IC!BG14</f>
        <v>7.9760374721847438E-2</v>
      </c>
      <c r="BG10" s="11">
        <f>BF10+預測IC!BH14</f>
        <v>0.12333118410866897</v>
      </c>
      <c r="BH10" s="11">
        <f>BG10+預測IC!BI14</f>
        <v>8.7844681269341515E-2</v>
      </c>
      <c r="BI10" s="11">
        <f>BH10+預測IC!BJ14</f>
        <v>5.3875551105896778E-2</v>
      </c>
      <c r="BJ10" s="11">
        <f>BI10+預測IC!BK14</f>
        <v>6.3751787619140535E-2</v>
      </c>
      <c r="BK10" s="11">
        <f>BJ10+預測IC!BL14</f>
        <v>4.7591852945029128E-2</v>
      </c>
      <c r="BL10" s="11">
        <f>BK10+預測IC!BM14</f>
        <v>4.9697288141572919E-2</v>
      </c>
      <c r="BM10" s="11">
        <f>BL10+預測IC!BN14</f>
        <v>4.7759123241670046E-2</v>
      </c>
      <c r="BN10" s="11">
        <f>BM10+預測IC!BO14</f>
        <v>2.0237871471955177E-2</v>
      </c>
      <c r="BO10" s="11">
        <f>BN10+預測IC!BP14</f>
        <v>3.1290847899894628E-2</v>
      </c>
      <c r="BP10" s="11">
        <f>BO10+預測IC!BQ14</f>
        <v>2.2556427212368287E-2</v>
      </c>
      <c r="BQ10" s="11">
        <f>BP10+預測IC!BR14</f>
        <v>2.5639847123921956E-3</v>
      </c>
      <c r="BR10" s="11">
        <f>BQ10+預測IC!BS14</f>
        <v>-1.4180186132509605E-2</v>
      </c>
      <c r="BS10" s="11">
        <f>BR10+預測IC!BT14</f>
        <v>-5.0422606961573462E-2</v>
      </c>
      <c r="BT10" s="11">
        <f>BS10+預測IC!BU14</f>
        <v>-6.3184772958790436E-2</v>
      </c>
      <c r="BU10" s="11">
        <f>BT10+預測IC!BV14</f>
        <v>-2.9386179342884317E-2</v>
      </c>
      <c r="BV10" s="11">
        <f>BU10+預測IC!BW14</f>
        <v>-1.5038929461028496E-2</v>
      </c>
      <c r="BW10" s="11">
        <f>BV10+預測IC!BX14</f>
        <v>-1.3797662610748343E-2</v>
      </c>
      <c r="BX10" s="11">
        <f>BW10+預測IC!BY14</f>
        <v>-3.4479187374834339E-2</v>
      </c>
      <c r="BY10" s="11">
        <f>BX10+預測IC!BZ14</f>
        <v>-6.9181818849361199E-2</v>
      </c>
      <c r="BZ10" s="11">
        <f>BY10+預測IC!CA14</f>
        <v>-7.0586054949975274E-2</v>
      </c>
      <c r="CA10" s="11">
        <f>BZ10+預測IC!CB14</f>
        <v>-7.0215072107885787E-2</v>
      </c>
      <c r="CB10" s="11">
        <f>CA10+預測IC!CC14</f>
        <v>-5.2807599703502531E-2</v>
      </c>
      <c r="CC10" s="11">
        <f>CB10+預測IC!CD14</f>
        <v>-7.6451931794685402E-2</v>
      </c>
      <c r="CD10" s="11">
        <f>CC10+預測IC!CE14</f>
        <v>-4.2975179320055082E-2</v>
      </c>
      <c r="CE10" s="11">
        <f>CD10+預測IC!CF14</f>
        <v>-5.6231170284089499E-2</v>
      </c>
      <c r="CF10" s="11">
        <f>CE10+預測IC!CG14</f>
        <v>-6.1554791256712232E-2</v>
      </c>
      <c r="CG10" s="11">
        <f>CF10+預測IC!CH14</f>
        <v>-4.2815127047980954E-2</v>
      </c>
      <c r="CH10" s="11">
        <f>CG10+預測IC!CI14</f>
        <v>-4.8235660699736095E-2</v>
      </c>
      <c r="CI10" s="11">
        <f>CH10+預測IC!CJ14</f>
        <v>-4.3847061669923811E-2</v>
      </c>
      <c r="CJ10" s="11">
        <f>CI10+預測IC!CK14</f>
        <v>-3.2503781322438197E-2</v>
      </c>
      <c r="CK10" s="11">
        <f>CJ10+預測IC!CL14</f>
        <v>-7.7017006871082455E-2</v>
      </c>
      <c r="CL10" s="11">
        <f>CK10+預測IC!CM14</f>
        <v>-0.10347179268248052</v>
      </c>
      <c r="CM10" s="11">
        <f>CL10+預測IC!CN14</f>
        <v>-0.1253353550246645</v>
      </c>
      <c r="CN10" s="11">
        <f>CM10+預測IC!CO14</f>
        <v>-8.82531410943935E-2</v>
      </c>
      <c r="CO10" s="11">
        <f>CN10+預測IC!CP14</f>
        <v>-0.11062648578646625</v>
      </c>
      <c r="CP10" s="11">
        <f>CO10+預測IC!CQ14</f>
        <v>-9.7329120540888769E-2</v>
      </c>
      <c r="CQ10" s="11">
        <f>CP10+預測IC!CR14</f>
        <v>-0.12562371410591094</v>
      </c>
      <c r="CR10" s="11">
        <f>CQ10+預測IC!CS14</f>
        <v>-0.14713220922821721</v>
      </c>
      <c r="CS10" s="11">
        <f>CR10+預測IC!CT14</f>
        <v>-0.15480355322921188</v>
      </c>
      <c r="CT10" s="11">
        <f>CS10+預測IC!CU14</f>
        <v>-0.13706504992845883</v>
      </c>
      <c r="CU10" s="11">
        <f>CT10+預測IC!CV14</f>
        <v>-0.16415482336702483</v>
      </c>
      <c r="CV10" s="11">
        <f>CU10+預測IC!CW14</f>
        <v>-0.17111032261975451</v>
      </c>
      <c r="CW10" s="11">
        <f>CV10+預測IC!CX14</f>
        <v>-0.17442051677201179</v>
      </c>
      <c r="CX10" s="11">
        <f>CW10+預測IC!CY14</f>
        <v>-0.17113027471629458</v>
      </c>
      <c r="CY10" s="11">
        <f>CX10+預測IC!CZ14</f>
        <v>-0.17224510858253789</v>
      </c>
      <c r="CZ10" s="11">
        <f>CY10+預測IC!DA14</f>
        <v>-0.17518088348083596</v>
      </c>
      <c r="DA10" s="11">
        <f>CZ10+預測IC!DB14</f>
        <v>-0.18121831148961928</v>
      </c>
      <c r="DB10" s="11">
        <f>DA10+預測IC!DC14</f>
        <v>-0.12403787010256585</v>
      </c>
      <c r="DC10" s="11">
        <f>DB10+預測IC!DD14</f>
        <v>-0.15301706643756313</v>
      </c>
      <c r="DD10" s="11">
        <f>DC10+預測IC!DE14</f>
        <v>-0.16923532280305184</v>
      </c>
      <c r="DE10" s="11">
        <f>DD10+預測IC!DF14</f>
        <v>-0.16397886032845221</v>
      </c>
      <c r="DF10" s="11">
        <f>DE10+預測IC!DG14</f>
        <v>-0.17124333220170293</v>
      </c>
      <c r="DG10" s="11">
        <f>DF10+預測IC!DH14</f>
        <v>-0.17672025798888813</v>
      </c>
      <c r="DH10" s="11">
        <f>DG10+預測IC!DI14</f>
        <v>-0.19416675647403739</v>
      </c>
      <c r="DI10" s="11">
        <f>DH10+預測IC!DJ14</f>
        <v>-0.16974926285508363</v>
      </c>
      <c r="DJ10" s="11">
        <f>DI10+預測IC!DK14</f>
        <v>-0.17381676561111811</v>
      </c>
      <c r="DK10" s="11">
        <f>DJ10+預測IC!DL14</f>
        <v>-0.17966344385331379</v>
      </c>
      <c r="DL10" s="11">
        <f>DK10+預測IC!DM14</f>
        <v>-0.21787099903086052</v>
      </c>
      <c r="DM10" s="11">
        <f>DL10+預測IC!DN14</f>
        <v>-0.20780286927358749</v>
      </c>
      <c r="DN10" s="11">
        <f>DM10+預測IC!DO14</f>
        <v>-0.22135144007462643</v>
      </c>
      <c r="DO10" s="11">
        <f>DN10+預測IC!DP14</f>
        <v>-0.19745221600512286</v>
      </c>
      <c r="DP10" s="11">
        <f>DO10+預測IC!DQ14</f>
        <v>-0.18548706531448345</v>
      </c>
      <c r="DQ10" s="11">
        <f>DP10+預測IC!DR14</f>
        <v>-0.19176604722237403</v>
      </c>
      <c r="DR10" s="11">
        <f>DQ10+預測IC!DS14</f>
        <v>-0.19294462444104662</v>
      </c>
      <c r="DS10" s="11">
        <f>DR10+預測IC!DT14</f>
        <v>-0.14291387126793464</v>
      </c>
      <c r="DT10" s="11">
        <f>DS10+預測IC!DU14</f>
        <v>-0.1111001538017465</v>
      </c>
      <c r="DU10" s="11">
        <f>DT10+預測IC!DV14</f>
        <v>-0.11788555466413078</v>
      </c>
      <c r="DV10" s="11">
        <f>DU10+預測IC!DW14</f>
        <v>-0.10347372589443099</v>
      </c>
      <c r="DW10" s="11">
        <f>DV10+預測IC!DX14</f>
        <v>-0.12537966994193767</v>
      </c>
      <c r="DX10" s="11">
        <f>DW10+預測IC!DY14</f>
        <v>-0.13698785522098583</v>
      </c>
      <c r="DY10" s="11">
        <f>DX10+預測IC!DZ14</f>
        <v>-0.12752878212454813</v>
      </c>
      <c r="DZ10" s="11">
        <f>DY10+預測IC!EA14</f>
        <v>-0.1382870367713035</v>
      </c>
      <c r="EA10" s="11">
        <f>DZ10+預測IC!EB14</f>
        <v>-0.13768856897896564</v>
      </c>
      <c r="EB10" s="11">
        <f>EA10+預測IC!EC14</f>
        <v>-0.14830764032562926</v>
      </c>
      <c r="EC10" s="11">
        <f>EB10+預測IC!ED14</f>
        <v>-0.16244183274383248</v>
      </c>
      <c r="ED10" s="11">
        <f>EC10+預測IC!EE14</f>
        <v>-0.15223084856214103</v>
      </c>
      <c r="EE10" s="11">
        <f>ED10+預測IC!EF14</f>
        <v>-0.13336570855511981</v>
      </c>
    </row>
    <row r="11" spans="1:136" ht="16" customHeight="1">
      <c r="A11" s="6" t="s">
        <v>241</v>
      </c>
      <c r="B11" s="2">
        <v>5.9099920037642271E-2</v>
      </c>
      <c r="C11" s="11">
        <f>B11+預測IC!D15</f>
        <v>7.2482784525875477E-2</v>
      </c>
      <c r="D11" s="11">
        <f>C11+預測IC!E15</f>
        <v>7.2502026454591487E-2</v>
      </c>
      <c r="E11" s="11">
        <f>D11+預測IC!F15</f>
        <v>3.713092975465971E-2</v>
      </c>
      <c r="F11" s="11">
        <f>E11+預測IC!G15</f>
        <v>1.128046311817785E-2</v>
      </c>
      <c r="G11" s="11">
        <f>F11+預測IC!H15</f>
        <v>1.7382917736044435E-2</v>
      </c>
      <c r="H11" s="11">
        <f>G11+預測IC!I15</f>
        <v>1.4332562453666705E-2</v>
      </c>
      <c r="I11" s="11">
        <f>H11+預測IC!J15</f>
        <v>4.5049110870296276E-2</v>
      </c>
      <c r="J11" s="11">
        <f>I11+預測IC!K15</f>
        <v>3.5607846053712575E-2</v>
      </c>
      <c r="K11" s="11">
        <f>J11+預測IC!L15</f>
        <v>-3.8809937814039672E-2</v>
      </c>
      <c r="L11" s="11">
        <f>K11+預測IC!M15</f>
        <v>-2.9608693496842253E-2</v>
      </c>
      <c r="M11" s="11">
        <f>L11+預測IC!N15</f>
        <v>2.9491226540800018E-2</v>
      </c>
      <c r="N11" s="11">
        <f>M11+預測IC!O15</f>
        <v>6.6941340779504283E-2</v>
      </c>
      <c r="O11" s="11">
        <f>N11+預測IC!P15</f>
        <v>7.237627963542162E-2</v>
      </c>
      <c r="P11" s="11">
        <f>O11+預測IC!Q15</f>
        <v>6.9180051867686984E-2</v>
      </c>
      <c r="Q11" s="11">
        <f>P11+預測IC!R15</f>
        <v>0.12638615010392809</v>
      </c>
      <c r="R11" s="11">
        <f>Q11+預測IC!S15</f>
        <v>0.18850855555538173</v>
      </c>
      <c r="S11" s="11">
        <f>R11+預測IC!T15</f>
        <v>0.19200926531010734</v>
      </c>
      <c r="T11" s="11">
        <f>S11+預測IC!U15</f>
        <v>0.16222478192550038</v>
      </c>
      <c r="U11" s="11">
        <f>T11+預測IC!V15</f>
        <v>0.19186847957752229</v>
      </c>
      <c r="V11" s="11">
        <f>U11+預測IC!W15</f>
        <v>0.19036312913081993</v>
      </c>
      <c r="W11" s="11">
        <f>V11+預測IC!X15</f>
        <v>0.26851650753388856</v>
      </c>
      <c r="X11" s="11">
        <f>W11+預測IC!Y15</f>
        <v>0.25824302239094399</v>
      </c>
      <c r="Y11" s="11">
        <f>X11+預測IC!Z15</f>
        <v>0.28825245754427165</v>
      </c>
      <c r="Z11" s="11">
        <f>Y11+預測IC!AA15</f>
        <v>0.26766542440707713</v>
      </c>
      <c r="AA11" s="11">
        <f>Z11+預測IC!AB15</f>
        <v>0.27215235597281218</v>
      </c>
      <c r="AB11" s="11">
        <f>AA11+預測IC!AC15</f>
        <v>0.28569913724702695</v>
      </c>
      <c r="AC11" s="11">
        <f>AB11+預測IC!AD15</f>
        <v>0.25166495063976058</v>
      </c>
      <c r="AD11" s="11">
        <f>AC11+預測IC!AE15</f>
        <v>0.28752540700981494</v>
      </c>
      <c r="AE11" s="11">
        <f>AD11+預測IC!AF15</f>
        <v>0.28896963935331055</v>
      </c>
      <c r="AF11" s="11">
        <f>AE11+預測IC!AG15</f>
        <v>0.27664877575212821</v>
      </c>
      <c r="AG11" s="11">
        <f>AF11+預測IC!AH15</f>
        <v>0.29066411304905881</v>
      </c>
      <c r="AH11" s="11">
        <f>AG11+預測IC!AI15</f>
        <v>0.30656979550949381</v>
      </c>
      <c r="AI11" s="11">
        <f>AH11+預測IC!AJ15</f>
        <v>0.30419462589374202</v>
      </c>
      <c r="AJ11" s="11">
        <f>AI11+預測IC!AK15</f>
        <v>0.29985319432190999</v>
      </c>
      <c r="AK11" s="11">
        <f>AJ11+預測IC!AL15</f>
        <v>0.31138822159166674</v>
      </c>
      <c r="AL11" s="11">
        <f>AK11+預測IC!AM15</f>
        <v>0.35311600750886363</v>
      </c>
      <c r="AM11" s="11">
        <f>AL11+預測IC!AN15</f>
        <v>0.33485227287911318</v>
      </c>
      <c r="AN11" s="11">
        <f>AM11+預測IC!AO15</f>
        <v>0.33602859274645003</v>
      </c>
      <c r="AO11" s="11">
        <f>AN11+預測IC!AP15</f>
        <v>0.32150230541164843</v>
      </c>
      <c r="AP11" s="11">
        <f>AO11+預測IC!AQ15</f>
        <v>0.35058703006022718</v>
      </c>
      <c r="AQ11" s="11">
        <f>AP11+預測IC!AR15</f>
        <v>0.34935665677953898</v>
      </c>
      <c r="AR11" s="11">
        <f>AQ11+預測IC!AS15</f>
        <v>0.36830311901864654</v>
      </c>
      <c r="AS11" s="11">
        <f>AR11+預測IC!AT15</f>
        <v>0.34614262185215761</v>
      </c>
      <c r="AT11" s="11">
        <f>AS11+預測IC!AU15</f>
        <v>0.37543340083474763</v>
      </c>
      <c r="AU11" s="11">
        <f>AT11+預測IC!AV15</f>
        <v>0.37134752630333506</v>
      </c>
      <c r="AV11" s="11">
        <f>AU11+預測IC!AW15</f>
        <v>0.37043853075014765</v>
      </c>
      <c r="AW11" s="11">
        <f>AV11+預測IC!AX15</f>
        <v>0.36744607057379336</v>
      </c>
      <c r="AX11" s="11">
        <f>AW11+預測IC!AY15</f>
        <v>0.4292949197655479</v>
      </c>
      <c r="AY11" s="11">
        <f>AX11+預測IC!AZ15</f>
        <v>0.41703597836575479</v>
      </c>
      <c r="AZ11" s="11">
        <f>AY11+預測IC!BA15</f>
        <v>0.39926018269813901</v>
      </c>
      <c r="BA11" s="11">
        <f>AZ11+預測IC!BB15</f>
        <v>0.40289445812683528</v>
      </c>
      <c r="BB11" s="11">
        <f>BA11+預測IC!BC15</f>
        <v>0.42865631475446297</v>
      </c>
      <c r="BC11" s="11">
        <f>BB11+預測IC!BD15</f>
        <v>0.43117671884159259</v>
      </c>
      <c r="BD11" s="11">
        <f>BC11+預測IC!BE15</f>
        <v>0.44275701872289763</v>
      </c>
      <c r="BE11" s="11">
        <f>BD11+預測IC!BF15</f>
        <v>0.47400560375709533</v>
      </c>
      <c r="BF11" s="11">
        <f>BE11+預測IC!BG15</f>
        <v>0.5090950821082999</v>
      </c>
      <c r="BG11" s="11">
        <f>BF11+預測IC!BH15</f>
        <v>0.55461828999939899</v>
      </c>
      <c r="BH11" s="11">
        <f>BG11+預測IC!BI15</f>
        <v>0.51152332682019319</v>
      </c>
      <c r="BI11" s="11">
        <f>BH11+預測IC!BJ15</f>
        <v>0.48891513805118092</v>
      </c>
      <c r="BJ11" s="11">
        <f>BI11+預測IC!BK15</f>
        <v>0.50871544658142909</v>
      </c>
      <c r="BK11" s="11">
        <f>BJ11+預測IC!BL15</f>
        <v>0.49612803403333194</v>
      </c>
      <c r="BL11" s="11">
        <f>BK11+預測IC!BM15</f>
        <v>0.50816068580393603</v>
      </c>
      <c r="BM11" s="11">
        <f>BL11+預測IC!BN15</f>
        <v>0.47594286821698367</v>
      </c>
      <c r="BN11" s="11">
        <f>BM11+預測IC!BO15</f>
        <v>0.44653539161559591</v>
      </c>
      <c r="BO11" s="11">
        <f>BN11+預測IC!BP15</f>
        <v>0.47406980729049508</v>
      </c>
      <c r="BP11" s="11">
        <f>BO11+預測IC!BQ15</f>
        <v>0.46992545832278115</v>
      </c>
      <c r="BQ11" s="11">
        <f>BP11+預測IC!BR15</f>
        <v>0.43791673867675196</v>
      </c>
      <c r="BR11" s="11">
        <f>BQ11+預測IC!BS15</f>
        <v>0.41289477019483672</v>
      </c>
      <c r="BS11" s="11">
        <f>BR11+預測IC!BT15</f>
        <v>0.37869032504344241</v>
      </c>
      <c r="BT11" s="11">
        <f>BS11+預測IC!BU15</f>
        <v>0.36624648053494713</v>
      </c>
      <c r="BU11" s="11">
        <f>BT11+預測IC!BV15</f>
        <v>0.38850177342902326</v>
      </c>
      <c r="BV11" s="11">
        <f>BU11+預測IC!BW15</f>
        <v>0.39470418997168399</v>
      </c>
      <c r="BW11" s="11">
        <f>BV11+預測IC!BX15</f>
        <v>0.39299877697091695</v>
      </c>
      <c r="BX11" s="11">
        <f>BW11+預測IC!BY15</f>
        <v>0.35441627460908098</v>
      </c>
      <c r="BY11" s="11">
        <f>BX11+預測IC!BZ15</f>
        <v>0.31420193843807426</v>
      </c>
      <c r="BZ11" s="11">
        <f>BY11+預測IC!CA15</f>
        <v>0.30491766014298072</v>
      </c>
      <c r="CA11" s="11">
        <f>BZ11+預測IC!CB15</f>
        <v>0.34405062303113965</v>
      </c>
      <c r="CB11" s="11">
        <f>CA11+預測IC!CC15</f>
        <v>0.36406769668932015</v>
      </c>
      <c r="CC11" s="11">
        <f>CB11+預測IC!CD15</f>
        <v>0.30940981049201494</v>
      </c>
      <c r="CD11" s="11">
        <f>CC11+預測IC!CE15</f>
        <v>0.31209935081243168</v>
      </c>
      <c r="CE11" s="11">
        <f>CD11+預測IC!CF15</f>
        <v>0.29662473748304724</v>
      </c>
      <c r="CF11" s="11">
        <f>CE11+預測IC!CG15</f>
        <v>0.32317814545398166</v>
      </c>
      <c r="CG11" s="11">
        <f>CF11+預測IC!CH15</f>
        <v>0.33081126176826575</v>
      </c>
      <c r="CH11" s="11">
        <f>CG11+預測IC!CI15</f>
        <v>0.34998121380657865</v>
      </c>
      <c r="CI11" s="11">
        <f>CH11+預測IC!CJ15</f>
        <v>0.3635930664187112</v>
      </c>
      <c r="CJ11" s="11">
        <f>CI11+預測IC!CK15</f>
        <v>0.3894709925002825</v>
      </c>
      <c r="CK11" s="11">
        <f>CJ11+預測IC!CL15</f>
        <v>0.33229885928000796</v>
      </c>
      <c r="CL11" s="11">
        <f>CK11+預測IC!CM15</f>
        <v>0.3050772281008674</v>
      </c>
      <c r="CM11" s="11">
        <f>CL11+預測IC!CN15</f>
        <v>0.24856128361047181</v>
      </c>
      <c r="CN11" s="11">
        <f>CM11+預測IC!CO15</f>
        <v>0.30277352845953132</v>
      </c>
      <c r="CO11" s="11">
        <f>CN11+預測IC!CP15</f>
        <v>0.26097653874856763</v>
      </c>
      <c r="CP11" s="11">
        <f>CO11+預測IC!CQ15</f>
        <v>0.25575927571400581</v>
      </c>
      <c r="CQ11" s="11">
        <f>CP11+預測IC!CR15</f>
        <v>0.19659653012876765</v>
      </c>
      <c r="CR11" s="11">
        <f>CQ11+預測IC!CS15</f>
        <v>0.16466813145463957</v>
      </c>
      <c r="CS11" s="11">
        <f>CR11+預測IC!CT15</f>
        <v>0.13520853904756408</v>
      </c>
      <c r="CT11" s="11">
        <f>CS11+預測IC!CU15</f>
        <v>0.15875231932023048</v>
      </c>
      <c r="CU11" s="11">
        <f>CT11+預測IC!CV15</f>
        <v>0.11105596964679737</v>
      </c>
      <c r="CV11" s="11">
        <f>CU11+預測IC!CW15</f>
        <v>8.5268892002403507E-2</v>
      </c>
      <c r="CW11" s="11">
        <f>CV11+預測IC!CX15</f>
        <v>6.9087492105524242E-2</v>
      </c>
      <c r="CX11" s="11">
        <f>CW11+預測IC!CY15</f>
        <v>7.9321012694608228E-2</v>
      </c>
      <c r="CY11" s="11">
        <f>CX11+預測IC!CZ15</f>
        <v>7.7762864326467146E-2</v>
      </c>
      <c r="CZ11" s="11">
        <f>CY11+預測IC!DA15</f>
        <v>8.7659428389988317E-2</v>
      </c>
      <c r="DA11" s="11">
        <f>CZ11+預測IC!DB15</f>
        <v>6.3852013290150444E-2</v>
      </c>
      <c r="DB11" s="11">
        <f>DA11+預測IC!DC15</f>
        <v>0.11444411718011729</v>
      </c>
      <c r="DC11" s="11">
        <f>DB11+預測IC!DD15</f>
        <v>7.7583481633772267E-2</v>
      </c>
      <c r="DD11" s="11">
        <f>DC11+預測IC!DE15</f>
        <v>4.8292829929630132E-2</v>
      </c>
      <c r="DE11" s="11">
        <f>DD11+預測IC!DF15</f>
        <v>3.3066617532692522E-2</v>
      </c>
      <c r="DF11" s="11">
        <f>DE11+預測IC!DG15</f>
        <v>2.416873845880136E-2</v>
      </c>
      <c r="DG11" s="11">
        <f>DF11+預測IC!DH15</f>
        <v>4.1064240658198276E-2</v>
      </c>
      <c r="DH11" s="11">
        <f>DG11+預測IC!DI15</f>
        <v>2.5719083833154285E-2</v>
      </c>
      <c r="DI11" s="11">
        <f>DH11+預測IC!DJ15</f>
        <v>6.0571450227218188E-2</v>
      </c>
      <c r="DJ11" s="11">
        <f>DI11+預測IC!DK15</f>
        <v>7.4852404035530062E-2</v>
      </c>
      <c r="DK11" s="11">
        <f>DJ11+預測IC!DL15</f>
        <v>6.2019180173573434E-2</v>
      </c>
      <c r="DL11" s="11">
        <f>DK11+預測IC!DM15</f>
        <v>1.8258046454536873E-2</v>
      </c>
      <c r="DM11" s="11">
        <f>DL11+預測IC!DN15</f>
        <v>1.4448127936472509E-2</v>
      </c>
      <c r="DN11" s="11">
        <f>DM11+預測IC!DO15</f>
        <v>-7.7179036075347915E-3</v>
      </c>
      <c r="DO11" s="11">
        <f>DN11+預測IC!DP15</f>
        <v>4.1626301837328156E-2</v>
      </c>
      <c r="DP11" s="11">
        <f>DO11+預測IC!DQ15</f>
        <v>7.3044796520271224E-2</v>
      </c>
      <c r="DQ11" s="11">
        <f>DP11+預測IC!DR15</f>
        <v>7.0659188448523896E-2</v>
      </c>
      <c r="DR11" s="11">
        <f>DQ11+預測IC!DS15</f>
        <v>6.6827589289072814E-2</v>
      </c>
      <c r="DS11" s="11">
        <f>DR11+預測IC!DT15</f>
        <v>0.11536796693025016</v>
      </c>
      <c r="DT11" s="11">
        <f>DS11+預測IC!DU15</f>
        <v>0.1514284917401103</v>
      </c>
      <c r="DU11" s="11">
        <f>DT11+預測IC!DV15</f>
        <v>0.16582409902107376</v>
      </c>
      <c r="DV11" s="11">
        <f>DU11+預測IC!DW15</f>
        <v>0.21126474687801242</v>
      </c>
      <c r="DW11" s="11">
        <f>DV11+預測IC!DX15</f>
        <v>0.17842351620877783</v>
      </c>
      <c r="DX11" s="11">
        <f>DW11+預測IC!DY15</f>
        <v>0.16667058523653638</v>
      </c>
      <c r="DY11" s="11">
        <f>DX11+預測IC!DZ15</f>
        <v>0.16038494707749534</v>
      </c>
      <c r="DZ11" s="11">
        <f>DY11+預測IC!EA15</f>
        <v>0.14915975517938912</v>
      </c>
      <c r="EA11" s="11">
        <f>DZ11+預測IC!EB15</f>
        <v>0.13318632479292178</v>
      </c>
      <c r="EB11" s="11">
        <f>EA11+預測IC!EC15</f>
        <v>0.12035962712513087</v>
      </c>
      <c r="EC11" s="11">
        <f>EB11+預測IC!ED15</f>
        <v>0.12343773236943187</v>
      </c>
      <c r="ED11" s="11">
        <f>EC11+預測IC!EE15</f>
        <v>0.13393276509094781</v>
      </c>
      <c r="EE11" s="11">
        <f>ED11+預測IC!EF15</f>
        <v>0.13578742980412178</v>
      </c>
    </row>
    <row r="12" spans="1:136" ht="16" customHeight="1">
      <c r="A12" s="6" t="s">
        <v>242</v>
      </c>
      <c r="B12" s="2">
        <v>5.5126982158774263E-2</v>
      </c>
      <c r="C12" s="11">
        <f>B12+預測IC!D16</f>
        <v>7.3760349313626239E-2</v>
      </c>
      <c r="D12" s="11">
        <f>C12+預測IC!E16</f>
        <v>0.10527573007394436</v>
      </c>
      <c r="E12" s="11">
        <f>D12+預測IC!F16</f>
        <v>0.10833201563125537</v>
      </c>
      <c r="F12" s="11">
        <f>E12+預測IC!G16</f>
        <v>0.13654288069544501</v>
      </c>
      <c r="G12" s="11">
        <f>F12+預測IC!H16</f>
        <v>0.11673829216516407</v>
      </c>
      <c r="H12" s="11">
        <f>G12+預測IC!I16</f>
        <v>0.11949762611239408</v>
      </c>
      <c r="I12" s="11">
        <f>H12+預測IC!J16</f>
        <v>0.15395121135269624</v>
      </c>
      <c r="J12" s="11">
        <f>I12+預測IC!K16</f>
        <v>0.16762019791264546</v>
      </c>
      <c r="K12" s="11">
        <f>J12+預測IC!L16</f>
        <v>0.18847385159646032</v>
      </c>
      <c r="L12" s="11">
        <f>K12+預測IC!M16</f>
        <v>0.21660177063462988</v>
      </c>
      <c r="M12" s="11">
        <f>L12+預測IC!N16</f>
        <v>0.27172875279340414</v>
      </c>
      <c r="N12" s="11">
        <f>M12+預測IC!O16</f>
        <v>0.27483890699631469</v>
      </c>
      <c r="O12" s="11">
        <f>N12+預測IC!P16</f>
        <v>0.26368351619476832</v>
      </c>
      <c r="P12" s="11">
        <f>O12+預測IC!Q16</f>
        <v>0.25537006971772674</v>
      </c>
      <c r="Q12" s="11">
        <f>P12+預測IC!R16</f>
        <v>0.31631682055463084</v>
      </c>
      <c r="R12" s="11">
        <f>Q12+預測IC!S16</f>
        <v>0.40080652904083447</v>
      </c>
      <c r="S12" s="11">
        <f>R12+預測IC!T16</f>
        <v>0.39462646881347108</v>
      </c>
      <c r="T12" s="11">
        <f>S12+預測IC!U16</f>
        <v>0.34662531250481349</v>
      </c>
      <c r="U12" s="11">
        <f>T12+預測IC!V16</f>
        <v>0.37956335183654388</v>
      </c>
      <c r="V12" s="11">
        <f>U12+預測IC!W16</f>
        <v>0.34814810845986172</v>
      </c>
      <c r="W12" s="11">
        <f>V12+預測IC!X16</f>
        <v>0.45593194973607498</v>
      </c>
      <c r="X12" s="11">
        <f>W12+預測IC!Y16</f>
        <v>0.44342805272750935</v>
      </c>
      <c r="Y12" s="11">
        <f>X12+預測IC!Z16</f>
        <v>0.49023068548585536</v>
      </c>
      <c r="Z12" s="11">
        <f>Y12+預測IC!AA16</f>
        <v>0.45114330184772244</v>
      </c>
      <c r="AA12" s="11">
        <f>Z12+預測IC!AB16</f>
        <v>0.43680634331909091</v>
      </c>
      <c r="AB12" s="11">
        <f>AA12+預測IC!AC16</f>
        <v>0.47688200799665614</v>
      </c>
      <c r="AC12" s="11">
        <f>AB12+預測IC!AD16</f>
        <v>0.44819701557541847</v>
      </c>
      <c r="AD12" s="11">
        <f>AC12+預測IC!AE16</f>
        <v>0.5358909293956472</v>
      </c>
      <c r="AE12" s="11">
        <f>AD12+預測IC!AF16</f>
        <v>0.55853657887112107</v>
      </c>
      <c r="AF12" s="11">
        <f>AE12+預測IC!AG16</f>
        <v>0.57065747091891894</v>
      </c>
      <c r="AG12" s="11">
        <f>AF12+預測IC!AH16</f>
        <v>0.5988409214793935</v>
      </c>
      <c r="AH12" s="11">
        <f>AG12+預測IC!AI16</f>
        <v>0.56695520763472684</v>
      </c>
      <c r="AI12" s="11">
        <f>AH12+預測IC!AJ16</f>
        <v>0.59375193626412504</v>
      </c>
      <c r="AJ12" s="11">
        <f>AI12+預測IC!AK16</f>
        <v>0.59848313470994741</v>
      </c>
      <c r="AK12" s="11">
        <f>AJ12+預測IC!AL16</f>
        <v>0.58341579465721005</v>
      </c>
      <c r="AL12" s="11">
        <f>AK12+預測IC!AM16</f>
        <v>0.66153364240557122</v>
      </c>
      <c r="AM12" s="11">
        <f>AL12+預測IC!AN16</f>
        <v>0.66770607577687269</v>
      </c>
      <c r="AN12" s="11">
        <f>AM12+預測IC!AO16</f>
        <v>0.71110106003347717</v>
      </c>
      <c r="AO12" s="11">
        <f>AN12+預測IC!AP16</f>
        <v>0.6154916823245824</v>
      </c>
      <c r="AP12" s="11">
        <f>AO12+預測IC!AQ16</f>
        <v>0.65818820334483652</v>
      </c>
      <c r="AQ12" s="11">
        <f>AP12+預測IC!AR16</f>
        <v>0.64751052484630134</v>
      </c>
      <c r="AR12" s="11">
        <f>AQ12+預測IC!AS16</f>
        <v>0.68716507932884374</v>
      </c>
      <c r="AS12" s="11">
        <f>AR12+預測IC!AT16</f>
        <v>0.59445349474424325</v>
      </c>
      <c r="AT12" s="11">
        <f>AS12+預測IC!AU16</f>
        <v>0.61229221012745272</v>
      </c>
      <c r="AU12" s="11">
        <f>AT12+預測IC!AV16</f>
        <v>0.57927912086407951</v>
      </c>
      <c r="AV12" s="11">
        <f>AU12+預測IC!AW16</f>
        <v>0.60326322120058207</v>
      </c>
      <c r="AW12" s="11">
        <f>AV12+預測IC!AX16</f>
        <v>0.58181586844405364</v>
      </c>
      <c r="AX12" s="11">
        <f>AW12+預測IC!AY16</f>
        <v>0.64490016447396425</v>
      </c>
      <c r="AY12" s="11">
        <f>AX12+預測IC!AZ16</f>
        <v>0.60498893089260353</v>
      </c>
      <c r="AZ12" s="11">
        <f>AY12+預測IC!BA16</f>
        <v>0.63185098773527826</v>
      </c>
      <c r="BA12" s="11">
        <f>AZ12+預測IC!BB16</f>
        <v>0.60045183902923072</v>
      </c>
      <c r="BB12" s="11">
        <f>BA12+預測IC!BC16</f>
        <v>0.5662097464946102</v>
      </c>
      <c r="BC12" s="11">
        <f>BB12+預測IC!BD16</f>
        <v>0.59103038115363848</v>
      </c>
      <c r="BD12" s="11">
        <f>BC12+預測IC!BE16</f>
        <v>0.65175643482696455</v>
      </c>
      <c r="BE12" s="11">
        <f>BD12+預測IC!BF16</f>
        <v>0.71039679187004312</v>
      </c>
      <c r="BF12" s="11">
        <f>BE12+預測IC!BG16</f>
        <v>0.70881688280117983</v>
      </c>
      <c r="BG12" s="11">
        <f>BF12+預測IC!BH16</f>
        <v>0.76733530067904576</v>
      </c>
      <c r="BH12" s="11">
        <f>BG12+預測IC!BI16</f>
        <v>0.71130122774273208</v>
      </c>
      <c r="BI12" s="11">
        <f>BH12+預測IC!BJ16</f>
        <v>0.73056402365486306</v>
      </c>
      <c r="BJ12" s="11">
        <f>BI12+預測IC!BK16</f>
        <v>0.76651825482294389</v>
      </c>
      <c r="BK12" s="11">
        <f>BJ12+預測IC!BL16</f>
        <v>0.76140583847925281</v>
      </c>
      <c r="BL12" s="11">
        <f>BK12+預測IC!BM16</f>
        <v>0.79829091954567699</v>
      </c>
      <c r="BM12" s="11">
        <f>BL12+預測IC!BN16</f>
        <v>0.74574468070332633</v>
      </c>
      <c r="BN12" s="11">
        <f>BM12+預測IC!BO16</f>
        <v>0.65519057579408735</v>
      </c>
      <c r="BO12" s="11">
        <f>BN12+預測IC!BP16</f>
        <v>0.68782422336332094</v>
      </c>
      <c r="BP12" s="11">
        <f>BO12+預測IC!BQ16</f>
        <v>0.67172844524123332</v>
      </c>
      <c r="BQ12" s="11">
        <f>BP12+預測IC!BR16</f>
        <v>0.59812289686403786</v>
      </c>
      <c r="BR12" s="11">
        <f>BQ12+預測IC!BS16</f>
        <v>0.55975417640398706</v>
      </c>
      <c r="BS12" s="11">
        <f>BR12+預測IC!BT16</f>
        <v>0.47710611120957919</v>
      </c>
      <c r="BT12" s="11">
        <f>BS12+預測IC!BU16</f>
        <v>0.47678883572295433</v>
      </c>
      <c r="BU12" s="11">
        <f>BT12+預測IC!BV16</f>
        <v>0.48190488459454472</v>
      </c>
      <c r="BV12" s="11">
        <f>BU12+預測IC!BW16</f>
        <v>0.48294033847034329</v>
      </c>
      <c r="BW12" s="11">
        <f>BV12+預測IC!BX16</f>
        <v>0.4726003527545628</v>
      </c>
      <c r="BX12" s="11">
        <f>BW12+預測IC!BY16</f>
        <v>0.380657680867587</v>
      </c>
      <c r="BY12" s="11">
        <f>BX12+預測IC!BZ16</f>
        <v>0.38816161515611497</v>
      </c>
      <c r="BZ12" s="11">
        <f>BY12+預測IC!CA16</f>
        <v>0.28361352798569384</v>
      </c>
      <c r="CA12" s="11">
        <f>BZ12+預測IC!CB16</f>
        <v>0.30658506788645967</v>
      </c>
      <c r="CB12" s="11">
        <f>CA12+預測IC!CC16</f>
        <v>0.32581589885711276</v>
      </c>
      <c r="CC12" s="11">
        <f>CB12+預測IC!CD16</f>
        <v>0.20417199864326516</v>
      </c>
      <c r="CD12" s="11">
        <f>CC12+預測IC!CE16</f>
        <v>0.14599473195075641</v>
      </c>
      <c r="CE12" s="11">
        <f>CD12+預測IC!CF16</f>
        <v>0.15495276006772596</v>
      </c>
      <c r="CF12" s="11">
        <f>CE12+預測IC!CG16</f>
        <v>0.20322760734163262</v>
      </c>
      <c r="CG12" s="11">
        <f>CF12+預測IC!CH16</f>
        <v>0.22526088019239154</v>
      </c>
      <c r="CH12" s="11">
        <f>CG12+預測IC!CI16</f>
        <v>0.2587622848833786</v>
      </c>
      <c r="CI12" s="11">
        <f>CH12+預測IC!CJ16</f>
        <v>0.29416939071784842</v>
      </c>
      <c r="CJ12" s="11">
        <f>CI12+預測IC!CK16</f>
        <v>0.24455029958399871</v>
      </c>
      <c r="CK12" s="11">
        <f>CJ12+預測IC!CL16</f>
        <v>0.23728115268234024</v>
      </c>
      <c r="CL12" s="11">
        <f>CK12+預測IC!CM16</f>
        <v>0.19281888249948148</v>
      </c>
      <c r="CM12" s="11">
        <f>CL12+預測IC!CN16</f>
        <v>0.13877180375947273</v>
      </c>
      <c r="CN12" s="11">
        <f>CM12+預測IC!CO16</f>
        <v>0.20847634028377698</v>
      </c>
      <c r="CO12" s="11">
        <f>CN12+預測IC!CP16</f>
        <v>0.17201639427609908</v>
      </c>
      <c r="CP12" s="11">
        <f>CO12+預測IC!CQ16</f>
        <v>0.18919461208641053</v>
      </c>
      <c r="CQ12" s="11">
        <f>CP12+預測IC!CR16</f>
        <v>7.6953726603791434E-2</v>
      </c>
      <c r="CR12" s="11">
        <f>CQ12+預測IC!CS16</f>
        <v>5.3391083434646658E-2</v>
      </c>
      <c r="CS12" s="11">
        <f>CR12+預測IC!CT16</f>
        <v>1.5937024150228345E-2</v>
      </c>
      <c r="CT12" s="11">
        <f>CS12+預測IC!CU16</f>
        <v>1.2395365972577503E-2</v>
      </c>
      <c r="CU12" s="11">
        <f>CT12+預測IC!CV16</f>
        <v>-1.6788070118706176E-2</v>
      </c>
      <c r="CV12" s="11">
        <f>CU12+預測IC!CW16</f>
        <v>-3.6491711025227344E-2</v>
      </c>
      <c r="CW12" s="11">
        <f>CV12+預測IC!CX16</f>
        <v>-8.4305757954799415E-2</v>
      </c>
      <c r="CX12" s="11">
        <f>CW12+預測IC!CY16</f>
        <v>-6.8392370486070178E-2</v>
      </c>
      <c r="CY12" s="11">
        <f>CX12+預測IC!CZ16</f>
        <v>-8.9945413520973669E-2</v>
      </c>
      <c r="CZ12" s="11">
        <f>CY12+預測IC!DA16</f>
        <v>-1.4519819749325133E-2</v>
      </c>
      <c r="DA12" s="11">
        <f>CZ12+預測IC!DB16</f>
        <v>-3.9762084118380739E-2</v>
      </c>
      <c r="DB12" s="11">
        <f>DA12+預測IC!DC16</f>
        <v>9.2987093104111712E-3</v>
      </c>
      <c r="DC12" s="11">
        <f>DB12+預測IC!DD16</f>
        <v>-8.0106628667218988E-2</v>
      </c>
      <c r="DD12" s="11">
        <f>DC12+預測IC!DE16</f>
        <v>-8.0638873928548821E-2</v>
      </c>
      <c r="DE12" s="11">
        <f>DD12+預測IC!DF16</f>
        <v>-0.11528852244132827</v>
      </c>
      <c r="DF12" s="11">
        <f>DE12+預測IC!DG16</f>
        <v>-0.14180026752835959</v>
      </c>
      <c r="DG12" s="11">
        <f>DF12+預測IC!DH16</f>
        <v>-0.12975048144446363</v>
      </c>
      <c r="DH12" s="11">
        <f>DG12+預測IC!DI16</f>
        <v>-2.4162837414967234E-2</v>
      </c>
      <c r="DI12" s="11">
        <f>DH12+預測IC!DJ16</f>
        <v>7.2949951567015989E-2</v>
      </c>
      <c r="DJ12" s="11">
        <f>DI12+預測IC!DK16</f>
        <v>6.9947381972517833E-2</v>
      </c>
      <c r="DK12" s="11">
        <f>DJ12+預測IC!DL16</f>
        <v>1.705002657567866E-2</v>
      </c>
      <c r="DL12" s="11">
        <f>DK12+預測IC!DM16</f>
        <v>-5.7727074564622165E-2</v>
      </c>
      <c r="DM12" s="11">
        <f>DL12+預測IC!DN16</f>
        <v>-3.0563501118797524E-2</v>
      </c>
      <c r="DN12" s="11">
        <f>DM12+預測IC!DO16</f>
        <v>-3.4193042956659772E-2</v>
      </c>
      <c r="DO12" s="11">
        <f>DN12+預測IC!DP16</f>
        <v>7.6213898859158524E-2</v>
      </c>
      <c r="DP12" s="11">
        <f>DO12+預測IC!DQ16</f>
        <v>0.10958107080077943</v>
      </c>
      <c r="DQ12" s="11">
        <f>DP12+預測IC!DR16</f>
        <v>0.10087518068243159</v>
      </c>
      <c r="DR12" s="11">
        <f>DQ12+預測IC!DS16</f>
        <v>0.10866281135023267</v>
      </c>
      <c r="DS12" s="11">
        <f>DR12+預測IC!DT16</f>
        <v>0.14272360270494358</v>
      </c>
      <c r="DT12" s="11">
        <f>DS12+預測IC!DU16</f>
        <v>0.16868543418349347</v>
      </c>
      <c r="DU12" s="11">
        <f>DT12+預測IC!DV16</f>
        <v>0.20698088705466353</v>
      </c>
      <c r="DV12" s="11">
        <f>DU12+預測IC!DW16</f>
        <v>0.25892778077167788</v>
      </c>
      <c r="DW12" s="11">
        <f>DV12+預測IC!DX16</f>
        <v>0.19756230724103729</v>
      </c>
      <c r="DX12" s="11">
        <f>DW12+預測IC!DY16</f>
        <v>0.19692002935482261</v>
      </c>
      <c r="DY12" s="11">
        <f>DX12+預測IC!DZ16</f>
        <v>0.22237735470773645</v>
      </c>
      <c r="DZ12" s="11">
        <f>DY12+預測IC!EA16</f>
        <v>0.21590061642022665</v>
      </c>
      <c r="EA12" s="11">
        <f>DZ12+預測IC!EB16</f>
        <v>0.20200458910569594</v>
      </c>
      <c r="EB12" s="11">
        <f>EA12+預測IC!EC16</f>
        <v>0.21274323353399338</v>
      </c>
      <c r="EC12" s="11">
        <f>EB12+預測IC!ED16</f>
        <v>0.24977611154064278</v>
      </c>
      <c r="ED12" s="11">
        <f>EC12+預測IC!EE16</f>
        <v>0.27388306855347494</v>
      </c>
      <c r="EE12" s="11">
        <f>ED12+預測IC!EF16</f>
        <v>0.28301986079102348</v>
      </c>
    </row>
    <row r="13" spans="1:136" ht="16" customHeight="1">
      <c r="A13" s="6" t="s">
        <v>243</v>
      </c>
      <c r="B13" s="2">
        <v>6.6842489650082784E-2</v>
      </c>
      <c r="C13" s="11">
        <f>B13+預測IC!D17</f>
        <v>0.13639006779935134</v>
      </c>
      <c r="D13" s="11">
        <f>C13+預測IC!E17</f>
        <v>0.14859361448293304</v>
      </c>
      <c r="E13" s="11">
        <f>D13+預測IC!F17</f>
        <v>0.18809871824308255</v>
      </c>
      <c r="F13" s="11">
        <f>E13+預測IC!G17</f>
        <v>0.26630118735866704</v>
      </c>
      <c r="G13" s="11">
        <f>F13+預測IC!H17</f>
        <v>0.20134291622415934</v>
      </c>
      <c r="H13" s="11">
        <f>G13+預測IC!I17</f>
        <v>0.1957678240642543</v>
      </c>
      <c r="I13" s="11">
        <f>H13+預測IC!J17</f>
        <v>0.19320942913974981</v>
      </c>
      <c r="J13" s="11">
        <f>I13+預測IC!K17</f>
        <v>0.16675282244471581</v>
      </c>
      <c r="K13" s="11">
        <f>J13+預測IC!L17</f>
        <v>0.16570180822037553</v>
      </c>
      <c r="L13" s="11">
        <f>K13+預測IC!M17</f>
        <v>0.20803323650862082</v>
      </c>
      <c r="M13" s="11">
        <f>L13+預測IC!N17</f>
        <v>0.27487572615870359</v>
      </c>
      <c r="N13" s="11">
        <f>M13+預測IC!O17</f>
        <v>0.31598875085766193</v>
      </c>
      <c r="O13" s="11">
        <f>N13+預測IC!P17</f>
        <v>0.34871956644504809</v>
      </c>
      <c r="P13" s="11">
        <f>O13+預測IC!Q17</f>
        <v>0.36428289924774443</v>
      </c>
      <c r="Q13" s="11">
        <f>P13+預測IC!R17</f>
        <v>0.45027298292830031</v>
      </c>
      <c r="R13" s="11">
        <f>Q13+預測IC!S17</f>
        <v>0.39371834045948279</v>
      </c>
      <c r="S13" s="11">
        <f>R13+預測IC!T17</f>
        <v>0.41937888687700237</v>
      </c>
      <c r="T13" s="11">
        <f>S13+預測IC!U17</f>
        <v>0.34886595297932388</v>
      </c>
      <c r="U13" s="11">
        <f>T13+預測IC!V17</f>
        <v>0.37829670480281741</v>
      </c>
      <c r="V13" s="11">
        <f>U13+預測IC!W17</f>
        <v>0.37131867532187346</v>
      </c>
      <c r="W13" s="11">
        <f>V13+預測IC!X17</f>
        <v>0.50721989532825007</v>
      </c>
      <c r="X13" s="11">
        <f>W13+預測IC!Y17</f>
        <v>0.48485521705792373</v>
      </c>
      <c r="Y13" s="11">
        <f>X13+預測IC!Z17</f>
        <v>0.55172212043095104</v>
      </c>
      <c r="Z13" s="11">
        <f>Y13+預測IC!AA17</f>
        <v>0.52608081557398401</v>
      </c>
      <c r="AA13" s="11">
        <f>Z13+預測IC!AB17</f>
        <v>0.55281900632963854</v>
      </c>
      <c r="AB13" s="11">
        <f>AA13+預測IC!AC17</f>
        <v>0.56821102064096141</v>
      </c>
      <c r="AC13" s="11">
        <f>AB13+預測IC!AD17</f>
        <v>0.51215013860116376</v>
      </c>
      <c r="AD13" s="11">
        <f>AC13+預測IC!AE17</f>
        <v>0.66356317437394141</v>
      </c>
      <c r="AE13" s="11">
        <f>AD13+預測IC!AF17</f>
        <v>0.68096301431511741</v>
      </c>
      <c r="AF13" s="11">
        <f>AE13+預測IC!AG17</f>
        <v>0.6666304381028415</v>
      </c>
      <c r="AG13" s="11">
        <f>AF13+預測IC!AH17</f>
        <v>0.69917555704877576</v>
      </c>
      <c r="AH13" s="11">
        <f>AG13+預測IC!AI17</f>
        <v>0.63349604910633339</v>
      </c>
      <c r="AI13" s="11">
        <f>AH13+預測IC!AJ17</f>
        <v>0.66225457013072131</v>
      </c>
      <c r="AJ13" s="11">
        <f>AI13+預測IC!AK17</f>
        <v>0.70487477288638611</v>
      </c>
      <c r="AK13" s="11">
        <f>AJ13+預測IC!AL17</f>
        <v>0.62235657522487509</v>
      </c>
      <c r="AL13" s="11">
        <f>AK13+預測IC!AM17</f>
        <v>0.70892397050329614</v>
      </c>
      <c r="AM13" s="11">
        <f>AL13+預測IC!AN17</f>
        <v>0.76919524397497019</v>
      </c>
      <c r="AN13" s="11">
        <f>AM13+預測IC!AO17</f>
        <v>0.75645889758718954</v>
      </c>
      <c r="AO13" s="11">
        <f>AN13+預測IC!AP17</f>
        <v>0.61372449520492589</v>
      </c>
      <c r="AP13" s="11">
        <f>AO13+預測IC!AQ17</f>
        <v>0.70051351964563413</v>
      </c>
      <c r="AQ13" s="11">
        <f>AP13+預測IC!AR17</f>
        <v>0.6274811629001199</v>
      </c>
      <c r="AR13" s="11">
        <f>AQ13+預測IC!AS17</f>
        <v>0.63418234829913711</v>
      </c>
      <c r="AS13" s="11">
        <f>AR13+預測IC!AT17</f>
        <v>0.56746936955458094</v>
      </c>
      <c r="AT13" s="11">
        <f>AS13+預測IC!AU17</f>
        <v>0.51612472962967559</v>
      </c>
      <c r="AU13" s="11">
        <f>AT13+預測IC!AV17</f>
        <v>0.46348915107867195</v>
      </c>
      <c r="AV13" s="11">
        <f>AU13+預測IC!AW17</f>
        <v>0.40069598085719504</v>
      </c>
      <c r="AW13" s="11">
        <f>AV13+預測IC!AX17</f>
        <v>0.4720185931881084</v>
      </c>
      <c r="AX13" s="11">
        <f>AW13+預測IC!AY17</f>
        <v>0.60756381236346868</v>
      </c>
      <c r="AY13" s="11">
        <f>AX13+預測IC!AZ17</f>
        <v>0.48190462774524534</v>
      </c>
      <c r="AZ13" s="11">
        <f>AY13+預測IC!BA17</f>
        <v>0.55346458011252886</v>
      </c>
      <c r="BA13" s="11">
        <f>AZ13+預測IC!BB17</f>
        <v>0.41867320052661894</v>
      </c>
      <c r="BB13" s="11">
        <f>BA13+預測IC!BC17</f>
        <v>0.35208945238614542</v>
      </c>
      <c r="BC13" s="11">
        <f>BB13+預測IC!BD17</f>
        <v>0.33926501419092436</v>
      </c>
      <c r="BD13" s="11">
        <f>BC13+預測IC!BE17</f>
        <v>0.3774283352188017</v>
      </c>
      <c r="BE13" s="11">
        <f>BD13+預測IC!BF17</f>
        <v>0.44153535757114376</v>
      </c>
      <c r="BF13" s="11">
        <f>BE13+預測IC!BG17</f>
        <v>0.51298464857529102</v>
      </c>
      <c r="BG13" s="11">
        <f>BF13+預測IC!BH17</f>
        <v>0.60138301393510329</v>
      </c>
      <c r="BH13" s="11">
        <f>BG13+預測IC!BI17</f>
        <v>0.53276315692688336</v>
      </c>
      <c r="BI13" s="11">
        <f>BH13+預測IC!BJ17</f>
        <v>0.55001370451258125</v>
      </c>
      <c r="BJ13" s="11">
        <f>BI13+預測IC!BK17</f>
        <v>0.5837349622232435</v>
      </c>
      <c r="BK13" s="11">
        <f>BJ13+預測IC!BL17</f>
        <v>0.58192444400921139</v>
      </c>
      <c r="BL13" s="11">
        <f>BK13+預測IC!BM17</f>
        <v>0.63284949656955147</v>
      </c>
      <c r="BM13" s="11">
        <f>BL13+預測IC!BN17</f>
        <v>0.61925370264715407</v>
      </c>
      <c r="BN13" s="11">
        <f>BM13+預測IC!BO17</f>
        <v>0.52469433939209165</v>
      </c>
      <c r="BO13" s="11">
        <f>BN13+預測IC!BP17</f>
        <v>0.57205058780874374</v>
      </c>
      <c r="BP13" s="11">
        <f>BO13+預測IC!BQ17</f>
        <v>0.56294199259476663</v>
      </c>
      <c r="BQ13" s="11">
        <f>BP13+預測IC!BR17</f>
        <v>0.47835304487569125</v>
      </c>
      <c r="BR13" s="11">
        <f>BQ13+預測IC!BS17</f>
        <v>0.41804912028719443</v>
      </c>
      <c r="BS13" s="11">
        <f>BR13+預測IC!BT17</f>
        <v>0.39043759462919136</v>
      </c>
      <c r="BT13" s="11">
        <f>BS13+預測IC!BU17</f>
        <v>0.35405996255222894</v>
      </c>
      <c r="BU13" s="11">
        <f>BT13+預測IC!BV17</f>
        <v>0.29139475502698847</v>
      </c>
      <c r="BV13" s="11">
        <f>BU13+預測IC!BW17</f>
        <v>0.3754601778840968</v>
      </c>
      <c r="BW13" s="11">
        <f>BV13+預測IC!BX17</f>
        <v>0.3851757986745033</v>
      </c>
      <c r="BX13" s="11">
        <f>BW13+預測IC!BY17</f>
        <v>0.28587128982205301</v>
      </c>
      <c r="BY13" s="11">
        <f>BX13+預測IC!BZ17</f>
        <v>0.31989978526379387</v>
      </c>
      <c r="BZ13" s="11">
        <f>BY13+預測IC!CA17</f>
        <v>0.17530958624829446</v>
      </c>
      <c r="CA13" s="11">
        <f>BZ13+預測IC!CB17</f>
        <v>0.17784639327892351</v>
      </c>
      <c r="CB13" s="11">
        <f>CA13+預測IC!CC17</f>
        <v>0.15429320980937461</v>
      </c>
      <c r="CC13" s="11">
        <f>CB13+預測IC!CD17</f>
        <v>0.13557321100430658</v>
      </c>
      <c r="CD13" s="11">
        <f>CC13+預測IC!CE17</f>
        <v>1.6382985484266088E-2</v>
      </c>
      <c r="CE13" s="11">
        <f>CD13+預測IC!CF17</f>
        <v>4.3226670475874675E-3</v>
      </c>
      <c r="CF13" s="11">
        <f>CE13+預測IC!CG17</f>
        <v>0.10108593652400853</v>
      </c>
      <c r="CG13" s="11">
        <f>CF13+預測IC!CH17</f>
        <v>5.9334221743247012E-2</v>
      </c>
      <c r="CH13" s="11">
        <f>CG13+預測IC!CI17</f>
        <v>-9.2937504098450641E-3</v>
      </c>
      <c r="CI13" s="11">
        <f>CH13+預測IC!CJ17</f>
        <v>1.0558311989199695E-2</v>
      </c>
      <c r="CJ13" s="11">
        <f>CI13+預測IC!CK17</f>
        <v>-4.5442322238580697E-2</v>
      </c>
      <c r="CK13" s="11">
        <f>CJ13+預測IC!CL17</f>
        <v>7.2995366465021416E-2</v>
      </c>
      <c r="CL13" s="11">
        <f>CK13+預測IC!CM17</f>
        <v>2.2594821198591186E-2</v>
      </c>
      <c r="CM13" s="11">
        <f>CL13+預測IC!CN17</f>
        <v>-0.15538378565130673</v>
      </c>
      <c r="CN13" s="11">
        <f>CM13+預測IC!CO17</f>
        <v>-7.3485748164684325E-2</v>
      </c>
      <c r="CO13" s="11">
        <f>CN13+預測IC!CP17</f>
        <v>-0.14172004323949139</v>
      </c>
      <c r="CP13" s="11">
        <f>CO13+預測IC!CQ17</f>
        <v>-0.15042397940578126</v>
      </c>
      <c r="CQ13" s="11">
        <f>CP13+預測IC!CR17</f>
        <v>-0.22973958844962833</v>
      </c>
      <c r="CR13" s="11">
        <f>CQ13+預測IC!CS17</f>
        <v>-0.24159568959203978</v>
      </c>
      <c r="CS13" s="11">
        <f>CR13+預測IC!CT17</f>
        <v>-0.2694788082989798</v>
      </c>
      <c r="CT13" s="11">
        <f>CS13+預測IC!CU17</f>
        <v>-0.20685340421310999</v>
      </c>
      <c r="CU13" s="11">
        <f>CT13+預測IC!CV17</f>
        <v>-0.24847106452899817</v>
      </c>
      <c r="CV13" s="11">
        <f>CU13+預測IC!CW17</f>
        <v>-0.25894113769515903</v>
      </c>
      <c r="CW13" s="11">
        <f>CV13+預測IC!CX17</f>
        <v>-0.27832786321977349</v>
      </c>
      <c r="CX13" s="11">
        <f>CW13+預測IC!CY17</f>
        <v>-0.25680227587324739</v>
      </c>
      <c r="CY13" s="11">
        <f>CX13+預測IC!CZ17</f>
        <v>-0.25447291535283889</v>
      </c>
      <c r="CZ13" s="11">
        <f>CY13+預測IC!DA17</f>
        <v>-0.11419352705802238</v>
      </c>
      <c r="DA13" s="11">
        <f>CZ13+預測IC!DB17</f>
        <v>-0.17010967547829905</v>
      </c>
      <c r="DB13" s="11">
        <f>DA13+預測IC!DC17</f>
        <v>-0.1056961243893694</v>
      </c>
      <c r="DC13" s="11">
        <f>DB13+預測IC!DD17</f>
        <v>-0.20515009141956567</v>
      </c>
      <c r="DD13" s="11">
        <f>DC13+預測IC!DE17</f>
        <v>-0.22887916990164775</v>
      </c>
      <c r="DE13" s="11">
        <f>DD13+預測IC!DF17</f>
        <v>-0.26653751987500757</v>
      </c>
      <c r="DF13" s="11">
        <f>DE13+預測IC!DG17</f>
        <v>-0.323398999584178</v>
      </c>
      <c r="DG13" s="11">
        <f>DF13+預測IC!DH17</f>
        <v>-0.27796964119969586</v>
      </c>
      <c r="DH13" s="11">
        <f>DG13+預測IC!DI17</f>
        <v>-0.24444283883517279</v>
      </c>
      <c r="DI13" s="11">
        <f>DH13+預測IC!DJ17</f>
        <v>-0.19874423427187821</v>
      </c>
      <c r="DJ13" s="11">
        <f>DI13+預測IC!DK17</f>
        <v>-0.23620996624918672</v>
      </c>
      <c r="DK13" s="11">
        <f>DJ13+預測IC!DL17</f>
        <v>-0.25501920510429998</v>
      </c>
      <c r="DL13" s="11">
        <f>DK13+預測IC!DM17</f>
        <v>-0.35419646759687601</v>
      </c>
      <c r="DM13" s="11">
        <f>DL13+預測IC!DN17</f>
        <v>-0.31953999015564616</v>
      </c>
      <c r="DN13" s="11">
        <f>DM13+預測IC!DO17</f>
        <v>-0.3573323898745705</v>
      </c>
      <c r="DO13" s="11">
        <f>DN13+預測IC!DP17</f>
        <v>-0.27568996872013946</v>
      </c>
      <c r="DP13" s="11">
        <f>DO13+預測IC!DQ17</f>
        <v>-0.27235621637896451</v>
      </c>
      <c r="DQ13" s="11">
        <f>DP13+預測IC!DR17</f>
        <v>-0.26574564105022924</v>
      </c>
      <c r="DR13" s="11">
        <f>DQ13+預測IC!DS17</f>
        <v>-0.24820154456479243</v>
      </c>
      <c r="DS13" s="11">
        <f>DR13+預測IC!DT17</f>
        <v>-0.25219663722291702</v>
      </c>
      <c r="DT13" s="11">
        <f>DS13+預測IC!DU17</f>
        <v>-0.20712751929768325</v>
      </c>
      <c r="DU13" s="11">
        <f>DT13+預測IC!DV17</f>
        <v>-0.18091081955267507</v>
      </c>
      <c r="DV13" s="11">
        <f>DU13+預測IC!DW17</f>
        <v>-0.12197426289350446</v>
      </c>
      <c r="DW13" s="11">
        <f>DV13+預測IC!DX17</f>
        <v>-0.21070494554940108</v>
      </c>
      <c r="DX13" s="11">
        <f>DW13+預測IC!DY17</f>
        <v>-0.15648911199228802</v>
      </c>
      <c r="DY13" s="11">
        <f>DX13+預測IC!DZ17</f>
        <v>-9.5593240357960657E-2</v>
      </c>
      <c r="DZ13" s="11">
        <f>DY13+預測IC!EA17</f>
        <v>-9.9020860117119386E-2</v>
      </c>
      <c r="EA13" s="11">
        <f>DZ13+預測IC!EB17</f>
        <v>-5.2811858083886498E-2</v>
      </c>
      <c r="EB13" s="11">
        <f>EA13+預測IC!EC17</f>
        <v>-3.5707716766254005E-2</v>
      </c>
      <c r="EC13" s="11">
        <f>EB13+預測IC!ED17</f>
        <v>4.7619932238589222E-2</v>
      </c>
      <c r="ED13" s="11">
        <f>EC13+預測IC!EE17</f>
        <v>8.1035630776567419E-2</v>
      </c>
      <c r="EE13" s="11">
        <f>ED13+預測IC!EF17</f>
        <v>8.8424836675983137E-2</v>
      </c>
    </row>
    <row r="14" spans="1:136" ht="16" customHeight="1">
      <c r="A14" s="6" t="s">
        <v>244</v>
      </c>
      <c r="B14" s="2">
        <v>4.467463327290154E-2</v>
      </c>
      <c r="C14" s="11">
        <f>B14+預測IC!D18</f>
        <v>0.11799008615235715</v>
      </c>
      <c r="D14" s="11">
        <f>C14+預測IC!E18</f>
        <v>0.12231541709629271</v>
      </c>
      <c r="E14" s="11">
        <f>D14+預測IC!F18</f>
        <v>9.9997901925881677E-2</v>
      </c>
      <c r="F14" s="11">
        <f>E14+預測IC!G18</f>
        <v>0.18198809567894808</v>
      </c>
      <c r="G14" s="11">
        <f>F14+預測IC!H18</f>
        <v>0.12773346918553052</v>
      </c>
      <c r="H14" s="11">
        <f>G14+預測IC!I18</f>
        <v>0.10091443715946219</v>
      </c>
      <c r="I14" s="11">
        <f>H14+預測IC!J18</f>
        <v>0.10600351909082657</v>
      </c>
      <c r="J14" s="11">
        <f>I14+預測IC!K18</f>
        <v>4.3009641100712134E-2</v>
      </c>
      <c r="K14" s="11">
        <f>J14+預測IC!L18</f>
        <v>6.2916853185436439E-2</v>
      </c>
      <c r="L14" s="11">
        <f>K14+預測IC!M18</f>
        <v>0.12620734807936432</v>
      </c>
      <c r="M14" s="11">
        <f>L14+預測IC!N18</f>
        <v>0.17088198135226584</v>
      </c>
      <c r="N14" s="11">
        <f>M14+預測IC!O18</f>
        <v>0.19696626568580627</v>
      </c>
      <c r="O14" s="11">
        <f>N14+預測IC!P18</f>
        <v>0.2213317003016872</v>
      </c>
      <c r="P14" s="11">
        <f>O14+預測IC!Q18</f>
        <v>0.22757332608372285</v>
      </c>
      <c r="Q14" s="11">
        <f>P14+預測IC!R18</f>
        <v>0.32334039735044834</v>
      </c>
      <c r="R14" s="11">
        <f>Q14+預測IC!S18</f>
        <v>0.27215373601465531</v>
      </c>
      <c r="S14" s="11">
        <f>R14+預測IC!T18</f>
        <v>0.28290158189772269</v>
      </c>
      <c r="T14" s="11">
        <f>S14+預測IC!U18</f>
        <v>0.19263497176013267</v>
      </c>
      <c r="U14" s="11">
        <f>T14+預測IC!V18</f>
        <v>0.230836364835313</v>
      </c>
      <c r="V14" s="11">
        <f>U14+預測IC!W18</f>
        <v>0.22785878079783331</v>
      </c>
      <c r="W14" s="11">
        <f>V14+預測IC!X18</f>
        <v>0.34739326409356719</v>
      </c>
      <c r="X14" s="11">
        <f>W14+預測IC!Y18</f>
        <v>0.31470502227487723</v>
      </c>
      <c r="Y14" s="11">
        <f>X14+預測IC!Z18</f>
        <v>0.39428519716147226</v>
      </c>
      <c r="Z14" s="11">
        <f>Y14+預測IC!AA18</f>
        <v>0.41479298327802183</v>
      </c>
      <c r="AA14" s="11">
        <f>Z14+預測IC!AB18</f>
        <v>0.4410007202555814</v>
      </c>
      <c r="AB14" s="11">
        <f>AA14+預測IC!AC18</f>
        <v>0.47725934425018235</v>
      </c>
      <c r="AC14" s="11">
        <f>AB14+預測IC!AD18</f>
        <v>0.42477535723074011</v>
      </c>
      <c r="AD14" s="11">
        <f>AC14+預測IC!AE18</f>
        <v>0.59106259770234604</v>
      </c>
      <c r="AE14" s="11">
        <f>AD14+預測IC!AF18</f>
        <v>0.5987411135470414</v>
      </c>
      <c r="AF14" s="11">
        <f>AE14+預測IC!AG18</f>
        <v>0.59717716700360945</v>
      </c>
      <c r="AG14" s="11">
        <f>AF14+預測IC!AH18</f>
        <v>0.62865053026269235</v>
      </c>
      <c r="AH14" s="11">
        <f>AG14+預測IC!AI18</f>
        <v>0.56036380125266161</v>
      </c>
      <c r="AI14" s="11">
        <f>AH14+預測IC!AJ18</f>
        <v>0.58215182652272324</v>
      </c>
      <c r="AJ14" s="11">
        <f>AI14+預測IC!AK18</f>
        <v>0.62422079585279444</v>
      </c>
      <c r="AK14" s="11">
        <f>AJ14+預測IC!AL18</f>
        <v>0.53703281550154414</v>
      </c>
      <c r="AL14" s="11">
        <f>AK14+預測IC!AM18</f>
        <v>0.59180193128847181</v>
      </c>
      <c r="AM14" s="11">
        <f>AL14+預測IC!AN18</f>
        <v>0.66004929631775999</v>
      </c>
      <c r="AN14" s="11">
        <f>AM14+預測IC!AO18</f>
        <v>0.66285505203730433</v>
      </c>
      <c r="AO14" s="11">
        <f>AN14+預測IC!AP18</f>
        <v>0.50663537290097072</v>
      </c>
      <c r="AP14" s="11">
        <f>AO14+預測IC!AQ18</f>
        <v>0.58211043490170578</v>
      </c>
      <c r="AQ14" s="11">
        <f>AP14+預測IC!AR18</f>
        <v>0.50886278189793843</v>
      </c>
      <c r="AR14" s="11">
        <f>AQ14+預測IC!AS18</f>
        <v>0.51965364308894268</v>
      </c>
      <c r="AS14" s="11">
        <f>AR14+預測IC!AT18</f>
        <v>0.43696319565002478</v>
      </c>
      <c r="AT14" s="11">
        <f>AS14+預測IC!AU18</f>
        <v>0.38483030488246822</v>
      </c>
      <c r="AU14" s="11">
        <f>AT14+預測IC!AV18</f>
        <v>0.33909805485702815</v>
      </c>
      <c r="AV14" s="11">
        <f>AU14+預測IC!AW18</f>
        <v>0.29540748093003921</v>
      </c>
      <c r="AW14" s="11">
        <f>AV14+預測IC!AX18</f>
        <v>0.39426109878011589</v>
      </c>
      <c r="AX14" s="11">
        <f>AW14+預測IC!AY18</f>
        <v>0.52918085262168746</v>
      </c>
      <c r="AY14" s="11">
        <f>AX14+預測IC!AZ18</f>
        <v>0.39782393972185376</v>
      </c>
      <c r="AZ14" s="11">
        <f>AY14+預測IC!BA18</f>
        <v>0.46701776443412857</v>
      </c>
      <c r="BA14" s="11">
        <f>AZ14+預測IC!BB18</f>
        <v>0.33860058533580384</v>
      </c>
      <c r="BB14" s="11">
        <f>BA14+預測IC!BC18</f>
        <v>0.26211781236885501</v>
      </c>
      <c r="BC14" s="11">
        <f>BB14+預測IC!BD18</f>
        <v>0.27410197452389051</v>
      </c>
      <c r="BD14" s="11">
        <f>BC14+預測IC!BE18</f>
        <v>0.30858498483181251</v>
      </c>
      <c r="BE14" s="11">
        <f>BD14+預測IC!BF18</f>
        <v>0.38427644015532941</v>
      </c>
      <c r="BF14" s="11">
        <f>BE14+預測IC!BG18</f>
        <v>0.49230441128198332</v>
      </c>
      <c r="BG14" s="11">
        <f>BF14+預測IC!BH18</f>
        <v>0.56670806175219335</v>
      </c>
      <c r="BH14" s="11">
        <f>BG14+預測IC!BI18</f>
        <v>0.51683125153124876</v>
      </c>
      <c r="BI14" s="11">
        <f>BH14+預測IC!BJ18</f>
        <v>0.53561078193542322</v>
      </c>
      <c r="BJ14" s="11">
        <f>BI14+預測IC!BK18</f>
        <v>0.57786339711181123</v>
      </c>
      <c r="BK14" s="11">
        <f>BJ14+預測IC!BL18</f>
        <v>0.58304029831584958</v>
      </c>
      <c r="BL14" s="11">
        <f>BK14+預測IC!BM18</f>
        <v>0.63073463867170387</v>
      </c>
      <c r="BM14" s="11">
        <f>BL14+預測IC!BN18</f>
        <v>0.6185383357427009</v>
      </c>
      <c r="BN14" s="11">
        <f>BM14+預測IC!BO18</f>
        <v>0.53611153504461362</v>
      </c>
      <c r="BO14" s="11">
        <f>BN14+預測IC!BP18</f>
        <v>0.59512403857876206</v>
      </c>
      <c r="BP14" s="11">
        <f>BO14+預測IC!BQ18</f>
        <v>0.59316096326676193</v>
      </c>
      <c r="BQ14" s="11">
        <f>BP14+預測IC!BR18</f>
        <v>0.49257281009310283</v>
      </c>
      <c r="BR14" s="11">
        <f>BQ14+預測IC!BS18</f>
        <v>0.44389356417734849</v>
      </c>
      <c r="BS14" s="11">
        <f>BR14+預測IC!BT18</f>
        <v>0.40992355232275468</v>
      </c>
      <c r="BT14" s="11">
        <f>BS14+預測IC!BU18</f>
        <v>0.37127811951455314</v>
      </c>
      <c r="BU14" s="11">
        <f>BT14+預測IC!BV18</f>
        <v>0.29131221455277762</v>
      </c>
      <c r="BV14" s="11">
        <f>BU14+預測IC!BW18</f>
        <v>0.3864347687507948</v>
      </c>
      <c r="BW14" s="11">
        <f>BV14+預測IC!BX18</f>
        <v>0.40523718057127472</v>
      </c>
      <c r="BX14" s="11">
        <f>BW14+預測IC!BY18</f>
        <v>0.30256157323526123</v>
      </c>
      <c r="BY14" s="11">
        <f>BX14+預測IC!BZ18</f>
        <v>0.29659844615251579</v>
      </c>
      <c r="BZ14" s="11">
        <f>BY14+預測IC!CA18</f>
        <v>0.13010193771290679</v>
      </c>
      <c r="CA14" s="11">
        <f>BZ14+預測IC!CB18</f>
        <v>0.14464962428891792</v>
      </c>
      <c r="CB14" s="11">
        <f>CA14+預測IC!CC18</f>
        <v>0.11543803991239504</v>
      </c>
      <c r="CC14" s="11">
        <f>CB14+預測IC!CD18</f>
        <v>9.2676839252771509E-2</v>
      </c>
      <c r="CD14" s="11">
        <f>CC14+預測IC!CE18</f>
        <v>-1.8306830504773164E-3</v>
      </c>
      <c r="CE14" s="11">
        <f>CD14+預測IC!CF18</f>
        <v>-2.0425240426328668E-2</v>
      </c>
      <c r="CF14" s="11">
        <f>CE14+預測IC!CG18</f>
        <v>8.6052776561181835E-2</v>
      </c>
      <c r="CG14" s="11">
        <f>CF14+預測IC!CH18</f>
        <v>9.8769558374777605E-3</v>
      </c>
      <c r="CH14" s="11">
        <f>CG14+預測IC!CI18</f>
        <v>-5.029320566138562E-2</v>
      </c>
      <c r="CI14" s="11">
        <f>CH14+預測IC!CJ18</f>
        <v>4.1407944462490062E-3</v>
      </c>
      <c r="CJ14" s="11">
        <f>CI14+預測IC!CK18</f>
        <v>-6.7597185509594704E-2</v>
      </c>
      <c r="CK14" s="11">
        <f>CJ14+預測IC!CL18</f>
        <v>-1.2602514504837514E-3</v>
      </c>
      <c r="CL14" s="11">
        <f>CK14+預測IC!CM18</f>
        <v>-7.4104985947952173E-2</v>
      </c>
      <c r="CM14" s="11">
        <f>CL14+預測IC!CN18</f>
        <v>-0.26774146220664546</v>
      </c>
      <c r="CN14" s="11">
        <f>CM14+預測IC!CO18</f>
        <v>-0.19259890879284663</v>
      </c>
      <c r="CO14" s="11">
        <f>CN14+預測IC!CP18</f>
        <v>-0.23184214415328092</v>
      </c>
      <c r="CP14" s="11">
        <f>CO14+預測IC!CQ18</f>
        <v>-0.25344698113523978</v>
      </c>
      <c r="CQ14" s="11">
        <f>CP14+預測IC!CR18</f>
        <v>-0.32936375089511316</v>
      </c>
      <c r="CR14" s="11">
        <f>CQ14+預測IC!CS18</f>
        <v>-0.33152784334280905</v>
      </c>
      <c r="CS14" s="11">
        <f>CR14+預測IC!CT18</f>
        <v>-0.38605219433559734</v>
      </c>
      <c r="CT14" s="11">
        <f>CS14+預測IC!CU18</f>
        <v>-0.30473596491404409</v>
      </c>
      <c r="CU14" s="11">
        <f>CT14+預測IC!CV18</f>
        <v>-0.35644828979669296</v>
      </c>
      <c r="CV14" s="11">
        <f>CU14+預測IC!CW18</f>
        <v>-0.36428230763395142</v>
      </c>
      <c r="CW14" s="11">
        <f>CV14+預測IC!CX18</f>
        <v>-0.38206377232621391</v>
      </c>
      <c r="CX14" s="11">
        <f>CW14+預測IC!CY18</f>
        <v>-0.35875147822746289</v>
      </c>
      <c r="CY14" s="11">
        <f>CX14+預測IC!CZ18</f>
        <v>-0.35601985407111786</v>
      </c>
      <c r="CZ14" s="11">
        <f>CY14+預測IC!DA18</f>
        <v>-0.19024324720971386</v>
      </c>
      <c r="DA14" s="11">
        <f>CZ14+預測IC!DB18</f>
        <v>-0.24580857590406369</v>
      </c>
      <c r="DB14" s="11">
        <f>DA14+預測IC!DC18</f>
        <v>-0.20643289621252886</v>
      </c>
      <c r="DC14" s="11">
        <f>DB14+預測IC!DD18</f>
        <v>-0.29054866741275287</v>
      </c>
      <c r="DD14" s="11">
        <f>DC14+預測IC!DE18</f>
        <v>-0.31099365093455378</v>
      </c>
      <c r="DE14" s="11">
        <f>DD14+預測IC!DF18</f>
        <v>-0.34909104276535879</v>
      </c>
      <c r="DF14" s="11">
        <f>DE14+預測IC!DG18</f>
        <v>-0.37043327653503938</v>
      </c>
      <c r="DG14" s="11">
        <f>DF14+預測IC!DH18</f>
        <v>-0.32851672386062081</v>
      </c>
      <c r="DH14" s="11">
        <f>DG14+預測IC!DI18</f>
        <v>-0.27319371887475524</v>
      </c>
      <c r="DI14" s="11">
        <f>DH14+預測IC!DJ18</f>
        <v>-0.22982970751927867</v>
      </c>
      <c r="DJ14" s="11">
        <f>DI14+預測IC!DK18</f>
        <v>-0.26151021038237476</v>
      </c>
      <c r="DK14" s="11">
        <f>DJ14+預測IC!DL18</f>
        <v>-0.28834503152485708</v>
      </c>
      <c r="DL14" s="11">
        <f>DK14+預測IC!DM18</f>
        <v>-0.40179589766179108</v>
      </c>
      <c r="DM14" s="11">
        <f>DL14+預測IC!DN18</f>
        <v>-0.35172322532566347</v>
      </c>
      <c r="DN14" s="11">
        <f>DM14+預測IC!DO18</f>
        <v>-0.39748609888442638</v>
      </c>
      <c r="DO14" s="11">
        <f>DN14+預測IC!DP18</f>
        <v>-0.31698356007770534</v>
      </c>
      <c r="DP14" s="11">
        <f>DO14+預測IC!DQ18</f>
        <v>-0.30518962274083561</v>
      </c>
      <c r="DQ14" s="11">
        <f>DP14+預測IC!DR18</f>
        <v>-0.2991661581382446</v>
      </c>
      <c r="DR14" s="11">
        <f>DQ14+預測IC!DS18</f>
        <v>-0.27216354866456249</v>
      </c>
      <c r="DS14" s="11">
        <f>DR14+預測IC!DT18</f>
        <v>-0.29035224625874217</v>
      </c>
      <c r="DT14" s="11">
        <f>DS14+預測IC!DU18</f>
        <v>-0.19448730879918136</v>
      </c>
      <c r="DU14" s="11">
        <f>DT14+預測IC!DV18</f>
        <v>-0.17876955197372246</v>
      </c>
      <c r="DV14" s="11">
        <f>DU14+預測IC!DW18</f>
        <v>-0.1073632228251736</v>
      </c>
      <c r="DW14" s="11">
        <f>DV14+預測IC!DX18</f>
        <v>-0.20412564296445673</v>
      </c>
      <c r="DX14" s="11">
        <f>DW14+預測IC!DY18</f>
        <v>-0.13728319594811872</v>
      </c>
      <c r="DY14" s="11">
        <f>DX14+預測IC!DZ18</f>
        <v>-7.8486123903126009E-2</v>
      </c>
      <c r="DZ14" s="11">
        <f>DY14+預測IC!EA18</f>
        <v>-8.4000076476267185E-2</v>
      </c>
      <c r="EA14" s="11">
        <f>DZ14+預測IC!EB18</f>
        <v>-1.9431796356625272E-2</v>
      </c>
      <c r="EB14" s="11">
        <f>EA14+預測IC!EC18</f>
        <v>1.699338339313728E-2</v>
      </c>
      <c r="EC14" s="11">
        <f>EB14+預測IC!ED18</f>
        <v>0.10222345787153697</v>
      </c>
      <c r="ED14" s="11">
        <f>EC14+預測IC!EE18</f>
        <v>0.14297144151251079</v>
      </c>
      <c r="EE14" s="11">
        <f>ED14+預測IC!EF18</f>
        <v>0.14190860994304599</v>
      </c>
    </row>
    <row r="15" spans="1:136" ht="16" customHeight="1">
      <c r="A15" s="6" t="s">
        <v>245</v>
      </c>
      <c r="B15" s="2">
        <v>3.7740370201682062E-2</v>
      </c>
      <c r="C15" s="11">
        <f>B15+預測IC!D19</f>
        <v>0.11243382429053347</v>
      </c>
      <c r="D15" s="11">
        <f>C15+預測IC!E19</f>
        <v>0.17315724711014766</v>
      </c>
      <c r="E15" s="11">
        <f>D15+預測IC!F19</f>
        <v>0.16761515639958791</v>
      </c>
      <c r="F15" s="11">
        <f>E15+預測IC!G19</f>
        <v>0.24825311817344931</v>
      </c>
      <c r="G15" s="11">
        <f>F15+預測IC!H19</f>
        <v>0.20901845848030418</v>
      </c>
      <c r="H15" s="11">
        <f>G15+預測IC!I19</f>
        <v>0.18520438945024328</v>
      </c>
      <c r="I15" s="11">
        <f>H15+預測IC!J19</f>
        <v>0.1956285284207305</v>
      </c>
      <c r="J15" s="11">
        <f>I15+預測IC!K19</f>
        <v>0.13749027692032756</v>
      </c>
      <c r="K15" s="11">
        <f>J15+預測IC!L19</f>
        <v>0.15227246710759473</v>
      </c>
      <c r="L15" s="11">
        <f>K15+預測IC!M19</f>
        <v>0.25617301973840934</v>
      </c>
      <c r="M15" s="11">
        <f>L15+預測IC!N19</f>
        <v>0.29391338994009142</v>
      </c>
      <c r="N15" s="11">
        <f>M15+預測IC!O19</f>
        <v>0.31955197109344535</v>
      </c>
      <c r="O15" s="11">
        <f>N15+預測IC!P19</f>
        <v>0.34704776928828013</v>
      </c>
      <c r="P15" s="11">
        <f>O15+預測IC!Q19</f>
        <v>0.36675617782492786</v>
      </c>
      <c r="Q15" s="11">
        <f>P15+預測IC!R19</f>
        <v>0.47145136842061758</v>
      </c>
      <c r="R15" s="11">
        <f>Q15+預測IC!S19</f>
        <v>0.43740023153923724</v>
      </c>
      <c r="S15" s="11">
        <f>R15+預測IC!T19</f>
        <v>0.45157962038364485</v>
      </c>
      <c r="T15" s="11">
        <f>S15+預測IC!U19</f>
        <v>0.36677398852805554</v>
      </c>
      <c r="U15" s="11">
        <f>T15+預測IC!V19</f>
        <v>0.41931745197763148</v>
      </c>
      <c r="V15" s="11">
        <f>U15+預測IC!W19</f>
        <v>0.41707066895773232</v>
      </c>
      <c r="W15" s="11">
        <f>V15+預測IC!X19</f>
        <v>0.56512488763004776</v>
      </c>
      <c r="X15" s="11">
        <f>W15+預測IC!Y19</f>
        <v>0.52289758808903053</v>
      </c>
      <c r="Y15" s="11">
        <f>X15+預測IC!Z19</f>
        <v>0.61275045943155826</v>
      </c>
      <c r="Z15" s="11">
        <f>Y15+預測IC!AA19</f>
        <v>0.62937620743115685</v>
      </c>
      <c r="AA15" s="11">
        <f>Z15+預測IC!AB19</f>
        <v>0.66857149302862018</v>
      </c>
      <c r="AB15" s="11">
        <f>AA15+預測IC!AC19</f>
        <v>0.7180782970817996</v>
      </c>
      <c r="AC15" s="11">
        <f>AB15+預測IC!AD19</f>
        <v>0.67945296152972967</v>
      </c>
      <c r="AD15" s="11">
        <f>AC15+預測IC!AE19</f>
        <v>0.85924004446123636</v>
      </c>
      <c r="AE15" s="11">
        <f>AD15+預測IC!AF19</f>
        <v>0.87880660996944915</v>
      </c>
      <c r="AF15" s="11">
        <f>AE15+預測IC!AG19</f>
        <v>0.87109641952461725</v>
      </c>
      <c r="AG15" s="11">
        <f>AF15+預測IC!AH19</f>
        <v>0.90930345578471261</v>
      </c>
      <c r="AH15" s="11">
        <f>AG15+預測IC!AI19</f>
        <v>0.83209266246537894</v>
      </c>
      <c r="AI15" s="11">
        <f>AH15+預測IC!AJ19</f>
        <v>0.85863799568283761</v>
      </c>
      <c r="AJ15" s="11">
        <f>AI15+預測IC!AK19</f>
        <v>0.9112778073776</v>
      </c>
      <c r="AK15" s="11">
        <f>AJ15+預測IC!AL19</f>
        <v>0.82667974957837209</v>
      </c>
      <c r="AL15" s="11">
        <f>AK15+預測IC!AM19</f>
        <v>0.88329384636648478</v>
      </c>
      <c r="AM15" s="11">
        <f>AL15+預測IC!AN19</f>
        <v>0.9251929686318493</v>
      </c>
      <c r="AN15" s="11">
        <f>AM15+預測IC!AO19</f>
        <v>0.93121708989642815</v>
      </c>
      <c r="AO15" s="11">
        <f>AN15+預測IC!AP19</f>
        <v>0.75141407769010482</v>
      </c>
      <c r="AP15" s="11">
        <f>AO15+預測IC!AQ19</f>
        <v>0.8259445715228616</v>
      </c>
      <c r="AQ15" s="11">
        <f>AP15+預測IC!AR19</f>
        <v>0.74926125184130876</v>
      </c>
      <c r="AR15" s="11">
        <f>AQ15+預測IC!AS19</f>
        <v>0.7493729149188979</v>
      </c>
      <c r="AS15" s="11">
        <f>AR15+預測IC!AT19</f>
        <v>0.63776817735987457</v>
      </c>
      <c r="AT15" s="11">
        <f>AS15+預測IC!AU19</f>
        <v>0.56116376845097871</v>
      </c>
      <c r="AU15" s="11">
        <f>AT15+預測IC!AV19</f>
        <v>0.49486309717132604</v>
      </c>
      <c r="AV15" s="11">
        <f>AU15+預測IC!AW19</f>
        <v>0.44239427075097548</v>
      </c>
      <c r="AW15" s="11">
        <f>AV15+預測IC!AX19</f>
        <v>0.55148963366650972</v>
      </c>
      <c r="AX15" s="11">
        <f>AW15+預測IC!AY19</f>
        <v>0.68090875763716163</v>
      </c>
      <c r="AY15" s="11">
        <f>AX15+預測IC!AZ19</f>
        <v>0.53335880510276301</v>
      </c>
      <c r="AZ15" s="11">
        <f>AY15+預測IC!BA19</f>
        <v>0.59885441307858578</v>
      </c>
      <c r="BA15" s="11">
        <f>AZ15+預測IC!BB19</f>
        <v>0.45872483610105574</v>
      </c>
      <c r="BB15" s="11">
        <f>BA15+預測IC!BC19</f>
        <v>0.35124181827462542</v>
      </c>
      <c r="BC15" s="11">
        <f>BB15+預測IC!BD19</f>
        <v>0.37071280614960611</v>
      </c>
      <c r="BD15" s="11">
        <f>BC15+預測IC!BE19</f>
        <v>0.40249746420641735</v>
      </c>
      <c r="BE15" s="11">
        <f>BD15+預測IC!BF19</f>
        <v>0.49115801318662888</v>
      </c>
      <c r="BF15" s="11">
        <f>BE15+預測IC!BG19</f>
        <v>0.60998838748596029</v>
      </c>
      <c r="BG15" s="11">
        <f>BF15+預測IC!BH19</f>
        <v>0.67870712013437995</v>
      </c>
      <c r="BH15" s="11">
        <f>BG15+預測IC!BI19</f>
        <v>0.63820498607991882</v>
      </c>
      <c r="BI15" s="11">
        <f>BH15+預測IC!BJ19</f>
        <v>0.64755394421462642</v>
      </c>
      <c r="BJ15" s="11">
        <f>BI15+預測IC!BK19</f>
        <v>0.7041433924397934</v>
      </c>
      <c r="BK15" s="11">
        <f>BJ15+預測IC!BL19</f>
        <v>0.71867676560729998</v>
      </c>
      <c r="BL15" s="11">
        <f>BK15+預測IC!BM19</f>
        <v>0.75306892961456107</v>
      </c>
      <c r="BM15" s="11">
        <f>BL15+預測IC!BN19</f>
        <v>0.75599202769670915</v>
      </c>
      <c r="BN15" s="11">
        <f>BM15+預測IC!BO19</f>
        <v>0.66645015506328442</v>
      </c>
      <c r="BO15" s="11">
        <f>BN15+預測IC!BP19</f>
        <v>0.73738755494172958</v>
      </c>
      <c r="BP15" s="11">
        <f>BO15+預測IC!BQ19</f>
        <v>0.74334448804047804</v>
      </c>
      <c r="BQ15" s="11">
        <f>BP15+預測IC!BR19</f>
        <v>0.66381802777490462</v>
      </c>
      <c r="BR15" s="11">
        <f>BQ15+預測IC!BS19</f>
        <v>0.57246025098290498</v>
      </c>
      <c r="BS15" s="11">
        <f>BR15+預測IC!BT19</f>
        <v>0.53226046953369532</v>
      </c>
      <c r="BT15" s="11">
        <f>BS15+預測IC!BU19</f>
        <v>0.52173496863738889</v>
      </c>
      <c r="BU15" s="11">
        <f>BT15+預測IC!BV19</f>
        <v>0.4343628997987356</v>
      </c>
      <c r="BV15" s="11">
        <f>BU15+預測IC!BW19</f>
        <v>0.55569961324432793</v>
      </c>
      <c r="BW15" s="11">
        <f>BV15+預測IC!BX19</f>
        <v>0.56985584807793177</v>
      </c>
      <c r="BX15" s="11">
        <f>BW15+預測IC!BY19</f>
        <v>0.49122874834965746</v>
      </c>
      <c r="BY15" s="11">
        <f>BX15+預測IC!BZ19</f>
        <v>0.46198696842220355</v>
      </c>
      <c r="BZ15" s="11">
        <f>BY15+預測IC!CA19</f>
        <v>0.29624166274962094</v>
      </c>
      <c r="CA15" s="11">
        <f>BZ15+預測IC!CB19</f>
        <v>0.30927427926236328</v>
      </c>
      <c r="CB15" s="11">
        <f>CA15+預測IC!CC19</f>
        <v>0.29389044411112059</v>
      </c>
      <c r="CC15" s="11">
        <f>CB15+預測IC!CD19</f>
        <v>0.26011690277209476</v>
      </c>
      <c r="CD15" s="11">
        <f>CC15+預測IC!CE19</f>
        <v>0.21463657955603679</v>
      </c>
      <c r="CE15" s="11">
        <f>CD15+預測IC!CF19</f>
        <v>0.18951500488057801</v>
      </c>
      <c r="CF15" s="11">
        <f>CE15+預測IC!CG19</f>
        <v>0.27328149853228334</v>
      </c>
      <c r="CG15" s="11">
        <f>CF15+預測IC!CH19</f>
        <v>0.12996316502214295</v>
      </c>
      <c r="CH15" s="11">
        <f>CG15+預測IC!CI19</f>
        <v>7.2342503030929706E-2</v>
      </c>
      <c r="CI15" s="11">
        <f>CH15+預測IC!CJ19</f>
        <v>0.12029716601536145</v>
      </c>
      <c r="CJ15" s="11">
        <f>CI15+預測IC!CK19</f>
        <v>2.9646710710514085E-2</v>
      </c>
      <c r="CK15" s="11">
        <f>CJ15+預測IC!CL19</f>
        <v>0.13625023728406599</v>
      </c>
      <c r="CL15" s="11">
        <f>CK15+預測IC!CM19</f>
        <v>2.619832299259689E-2</v>
      </c>
      <c r="CM15" s="11">
        <f>CL15+預測IC!CN19</f>
        <v>-9.8544271632562713E-2</v>
      </c>
      <c r="CN15" s="11">
        <f>CM15+預測IC!CO19</f>
        <v>8.3558672736894907E-3</v>
      </c>
      <c r="CO15" s="11">
        <f>CN15+預測IC!CP19</f>
        <v>-3.3227110713137623E-2</v>
      </c>
      <c r="CP15" s="11">
        <f>CO15+預測IC!CQ19</f>
        <v>-4.860560789972939E-2</v>
      </c>
      <c r="CQ15" s="11">
        <f>CP15+預測IC!CR19</f>
        <v>-0.14427497867412212</v>
      </c>
      <c r="CR15" s="11">
        <f>CQ15+預測IC!CS19</f>
        <v>-0.15119917831471044</v>
      </c>
      <c r="CS15" s="11">
        <f>CR15+預測IC!CT19</f>
        <v>-0.19779742515703841</v>
      </c>
      <c r="CT15" s="11">
        <f>CS15+預測IC!CU19</f>
        <v>-0.10107522089909746</v>
      </c>
      <c r="CU15" s="11">
        <f>CT15+預測IC!CV19</f>
        <v>-0.11066295344534233</v>
      </c>
      <c r="CV15" s="11">
        <f>CU15+預測IC!CW19</f>
        <v>-0.11389351429219319</v>
      </c>
      <c r="CW15" s="11">
        <f>CV15+預測IC!CX19</f>
        <v>-0.14366105248313449</v>
      </c>
      <c r="CX15" s="11">
        <f>CW15+預測IC!CY19</f>
        <v>-0.11223127167565231</v>
      </c>
      <c r="CY15" s="11">
        <f>CX15+預測IC!CZ19</f>
        <v>-9.8529089603344958E-2</v>
      </c>
      <c r="CZ15" s="11">
        <f>CY15+預測IC!DA19</f>
        <v>2.1840882053664842E-2</v>
      </c>
      <c r="DA15" s="11">
        <f>CZ15+預測IC!DB19</f>
        <v>-1.2976328854257785E-2</v>
      </c>
      <c r="DB15" s="11">
        <f>DA15+預測IC!DC19</f>
        <v>4.4848638073906738E-2</v>
      </c>
      <c r="DC15" s="11">
        <f>DB15+預測IC!DD19</f>
        <v>-8.0013197536113259E-2</v>
      </c>
      <c r="DD15" s="11">
        <f>DC15+預測IC!DE19</f>
        <v>-9.4216504871765944E-2</v>
      </c>
      <c r="DE15" s="11">
        <f>DD15+預測IC!DF19</f>
        <v>-0.16849900832255216</v>
      </c>
      <c r="DF15" s="11">
        <f>DE15+預測IC!DG19</f>
        <v>-0.16911794251697049</v>
      </c>
      <c r="DG15" s="11">
        <f>DF15+預測IC!DH19</f>
        <v>-0.14962563419839428</v>
      </c>
      <c r="DH15" s="11">
        <f>DG15+預測IC!DI19</f>
        <v>-9.7203616110701579E-2</v>
      </c>
      <c r="DI15" s="11">
        <f>DH15+預測IC!DJ19</f>
        <v>-5.1057519125605862E-2</v>
      </c>
      <c r="DJ15" s="11">
        <f>DI15+預測IC!DK19</f>
        <v>-8.331855785489739E-2</v>
      </c>
      <c r="DK15" s="11">
        <f>DJ15+預測IC!DL19</f>
        <v>-0.10651602239718337</v>
      </c>
      <c r="DL15" s="11">
        <f>DK15+預測IC!DM19</f>
        <v>-0.26737436869619124</v>
      </c>
      <c r="DM15" s="11">
        <f>DL15+預測IC!DN19</f>
        <v>-0.21733175803613841</v>
      </c>
      <c r="DN15" s="11">
        <f>DM15+預測IC!DO19</f>
        <v>-0.26684918985213701</v>
      </c>
      <c r="DO15" s="11">
        <f>DN15+預測IC!DP19</f>
        <v>-0.14783451423804012</v>
      </c>
      <c r="DP15" s="11">
        <f>DO15+預測IC!DQ19</f>
        <v>-0.14763135327386551</v>
      </c>
      <c r="DQ15" s="11">
        <f>DP15+預測IC!DR19</f>
        <v>-0.14237067266289155</v>
      </c>
      <c r="DR15" s="11">
        <f>DQ15+預測IC!DS19</f>
        <v>-0.11790816642007633</v>
      </c>
      <c r="DS15" s="11">
        <f>DR15+預測IC!DT19</f>
        <v>-0.13608711680702101</v>
      </c>
      <c r="DT15" s="11">
        <f>DS15+預測IC!DU19</f>
        <v>-5.4130352953999594E-2</v>
      </c>
      <c r="DU15" s="11">
        <f>DT15+預測IC!DV19</f>
        <v>-3.7211426026040065E-2</v>
      </c>
      <c r="DV15" s="11">
        <f>DU15+預測IC!DW19</f>
        <v>-3.2180782853796039E-2</v>
      </c>
      <c r="DW15" s="11">
        <f>DV15+預測IC!DX19</f>
        <v>-0.15012814664059165</v>
      </c>
      <c r="DX15" s="11">
        <f>DW15+預測IC!DY19</f>
        <v>-1.4278762758553359E-2</v>
      </c>
      <c r="DY15" s="11">
        <f>DX15+預測IC!DZ19</f>
        <v>8.2034985494365414E-3</v>
      </c>
      <c r="DZ15" s="11">
        <f>DY15+預測IC!EA19</f>
        <v>2.974136623865559E-2</v>
      </c>
      <c r="EA15" s="11">
        <f>DZ15+預測IC!EB19</f>
        <v>0.10672253026555198</v>
      </c>
      <c r="EB15" s="11">
        <f>EA15+預測IC!EC19</f>
        <v>0.14292320588151014</v>
      </c>
      <c r="EC15" s="11">
        <f>EB15+預測IC!ED19</f>
        <v>0.2351473773827151</v>
      </c>
      <c r="ED15" s="11">
        <f>EC15+預測IC!EE19</f>
        <v>0.2893913933339608</v>
      </c>
      <c r="EE15" s="11">
        <f>ED15+預測IC!EF19</f>
        <v>0.28057567361371694</v>
      </c>
    </row>
    <row r="16" spans="1:136" ht="16" customHeight="1">
      <c r="A16" s="6" t="s">
        <v>246</v>
      </c>
      <c r="B16" s="2">
        <v>2.3960674486270692E-2</v>
      </c>
      <c r="C16" s="11">
        <f>B16+預測IC!D20</f>
        <v>8.5247907470195478E-2</v>
      </c>
      <c r="D16" s="11">
        <f>C16+預測IC!E20</f>
        <v>0.14084205470974076</v>
      </c>
      <c r="E16" s="11">
        <f>D16+預測IC!F20</f>
        <v>0.12934213024270105</v>
      </c>
      <c r="F16" s="11">
        <f>E16+預測IC!G20</f>
        <v>0.17831365880432729</v>
      </c>
      <c r="G16" s="11">
        <f>F16+預測IC!H20</f>
        <v>0.13823820919770452</v>
      </c>
      <c r="H16" s="11">
        <f>G16+預測IC!I20</f>
        <v>0.11084768632465229</v>
      </c>
      <c r="I16" s="11">
        <f>H16+預測IC!J20</f>
        <v>0.13523690917502154</v>
      </c>
      <c r="J16" s="11">
        <f>I16+預測IC!K20</f>
        <v>8.9085046976279031E-2</v>
      </c>
      <c r="K16" s="11">
        <f>J16+預測IC!L20</f>
        <v>0.10415237802264292</v>
      </c>
      <c r="L16" s="11">
        <f>K16+預測IC!M20</f>
        <v>0.23254301074411521</v>
      </c>
      <c r="M16" s="11">
        <f>L16+預測IC!N20</f>
        <v>0.25650368523038591</v>
      </c>
      <c r="N16" s="11">
        <f>M16+預測IC!O20</f>
        <v>0.2912622680939137</v>
      </c>
      <c r="O16" s="11">
        <f>N16+預測IC!P20</f>
        <v>0.32296296029535732</v>
      </c>
      <c r="P16" s="11">
        <f>O16+預測IC!Q20</f>
        <v>0.34275456500928314</v>
      </c>
      <c r="Q16" s="11">
        <f>P16+預測IC!R20</f>
        <v>0.47171995419814883</v>
      </c>
      <c r="R16" s="11">
        <f>Q16+預測IC!S20</f>
        <v>0.44712461444219492</v>
      </c>
      <c r="S16" s="11">
        <f>R16+預測IC!T20</f>
        <v>0.48724471811666958</v>
      </c>
      <c r="T16" s="11">
        <f>S16+預測IC!U20</f>
        <v>0.38663733428466551</v>
      </c>
      <c r="U16" s="11">
        <f>T16+預測IC!V20</f>
        <v>0.42804953409444163</v>
      </c>
      <c r="V16" s="11">
        <f>U16+預測IC!W20</f>
        <v>0.41992830285123467</v>
      </c>
      <c r="W16" s="11">
        <f>V16+預測IC!X20</f>
        <v>0.60065475724753226</v>
      </c>
      <c r="X16" s="11">
        <f>W16+預測IC!Y20</f>
        <v>0.55629186215785886</v>
      </c>
      <c r="Y16" s="11">
        <f>X16+預測IC!Z20</f>
        <v>0.63909919012132843</v>
      </c>
      <c r="Z16" s="11">
        <f>Y16+預測IC!AA20</f>
        <v>0.67292720401526007</v>
      </c>
      <c r="AA16" s="11">
        <f>Z16+預測IC!AB20</f>
        <v>0.72680858867637277</v>
      </c>
      <c r="AB16" s="11">
        <f>AA16+預測IC!AC20</f>
        <v>0.74877081254110234</v>
      </c>
      <c r="AC16" s="11">
        <f>AB16+預測IC!AD20</f>
        <v>0.71818994843363726</v>
      </c>
      <c r="AD16" s="11">
        <f>AC16+預測IC!AE20</f>
        <v>0.93962319906369784</v>
      </c>
      <c r="AE16" s="11">
        <f>AD16+預測IC!AF20</f>
        <v>0.97602280704000777</v>
      </c>
      <c r="AF16" s="11">
        <f>AE16+預測IC!AG20</f>
        <v>0.95112025307408354</v>
      </c>
      <c r="AG16" s="11">
        <f>AF16+預測IC!AH20</f>
        <v>1.0037281708074886</v>
      </c>
      <c r="AH16" s="11">
        <f>AG16+預測IC!AI20</f>
        <v>0.90774424389252062</v>
      </c>
      <c r="AI16" s="11">
        <f>AH16+預測IC!AJ20</f>
        <v>0.92199160884692044</v>
      </c>
      <c r="AJ16" s="11">
        <f>AI16+預測IC!AK20</f>
        <v>0.97886806481606237</v>
      </c>
      <c r="AK16" s="11">
        <f>AJ16+預測IC!AL20</f>
        <v>0.89924476828150612</v>
      </c>
      <c r="AL16" s="11">
        <f>AK16+預測IC!AM20</f>
        <v>0.93768783999582606</v>
      </c>
      <c r="AM16" s="11">
        <f>AL16+預測IC!AN20</f>
        <v>0.97697533022041705</v>
      </c>
      <c r="AN16" s="11">
        <f>AM16+預測IC!AO20</f>
        <v>0.96368040297536239</v>
      </c>
      <c r="AO16" s="11">
        <f>AN16+預測IC!AP20</f>
        <v>0.75931315241185593</v>
      </c>
      <c r="AP16" s="11">
        <f>AO16+預測IC!AQ20</f>
        <v>0.85875594962972124</v>
      </c>
      <c r="AQ16" s="11">
        <f>AP16+預測IC!AR20</f>
        <v>0.7687320360689901</v>
      </c>
      <c r="AR16" s="11">
        <f>AQ16+預測IC!AS20</f>
        <v>0.72758294598494988</v>
      </c>
      <c r="AS16" s="11">
        <f>AR16+預測IC!AT20</f>
        <v>0.5906322022183671</v>
      </c>
      <c r="AT16" s="11">
        <f>AS16+預測IC!AU20</f>
        <v>0.49960725393256894</v>
      </c>
      <c r="AU16" s="11">
        <f>AT16+預測IC!AV20</f>
        <v>0.42741781081054664</v>
      </c>
      <c r="AV16" s="11">
        <f>AU16+預測IC!AW20</f>
        <v>0.41964558905527233</v>
      </c>
      <c r="AW16" s="11">
        <f>AV16+預測IC!AX20</f>
        <v>0.5617241087894409</v>
      </c>
      <c r="AX16" s="11">
        <f>AW16+預測IC!AY20</f>
        <v>0.71947176028712456</v>
      </c>
      <c r="AY16" s="11">
        <f>AX16+預測IC!AZ20</f>
        <v>0.56368783851514381</v>
      </c>
      <c r="AZ16" s="11">
        <f>AY16+預測IC!BA20</f>
        <v>0.61428929803390175</v>
      </c>
      <c r="BA16" s="11">
        <f>AZ16+預測IC!BB20</f>
        <v>0.44790876955785236</v>
      </c>
      <c r="BB16" s="11">
        <f>BA16+預測IC!BC20</f>
        <v>0.33522584004082634</v>
      </c>
      <c r="BC16" s="11">
        <f>BB16+預測IC!BD20</f>
        <v>0.37575153299926062</v>
      </c>
      <c r="BD16" s="11">
        <f>BC16+預測IC!BE20</f>
        <v>0.41415165893165107</v>
      </c>
      <c r="BE16" s="11">
        <f>BD16+預測IC!BF20</f>
        <v>0.52293085057190158</v>
      </c>
      <c r="BF16" s="11">
        <f>BE16+預測IC!BG20</f>
        <v>0.66377425671778933</v>
      </c>
      <c r="BG16" s="11">
        <f>BF16+預測IC!BH20</f>
        <v>0.72957389128026384</v>
      </c>
      <c r="BH16" s="11">
        <f>BG16+預測IC!BI20</f>
        <v>0.71677890529007249</v>
      </c>
      <c r="BI16" s="11">
        <f>BH16+預測IC!BJ20</f>
        <v>0.71500961745722369</v>
      </c>
      <c r="BJ16" s="11">
        <f>BI16+預測IC!BK20</f>
        <v>0.75288063486169787</v>
      </c>
      <c r="BK16" s="11">
        <f>BJ16+預測IC!BL20</f>
        <v>0.77653724320600814</v>
      </c>
      <c r="BL16" s="11">
        <f>BK16+預測IC!BM20</f>
        <v>0.8332291578475306</v>
      </c>
      <c r="BM16" s="11">
        <f>BL16+預測IC!BN20</f>
        <v>0.86918501715757246</v>
      </c>
      <c r="BN16" s="11">
        <f>BM16+預測IC!BO20</f>
        <v>0.74944467564514594</v>
      </c>
      <c r="BO16" s="11">
        <f>BN16+預測IC!BP20</f>
        <v>0.83072769387268885</v>
      </c>
      <c r="BP16" s="11">
        <f>BO16+預測IC!BQ20</f>
        <v>0.85152019068277085</v>
      </c>
      <c r="BQ16" s="11">
        <f>BP16+預測IC!BR20</f>
        <v>0.76598906811557077</v>
      </c>
      <c r="BR16" s="11">
        <f>BQ16+預測IC!BS20</f>
        <v>0.65579686334471499</v>
      </c>
      <c r="BS16" s="11">
        <f>BR16+預測IC!BT20</f>
        <v>0.67685902078705384</v>
      </c>
      <c r="BT16" s="11">
        <f>BS16+預測IC!BU20</f>
        <v>0.69809501190967904</v>
      </c>
      <c r="BU16" s="11">
        <f>BT16+預測IC!BV20</f>
        <v>0.60251516213716649</v>
      </c>
      <c r="BV16" s="11">
        <f>BU16+預測IC!BW20</f>
        <v>0.71295681307250336</v>
      </c>
      <c r="BW16" s="11">
        <f>BV16+預測IC!BX20</f>
        <v>0.72026504656255896</v>
      </c>
      <c r="BX16" s="11">
        <f>BW16+預測IC!BY20</f>
        <v>0.59421859285325507</v>
      </c>
      <c r="BY16" s="11">
        <f>BX16+預測IC!BZ20</f>
        <v>0.56710606589126444</v>
      </c>
      <c r="BZ16" s="11">
        <f>BY16+預測IC!CA20</f>
        <v>0.39694577177584256</v>
      </c>
      <c r="CA16" s="11">
        <f>BZ16+預測IC!CB20</f>
        <v>0.43244196717986072</v>
      </c>
      <c r="CB16" s="11">
        <f>CA16+預測IC!CC20</f>
        <v>0.40750391228539296</v>
      </c>
      <c r="CC16" s="11">
        <f>CB16+預測IC!CD20</f>
        <v>0.32154003118836444</v>
      </c>
      <c r="CD16" s="11">
        <f>CC16+預測IC!CE20</f>
        <v>0.27495212603279895</v>
      </c>
      <c r="CE16" s="11">
        <f>CD16+預測IC!CF20</f>
        <v>0.20774626555240058</v>
      </c>
      <c r="CF16" s="11">
        <f>CE16+預測IC!CG20</f>
        <v>0.30306788755418779</v>
      </c>
      <c r="CG16" s="11">
        <f>CF16+預測IC!CH20</f>
        <v>0.11687829205840139</v>
      </c>
      <c r="CH16" s="11">
        <f>CG16+預測IC!CI20</f>
        <v>5.6342555152623666E-2</v>
      </c>
      <c r="CI16" s="11">
        <f>CH16+預測IC!CJ20</f>
        <v>0.11843489796705664</v>
      </c>
      <c r="CJ16" s="11">
        <f>CI16+預測IC!CK20</f>
        <v>7.7633698807047374E-3</v>
      </c>
      <c r="CK16" s="11">
        <f>CJ16+預測IC!CL20</f>
        <v>6.1166407192978105E-2</v>
      </c>
      <c r="CL16" s="11">
        <f>CK16+預測IC!CM20</f>
        <v>-7.5387379113382391E-2</v>
      </c>
      <c r="CM16" s="11">
        <f>CL16+預測IC!CN20</f>
        <v>-0.22119689449911148</v>
      </c>
      <c r="CN16" s="11">
        <f>CM16+預測IC!CO20</f>
        <v>-0.10087288193043419</v>
      </c>
      <c r="CO16" s="11">
        <f>CN16+預測IC!CP20</f>
        <v>-0.13267158573960575</v>
      </c>
      <c r="CP16" s="11">
        <f>CO16+預測IC!CQ20</f>
        <v>-0.18839563731920167</v>
      </c>
      <c r="CQ16" s="11">
        <f>CP16+預測IC!CR20</f>
        <v>-0.30913980761760906</v>
      </c>
      <c r="CR16" s="11">
        <f>CQ16+預測IC!CS20</f>
        <v>-0.34998552298646551</v>
      </c>
      <c r="CS16" s="11">
        <f>CR16+預測IC!CT20</f>
        <v>-0.41027365762040913</v>
      </c>
      <c r="CT16" s="11">
        <f>CS16+預測IC!CU20</f>
        <v>-0.31413507764331261</v>
      </c>
      <c r="CU16" s="11">
        <f>CT16+預測IC!CV20</f>
        <v>-0.31981588240689873</v>
      </c>
      <c r="CV16" s="11">
        <f>CU16+預測IC!CW20</f>
        <v>-0.30607645392116556</v>
      </c>
      <c r="CW16" s="11">
        <f>CV16+預測IC!CX20</f>
        <v>-0.31576476405682358</v>
      </c>
      <c r="CX16" s="11">
        <f>CW16+預測IC!CY20</f>
        <v>-0.31057433914817723</v>
      </c>
      <c r="CY16" s="11">
        <f>CX16+預測IC!CZ20</f>
        <v>-0.33647533819292463</v>
      </c>
      <c r="CZ16" s="11">
        <f>CY16+預測IC!DA20</f>
        <v>-0.21585333378603433</v>
      </c>
      <c r="DA16" s="11">
        <f>CZ16+預測IC!DB20</f>
        <v>-0.26279591758561727</v>
      </c>
      <c r="DB16" s="11">
        <f>DA16+預測IC!DC20</f>
        <v>-0.19830416133623394</v>
      </c>
      <c r="DC16" s="11">
        <f>DB16+預測IC!DD20</f>
        <v>-0.32429756192543702</v>
      </c>
      <c r="DD16" s="11">
        <f>DC16+預測IC!DE20</f>
        <v>-0.34783615173750099</v>
      </c>
      <c r="DE16" s="11">
        <f>DD16+預測IC!DF20</f>
        <v>-0.43419600325814178</v>
      </c>
      <c r="DF16" s="11">
        <f>DE16+預測IC!DG20</f>
        <v>-0.43813724511915064</v>
      </c>
      <c r="DG16" s="11">
        <f>DF16+預測IC!DH20</f>
        <v>-0.43295540746860806</v>
      </c>
      <c r="DH16" s="11">
        <f>DG16+預測IC!DI20</f>
        <v>-0.37406964937839804</v>
      </c>
      <c r="DI16" s="11">
        <f>DH16+預測IC!DJ20</f>
        <v>-0.31607503721111152</v>
      </c>
      <c r="DJ16" s="11">
        <f>DI16+預測IC!DK20</f>
        <v>-0.38914242954514866</v>
      </c>
      <c r="DK16" s="11">
        <f>DJ16+預測IC!DL20</f>
        <v>-0.38864281805767498</v>
      </c>
      <c r="DL16" s="11">
        <f>DK16+預測IC!DM20</f>
        <v>-0.57508648454802569</v>
      </c>
      <c r="DM16" s="11">
        <f>DL16+預測IC!DN20</f>
        <v>-0.47813894499239662</v>
      </c>
      <c r="DN16" s="11">
        <f>DM16+預測IC!DO20</f>
        <v>-0.53503979688551695</v>
      </c>
      <c r="DO16" s="11">
        <f>DN16+預測IC!DP20</f>
        <v>-0.38221877229706414</v>
      </c>
      <c r="DP16" s="11">
        <f>DO16+預測IC!DQ20</f>
        <v>-0.3764016224531726</v>
      </c>
      <c r="DQ16" s="11">
        <f>DP16+預測IC!DR20</f>
        <v>-0.30883885034868891</v>
      </c>
      <c r="DR16" s="11">
        <f>DQ16+預測IC!DS20</f>
        <v>-0.25502316983814205</v>
      </c>
      <c r="DS16" s="11">
        <f>DR16+預測IC!DT20</f>
        <v>-0.2491846414868463</v>
      </c>
      <c r="DT16" s="11">
        <f>DS16+預測IC!DU20</f>
        <v>-9.2150262340843697E-2</v>
      </c>
      <c r="DU16" s="11">
        <f>DT16+預測IC!DV20</f>
        <v>-0.1106471350154677</v>
      </c>
      <c r="DV16" s="11">
        <f>DU16+預測IC!DW20</f>
        <v>-0.14414016150584946</v>
      </c>
      <c r="DW16" s="11">
        <f>DV16+預測IC!DX20</f>
        <v>-0.26030726895751133</v>
      </c>
      <c r="DX16" s="11">
        <f>DW16+預測IC!DY20</f>
        <v>-0.12709080070690223</v>
      </c>
      <c r="DY16" s="11">
        <f>DX16+預測IC!DZ20</f>
        <v>-6.1465379065493486E-2</v>
      </c>
      <c r="DZ16" s="11">
        <f>DY16+預測IC!EA20</f>
        <v>-4.1088237710799044E-2</v>
      </c>
      <c r="EA16" s="11">
        <f>DZ16+預測IC!EB20</f>
        <v>3.3325914807257218E-2</v>
      </c>
      <c r="EB16" s="11">
        <f>EA16+預測IC!EC20</f>
        <v>8.8260814356644235E-2</v>
      </c>
      <c r="EC16" s="11">
        <f>EB16+預測IC!ED20</f>
        <v>0.18288061181850707</v>
      </c>
      <c r="ED16" s="11">
        <f>EC16+預測IC!EE20</f>
        <v>0.25736296246793028</v>
      </c>
      <c r="EE16" s="11">
        <f>ED16+預測IC!EF20</f>
        <v>0.21731239450671286</v>
      </c>
    </row>
    <row r="17" spans="1:136" ht="16" customHeight="1">
      <c r="A17" s="6" t="s">
        <v>247</v>
      </c>
      <c r="B17" s="2">
        <v>1.7692424960681141E-2</v>
      </c>
      <c r="C17" s="11">
        <f>B17+預測IC!D21</f>
        <v>8.9655877587562632E-2</v>
      </c>
      <c r="D17" s="11">
        <f>C17+預測IC!E21</f>
        <v>7.912474937796328E-2</v>
      </c>
      <c r="E17" s="11">
        <f>D17+預測IC!F21</f>
        <v>0.10000252340294716</v>
      </c>
      <c r="F17" s="11">
        <f>E17+預測IC!G21</f>
        <v>0.14730315260990526</v>
      </c>
      <c r="G17" s="11">
        <f>F17+預測IC!H21</f>
        <v>0.14349897725430125</v>
      </c>
      <c r="H17" s="11">
        <f>G17+預測IC!I21</f>
        <v>9.8742147719935031E-2</v>
      </c>
      <c r="I17" s="11">
        <f>H17+預測IC!J21</f>
        <v>0.13597865600433781</v>
      </c>
      <c r="J17" s="11">
        <f>I17+預測IC!K21</f>
        <v>7.8436492777866074E-2</v>
      </c>
      <c r="K17" s="11">
        <f>J17+預測IC!L21</f>
        <v>9.0047817863330715E-2</v>
      </c>
      <c r="L17" s="11">
        <f>K17+預測IC!M21</f>
        <v>0.23531261818483493</v>
      </c>
      <c r="M17" s="11">
        <f>L17+預測IC!N21</f>
        <v>0.25300504314551608</v>
      </c>
      <c r="N17" s="11">
        <f>M17+預測IC!O21</f>
        <v>0.25609870668932599</v>
      </c>
      <c r="O17" s="11">
        <f>N17+預測IC!P21</f>
        <v>0.29517839624437098</v>
      </c>
      <c r="P17" s="11">
        <f>O17+預測IC!Q21</f>
        <v>0.27857299595730983</v>
      </c>
      <c r="Q17" s="11">
        <f>P17+預測IC!R21</f>
        <v>0.38270909020976163</v>
      </c>
      <c r="R17" s="11">
        <f>Q17+預測IC!S21</f>
        <v>0.27809619756339993</v>
      </c>
      <c r="S17" s="11">
        <f>R17+預測IC!T21</f>
        <v>0.32967826313286852</v>
      </c>
      <c r="T17" s="11">
        <f>S17+預測IC!U21</f>
        <v>0.24405368902946623</v>
      </c>
      <c r="U17" s="11">
        <f>T17+預測IC!V21</f>
        <v>0.29444763957263909</v>
      </c>
      <c r="V17" s="11">
        <f>U17+預測IC!W21</f>
        <v>0.27401787490070212</v>
      </c>
      <c r="W17" s="11">
        <f>V17+預測IC!X21</f>
        <v>0.43449087881275428</v>
      </c>
      <c r="X17" s="11">
        <f>W17+預測IC!Y21</f>
        <v>0.3669771423249355</v>
      </c>
      <c r="Y17" s="11">
        <f>X17+預測IC!Z21</f>
        <v>0.39939650225534024</v>
      </c>
      <c r="Z17" s="11">
        <f>Y17+預測IC!AA21</f>
        <v>0.44661794814268629</v>
      </c>
      <c r="AA17" s="11">
        <f>Z17+預測IC!AB21</f>
        <v>0.44092968265890886</v>
      </c>
      <c r="AB17" s="11">
        <f>AA17+預測IC!AC21</f>
        <v>0.46706244160345745</v>
      </c>
      <c r="AC17" s="11">
        <f>AB17+預測IC!AD21</f>
        <v>0.43873737781687472</v>
      </c>
      <c r="AD17" s="11">
        <f>AC17+預測IC!AE21</f>
        <v>0.64541010066765137</v>
      </c>
      <c r="AE17" s="11">
        <f>AD17+預測IC!AF21</f>
        <v>0.70107964346035845</v>
      </c>
      <c r="AF17" s="11">
        <f>AE17+預測IC!AG21</f>
        <v>0.67125806936824117</v>
      </c>
      <c r="AG17" s="11">
        <f>AF17+預測IC!AH21</f>
        <v>0.74815569712869778</v>
      </c>
      <c r="AH17" s="11">
        <f>AG17+預測IC!AI21</f>
        <v>0.64857660555395025</v>
      </c>
      <c r="AI17" s="11">
        <f>AH17+預測IC!AJ21</f>
        <v>0.67960427192297679</v>
      </c>
      <c r="AJ17" s="11">
        <f>AI17+預測IC!AK21</f>
        <v>0.72043871997028985</v>
      </c>
      <c r="AK17" s="11">
        <f>AJ17+預測IC!AL21</f>
        <v>0.62661686019399254</v>
      </c>
      <c r="AL17" s="11">
        <f>AK17+預測IC!AM21</f>
        <v>0.66451251567628955</v>
      </c>
      <c r="AM17" s="11">
        <f>AL17+預測IC!AN21</f>
        <v>0.75065960684469879</v>
      </c>
      <c r="AN17" s="11">
        <f>AM17+預測IC!AO21</f>
        <v>0.70462085881783298</v>
      </c>
      <c r="AO17" s="11">
        <f>AN17+預測IC!AP21</f>
        <v>0.47512882291054087</v>
      </c>
      <c r="AP17" s="11">
        <f>AO17+預測IC!AQ21</f>
        <v>0.58758320950433318</v>
      </c>
      <c r="AQ17" s="11">
        <f>AP17+預測IC!AR21</f>
        <v>0.46908408882782116</v>
      </c>
      <c r="AR17" s="11">
        <f>AQ17+預測IC!AS21</f>
        <v>0.48717311022156307</v>
      </c>
      <c r="AS17" s="11">
        <f>AR17+預測IC!AT21</f>
        <v>0.35453809758063437</v>
      </c>
      <c r="AT17" s="11">
        <f>AS17+預測IC!AU21</f>
        <v>0.24274723362073719</v>
      </c>
      <c r="AU17" s="11">
        <f>AT17+預測IC!AV21</f>
        <v>0.17158200816709324</v>
      </c>
      <c r="AV17" s="11">
        <f>AU17+預測IC!AW21</f>
        <v>0.15955628579132911</v>
      </c>
      <c r="AW17" s="11">
        <f>AV17+預測IC!AX21</f>
        <v>0.31053109707841742</v>
      </c>
      <c r="AX17" s="11">
        <f>AW17+預測IC!AY21</f>
        <v>0.50385708704392518</v>
      </c>
      <c r="AY17" s="11">
        <f>AX17+預測IC!AZ21</f>
        <v>0.33365658817395039</v>
      </c>
      <c r="AZ17" s="11">
        <f>AY17+預測IC!BA21</f>
        <v>0.41286045278564443</v>
      </c>
      <c r="BA17" s="11">
        <f>AZ17+預測IC!BB21</f>
        <v>0.19516490139304163</v>
      </c>
      <c r="BB17" s="11">
        <f>BA17+預測IC!BC21</f>
        <v>0.1138703895491285</v>
      </c>
      <c r="BC17" s="11">
        <f>BB17+預測IC!BD21</f>
        <v>0.14234216733743726</v>
      </c>
      <c r="BD17" s="11">
        <f>BC17+預測IC!BE21</f>
        <v>0.16378809033418595</v>
      </c>
      <c r="BE17" s="11">
        <f>BD17+預測IC!BF21</f>
        <v>0.31403252410008842</v>
      </c>
      <c r="BF17" s="11">
        <f>BE17+預測IC!BG21</f>
        <v>0.46423951310040062</v>
      </c>
      <c r="BG17" s="11">
        <f>BF17+預測IC!BH21</f>
        <v>0.50444069257912827</v>
      </c>
      <c r="BH17" s="11">
        <f>BG17+預測IC!BI21</f>
        <v>0.54588401233232209</v>
      </c>
      <c r="BI17" s="11">
        <f>BH17+預測IC!BJ21</f>
        <v>0.60926766774104868</v>
      </c>
      <c r="BJ17" s="11">
        <f>BI17+預測IC!BK21</f>
        <v>0.63879106258139406</v>
      </c>
      <c r="BK17" s="11">
        <f>BJ17+預測IC!BL21</f>
        <v>0.65813270738965157</v>
      </c>
      <c r="BL17" s="11">
        <f>BK17+預測IC!BM21</f>
        <v>0.69979205784834386</v>
      </c>
      <c r="BM17" s="11">
        <f>BL17+預測IC!BN21</f>
        <v>0.72112056162458682</v>
      </c>
      <c r="BN17" s="11">
        <f>BM17+預測IC!BO21</f>
        <v>0.64023047027387803</v>
      </c>
      <c r="BO17" s="11">
        <f>BN17+預測IC!BP21</f>
        <v>0.7239889909667605</v>
      </c>
      <c r="BP17" s="11">
        <f>BO17+預測IC!BQ21</f>
        <v>0.71566205509511949</v>
      </c>
      <c r="BQ17" s="11">
        <f>BP17+預測IC!BR21</f>
        <v>0.6179946543122169</v>
      </c>
      <c r="BR17" s="11">
        <f>BQ17+預測IC!BS21</f>
        <v>0.46275442579785458</v>
      </c>
      <c r="BS17" s="11">
        <f>BR17+預測IC!BT21</f>
        <v>0.49351960562859848</v>
      </c>
      <c r="BT17" s="11">
        <f>BS17+預測IC!BU21</f>
        <v>0.51695069011024952</v>
      </c>
      <c r="BU17" s="11">
        <f>BT17+預測IC!BV21</f>
        <v>0.46085897314640512</v>
      </c>
      <c r="BV17" s="11">
        <f>BU17+預測IC!BW21</f>
        <v>0.56040535511212364</v>
      </c>
      <c r="BW17" s="11">
        <f>BV17+預測IC!BX21</f>
        <v>0.60495486208921068</v>
      </c>
      <c r="BX17" s="11">
        <f>BW17+預測IC!BY21</f>
        <v>0.48862639072356129</v>
      </c>
      <c r="BY17" s="11">
        <f>BX17+預測IC!BZ21</f>
        <v>0.46552155979047338</v>
      </c>
      <c r="BZ17" s="11">
        <f>BY17+預測IC!CA21</f>
        <v>0.28673226997397228</v>
      </c>
      <c r="CA17" s="11">
        <f>BZ17+預測IC!CB21</f>
        <v>0.26238267138210625</v>
      </c>
      <c r="CB17" s="11">
        <f>CA17+預測IC!CC21</f>
        <v>0.2061603502798372</v>
      </c>
      <c r="CC17" s="11">
        <f>CB17+預測IC!CD21</f>
        <v>0.22532391825602324</v>
      </c>
      <c r="CD17" s="11">
        <f>CC17+預測IC!CE21</f>
        <v>0.25589133831490785</v>
      </c>
      <c r="CE17" s="11">
        <f>CD17+預測IC!CF21</f>
        <v>0.18834373552920303</v>
      </c>
      <c r="CF17" s="11">
        <f>CE17+預測IC!CG21</f>
        <v>0.36246642754440173</v>
      </c>
      <c r="CG17" s="11">
        <f>CF17+預測IC!CH21</f>
        <v>0.17431200060770533</v>
      </c>
      <c r="CH17" s="11">
        <f>CG17+預測IC!CI21</f>
        <v>0.228076320562766</v>
      </c>
      <c r="CI17" s="11">
        <f>CH17+預測IC!CJ21</f>
        <v>0.30995363385626618</v>
      </c>
      <c r="CJ17" s="11">
        <f>CI17+預測IC!CK21</f>
        <v>0.21995190272934576</v>
      </c>
      <c r="CK17" s="11">
        <f>CJ17+預測IC!CL21</f>
        <v>0.22524123290358647</v>
      </c>
      <c r="CL17" s="11">
        <f>CK17+預測IC!CM21</f>
        <v>7.9928897007000982E-2</v>
      </c>
      <c r="CM17" s="11">
        <f>CL17+預測IC!CN21</f>
        <v>-7.1172722302480229E-2</v>
      </c>
      <c r="CN17" s="11">
        <f>CM17+預測IC!CO21</f>
        <v>4.5716542298967974E-2</v>
      </c>
      <c r="CO17" s="11">
        <f>CN17+預測IC!CP21</f>
        <v>1.2612919540433892E-2</v>
      </c>
      <c r="CP17" s="11">
        <f>CO17+預測IC!CQ21</f>
        <v>-6.1604129815460873E-2</v>
      </c>
      <c r="CQ17" s="11">
        <f>CP17+預測IC!CR21</f>
        <v>-0.24149683960226298</v>
      </c>
      <c r="CR17" s="11">
        <f>CQ17+預測IC!CS21</f>
        <v>-0.31574042114969103</v>
      </c>
      <c r="CS17" s="11">
        <f>CR17+預測IC!CT21</f>
        <v>-0.375722000900574</v>
      </c>
      <c r="CT17" s="11">
        <f>CS17+預測IC!CU21</f>
        <v>-0.27000341222239921</v>
      </c>
      <c r="CU17" s="11">
        <f>CT17+預測IC!CV21</f>
        <v>-0.33044573914431641</v>
      </c>
      <c r="CV17" s="11">
        <f>CU17+預測IC!CW21</f>
        <v>-0.32287330453375757</v>
      </c>
      <c r="CW17" s="11">
        <f>CV17+預測IC!CX21</f>
        <v>-0.30832166590170779</v>
      </c>
      <c r="CX17" s="11">
        <f>CW17+預測IC!CY21</f>
        <v>-0.31274744136969868</v>
      </c>
      <c r="CY17" s="11">
        <f>CX17+預測IC!CZ21</f>
        <v>-0.36446226176463253</v>
      </c>
      <c r="CZ17" s="11">
        <f>CY17+預測IC!DA21</f>
        <v>-0.22899494518038632</v>
      </c>
      <c r="DA17" s="11">
        <f>CZ17+預測IC!DB21</f>
        <v>-0.20256687779681454</v>
      </c>
      <c r="DB17" s="11">
        <f>DA17+預測IC!DC21</f>
        <v>-0.15650364382520937</v>
      </c>
      <c r="DC17" s="11">
        <f>DB17+預測IC!DD21</f>
        <v>-0.31040635576374631</v>
      </c>
      <c r="DD17" s="11">
        <f>DC17+預測IC!DE21</f>
        <v>-0.3521706381709574</v>
      </c>
      <c r="DE17" s="11">
        <f>DD17+預測IC!DF21</f>
        <v>-0.42267500093760918</v>
      </c>
      <c r="DF17" s="11">
        <f>DE17+預測IC!DG21</f>
        <v>-0.44868773123286321</v>
      </c>
      <c r="DG17" s="11">
        <f>DF17+預測IC!DH21</f>
        <v>-0.43261364672787134</v>
      </c>
      <c r="DH17" s="11">
        <f>DG17+預測IC!DI21</f>
        <v>-0.39964815170074625</v>
      </c>
      <c r="DI17" s="11">
        <f>DH17+預測IC!DJ21</f>
        <v>-0.34829918432462781</v>
      </c>
      <c r="DJ17" s="11">
        <f>DI17+預測IC!DK21</f>
        <v>-0.4889410083672121</v>
      </c>
      <c r="DK17" s="11">
        <f>DJ17+預測IC!DL21</f>
        <v>-0.481584817703336</v>
      </c>
      <c r="DL17" s="11">
        <f>DK17+預測IC!DM21</f>
        <v>-0.59576083162470417</v>
      </c>
      <c r="DM17" s="11">
        <f>DL17+預測IC!DN21</f>
        <v>-0.45763174564908971</v>
      </c>
      <c r="DN17" s="11">
        <f>DM17+預測IC!DO21</f>
        <v>-0.53219939925617765</v>
      </c>
      <c r="DO17" s="11">
        <f>DN17+預測IC!DP21</f>
        <v>-0.43267560572728159</v>
      </c>
      <c r="DP17" s="11">
        <f>DO17+預測IC!DQ21</f>
        <v>-0.43569035087444913</v>
      </c>
      <c r="DQ17" s="11">
        <f>DP17+預測IC!DR21</f>
        <v>-0.36490737245364674</v>
      </c>
      <c r="DR17" s="11">
        <f>DQ17+預測IC!DS21</f>
        <v>-0.33555163734868926</v>
      </c>
      <c r="DS17" s="11">
        <f>DR17+預測IC!DT21</f>
        <v>-0.35478041286485673</v>
      </c>
      <c r="DT17" s="11">
        <f>DS17+預測IC!DU21</f>
        <v>-0.21583305197800354</v>
      </c>
      <c r="DU17" s="11">
        <f>DT17+預測IC!DV21</f>
        <v>-0.17621871859331897</v>
      </c>
      <c r="DV17" s="11">
        <f>DU17+預測IC!DW21</f>
        <v>-0.21024688800762964</v>
      </c>
      <c r="DW17" s="11">
        <f>DV17+預測IC!DX21</f>
        <v>-0.33618053392243541</v>
      </c>
      <c r="DX17" s="11">
        <f>DW17+預測IC!DY21</f>
        <v>-0.16692204073932401</v>
      </c>
      <c r="DY17" s="11">
        <f>DX17+預測IC!DZ21</f>
        <v>-9.2665890726325681E-2</v>
      </c>
      <c r="DZ17" s="11">
        <f>DY17+預測IC!EA21</f>
        <v>-6.7162199989104596E-2</v>
      </c>
      <c r="EA17" s="11">
        <f>DZ17+預測IC!EB21</f>
        <v>-2.8922328689279499E-2</v>
      </c>
      <c r="EB17" s="11">
        <f>EA17+預測IC!EC21</f>
        <v>5.1749710912793477E-2</v>
      </c>
      <c r="EC17" s="11">
        <f>EB17+預測IC!ED21</f>
        <v>0.16992222336376109</v>
      </c>
      <c r="ED17" s="11">
        <f>EC17+預測IC!EE21</f>
        <v>0.21522538675589051</v>
      </c>
      <c r="EE17" s="11">
        <f>ED17+預測IC!EF21</f>
        <v>0.17596128263332644</v>
      </c>
    </row>
    <row r="18" spans="1:136" ht="16" customHeight="1">
      <c r="A18" s="6" t="s">
        <v>248</v>
      </c>
      <c r="B18" s="2">
        <v>3.6241182215047199E-2</v>
      </c>
      <c r="C18" s="11">
        <f>B18+預測IC!D22</f>
        <v>0.10137829660926553</v>
      </c>
      <c r="D18" s="11">
        <f>C18+預測IC!E22</f>
        <v>9.1754608317311692E-2</v>
      </c>
      <c r="E18" s="11">
        <f>D18+預測IC!F22</f>
        <v>0.14110605821761885</v>
      </c>
      <c r="F18" s="11">
        <f>E18+預測IC!G22</f>
        <v>0.20278285503316212</v>
      </c>
      <c r="G18" s="11">
        <f>F18+預測IC!H22</f>
        <v>0.21138458832773183</v>
      </c>
      <c r="H18" s="11">
        <f>G18+預測IC!I22</f>
        <v>0.21004876851085891</v>
      </c>
      <c r="I18" s="11">
        <f>H18+預測IC!J22</f>
        <v>0.22703331286296061</v>
      </c>
      <c r="J18" s="11">
        <f>I18+預測IC!K22</f>
        <v>0.17646880590488592</v>
      </c>
      <c r="K18" s="11">
        <f>J18+預測IC!L22</f>
        <v>0.2398987260521466</v>
      </c>
      <c r="L18" s="11">
        <f>K18+預測IC!M22</f>
        <v>0.36722882708221694</v>
      </c>
      <c r="M18" s="11">
        <f>L18+預測IC!N22</f>
        <v>0.40347000929726412</v>
      </c>
      <c r="N18" s="11">
        <f>M18+預測IC!O22</f>
        <v>0.40020594323889935</v>
      </c>
      <c r="O18" s="11">
        <f>N18+預測IC!P22</f>
        <v>0.44028660942760756</v>
      </c>
      <c r="P18" s="11">
        <f>O18+預測IC!Q22</f>
        <v>0.39038984734859178</v>
      </c>
      <c r="Q18" s="11">
        <f>P18+預測IC!R22</f>
        <v>0.52137696395299626</v>
      </c>
      <c r="R18" s="11">
        <f>Q18+預測IC!S22</f>
        <v>0.35433678066796548</v>
      </c>
      <c r="S18" s="11">
        <f>R18+預測IC!T22</f>
        <v>0.45716700667934917</v>
      </c>
      <c r="T18" s="11">
        <f>S18+預測IC!U22</f>
        <v>0.39479329986978229</v>
      </c>
      <c r="U18" s="11">
        <f>T18+預測IC!V22</f>
        <v>0.44249791511518438</v>
      </c>
      <c r="V18" s="11">
        <f>U18+預測IC!W22</f>
        <v>0.42385344140148734</v>
      </c>
      <c r="W18" s="11">
        <f>V18+預測IC!X22</f>
        <v>0.60937125662924141</v>
      </c>
      <c r="X18" s="11">
        <f>W18+預測IC!Y22</f>
        <v>0.52453657715089308</v>
      </c>
      <c r="Y18" s="11">
        <f>X18+預測IC!Z22</f>
        <v>0.57698315082927365</v>
      </c>
      <c r="Z18" s="11">
        <f>Y18+預測IC!AA22</f>
        <v>0.6673502091469572</v>
      </c>
      <c r="AA18" s="11">
        <f>Z18+預測IC!AB22</f>
        <v>0.64794682889400768</v>
      </c>
      <c r="AB18" s="11">
        <f>AA18+預測IC!AC22</f>
        <v>0.66743375722961573</v>
      </c>
      <c r="AC18" s="11">
        <f>AB18+預測IC!AD22</f>
        <v>0.67097111631525019</v>
      </c>
      <c r="AD18" s="11">
        <f>AC18+預測IC!AE22</f>
        <v>0.90052879199723135</v>
      </c>
      <c r="AE18" s="11">
        <f>AD18+預測IC!AF22</f>
        <v>0.96458846235813722</v>
      </c>
      <c r="AF18" s="11">
        <f>AE18+預測IC!AG22</f>
        <v>0.95129493805520948</v>
      </c>
      <c r="AG18" s="11">
        <f>AF18+預測IC!AH22</f>
        <v>1.0096433775306954</v>
      </c>
      <c r="AH18" s="11">
        <f>AG18+預測IC!AI22</f>
        <v>0.86101788373339416</v>
      </c>
      <c r="AI18" s="11">
        <f>AH18+預測IC!AJ22</f>
        <v>0.90383042669245695</v>
      </c>
      <c r="AJ18" s="11">
        <f>AI18+預測IC!AK22</f>
        <v>0.90728762324766532</v>
      </c>
      <c r="AK18" s="11">
        <f>AJ18+預測IC!AL22</f>
        <v>0.79603621293364724</v>
      </c>
      <c r="AL18" s="11">
        <f>AK18+預測IC!AM22</f>
        <v>0.84244775869934907</v>
      </c>
      <c r="AM18" s="11">
        <f>AL18+預測IC!AN22</f>
        <v>0.91663348557682434</v>
      </c>
      <c r="AN18" s="11">
        <f>AM18+預測IC!AO22</f>
        <v>0.86529797287754562</v>
      </c>
      <c r="AO18" s="11">
        <f>AN18+預測IC!AP22</f>
        <v>0.63180158110844908</v>
      </c>
      <c r="AP18" s="11">
        <f>AO18+預測IC!AQ22</f>
        <v>0.74502508596456862</v>
      </c>
      <c r="AQ18" s="11">
        <f>AP18+預測IC!AR22</f>
        <v>0.61531417426617185</v>
      </c>
      <c r="AR18" s="11">
        <f>AQ18+預測IC!AS22</f>
        <v>0.64877234180506815</v>
      </c>
      <c r="AS18" s="11">
        <f>AR18+預測IC!AT22</f>
        <v>0.52219825029871536</v>
      </c>
      <c r="AT18" s="11">
        <f>AS18+預測IC!AU22</f>
        <v>0.39685080087959812</v>
      </c>
      <c r="AU18" s="11">
        <f>AT18+預測IC!AV22</f>
        <v>0.32656358578997324</v>
      </c>
      <c r="AV18" s="11">
        <f>AU18+預測IC!AW22</f>
        <v>0.33068749804071013</v>
      </c>
      <c r="AW18" s="11">
        <f>AV18+預測IC!AX22</f>
        <v>0.64447529147716365</v>
      </c>
      <c r="AX18" s="11">
        <f>AW18+預測IC!AY22</f>
        <v>0.89969175633411247</v>
      </c>
      <c r="AY18" s="11">
        <f>AX18+預測IC!AZ22</f>
        <v>0.85057817569422622</v>
      </c>
      <c r="AZ18" s="11">
        <f>AY18+預測IC!BA22</f>
        <v>0.88462629932219072</v>
      </c>
      <c r="BA18" s="11">
        <f>AZ18+預測IC!BB22</f>
        <v>0.73944672430089442</v>
      </c>
      <c r="BB18" s="11">
        <f>BA18+預測IC!BC22</f>
        <v>0.68806768646158789</v>
      </c>
      <c r="BC18" s="11">
        <f>BB18+預測IC!BD22</f>
        <v>0.73945965055354623</v>
      </c>
      <c r="BD18" s="11">
        <f>BC18+預測IC!BE22</f>
        <v>0.7603962095577439</v>
      </c>
      <c r="BE18" s="11">
        <f>BD18+預測IC!BF22</f>
        <v>0.85560649338397532</v>
      </c>
      <c r="BF18" s="11">
        <f>BE18+預測IC!BG22</f>
        <v>1.0520203460111408</v>
      </c>
      <c r="BG18" s="11">
        <f>BF18+預測IC!BH22</f>
        <v>1.1331862996843065</v>
      </c>
      <c r="BH18" s="11">
        <f>BG18+預測IC!BI22</f>
        <v>1.1678580254445863</v>
      </c>
      <c r="BI18" s="11">
        <f>BH18+預測IC!BJ22</f>
        <v>1.2242083332761859</v>
      </c>
      <c r="BJ18" s="11">
        <f>BI18+預測IC!BK22</f>
        <v>1.2612381630067615</v>
      </c>
      <c r="BK18" s="11">
        <f>BJ18+預測IC!BL22</f>
        <v>1.3145498867669569</v>
      </c>
      <c r="BL18" s="11">
        <f>BK18+預測IC!BM22</f>
        <v>1.344213496539935</v>
      </c>
      <c r="BM18" s="11">
        <f>BL18+預測IC!BN22</f>
        <v>1.3383705843669442</v>
      </c>
      <c r="BN18" s="11">
        <f>BM18+預測IC!BO22</f>
        <v>1.2675607254475481</v>
      </c>
      <c r="BO18" s="11">
        <f>BN18+預測IC!BP22</f>
        <v>1.344903724620639</v>
      </c>
      <c r="BP18" s="11">
        <f>BO18+預測IC!BQ22</f>
        <v>1.3145565006002975</v>
      </c>
      <c r="BQ18" s="11">
        <f>BP18+預測IC!BR22</f>
        <v>1.1270428465837059</v>
      </c>
      <c r="BR18" s="11">
        <f>BQ18+預測IC!BS22</f>
        <v>0.95059920321392688</v>
      </c>
      <c r="BS18" s="11">
        <f>BR18+預測IC!BT22</f>
        <v>0.8698459714848279</v>
      </c>
      <c r="BT18" s="11">
        <f>BS18+預測IC!BU22</f>
        <v>0.9137164618934891</v>
      </c>
      <c r="BU18" s="11">
        <f>BT18+預測IC!BV22</f>
        <v>0.85699993015807674</v>
      </c>
      <c r="BV18" s="11">
        <f>BU18+預測IC!BW22</f>
        <v>0.99744006761015136</v>
      </c>
      <c r="BW18" s="11">
        <f>BV18+預測IC!BX22</f>
        <v>1.0475843259645163</v>
      </c>
      <c r="BX18" s="11">
        <f>BW18+預測IC!BY22</f>
        <v>0.99935069410391475</v>
      </c>
      <c r="BY18" s="11">
        <f>BX18+預測IC!BZ22</f>
        <v>0.91639227627380093</v>
      </c>
      <c r="BZ18" s="11">
        <f>BY18+預測IC!CA22</f>
        <v>0.70837874716166582</v>
      </c>
      <c r="CA18" s="11">
        <f>BZ18+預測IC!CB22</f>
        <v>0.69134936061929553</v>
      </c>
      <c r="CB18" s="11">
        <f>CA18+預測IC!CC22</f>
        <v>0.67776276078064146</v>
      </c>
      <c r="CC18" s="11">
        <f>CB18+預測IC!CD22</f>
        <v>0.66530006933311592</v>
      </c>
      <c r="CD18" s="11">
        <f>CC18+預測IC!CE22</f>
        <v>0.67149700150111447</v>
      </c>
      <c r="CE18" s="11">
        <f>CD18+預測IC!CF22</f>
        <v>0.62697584025306019</v>
      </c>
      <c r="CF18" s="11">
        <f>CE18+預測IC!CG22</f>
        <v>0.82641560340600473</v>
      </c>
      <c r="CG18" s="11">
        <f>CF18+預測IC!CH22</f>
        <v>0.69041098252309896</v>
      </c>
      <c r="CH18" s="11">
        <f>CG18+預測IC!CI22</f>
        <v>0.76646789272286286</v>
      </c>
      <c r="CI18" s="11">
        <f>CH18+預測IC!CJ22</f>
        <v>0.88650230480714121</v>
      </c>
      <c r="CJ18" s="11">
        <f>CI18+預測IC!CK22</f>
        <v>0.76886951257826008</v>
      </c>
      <c r="CK18" s="11">
        <f>CJ18+預測IC!CL22</f>
        <v>0.78313216836139732</v>
      </c>
      <c r="CL18" s="11">
        <f>CK18+預測IC!CM22</f>
        <v>0.61908888632571024</v>
      </c>
      <c r="CM18" s="11">
        <f>CL18+預測IC!CN22</f>
        <v>0.42525119994154803</v>
      </c>
      <c r="CN18" s="11">
        <f>CM18+預測IC!CO22</f>
        <v>0.61669412206227936</v>
      </c>
      <c r="CO18" s="11">
        <f>CN18+預測IC!CP22</f>
        <v>0.58879667873526575</v>
      </c>
      <c r="CP18" s="11">
        <f>CO18+預測IC!CQ22</f>
        <v>0.54395036058259627</v>
      </c>
      <c r="CQ18" s="11">
        <f>CP18+預測IC!CR22</f>
        <v>0.37874241860670277</v>
      </c>
      <c r="CR18" s="11">
        <f>CQ18+預測IC!CS22</f>
        <v>0.26243899803773707</v>
      </c>
      <c r="CS18" s="11">
        <f>CR18+預測IC!CT22</f>
        <v>0.18054916414698538</v>
      </c>
      <c r="CT18" s="11">
        <f>CS18+預測IC!CU22</f>
        <v>0.29612011394103421</v>
      </c>
      <c r="CU18" s="11">
        <f>CT18+預測IC!CV22</f>
        <v>0.25543709356714867</v>
      </c>
      <c r="CV18" s="11">
        <f>CU18+預測IC!CW22</f>
        <v>0.24770288296257145</v>
      </c>
      <c r="CW18" s="11">
        <f>CV18+預測IC!CX22</f>
        <v>0.23974680254901862</v>
      </c>
      <c r="CX18" s="11">
        <f>CW18+預測IC!CY22</f>
        <v>0.23397237235935706</v>
      </c>
      <c r="CY18" s="11">
        <f>CX18+預測IC!CZ22</f>
        <v>0.23136567295110416</v>
      </c>
      <c r="CZ18" s="11">
        <f>CY18+預測IC!DA22</f>
        <v>0.42489933517580403</v>
      </c>
      <c r="DA18" s="11">
        <f>CZ18+預測IC!DB22</f>
        <v>0.43989415259718445</v>
      </c>
      <c r="DB18" s="11">
        <f>DA18+預測IC!DC22</f>
        <v>0.47678208771838243</v>
      </c>
      <c r="DC18" s="11">
        <f>DB18+預測IC!DD22</f>
        <v>0.38485450503161478</v>
      </c>
      <c r="DD18" s="11">
        <f>DC18+預測IC!DE22</f>
        <v>0.35794578008551486</v>
      </c>
      <c r="DE18" s="11">
        <f>DD18+預測IC!DF22</f>
        <v>0.27595962165047916</v>
      </c>
      <c r="DF18" s="11">
        <f>DE18+預測IC!DG22</f>
        <v>0.2509367904169677</v>
      </c>
      <c r="DG18" s="11">
        <f>DF18+預測IC!DH22</f>
        <v>0.28623423335766518</v>
      </c>
      <c r="DH18" s="11">
        <f>DG18+預測IC!DI22</f>
        <v>0.33200979123869462</v>
      </c>
      <c r="DI18" s="11">
        <f>DH18+預測IC!DJ22</f>
        <v>0.38715549518963038</v>
      </c>
      <c r="DJ18" s="11">
        <f>DI18+預測IC!DK22</f>
        <v>0.25051934601460729</v>
      </c>
      <c r="DK18" s="11">
        <f>DJ18+預測IC!DL22</f>
        <v>0.25851558314733225</v>
      </c>
      <c r="DL18" s="11">
        <f>DK18+預測IC!DM22</f>
        <v>0.1856257378713399</v>
      </c>
      <c r="DM18" s="11">
        <f>DL18+預測IC!DN22</f>
        <v>0.35862367824786656</v>
      </c>
      <c r="DN18" s="11">
        <f>DM18+預測IC!DO22</f>
        <v>0.23840951357461748</v>
      </c>
      <c r="DO18" s="11">
        <f>DN18+預測IC!DP22</f>
        <v>0.28703634028872016</v>
      </c>
      <c r="DP18" s="11">
        <f>DO18+預測IC!DQ22</f>
        <v>0.30706009044024529</v>
      </c>
      <c r="DQ18" s="11">
        <f>DP18+預測IC!DR22</f>
        <v>0.35895733910787148</v>
      </c>
      <c r="DR18" s="11">
        <f>DQ18+預測IC!DS22</f>
        <v>0.43770255529350244</v>
      </c>
      <c r="DS18" s="11">
        <f>DR18+預測IC!DT22</f>
        <v>0.49299683513722775</v>
      </c>
      <c r="DT18" s="11">
        <f>DS18+預測IC!DU22</f>
        <v>0.65622275767103055</v>
      </c>
      <c r="DU18" s="11">
        <f>DT18+預測IC!DV22</f>
        <v>0.7127140045148731</v>
      </c>
      <c r="DV18" s="11">
        <f>DU18+預測IC!DW22</f>
        <v>0.75834908930914446</v>
      </c>
      <c r="DW18" s="11">
        <f>DV18+預測IC!DX22</f>
        <v>0.54855596938577023</v>
      </c>
      <c r="DX18" s="11">
        <f>DW18+預測IC!DY22</f>
        <v>0.69081402373195744</v>
      </c>
      <c r="DY18" s="11">
        <f>DX18+預測IC!DZ22</f>
        <v>0.76157143946155381</v>
      </c>
      <c r="DZ18" s="11">
        <f>DY18+預測IC!EA22</f>
        <v>0.8005122466329504</v>
      </c>
      <c r="EA18" s="11">
        <f>DZ18+預測IC!EB22</f>
        <v>0.83847076654716934</v>
      </c>
      <c r="EB18" s="11">
        <f>EA18+預測IC!EC22</f>
        <v>0.94977121822396204</v>
      </c>
      <c r="EC18" s="11">
        <f>EB18+預測IC!ED22</f>
        <v>1.1589604018638626</v>
      </c>
      <c r="ED18" s="11">
        <f>EC18+預測IC!EE22</f>
        <v>1.2226094849842726</v>
      </c>
      <c r="EE18" s="11">
        <f>ED18+預測IC!EF22</f>
        <v>1.1663068439829913</v>
      </c>
    </row>
    <row r="19" spans="1:136" ht="16" customHeight="1">
      <c r="A19" s="6" t="s">
        <v>249</v>
      </c>
      <c r="B19" s="2">
        <v>-8.8942128545151655E-3</v>
      </c>
      <c r="C19" s="11">
        <f>B19+預測IC!D23</f>
        <v>5.4895232336999E-2</v>
      </c>
      <c r="D19" s="11">
        <f>C19+預測IC!E23</f>
        <v>4.6754799202967968E-2</v>
      </c>
      <c r="E19" s="11">
        <f>D19+預測IC!F23</f>
        <v>4.6746238807223381E-3</v>
      </c>
      <c r="F19" s="11">
        <f>E19+預測IC!G23</f>
        <v>-3.3543458527281605E-3</v>
      </c>
      <c r="G19" s="11">
        <f>F19+預測IC!H23</f>
        <v>-8.7141067314037198E-3</v>
      </c>
      <c r="H19" s="11">
        <f>G19+預測IC!I23</f>
        <v>-3.9754442012823379E-3</v>
      </c>
      <c r="I19" s="11">
        <f>H19+預測IC!J23</f>
        <v>2.8851753738728357E-2</v>
      </c>
      <c r="J19" s="11">
        <f>I19+預測IC!K23</f>
        <v>-6.8530960947878167E-2</v>
      </c>
      <c r="K19" s="11">
        <f>J19+預測IC!L23</f>
        <v>-4.0095134441486671E-2</v>
      </c>
      <c r="L19" s="11">
        <f>K19+預測IC!M23</f>
        <v>6.272971527929963E-2</v>
      </c>
      <c r="M19" s="11">
        <f>L19+預測IC!N23</f>
        <v>5.3835502424784465E-2</v>
      </c>
      <c r="N19" s="11">
        <f>M19+預測IC!O23</f>
        <v>2.5795835492222474E-2</v>
      </c>
      <c r="O19" s="11">
        <f>N19+預測IC!P23</f>
        <v>9.3589773035028259E-2</v>
      </c>
      <c r="P19" s="11">
        <f>O19+預測IC!Q23</f>
        <v>7.1919928919227383E-3</v>
      </c>
      <c r="Q19" s="11">
        <f>P19+預測IC!R23</f>
        <v>0.17438744642916384</v>
      </c>
      <c r="R19" s="11">
        <f>Q19+預測IC!S23</f>
        <v>3.3399609706039335E-2</v>
      </c>
      <c r="S19" s="11">
        <f>R19+預測IC!T23</f>
        <v>0.10568113736679008</v>
      </c>
      <c r="T19" s="11">
        <f>S19+預測IC!U23</f>
        <v>-3.0688138078650534E-2</v>
      </c>
      <c r="U19" s="11">
        <f>T19+預測IC!V23</f>
        <v>4.3383789956753488E-2</v>
      </c>
      <c r="V19" s="11">
        <f>U19+預測IC!W23</f>
        <v>3.4128649667261007E-2</v>
      </c>
      <c r="W19" s="11">
        <f>V19+預測IC!X23</f>
        <v>0.32278551759589136</v>
      </c>
      <c r="X19" s="11">
        <f>W19+預測IC!Y23</f>
        <v>0.25096927432461935</v>
      </c>
      <c r="Y19" s="11">
        <f>X19+預測IC!Z23</f>
        <v>0.28085100694277482</v>
      </c>
      <c r="Z19" s="11">
        <f>Y19+預測IC!AA23</f>
        <v>0.4032488606900283</v>
      </c>
      <c r="AA19" s="11">
        <f>Z19+預測IC!AB23</f>
        <v>0.33950522920953013</v>
      </c>
      <c r="AB19" s="11">
        <f>AA19+預測IC!AC23</f>
        <v>0.34302851768575904</v>
      </c>
      <c r="AC19" s="11">
        <f>AB19+預測IC!AD23</f>
        <v>0.30649794100330396</v>
      </c>
      <c r="AD19" s="11">
        <f>AC19+預測IC!AE23</f>
        <v>0.53967774046165107</v>
      </c>
      <c r="AE19" s="11">
        <f>AD19+預測IC!AF23</f>
        <v>0.58349713562659922</v>
      </c>
      <c r="AF19" s="11">
        <f>AE19+預測IC!AG23</f>
        <v>0.57409576160425679</v>
      </c>
      <c r="AG19" s="11">
        <f>AF19+預測IC!AH23</f>
        <v>0.77639149208324121</v>
      </c>
      <c r="AH19" s="11">
        <f>AG19+預測IC!AI23</f>
        <v>0.66118066859368241</v>
      </c>
      <c r="AI19" s="11">
        <f>AH19+預測IC!AJ23</f>
        <v>0.69888156175849947</v>
      </c>
      <c r="AJ19" s="11">
        <f>AI19+預測IC!AK23</f>
        <v>0.74403023136238311</v>
      </c>
      <c r="AK19" s="11">
        <f>AJ19+預測IC!AL23</f>
        <v>0.61174431404410623</v>
      </c>
      <c r="AL19" s="11">
        <f>AK19+預測IC!AM23</f>
        <v>0.67392629589527886</v>
      </c>
      <c r="AM19" s="11">
        <f>AL19+預測IC!AN23</f>
        <v>0.78823244302125173</v>
      </c>
      <c r="AN19" s="11">
        <f>AM19+預測IC!AO23</f>
        <v>0.72308457731686915</v>
      </c>
      <c r="AO19" s="11">
        <f>AN19+預測IC!AP23</f>
        <v>0.6683519861285927</v>
      </c>
      <c r="AP19" s="11">
        <f>AO19+預測IC!AQ23</f>
        <v>0.72627807191095162</v>
      </c>
      <c r="AQ19" s="11">
        <f>AP19+預測IC!AR23</f>
        <v>0.60262097082216415</v>
      </c>
      <c r="AR19" s="11">
        <f>AQ19+預測IC!AS23</f>
        <v>0.67800675188683179</v>
      </c>
      <c r="AS19" s="11">
        <f>AR19+預測IC!AT23</f>
        <v>0.51059432462806664</v>
      </c>
      <c r="AT19" s="11">
        <f>AS19+預測IC!AU23</f>
        <v>0.39444301471860455</v>
      </c>
      <c r="AU19" s="11">
        <f>AT19+預測IC!AV23</f>
        <v>0.35804817029175851</v>
      </c>
      <c r="AV19" s="11">
        <f>AU19+預測IC!AW23</f>
        <v>0.33394233772713389</v>
      </c>
      <c r="AW19" s="11">
        <f>AV19+預測IC!AX23</f>
        <v>0.73347169273462631</v>
      </c>
      <c r="AX19" s="11">
        <f>AW19+預測IC!AY23</f>
        <v>1.0128299563549299</v>
      </c>
      <c r="AY19" s="11">
        <f>AX19+預測IC!AZ23</f>
        <v>0.95562280769718611</v>
      </c>
      <c r="AZ19" s="11">
        <f>AY19+預測IC!BA23</f>
        <v>0.84786866110997239</v>
      </c>
      <c r="BA19" s="11">
        <f>AZ19+預測IC!BB23</f>
        <v>0.65596112435436515</v>
      </c>
      <c r="BB19" s="11">
        <f>BA19+預測IC!BC23</f>
        <v>0.63113788782858693</v>
      </c>
      <c r="BC19" s="11">
        <f>BB19+預測IC!BD23</f>
        <v>0.72171797185799147</v>
      </c>
      <c r="BD19" s="11">
        <f>BC19+預測IC!BE23</f>
        <v>0.74157599004938557</v>
      </c>
      <c r="BE19" s="11">
        <f>BD19+預測IC!BF23</f>
        <v>0.85442951873582862</v>
      </c>
      <c r="BF19" s="11">
        <f>BE19+預測IC!BG23</f>
        <v>1.0925775889520961</v>
      </c>
      <c r="BG19" s="11">
        <f>BF19+預測IC!BH23</f>
        <v>1.1736079675665254</v>
      </c>
      <c r="BH19" s="11">
        <f>BG19+預測IC!BI23</f>
        <v>1.2098784686827928</v>
      </c>
      <c r="BI19" s="11">
        <f>BH19+預測IC!BJ23</f>
        <v>1.3057551224029502</v>
      </c>
      <c r="BJ19" s="11">
        <f>BI19+預測IC!BK23</f>
        <v>1.3292355061260503</v>
      </c>
      <c r="BK19" s="11">
        <f>BJ19+預測IC!BL23</f>
        <v>1.4012376952118804</v>
      </c>
      <c r="BL19" s="11">
        <f>BK19+預測IC!BM23</f>
        <v>1.4420289293060973</v>
      </c>
      <c r="BM19" s="11">
        <f>BL19+預測IC!BN23</f>
        <v>1.4057208365569052</v>
      </c>
      <c r="BN19" s="11">
        <f>BM19+預測IC!BO23</f>
        <v>1.3543898174769753</v>
      </c>
      <c r="BO19" s="11">
        <f>BN19+預測IC!BP23</f>
        <v>1.4468667868642437</v>
      </c>
      <c r="BP19" s="11">
        <f>BO19+預測IC!BQ23</f>
        <v>1.3845699763601664</v>
      </c>
      <c r="BQ19" s="11">
        <f>BP19+預測IC!BR23</f>
        <v>1.1908792129292178</v>
      </c>
      <c r="BR19" s="11">
        <f>BQ19+預測IC!BS23</f>
        <v>0.99084734841773559</v>
      </c>
      <c r="BS19" s="11">
        <f>BR19+預測IC!BT23</f>
        <v>0.87255180674818733</v>
      </c>
      <c r="BT19" s="11">
        <f>BS19+預測IC!BU23</f>
        <v>0.90658506794116545</v>
      </c>
      <c r="BU19" s="11">
        <f>BT19+預測IC!BV23</f>
        <v>0.83370850426631549</v>
      </c>
      <c r="BV19" s="11">
        <f>BU19+預測IC!BW23</f>
        <v>0.95332313006128389</v>
      </c>
      <c r="BW19" s="11">
        <f>BV19+預測IC!BX23</f>
        <v>0.98419167964520915</v>
      </c>
      <c r="BX19" s="11">
        <f>BW19+預測IC!BY23</f>
        <v>0.95968267633529236</v>
      </c>
      <c r="BY19" s="11">
        <f>BX19+預測IC!BZ23</f>
        <v>0.74643796627442083</v>
      </c>
      <c r="BZ19" s="11">
        <f>BY19+預測IC!CA23</f>
        <v>0.66740416440942996</v>
      </c>
      <c r="CA19" s="11">
        <f>BZ19+預測IC!CB23</f>
        <v>0.64200543354581052</v>
      </c>
      <c r="CB19" s="11">
        <f>CA19+預測IC!CC23</f>
        <v>0.59245138414233922</v>
      </c>
      <c r="CC19" s="11">
        <f>CB19+預測IC!CD23</f>
        <v>0.64100325951767723</v>
      </c>
      <c r="CD19" s="11">
        <f>CC19+預測IC!CE23</f>
        <v>0.71248166084595843</v>
      </c>
      <c r="CE19" s="11">
        <f>CD19+預測IC!CF23</f>
        <v>0.65074474886388955</v>
      </c>
      <c r="CF19" s="11">
        <f>CE19+預測IC!CG23</f>
        <v>0.91139825359329674</v>
      </c>
      <c r="CG19" s="11">
        <f>CF19+預測IC!CH23</f>
        <v>0.70313236321494721</v>
      </c>
      <c r="CH19" s="11">
        <f>CG19+預測IC!CI23</f>
        <v>0.75996732883693086</v>
      </c>
      <c r="CI19" s="11">
        <f>CH19+預測IC!CJ23</f>
        <v>0.94334557758536219</v>
      </c>
      <c r="CJ19" s="11">
        <f>CI19+預測IC!CK23</f>
        <v>0.84931742118391729</v>
      </c>
      <c r="CK19" s="11">
        <f>CJ19+預測IC!CL23</f>
        <v>0.73115616756152202</v>
      </c>
      <c r="CL19" s="11">
        <f>CK19+預測IC!CM23</f>
        <v>0.4738280840295454</v>
      </c>
      <c r="CM19" s="11">
        <f>CL19+預測IC!CN23</f>
        <v>0.15381869311601382</v>
      </c>
      <c r="CN19" s="11">
        <f>CM19+預測IC!CO23</f>
        <v>0.39960742213827471</v>
      </c>
      <c r="CO19" s="11">
        <f>CN19+預測IC!CP23</f>
        <v>0.37084682136195135</v>
      </c>
      <c r="CP19" s="11">
        <f>CO19+預測IC!CQ23</f>
        <v>0.32389596613467825</v>
      </c>
      <c r="CQ19" s="11">
        <f>CP19+預測IC!CR23</f>
        <v>0.10782016354399235</v>
      </c>
      <c r="CR19" s="11">
        <f>CQ19+預測IC!CS23</f>
        <v>-6.6473906849395442E-2</v>
      </c>
      <c r="CS19" s="11">
        <f>CR19+預測IC!CT23</f>
        <v>-0.10815306765733221</v>
      </c>
      <c r="CT19" s="11">
        <f>CS19+預測IC!CU23</f>
        <v>-3.9027837761090728E-2</v>
      </c>
      <c r="CU19" s="11">
        <f>CT19+預測IC!CV23</f>
        <v>-8.8667635155771418E-2</v>
      </c>
      <c r="CV19" s="11">
        <f>CU19+預測IC!CW23</f>
        <v>-9.5657484512761015E-2</v>
      </c>
      <c r="CW19" s="11">
        <f>CV19+預測IC!CX23</f>
        <v>-0.13282774347751988</v>
      </c>
      <c r="CX19" s="11">
        <f>CW19+預測IC!CY23</f>
        <v>-3.0248509071713586E-2</v>
      </c>
      <c r="CY19" s="11">
        <f>CX19+預測IC!CZ23</f>
        <v>7.6651110636315745E-3</v>
      </c>
      <c r="CZ19" s="11">
        <f>CY19+預測IC!DA23</f>
        <v>0.20816091135332937</v>
      </c>
      <c r="DA19" s="11">
        <f>CZ19+預測IC!DB23</f>
        <v>0.21244497812389868</v>
      </c>
      <c r="DB19" s="11">
        <f>DA19+預測IC!DC23</f>
        <v>0.24473092576071304</v>
      </c>
      <c r="DC19" s="11">
        <f>DB19+預測IC!DD23</f>
        <v>0.17183788993536966</v>
      </c>
      <c r="DD19" s="11">
        <f>DC19+預測IC!DE23</f>
        <v>0.1434496479921249</v>
      </c>
      <c r="DE19" s="11">
        <f>DD19+預測IC!DF23</f>
        <v>7.412197421948058E-2</v>
      </c>
      <c r="DF19" s="11">
        <f>DE19+預測IC!DG23</f>
        <v>3.72146795856826E-2</v>
      </c>
      <c r="DG19" s="11">
        <f>DF19+預測IC!DH23</f>
        <v>9.8090229017778585E-2</v>
      </c>
      <c r="DH19" s="11">
        <f>DG19+預測IC!DI23</f>
        <v>0.13359278603433536</v>
      </c>
      <c r="DI19" s="11">
        <f>DH19+預測IC!DJ23</f>
        <v>0.21441613751661659</v>
      </c>
      <c r="DJ19" s="11">
        <f>DI19+預測IC!DK23</f>
        <v>6.5950654672053577E-2</v>
      </c>
      <c r="DK19" s="11">
        <f>DJ19+預測IC!DL23</f>
        <v>2.6410494546256769E-2</v>
      </c>
      <c r="DL19" s="11">
        <f>DK19+預測IC!DM23</f>
        <v>-1.7873403630595308E-2</v>
      </c>
      <c r="DM19" s="11">
        <f>DL19+預測IC!DN23</f>
        <v>0.18537909065597288</v>
      </c>
      <c r="DN19" s="11">
        <f>DM19+預測IC!DO23</f>
        <v>3.4961285951689097E-2</v>
      </c>
      <c r="DO19" s="11">
        <f>DN19+預測IC!DP23</f>
        <v>0.12320781467078899</v>
      </c>
      <c r="DP19" s="11">
        <f>DO19+預測IC!DQ23</f>
        <v>0.19776437064841668</v>
      </c>
      <c r="DQ19" s="11">
        <f>DP19+預測IC!DR23</f>
        <v>0.27740953308669108</v>
      </c>
      <c r="DR19" s="11">
        <f>DQ19+預測IC!DS23</f>
        <v>0.395071622929065</v>
      </c>
      <c r="DS19" s="11">
        <f>DR19+預測IC!DT23</f>
        <v>0.47016377120638397</v>
      </c>
      <c r="DT19" s="11">
        <f>DS19+預測IC!DU23</f>
        <v>0.61736143873755922</v>
      </c>
      <c r="DU19" s="11">
        <f>DT19+預測IC!DV23</f>
        <v>0.71067076376602967</v>
      </c>
      <c r="DV19" s="11">
        <f>DU19+預測IC!DW23</f>
        <v>0.73836962916384175</v>
      </c>
      <c r="DW19" s="11">
        <f>DV19+預測IC!DX23</f>
        <v>0.52247049742427165</v>
      </c>
      <c r="DX19" s="11">
        <f>DW19+預測IC!DY23</f>
        <v>0.54475587309665463</v>
      </c>
      <c r="DY19" s="11">
        <f>DX19+預測IC!DZ23</f>
        <v>0.65362419092420398</v>
      </c>
      <c r="DZ19" s="11">
        <f>DY19+預測IC!EA23</f>
        <v>0.76081964536363245</v>
      </c>
      <c r="EA19" s="11">
        <f>DZ19+預測IC!EB23</f>
        <v>0.83237338224217439</v>
      </c>
      <c r="EB19" s="11">
        <f>EA19+預測IC!EC23</f>
        <v>0.98659997181222092</v>
      </c>
      <c r="EC19" s="11">
        <f>EB19+預測IC!ED23</f>
        <v>1.2155419608326128</v>
      </c>
      <c r="ED19" s="11">
        <f>EC19+預測IC!EE23</f>
        <v>1.2745020722288114</v>
      </c>
      <c r="EE19" s="11">
        <f>ED19+預測IC!EF23</f>
        <v>1.2815701910877415</v>
      </c>
    </row>
    <row r="20" spans="1:136" ht="16" customHeight="1">
      <c r="A20" s="6" t="s">
        <v>250</v>
      </c>
      <c r="B20" s="2">
        <v>-0.13322237415329011</v>
      </c>
      <c r="C20" s="11">
        <f>B20+預測IC!D24</f>
        <v>-7.6570346506800308E-2</v>
      </c>
      <c r="D20" s="11">
        <f>C20+預測IC!E24</f>
        <v>-6.4463073045533406E-2</v>
      </c>
      <c r="E20" s="11">
        <f>D20+預測IC!F24</f>
        <v>-0.10271991861259953</v>
      </c>
      <c r="F20" s="11">
        <f>E20+預測IC!G24</f>
        <v>-0.17776590340378723</v>
      </c>
      <c r="G20" s="11">
        <f>F20+預測IC!H24</f>
        <v>-0.18330482285935393</v>
      </c>
      <c r="H20" s="11">
        <f>G20+預測IC!I24</f>
        <v>-0.17045854693870244</v>
      </c>
      <c r="I20" s="11">
        <f>H20+預測IC!J24</f>
        <v>-0.14513298253878221</v>
      </c>
      <c r="J20" s="11">
        <f>I20+預測IC!K24</f>
        <v>-0.1465647889396712</v>
      </c>
      <c r="K20" s="11">
        <f>J20+預測IC!L24</f>
        <v>-0.17991106880269034</v>
      </c>
      <c r="L20" s="11">
        <f>K20+預測IC!M24</f>
        <v>-1.3433090583154728E-2</v>
      </c>
      <c r="M20" s="11">
        <f>L20+預測IC!N24</f>
        <v>-0.14665546473644483</v>
      </c>
      <c r="N20" s="11">
        <f>M20+預測IC!O24</f>
        <v>-0.1404222463653024</v>
      </c>
      <c r="O20" s="11">
        <f>N20+預測IC!P24</f>
        <v>-7.2842230272893591E-2</v>
      </c>
      <c r="P20" s="11">
        <f>O20+預測IC!Q24</f>
        <v>-0.28824683724102979</v>
      </c>
      <c r="Q20" s="11">
        <f>P20+預測IC!R24</f>
        <v>-9.7362872249082771E-2</v>
      </c>
      <c r="R20" s="11">
        <f>Q20+預測IC!S24</f>
        <v>-0.24021076645431866</v>
      </c>
      <c r="S20" s="11">
        <f>R20+預測IC!T24</f>
        <v>-0.17548979892082395</v>
      </c>
      <c r="T20" s="11">
        <f>S20+預測IC!U24</f>
        <v>-0.41060928436015925</v>
      </c>
      <c r="U20" s="11">
        <f>T20+預測IC!V24</f>
        <v>-0.34872983147233649</v>
      </c>
      <c r="V20" s="11">
        <f>U20+預測IC!W24</f>
        <v>-0.39070378434597164</v>
      </c>
      <c r="W20" s="11">
        <f>V20+預測IC!X24</f>
        <v>-2.9229379998880756E-2</v>
      </c>
      <c r="X20" s="11">
        <f>W20+預測IC!Y24</f>
        <v>-3.3514210159644509E-2</v>
      </c>
      <c r="Y20" s="11">
        <f>X20+預測IC!Z24</f>
        <v>3.5821126753485227E-2</v>
      </c>
      <c r="Z20" s="11">
        <f>Y20+預測IC!AA24</f>
        <v>5.4155817330662478E-2</v>
      </c>
      <c r="AA20" s="11">
        <f>Z20+預測IC!AB24</f>
        <v>-7.8485924083725608E-2</v>
      </c>
      <c r="AB20" s="11">
        <f>AA20+預測IC!AC24</f>
        <v>-0.11432064829507337</v>
      </c>
      <c r="AC20" s="11">
        <f>AB20+預測IC!AD24</f>
        <v>-0.21710294149719916</v>
      </c>
      <c r="AD20" s="11">
        <f>AC20+預測IC!AE24</f>
        <v>3.7116230762836655E-2</v>
      </c>
      <c r="AE20" s="11">
        <f>AD20+預測IC!AF24</f>
        <v>4.3635157666947477E-2</v>
      </c>
      <c r="AF20" s="11">
        <f>AE20+預測IC!AG24</f>
        <v>0.10578967524887517</v>
      </c>
      <c r="AG20" s="11">
        <f>AF20+預測IC!AH24</f>
        <v>0.39135078650154487</v>
      </c>
      <c r="AH20" s="11">
        <f>AG20+預測IC!AI24</f>
        <v>0.31390150844529802</v>
      </c>
      <c r="AI20" s="11">
        <f>AH20+預測IC!AJ24</f>
        <v>0.43190269091785444</v>
      </c>
      <c r="AJ20" s="11">
        <f>AI20+預測IC!AK24</f>
        <v>0.50551934907935403</v>
      </c>
      <c r="AK20" s="11">
        <f>AJ20+預測IC!AL24</f>
        <v>0.47816055465867785</v>
      </c>
      <c r="AL20" s="11">
        <f>AK20+預測IC!AM24</f>
        <v>0.56994566179958261</v>
      </c>
      <c r="AM20" s="11">
        <f>AL20+預測IC!AN24</f>
        <v>0.69789929722806443</v>
      </c>
      <c r="AN20" s="11">
        <f>AM20+預測IC!AO24</f>
        <v>0.55979846870465799</v>
      </c>
      <c r="AO20" s="11">
        <f>AN20+預測IC!AP24</f>
        <v>0.51896861062301558</v>
      </c>
      <c r="AP20" s="11">
        <f>AO20+預測IC!AQ24</f>
        <v>0.54003521737919247</v>
      </c>
      <c r="AQ20" s="11">
        <f>AP20+預測IC!AR24</f>
        <v>0.3517881712239177</v>
      </c>
      <c r="AR20" s="11">
        <f>AQ20+預測IC!AS24</f>
        <v>0.35615154582182362</v>
      </c>
      <c r="AS20" s="11">
        <f>AR20+預測IC!AT24</f>
        <v>6.995578755199211E-2</v>
      </c>
      <c r="AT20" s="11">
        <f>AS20+預測IC!AU24</f>
        <v>-8.1217098895936118E-3</v>
      </c>
      <c r="AU20" s="11">
        <f>AT20+預測IC!AV24</f>
        <v>-5.5044288983339185E-2</v>
      </c>
      <c r="AV20" s="11">
        <f>AU20+預測IC!AW24</f>
        <v>-9.3997434318646544E-2</v>
      </c>
      <c r="AW20" s="11">
        <f>AV20+預測IC!AX24</f>
        <v>0.13581024403060335</v>
      </c>
      <c r="AX20" s="11">
        <f>AW20+預測IC!AY24</f>
        <v>0.33323323971197494</v>
      </c>
      <c r="AY20" s="11">
        <f>AX20+預測IC!AZ24</f>
        <v>0.30928610069023121</v>
      </c>
      <c r="AZ20" s="11">
        <f>AY20+預測IC!BA24</f>
        <v>9.2062735529689604E-2</v>
      </c>
      <c r="BA20" s="11">
        <f>AZ20+預測IC!BB24</f>
        <v>-0.21170327823368681</v>
      </c>
      <c r="BB20" s="11">
        <f>BA20+預測IC!BC24</f>
        <v>-0.29872547005188466</v>
      </c>
      <c r="BC20" s="11">
        <f>BB20+預測IC!BD24</f>
        <v>-0.23364776228115833</v>
      </c>
      <c r="BD20" s="11">
        <f>BC20+預測IC!BE24</f>
        <v>-0.1599633705763053</v>
      </c>
      <c r="BE20" s="11">
        <f>BD20+預測IC!BF24</f>
        <v>-0.2189263513861173</v>
      </c>
      <c r="BF20" s="11">
        <f>BE20+預測IC!BG24</f>
        <v>2.1968341751641696E-2</v>
      </c>
      <c r="BG20" s="11">
        <f>BF20+預測IC!BH24</f>
        <v>6.7616727846129571E-2</v>
      </c>
      <c r="BH20" s="11">
        <f>BG20+預測IC!BI24</f>
        <v>0.13206940824393121</v>
      </c>
      <c r="BI20" s="11">
        <f>BH20+預測IC!BJ24</f>
        <v>0.15487832824873032</v>
      </c>
      <c r="BJ20" s="11">
        <f>BI20+預測IC!BK24</f>
        <v>0.18748406552294491</v>
      </c>
      <c r="BK20" s="11">
        <f>BJ20+預測IC!BL24</f>
        <v>0.2759228407007297</v>
      </c>
      <c r="BL20" s="11">
        <f>BK20+預測IC!BM24</f>
        <v>0.2429371784906226</v>
      </c>
      <c r="BM20" s="11">
        <f>BL20+預測IC!BN24</f>
        <v>0.16033247758330554</v>
      </c>
      <c r="BN20" s="11">
        <f>BM20+預測IC!BO24</f>
        <v>0.14547341072875264</v>
      </c>
      <c r="BO20" s="11">
        <f>BN20+預測IC!BP24</f>
        <v>0.24685350311773624</v>
      </c>
      <c r="BP20" s="11">
        <f>BO20+預測IC!BQ24</f>
        <v>0.17848349535178037</v>
      </c>
      <c r="BQ20" s="11">
        <f>BP20+預測IC!BR24</f>
        <v>-8.4669913227161664E-4</v>
      </c>
      <c r="BR20" s="11">
        <f>BQ20+預測IC!BS24</f>
        <v>-0.28733883333201082</v>
      </c>
      <c r="BS20" s="11">
        <f>BR20+預測IC!BT24</f>
        <v>-0.36429007101056327</v>
      </c>
      <c r="BT20" s="11">
        <f>BS20+預測IC!BU24</f>
        <v>-0.37534188191463425</v>
      </c>
      <c r="BU20" s="11">
        <f>BT20+預測IC!BV24</f>
        <v>-0.46726547723449063</v>
      </c>
      <c r="BV20" s="11">
        <f>BU20+預測IC!BW24</f>
        <v>-0.31783121074497844</v>
      </c>
      <c r="BW20" s="11">
        <f>BV20+預測IC!BX24</f>
        <v>-0.32793866397210464</v>
      </c>
      <c r="BX20" s="11">
        <f>BW20+預測IC!BY24</f>
        <v>-0.22179595107402383</v>
      </c>
      <c r="BY20" s="11">
        <f>BX20+預測IC!BZ24</f>
        <v>-0.49341479786405185</v>
      </c>
      <c r="BZ20" s="11">
        <f>BY20+預測IC!CA24</f>
        <v>-0.47564014419837852</v>
      </c>
      <c r="CA20" s="11">
        <f>BZ20+預測IC!CB24</f>
        <v>-0.48819407059253922</v>
      </c>
      <c r="CB20" s="11">
        <f>CA20+預測IC!CC24</f>
        <v>-0.58399179830854042</v>
      </c>
      <c r="CC20" s="11">
        <f>CB20+預測IC!CD24</f>
        <v>-0.60176056288676427</v>
      </c>
      <c r="CD20" s="11">
        <f>CC20+預測IC!CE24</f>
        <v>-0.59378646082315734</v>
      </c>
      <c r="CE20" s="11">
        <f>CD20+預測IC!CF24</f>
        <v>-0.64870697566322177</v>
      </c>
      <c r="CF20" s="11">
        <f>CE20+預測IC!CG24</f>
        <v>-0.47130340160328665</v>
      </c>
      <c r="CG20" s="11">
        <f>CF20+預測IC!CH24</f>
        <v>-0.69878787199303316</v>
      </c>
      <c r="CH20" s="11">
        <f>CG20+預測IC!CI24</f>
        <v>-0.63008479586514254</v>
      </c>
      <c r="CI20" s="11">
        <f>CH20+預測IC!CJ24</f>
        <v>-0.44322895562539794</v>
      </c>
      <c r="CJ20" s="11">
        <f>CI20+預測IC!CK24</f>
        <v>-0.58019722968886689</v>
      </c>
      <c r="CK20" s="11">
        <f>CJ20+預測IC!CL24</f>
        <v>-0.73023739782583486</v>
      </c>
      <c r="CL20" s="11">
        <f>CK20+預測IC!CM24</f>
        <v>-0.89452723110799326</v>
      </c>
      <c r="CM20" s="11">
        <f>CL20+預測IC!CN24</f>
        <v>-1.1980938288524594</v>
      </c>
      <c r="CN20" s="11">
        <f>CM20+預測IC!CO24</f>
        <v>-0.89117157163731042</v>
      </c>
      <c r="CO20" s="11">
        <f>CN20+預測IC!CP24</f>
        <v>-0.96960942268147221</v>
      </c>
      <c r="CP20" s="11">
        <f>CO20+預測IC!CQ24</f>
        <v>-0.99619118629719849</v>
      </c>
      <c r="CQ20" s="11">
        <f>CP20+預測IC!CR24</f>
        <v>-1.2318038205807045</v>
      </c>
      <c r="CR20" s="11">
        <f>CQ20+預測IC!CS24</f>
        <v>-1.4624940273923059</v>
      </c>
      <c r="CS20" s="11">
        <f>CR20+預測IC!CT24</f>
        <v>-1.4661847804797197</v>
      </c>
      <c r="CT20" s="11">
        <f>CS20+預測IC!CU24</f>
        <v>-1.4326336996519162</v>
      </c>
      <c r="CU20" s="11">
        <f>CT20+預測IC!CV24</f>
        <v>-1.496896041854338</v>
      </c>
      <c r="CV20" s="11">
        <f>CU20+預測IC!CW24</f>
        <v>-1.5072364161387413</v>
      </c>
      <c r="CW20" s="11">
        <f>CV20+預測IC!CX24</f>
        <v>-1.4714072525772739</v>
      </c>
      <c r="CX20" s="11">
        <f>CW20+預測IC!CY24</f>
        <v>-1.3059087386865109</v>
      </c>
      <c r="CY20" s="11">
        <f>CX20+預測IC!CZ24</f>
        <v>-1.408487206007063</v>
      </c>
      <c r="CZ20" s="11">
        <f>CY20+預測IC!DA24</f>
        <v>-1.2376528699819256</v>
      </c>
      <c r="DA20" s="11">
        <f>CZ20+預測IC!DB24</f>
        <v>-1.2366794731872011</v>
      </c>
      <c r="DB20" s="11">
        <f>DA20+預測IC!DC24</f>
        <v>-1.1949193341628808</v>
      </c>
      <c r="DC20" s="11">
        <f>DB20+預測IC!DD24</f>
        <v>-1.3445316743537947</v>
      </c>
      <c r="DD20" s="11">
        <f>DC20+預測IC!DE24</f>
        <v>-1.3588547071177384</v>
      </c>
      <c r="DE20" s="11">
        <f>DD20+預測IC!DF24</f>
        <v>-1.4546109477780904</v>
      </c>
      <c r="DF20" s="11">
        <f>DE20+預測IC!DG24</f>
        <v>-1.4967009233519519</v>
      </c>
      <c r="DG20" s="11">
        <f>DF20+預測IC!DH24</f>
        <v>-1.4738018819747263</v>
      </c>
      <c r="DH20" s="11">
        <f>DG20+預測IC!DI24</f>
        <v>-1.455105648559504</v>
      </c>
      <c r="DI20" s="11">
        <f>DH20+預測IC!DJ24</f>
        <v>-1.3883296938248675</v>
      </c>
      <c r="DJ20" s="11">
        <f>DI20+預測IC!DK24</f>
        <v>-1.5191613128441592</v>
      </c>
      <c r="DK20" s="11">
        <f>DJ20+預測IC!DL24</f>
        <v>-1.5972733210287979</v>
      </c>
      <c r="DL20" s="11">
        <f>DK20+預測IC!DM24</f>
        <v>-1.5825381420526945</v>
      </c>
      <c r="DM20" s="11">
        <f>DL20+預測IC!DN24</f>
        <v>-1.3422298495948948</v>
      </c>
      <c r="DN20" s="11">
        <f>DM20+預測IC!DO24</f>
        <v>-1.5258560768125677</v>
      </c>
      <c r="DO20" s="11">
        <f>DN20+預測IC!DP24</f>
        <v>-1.4740379558019983</v>
      </c>
      <c r="DP20" s="11">
        <f>DO20+預測IC!DQ24</f>
        <v>-1.3863720831010429</v>
      </c>
      <c r="DQ20" s="11">
        <f>DP20+預測IC!DR24</f>
        <v>-1.2404677798309607</v>
      </c>
      <c r="DR20" s="11">
        <f>DQ20+預測IC!DS24</f>
        <v>-1.1174210192594178</v>
      </c>
      <c r="DS20" s="11">
        <f>DR20+預測IC!DT24</f>
        <v>-1.0236101688835844</v>
      </c>
      <c r="DT20" s="11">
        <f>DS20+預測IC!DU24</f>
        <v>-0.83811669114891041</v>
      </c>
      <c r="DU20" s="11">
        <f>DT20+預測IC!DV24</f>
        <v>-0.70879185138291789</v>
      </c>
      <c r="DV20" s="11">
        <f>DU20+預測IC!DW24</f>
        <v>-0.34245691074938561</v>
      </c>
      <c r="DW20" s="11">
        <f>DV20+預測IC!DX24</f>
        <v>-0.56956331184032394</v>
      </c>
      <c r="DX20" s="11">
        <f>DW20+預測IC!DY24</f>
        <v>-0.63463523139864364</v>
      </c>
      <c r="DY20" s="11">
        <f>DX20+預測IC!DZ24</f>
        <v>-0.41375806713176921</v>
      </c>
      <c r="DZ20" s="11">
        <f>DY20+預測IC!EA24</f>
        <v>-0.24744410295855851</v>
      </c>
      <c r="EA20" s="11">
        <f>DZ20+預測IC!EB24</f>
        <v>-0.17421094711805418</v>
      </c>
      <c r="EB20" s="11">
        <f>EA20+預測IC!EC24</f>
        <v>1.1346030906258214E-2</v>
      </c>
      <c r="EC20" s="11">
        <f>EB20+預測IC!ED24</f>
        <v>0.36458246380411641</v>
      </c>
      <c r="ED20" s="11">
        <f>EC20+預測IC!EE24</f>
        <v>0.39522537296151716</v>
      </c>
      <c r="EE20" s="11">
        <f>ED20+預測IC!EF24</f>
        <v>0.40042173106258433</v>
      </c>
    </row>
    <row r="21" spans="1:136" ht="16" customHeight="1">
      <c r="A21" s="6" t="s">
        <v>251</v>
      </c>
      <c r="B21" s="2">
        <v>-0.14698994176607941</v>
      </c>
      <c r="C21" s="11">
        <f>B21+預測IC!D25</f>
        <v>-8.4124515156109053E-2</v>
      </c>
      <c r="D21" s="11">
        <f>C21+預測IC!E25</f>
        <v>4.0559028274999451E-2</v>
      </c>
      <c r="E21" s="11">
        <f>D21+預測IC!F25</f>
        <v>4.2532442099199402E-2</v>
      </c>
      <c r="F21" s="11">
        <f>E21+預測IC!G25</f>
        <v>3.6585304481887126E-2</v>
      </c>
      <c r="G21" s="11">
        <f>F21+預測IC!H25</f>
        <v>2.8212271236950498E-3</v>
      </c>
      <c r="H21" s="11">
        <f>G21+預測IC!I25</f>
        <v>4.1635387241029179E-2</v>
      </c>
      <c r="I21" s="11">
        <f>H21+預測IC!J25</f>
        <v>0.11665978039671905</v>
      </c>
      <c r="J21" s="11">
        <f>I21+預測IC!K25</f>
        <v>0.20299866353910678</v>
      </c>
      <c r="K21" s="11">
        <f>J21+預測IC!L25</f>
        <v>0.17337293068255885</v>
      </c>
      <c r="L21" s="11">
        <f>K21+預測IC!M25</f>
        <v>0.51486702391719175</v>
      </c>
      <c r="M21" s="11">
        <f>L21+預測IC!N25</f>
        <v>0.36787708215111237</v>
      </c>
      <c r="N21" s="11">
        <f>M21+預測IC!O25</f>
        <v>0.36439322369590771</v>
      </c>
      <c r="O21" s="11">
        <f>N21+預測IC!P25</f>
        <v>0.49832468616961523</v>
      </c>
      <c r="P21" s="11">
        <f>O21+預測IC!Q25</f>
        <v>0.47970116446731254</v>
      </c>
      <c r="Q21" s="11">
        <f>P21+預測IC!R25</f>
        <v>0.6764659792313783</v>
      </c>
      <c r="R21" s="11">
        <f>Q21+預測IC!S25</f>
        <v>0.63961590404866675</v>
      </c>
      <c r="S21" s="11">
        <f>R21+預測IC!T25</f>
        <v>0.6871510263353745</v>
      </c>
      <c r="T21" s="11">
        <f>S21+預測IC!U25</f>
        <v>0.46776680499632539</v>
      </c>
      <c r="U21" s="11">
        <f>T21+預測IC!V25</f>
        <v>0.44788104464014572</v>
      </c>
      <c r="V21" s="11">
        <f>U21+預測IC!W25</f>
        <v>0.38041286260533103</v>
      </c>
      <c r="W21" s="11">
        <f>V21+預測IC!X25</f>
        <v>0.87187443439494061</v>
      </c>
      <c r="X21" s="11">
        <f>W21+預測IC!Y25</f>
        <v>0.84219295020101681</v>
      </c>
      <c r="Y21" s="11">
        <f>X21+預測IC!Z25</f>
        <v>0.93436817968655694</v>
      </c>
      <c r="Z21" s="11">
        <f>Y21+預測IC!AA25</f>
        <v>1.0028899457305835</v>
      </c>
      <c r="AA21" s="11">
        <f>Z21+預測IC!AB25</f>
        <v>0.73053902392172987</v>
      </c>
      <c r="AB21" s="11">
        <f>AA21+預測IC!AC25</f>
        <v>0.67205876998369052</v>
      </c>
      <c r="AC21" s="11">
        <f>AB21+預測IC!AD25</f>
        <v>0.50871076084640343</v>
      </c>
      <c r="AD21" s="11">
        <f>AC21+預測IC!AE25</f>
        <v>0.56403159842325024</v>
      </c>
      <c r="AE21" s="11">
        <f>AD21+預測IC!AF25</f>
        <v>0.38609137079651773</v>
      </c>
      <c r="AF21" s="11">
        <f>AE21+預測IC!AG25</f>
        <v>0.42454687890947523</v>
      </c>
      <c r="AG21" s="11">
        <f>AF21+預測IC!AH25</f>
        <v>0.40141952257360475</v>
      </c>
      <c r="AH21" s="11">
        <f>AG21+預測IC!AI25</f>
        <v>0.16481154778945606</v>
      </c>
      <c r="AI21" s="11">
        <f>AH21+預測IC!AJ25</f>
        <v>0.27782391375936427</v>
      </c>
      <c r="AJ21" s="11">
        <f>AI21+預測IC!AK25</f>
        <v>0.33295649358242618</v>
      </c>
      <c r="AK21" s="11">
        <f>AJ21+預測IC!AL25</f>
        <v>0.39748074170905667</v>
      </c>
      <c r="AL21" s="11">
        <f>AK21+預測IC!AM25</f>
        <v>0.53072276611112112</v>
      </c>
      <c r="AM21" s="11">
        <f>AL21+預測IC!AN25</f>
        <v>0.60354920048009997</v>
      </c>
      <c r="AN21" s="11">
        <f>AM21+預測IC!AO25</f>
        <v>0.36663486009148516</v>
      </c>
      <c r="AO21" s="11">
        <f>AN21+預測IC!AP25</f>
        <v>0.35016526703892498</v>
      </c>
      <c r="AP21" s="11">
        <f>AO21+預測IC!AQ25</f>
        <v>0.33352690832078408</v>
      </c>
      <c r="AQ21" s="11">
        <f>AP21+預測IC!AR25</f>
        <v>3.3066774494885265E-2</v>
      </c>
      <c r="AR21" s="11">
        <f>AQ21+預測IC!AS25</f>
        <v>6.6080703451088074E-2</v>
      </c>
      <c r="AS21" s="11">
        <f>AR21+預測IC!AT25</f>
        <v>-0.38762088621688534</v>
      </c>
      <c r="AT21" s="11">
        <f>AS21+預測IC!AU25</f>
        <v>-0.46411525734010683</v>
      </c>
      <c r="AU21" s="11">
        <f>AT21+預測IC!AV25</f>
        <v>-0.54885842358131809</v>
      </c>
      <c r="AV21" s="11">
        <f>AU21+預測IC!AW25</f>
        <v>-0.54791980213007008</v>
      </c>
      <c r="AW21" s="11">
        <f>AV21+預測IC!AX25</f>
        <v>-0.37117442789010008</v>
      </c>
      <c r="AX21" s="11">
        <f>AW21+預測IC!AY25</f>
        <v>-0.12511887627205068</v>
      </c>
      <c r="AY21" s="11">
        <f>AX21+預測IC!AZ25</f>
        <v>-0.23614903975823076</v>
      </c>
      <c r="AZ21" s="11">
        <f>AY21+預測IC!BA25</f>
        <v>-0.41935108150086986</v>
      </c>
      <c r="BA21" s="11">
        <f>AZ21+預測IC!BB25</f>
        <v>-0.82459694158388452</v>
      </c>
      <c r="BB21" s="11">
        <f>BA21+預測IC!BC25</f>
        <v>-0.83050764309562708</v>
      </c>
      <c r="BC21" s="11">
        <f>BB21+預測IC!BD25</f>
        <v>-0.71329045712827654</v>
      </c>
      <c r="BD21" s="11">
        <f>BC21+預測IC!BE25</f>
        <v>-0.68329055175746434</v>
      </c>
      <c r="BE21" s="11">
        <f>BD21+預測IC!BF25</f>
        <v>-0.77146775524374134</v>
      </c>
      <c r="BF21" s="11">
        <f>BE21+預測IC!BG25</f>
        <v>-0.42932144401136951</v>
      </c>
      <c r="BG21" s="11">
        <f>BF21+預測IC!BH25</f>
        <v>-0.41858828029440126</v>
      </c>
      <c r="BH21" s="11">
        <f>BG21+預測IC!BI25</f>
        <v>-0.48207537980896042</v>
      </c>
      <c r="BI21" s="11">
        <f>BH21+預測IC!BJ25</f>
        <v>-0.54819734753283733</v>
      </c>
      <c r="BJ21" s="11">
        <f>BI21+預測IC!BK25</f>
        <v>-0.48669254272737705</v>
      </c>
      <c r="BK21" s="11">
        <f>BJ21+預測IC!BL25</f>
        <v>-0.45248886388463427</v>
      </c>
      <c r="BL21" s="11">
        <f>BK21+預測IC!BM25</f>
        <v>-0.49564179842301559</v>
      </c>
      <c r="BM21" s="11">
        <f>BL21+預測IC!BN25</f>
        <v>-0.4640871766645982</v>
      </c>
      <c r="BN21" s="11">
        <f>BM21+預測IC!BO25</f>
        <v>-0.58450292947447924</v>
      </c>
      <c r="BO21" s="11">
        <f>BN21+預測IC!BP25</f>
        <v>-0.34637625239730008</v>
      </c>
      <c r="BP21" s="11">
        <f>BO21+預測IC!BQ25</f>
        <v>-0.44496924668070992</v>
      </c>
      <c r="BQ21" s="11">
        <f>BP21+預測IC!BR25</f>
        <v>-0.55675736550382371</v>
      </c>
      <c r="BR21" s="11">
        <f>BQ21+預測IC!BS25</f>
        <v>-0.62971466694608846</v>
      </c>
      <c r="BS21" s="11">
        <f>BR21+預測IC!BT25</f>
        <v>-0.68608514329428572</v>
      </c>
      <c r="BT21" s="11">
        <f>BS21+預測IC!BU25</f>
        <v>-0.75179781622356967</v>
      </c>
      <c r="BU21" s="11">
        <f>BT21+預測IC!BV25</f>
        <v>-0.88743591306922043</v>
      </c>
      <c r="BV21" s="11">
        <f>BU21+預測IC!BW25</f>
        <v>-0.7814789023670673</v>
      </c>
      <c r="BW21" s="11">
        <f>BV21+預測IC!BX25</f>
        <v>-0.74444774446163264</v>
      </c>
      <c r="BX21" s="11">
        <f>BW21+預測IC!BY25</f>
        <v>-0.61865137989973484</v>
      </c>
      <c r="BY21" s="11">
        <f>BX21+預測IC!BZ25</f>
        <v>-0.76427016247182677</v>
      </c>
      <c r="BZ21" s="11">
        <f>BY21+預測IC!CA25</f>
        <v>-0.75539167582501821</v>
      </c>
      <c r="CA21" s="11">
        <f>BZ21+預測IC!CB25</f>
        <v>-0.70656958323790608</v>
      </c>
      <c r="CB21" s="11">
        <f>CA21+預測IC!CC25</f>
        <v>-0.77805072849369494</v>
      </c>
      <c r="CC21" s="11">
        <f>CB21+預測IC!CD25</f>
        <v>-0.82450213276092776</v>
      </c>
      <c r="CD21" s="11">
        <f>CC21+預測IC!CE25</f>
        <v>-0.78760744728646148</v>
      </c>
      <c r="CE21" s="11">
        <f>CD21+預測IC!CF25</f>
        <v>-0.7894750403229871</v>
      </c>
      <c r="CF21" s="11">
        <f>CE21+預測IC!CG25</f>
        <v>-0.94419248035665071</v>
      </c>
      <c r="CG21" s="11">
        <f>CF21+預測IC!CH25</f>
        <v>-1.2560354915046246</v>
      </c>
      <c r="CH21" s="11">
        <f>CG21+預測IC!CI25</f>
        <v>-1.1949968096960975</v>
      </c>
      <c r="CI21" s="11">
        <f>CH21+預測IC!CJ25</f>
        <v>-0.94149881205202135</v>
      </c>
      <c r="CJ21" s="11">
        <f>CI21+預測IC!CK25</f>
        <v>-1.0688320415183536</v>
      </c>
      <c r="CK21" s="11">
        <f>CJ21+預測IC!CL25</f>
        <v>-1.1361500705367271</v>
      </c>
      <c r="CL21" s="11">
        <f>CK21+預測IC!CM25</f>
        <v>-1.3284901625107932</v>
      </c>
      <c r="CM21" s="11">
        <f>CL21+預測IC!CN25</f>
        <v>-1.5693677362278307</v>
      </c>
      <c r="CN21" s="11">
        <f>CM21+預測IC!CO25</f>
        <v>-1.2103527211733809</v>
      </c>
      <c r="CO21" s="11">
        <f>CN21+預測IC!CP25</f>
        <v>-1.2008216483450793</v>
      </c>
      <c r="CP21" s="11">
        <f>CO21+預測IC!CQ25</f>
        <v>-1.4039263880973425</v>
      </c>
      <c r="CQ21" s="11">
        <f>CP21+預測IC!CR25</f>
        <v>-1.6024513313894948</v>
      </c>
      <c r="CR21" s="11">
        <f>CQ21+預測IC!CS25</f>
        <v>-1.9007574945096579</v>
      </c>
      <c r="CS21" s="11">
        <f>CR21+預測IC!CT25</f>
        <v>-1.8574033466168594</v>
      </c>
      <c r="CT21" s="11">
        <f>CS21+預測IC!CU25</f>
        <v>-1.777721025434732</v>
      </c>
      <c r="CU21" s="11">
        <f>CT21+預測IC!CV25</f>
        <v>-1.8586555190367096</v>
      </c>
      <c r="CV21" s="11">
        <f>CU21+預測IC!CW25</f>
        <v>-1.868415570186724</v>
      </c>
      <c r="CW21" s="11">
        <f>CV21+預測IC!CX25</f>
        <v>-1.8416868242496427</v>
      </c>
      <c r="CX21" s="11">
        <f>CW21+預測IC!CY25</f>
        <v>-1.5696349307385551</v>
      </c>
      <c r="CY21" s="11">
        <f>CX21+預測IC!CZ25</f>
        <v>-1.6425467806179588</v>
      </c>
      <c r="CZ21" s="11">
        <f>CY21+預測IC!DA25</f>
        <v>-1.3229004517406135</v>
      </c>
      <c r="DA21" s="11">
        <f>CZ21+預測IC!DB25</f>
        <v>-1.2455676279307444</v>
      </c>
      <c r="DB21" s="11">
        <f>DA21+預測IC!DC25</f>
        <v>-1.225421260286931</v>
      </c>
      <c r="DC21" s="11">
        <f>DB21+預測IC!DD25</f>
        <v>-1.4619105002596524</v>
      </c>
      <c r="DD21" s="11">
        <f>DC21+預測IC!DE25</f>
        <v>-1.4808427587420858</v>
      </c>
      <c r="DE21" s="11">
        <f>DD21+預測IC!DF25</f>
        <v>-1.5718369412938564</v>
      </c>
      <c r="DF21" s="11">
        <f>DE21+預測IC!DG25</f>
        <v>-1.5962257088235003</v>
      </c>
      <c r="DG21" s="11">
        <f>DF21+預測IC!DH25</f>
        <v>-1.5569831435745802</v>
      </c>
      <c r="DH21" s="11">
        <f>DG21+預測IC!DI25</f>
        <v>-1.6563409064709522</v>
      </c>
      <c r="DI21" s="11">
        <f>DH21+預測IC!DJ25</f>
        <v>-1.6071351428962677</v>
      </c>
      <c r="DJ21" s="11">
        <f>DI21+預測IC!DK25</f>
        <v>-1.7364863045981895</v>
      </c>
      <c r="DK21" s="11">
        <f>DJ21+預測IC!DL25</f>
        <v>-1.8907277775279521</v>
      </c>
      <c r="DL21" s="11">
        <f>DK21+預測IC!DM25</f>
        <v>-1.8472703175602185</v>
      </c>
      <c r="DM21" s="11">
        <f>DL21+預測IC!DN25</f>
        <v>-1.5635244169640672</v>
      </c>
      <c r="DN21" s="11">
        <f>DM21+預測IC!DO25</f>
        <v>-1.7598899980750378</v>
      </c>
      <c r="DO21" s="11">
        <f>DN21+預測IC!DP25</f>
        <v>-1.8703389049615105</v>
      </c>
      <c r="DP21" s="11">
        <f>DO21+預測IC!DQ25</f>
        <v>-1.8507793040950105</v>
      </c>
      <c r="DQ21" s="11">
        <f>DP21+預測IC!DR25</f>
        <v>-1.5966305509100298</v>
      </c>
      <c r="DR21" s="11">
        <f>DQ21+預測IC!DS25</f>
        <v>-1.3623046401757848</v>
      </c>
      <c r="DS21" s="11">
        <f>DR21+預測IC!DT25</f>
        <v>-1.3083051823184795</v>
      </c>
      <c r="DT21" s="11">
        <f>DS21+預測IC!DU25</f>
        <v>-0.92555091212375062</v>
      </c>
      <c r="DU21" s="11">
        <f>DT21+預測IC!DV25</f>
        <v>-0.80037687635699162</v>
      </c>
      <c r="DV21" s="11">
        <f>DU21+預測IC!DW25</f>
        <v>-0.19776720549445448</v>
      </c>
      <c r="DW21" s="11">
        <f>DV21+預測IC!DX25</f>
        <v>-0.52411607210161892</v>
      </c>
      <c r="DX21" s="11">
        <f>DW21+預測IC!DY25</f>
        <v>-0.61431587185536873</v>
      </c>
      <c r="DY21" s="11">
        <f>DX21+預測IC!DZ25</f>
        <v>-0.42792987231742385</v>
      </c>
      <c r="DZ21" s="11">
        <f>DY21+預測IC!EA25</f>
        <v>-0.21420176579312106</v>
      </c>
      <c r="EA21" s="11">
        <f>DZ21+預測IC!EB25</f>
        <v>-0.1596769924131172</v>
      </c>
      <c r="EB21" s="11">
        <f>EA21+預測IC!EC25</f>
        <v>-0.22602715734449952</v>
      </c>
      <c r="EC21" s="11">
        <f>EB21+預測IC!ED25</f>
        <v>0.21100074951234049</v>
      </c>
      <c r="ED21" s="11">
        <f>EC21+預測IC!EE25</f>
        <v>0.29265977258938397</v>
      </c>
      <c r="EE21" s="11">
        <f>ED21+預測IC!EF25</f>
        <v>0.28370503970374289</v>
      </c>
    </row>
    <row r="22" spans="1:136" ht="16" customHeight="1">
      <c r="A22" s="6" t="s">
        <v>252</v>
      </c>
      <c r="B22" s="2">
        <v>-0.25797044854899692</v>
      </c>
      <c r="C22" s="11">
        <f>B22+預測IC!D26</f>
        <v>-0.12746023713635543</v>
      </c>
      <c r="D22" s="11">
        <f>C22+預測IC!E26</f>
        <v>-0.19510271628499676</v>
      </c>
      <c r="E22" s="11">
        <f>D22+預測IC!F26</f>
        <v>-0.15136217184190764</v>
      </c>
      <c r="F22" s="11">
        <f>E22+預測IC!G26</f>
        <v>-4.7256688545218445E-2</v>
      </c>
      <c r="G22" s="11">
        <f>F22+預測IC!H26</f>
        <v>-0.18232182310531145</v>
      </c>
      <c r="H22" s="11">
        <f>G22+預測IC!I26</f>
        <v>-0.28530865123939725</v>
      </c>
      <c r="I22" s="11">
        <f>H22+預測IC!J26</f>
        <v>2.1548664842885645E-2</v>
      </c>
      <c r="J22" s="11">
        <f>I22+預測IC!K26</f>
        <v>3.8498824212293004E-2</v>
      </c>
      <c r="K22" s="11">
        <f>J22+預測IC!L26</f>
        <v>-2.3022790035342043E-2</v>
      </c>
      <c r="L22" s="11">
        <f>K22+預測IC!M26</f>
        <v>0.32189464565814385</v>
      </c>
      <c r="M22" s="11">
        <f>L22+預測IC!N26</f>
        <v>6.392419710914693E-2</v>
      </c>
      <c r="N22" s="11">
        <f>M22+預測IC!O26</f>
        <v>4.844515742668809E-4</v>
      </c>
      <c r="O22" s="11">
        <f>N22+預測IC!P26</f>
        <v>0.20953357912495338</v>
      </c>
      <c r="P22" s="11">
        <f>O22+預測IC!Q26</f>
        <v>0.18520147846542284</v>
      </c>
      <c r="Q22" s="11">
        <f>P22+預測IC!R26</f>
        <v>0.47698262218442772</v>
      </c>
      <c r="R22" s="11">
        <f>Q22+預測IC!S26</f>
        <v>0.2783747358435994</v>
      </c>
      <c r="S22" s="11">
        <f>R22+預測IC!T26</f>
        <v>0.39228076670111767</v>
      </c>
      <c r="T22" s="11">
        <f>S22+預測IC!U26</f>
        <v>0.22308388065274598</v>
      </c>
      <c r="U22" s="11">
        <f>T22+預測IC!V26</f>
        <v>0.45371168479339874</v>
      </c>
      <c r="V22" s="11">
        <f>U22+預測IC!W26</f>
        <v>0.36510798170077413</v>
      </c>
      <c r="W22" s="11">
        <f>V22+預測IC!X26</f>
        <v>1.0212689767611625</v>
      </c>
      <c r="X22" s="11">
        <f>W22+預測IC!Y26</f>
        <v>1.0070476640380863</v>
      </c>
      <c r="Y22" s="11">
        <f>X22+預測IC!Z26</f>
        <v>1.3276661761300694</v>
      </c>
      <c r="Z22" s="11">
        <f>Y22+預測IC!AA26</f>
        <v>1.384992164331533</v>
      </c>
      <c r="AA22" s="11">
        <f>Z22+預測IC!AB26</f>
        <v>1.1931943433799228</v>
      </c>
      <c r="AB22" s="11">
        <f>AA22+預測IC!AC26</f>
        <v>1.0923687611445012</v>
      </c>
      <c r="AC22" s="11">
        <f>AB22+預測IC!AD26</f>
        <v>1.0479320326634662</v>
      </c>
      <c r="AD22" s="11">
        <f>AC22+預測IC!AE26</f>
        <v>1.2590896586608964</v>
      </c>
      <c r="AE22" s="11">
        <f>AD22+預測IC!AF26</f>
        <v>1.2008097038037158</v>
      </c>
      <c r="AF22" s="11">
        <f>AE22+預測IC!AG26</f>
        <v>0.88959253157474349</v>
      </c>
      <c r="AG22" s="11">
        <f>AF22+預測IC!AH26</f>
        <v>1.0128858907278218</v>
      </c>
      <c r="AH22" s="11">
        <f>AG22+預測IC!AI26</f>
        <v>0.75514590401390103</v>
      </c>
      <c r="AI22" s="11">
        <f>AH22+預測IC!AJ26</f>
        <v>0.88188443225228696</v>
      </c>
      <c r="AJ22" s="11">
        <f>AI22+預測IC!AK26</f>
        <v>1.0873041637490009</v>
      </c>
      <c r="AK22" s="11">
        <f>AJ22+預測IC!AL26</f>
        <v>1.0212619231300872</v>
      </c>
      <c r="AL22" s="11">
        <f>AK22+預測IC!AM26</f>
        <v>1.1795011816644851</v>
      </c>
      <c r="AM22" s="11">
        <f>AL22+預測IC!AN26</f>
        <v>1.2715331337665423</v>
      </c>
      <c r="AN22" s="11">
        <f>AM22+預測IC!AO26</f>
        <v>0.94164260032530234</v>
      </c>
      <c r="AO22" s="11">
        <f>AN22+預測IC!AP26</f>
        <v>0.88316266128868071</v>
      </c>
      <c r="AP22" s="11">
        <f>AO22+預測IC!AQ26</f>
        <v>0.86198545332558285</v>
      </c>
      <c r="AQ22" s="11">
        <f>AP22+預測IC!AR26</f>
        <v>0.43986117407316244</v>
      </c>
      <c r="AR22" s="11">
        <f>AQ22+預測IC!AS26</f>
        <v>0.62377306535516042</v>
      </c>
      <c r="AS22" s="11">
        <f>AR22+預測IC!AT26</f>
        <v>-0.24610562475453013</v>
      </c>
      <c r="AT22" s="11">
        <f>AS22+預測IC!AU26</f>
        <v>-0.48087163623993356</v>
      </c>
      <c r="AU22" s="11">
        <f>AT22+預測IC!AV26</f>
        <v>-0.58903327417747164</v>
      </c>
      <c r="AV22" s="11">
        <f>AU22+預測IC!AW26</f>
        <v>-0.47338161244151067</v>
      </c>
      <c r="AW22" s="11">
        <f>AV22+預測IC!AX26</f>
        <v>-0.20081631407877609</v>
      </c>
      <c r="AX22" s="11">
        <f>AW22+預測IC!AY26</f>
        <v>0.40254382026315649</v>
      </c>
      <c r="AY22" s="11">
        <f>AX22+預測IC!AZ26</f>
        <v>0.34113519213451282</v>
      </c>
      <c r="AZ22" s="11">
        <f>AY22+預測IC!BA26</f>
        <v>-9.0827774611647705E-2</v>
      </c>
      <c r="BA22" s="11">
        <f>AZ22+預測IC!BB26</f>
        <v>-0.17836173203052821</v>
      </c>
      <c r="BB22" s="11">
        <f>BA22+預測IC!BC26</f>
        <v>-4.6451575529927708E-2</v>
      </c>
      <c r="BC22" s="11">
        <f>BB22+預測IC!BD26</f>
        <v>0.13759701891548748</v>
      </c>
      <c r="BD22" s="11">
        <f>BC22+預測IC!BE26</f>
        <v>0.20673905392966138</v>
      </c>
      <c r="BE22" s="11">
        <f>BD22+預測IC!BF26</f>
        <v>-3.7941582528932205E-2</v>
      </c>
      <c r="BF22" s="11">
        <f>BE22+預測IC!BG26</f>
        <v>0.5264929257194112</v>
      </c>
      <c r="BG22" s="11">
        <f>BF22+預測IC!BH26</f>
        <v>0.73493624616102404</v>
      </c>
      <c r="BH22" s="11">
        <f>BG22+預測IC!BI26</f>
        <v>0.62151931667553373</v>
      </c>
      <c r="BI22" s="11">
        <f>BH22+預測IC!BJ26</f>
        <v>0.46258092454048849</v>
      </c>
      <c r="BJ22" s="11">
        <f>BI22+預測IC!BK26</f>
        <v>0.56071828405353541</v>
      </c>
      <c r="BK22" s="11">
        <f>BJ22+預測IC!BL26</f>
        <v>0.49477558875020483</v>
      </c>
      <c r="BL22" s="11">
        <f>BK22+預測IC!BM26</f>
        <v>0.45104962624388029</v>
      </c>
      <c r="BM22" s="11">
        <f>BL22+預測IC!BN26</f>
        <v>0.4251775364182851</v>
      </c>
      <c r="BN22" s="11">
        <f>BM22+預測IC!BO26</f>
        <v>0.29120917634088428</v>
      </c>
      <c r="BO22" s="11">
        <f>BN22+預測IC!BP26</f>
        <v>0.6100912072353647</v>
      </c>
      <c r="BP22" s="11">
        <f>BO22+預測IC!BQ26</f>
        <v>0.56712602718197114</v>
      </c>
      <c r="BQ22" s="11">
        <f>BP22+預測IC!BR26</f>
        <v>0.41802050768056553</v>
      </c>
      <c r="BR22" s="11">
        <f>BQ22+預測IC!BS26</f>
        <v>0.41781021300437649</v>
      </c>
      <c r="BS22" s="11">
        <f>BR22+預測IC!BT26</f>
        <v>0.3953460185349052</v>
      </c>
      <c r="BT22" s="11">
        <f>BS22+預測IC!BU26</f>
        <v>0.22460674939055661</v>
      </c>
      <c r="BU22" s="11">
        <f>BT22+預測IC!BV26</f>
        <v>0.344046311181533</v>
      </c>
      <c r="BV22" s="11">
        <f>BU22+預測IC!BW26</f>
        <v>0.32963453252022956</v>
      </c>
      <c r="BW22" s="11">
        <f>BV22+預測IC!BX26</f>
        <v>0.43492930411965136</v>
      </c>
      <c r="BX22" s="11">
        <f>BW22+預測IC!BY26</f>
        <v>0.73992590457231655</v>
      </c>
      <c r="BY22" s="11">
        <f>BX22+預測IC!BZ26</f>
        <v>0.6281344985841999</v>
      </c>
      <c r="BZ22" s="11">
        <f>BY22+預測IC!CA26</f>
        <v>0.63011948391242489</v>
      </c>
      <c r="CA22" s="11">
        <f>BZ22+預測IC!CB26</f>
        <v>0.5287824068644984</v>
      </c>
      <c r="CB22" s="11">
        <f>CA22+預測IC!CC26</f>
        <v>0.31996302502679896</v>
      </c>
      <c r="CC22" s="11">
        <f>CB22+預測IC!CD26</f>
        <v>0.31723939637327253</v>
      </c>
      <c r="CD22" s="11">
        <f>CC22+預測IC!CE26</f>
        <v>0.43518035740473582</v>
      </c>
      <c r="CE22" s="11">
        <f>CD22+預測IC!CF26</f>
        <v>0.4172599647052051</v>
      </c>
      <c r="CF22" s="11">
        <f>CE22+預測IC!CG26</f>
        <v>0.38857798352678324</v>
      </c>
      <c r="CG22" s="11">
        <f>CF22+預測IC!CH26</f>
        <v>0.28928667525073715</v>
      </c>
      <c r="CH22" s="11">
        <f>CG22+預測IC!CI26</f>
        <v>0.68389227518707507</v>
      </c>
      <c r="CI22" s="11">
        <f>CH22+預測IC!CJ26</f>
        <v>1.0269650677445505</v>
      </c>
      <c r="CJ22" s="11">
        <f>CI22+預測IC!CK26</f>
        <v>0.97823008359996344</v>
      </c>
      <c r="CK22" s="11">
        <f>CJ22+預測IC!CL26</f>
        <v>0.85355896877656279</v>
      </c>
      <c r="CL22" s="11">
        <f>CK22+預測IC!CM26</f>
        <v>0.63571116457992471</v>
      </c>
      <c r="CM22" s="11">
        <f>CL22+預測IC!CN26</f>
        <v>0.20477770275892132</v>
      </c>
      <c r="CN22" s="11">
        <f>CM22+預測IC!CO26</f>
        <v>0.77470867317098846</v>
      </c>
      <c r="CO22" s="11">
        <f>CN22+預測IC!CP26</f>
        <v>1.0406637218506203</v>
      </c>
      <c r="CP22" s="11">
        <f>CO22+預測IC!CQ26</f>
        <v>0.78177877971813325</v>
      </c>
      <c r="CQ22" s="11">
        <f>CP22+預測IC!CR26</f>
        <v>0.68533576755899117</v>
      </c>
      <c r="CR22" s="11">
        <f>CQ22+預測IC!CS26</f>
        <v>0.53996991728746579</v>
      </c>
      <c r="CS22" s="11">
        <f>CR22+預測IC!CT26</f>
        <v>0.6133097626220736</v>
      </c>
      <c r="CT22" s="11">
        <f>CS22+預測IC!CU26</f>
        <v>0.7340166614385456</v>
      </c>
      <c r="CU22" s="11">
        <f>CT22+預測IC!CV26</f>
        <v>0.59078709416212172</v>
      </c>
      <c r="CV22" s="11">
        <f>CU22+預測IC!CW26</f>
        <v>0.55374582248177262</v>
      </c>
      <c r="CW22" s="11">
        <f>CV22+預測IC!CX26</f>
        <v>0.56438536716619092</v>
      </c>
      <c r="CX22" s="11">
        <f>CW22+預測IC!CY26</f>
        <v>0.68688726564223346</v>
      </c>
      <c r="CY22" s="11">
        <f>CX22+預測IC!CZ26</f>
        <v>0.49603988450947067</v>
      </c>
      <c r="CZ22" s="11">
        <f>CY22+預測IC!DA26</f>
        <v>0.51830688674423087</v>
      </c>
      <c r="DA22" s="11">
        <f>CZ22+預測IC!DB26</f>
        <v>0.77922107995974721</v>
      </c>
      <c r="DB22" s="11">
        <f>DA22+預測IC!DC26</f>
        <v>0.72907576792512718</v>
      </c>
      <c r="DC22" s="11">
        <f>DB22+預測IC!DD26</f>
        <v>0.58062094553225974</v>
      </c>
      <c r="DD22" s="11">
        <f>DC22+預測IC!DE26</f>
        <v>0.59435178279676215</v>
      </c>
      <c r="DE22" s="11">
        <f>DD22+預測IC!DF26</f>
        <v>0.41215257622413964</v>
      </c>
      <c r="DF22" s="11">
        <f>DE22+預測IC!DG26</f>
        <v>0.26872452307223954</v>
      </c>
      <c r="DG22" s="11">
        <f>DF22+預測IC!DH26</f>
        <v>0.32408467603852203</v>
      </c>
      <c r="DH22" s="11">
        <f>DG22+預測IC!DI26</f>
        <v>0.13483686026545483</v>
      </c>
      <c r="DI22" s="11">
        <f>DH22+預測IC!DJ26</f>
        <v>0.17221290903037378</v>
      </c>
      <c r="DJ22" s="11">
        <f>DI22+預測IC!DK26</f>
        <v>-1.1721824877481107E-2</v>
      </c>
      <c r="DK22" s="11">
        <f>DJ22+預測IC!DL26</f>
        <v>7.9615385579860712E-3</v>
      </c>
      <c r="DL22" s="11">
        <f>DK22+預測IC!DM26</f>
        <v>-3.7412198491032271E-2</v>
      </c>
      <c r="DM22" s="11">
        <f>DL22+預測IC!DN26</f>
        <v>0.61985669440401114</v>
      </c>
      <c r="DN22" s="11">
        <f>DM22+預測IC!DO26</f>
        <v>0.60355291673025802</v>
      </c>
      <c r="DO22" s="11">
        <f>DN22+預測IC!DP26</f>
        <v>0.44261403802133925</v>
      </c>
      <c r="DP22" s="11">
        <f>DO22+預測IC!DQ26</f>
        <v>0.47444090015616008</v>
      </c>
      <c r="DQ22" s="11">
        <f>DP22+預測IC!DR26</f>
        <v>0.83619427798149959</v>
      </c>
      <c r="DR22" s="11">
        <f>DQ22+預測IC!DS26</f>
        <v>1.159646234428829</v>
      </c>
      <c r="DS22" s="11">
        <f>DR22+預測IC!DT26</f>
        <v>1.356888577265527</v>
      </c>
      <c r="DT22" s="11">
        <f>DS22+預測IC!DU26</f>
        <v>1.7402724889047279</v>
      </c>
      <c r="DU22" s="11">
        <f>DT22+預測IC!DV26</f>
        <v>1.7328551109381858</v>
      </c>
      <c r="DV22" s="11">
        <f>DU22+預測IC!DW26</f>
        <v>2.4331356877164008</v>
      </c>
      <c r="DW22" s="11">
        <f>DV22+預測IC!DX26</f>
        <v>1.9639969183354731</v>
      </c>
      <c r="DX22" s="11">
        <f>DW22+預測IC!DY26</f>
        <v>1.7069290531415326</v>
      </c>
      <c r="DY22" s="11">
        <f>DX22+預測IC!DZ26</f>
        <v>1.9137370582121711</v>
      </c>
      <c r="DZ22" s="11">
        <f>DY22+預測IC!EA26</f>
        <v>2.0024436480938852</v>
      </c>
      <c r="EA22" s="11">
        <f>DZ22+預測IC!EB26</f>
        <v>2.18427418751671</v>
      </c>
      <c r="EB22" s="11">
        <f>EA22+預測IC!EC26</f>
        <v>2.2357089581165019</v>
      </c>
      <c r="EC22" s="11">
        <f>EB22+預測IC!ED26</f>
        <v>2.3389865548303135</v>
      </c>
      <c r="ED22" s="11">
        <f>EC22+預測IC!EE26</f>
        <v>2.3941717081418905</v>
      </c>
      <c r="EE22" s="11">
        <f>ED22+預測IC!EF26</f>
        <v>2.3565859277213632</v>
      </c>
    </row>
    <row r="23" spans="1:136" ht="16" customHeight="1">
      <c r="A23" s="6" t="s">
        <v>147</v>
      </c>
      <c r="B23" s="20">
        <v>-1.7446770539390338E-2</v>
      </c>
      <c r="C23" s="28">
        <f>B23+預測IC!D27</f>
        <v>3.2542899924252917E-3</v>
      </c>
      <c r="D23" s="28">
        <f>C23+預測IC!E27</f>
        <v>2.7236419247192001E-2</v>
      </c>
      <c r="E23" s="28">
        <f>D23+預測IC!F27</f>
        <v>2.0678840274368924E-2</v>
      </c>
      <c r="F23" s="28">
        <f>E23+預測IC!G27</f>
        <v>5.2523970074888612E-2</v>
      </c>
      <c r="G23" s="28">
        <f>F23+預測IC!H27</f>
        <v>8.6872502811879138E-2</v>
      </c>
      <c r="H23" s="28">
        <f>G23+預測IC!I27</f>
        <v>7.8617570030553904E-2</v>
      </c>
      <c r="I23" s="28">
        <f>H23+預測IC!J27</f>
        <v>9.1461094424606662E-2</v>
      </c>
      <c r="J23" s="28">
        <f>I23+預測IC!K27</f>
        <v>4.0442569797815839E-2</v>
      </c>
      <c r="K23" s="28">
        <f>J23+預測IC!L27</f>
        <v>4.1316512538852428E-2</v>
      </c>
      <c r="L23" s="28">
        <f>K23+預測IC!M27</f>
        <v>6.4706088044348353E-2</v>
      </c>
      <c r="M23" s="28">
        <f>L23+預測IC!N27</f>
        <v>7.7695060244681202E-2</v>
      </c>
      <c r="N23" s="28">
        <f>M23+預測IC!O27</f>
        <v>8.3549648970316082E-2</v>
      </c>
      <c r="O23" s="28">
        <f>N23+預測IC!P27</f>
        <v>0.11096285554210664</v>
      </c>
      <c r="P23" s="28">
        <f>O23+預測IC!Q27</f>
        <v>0.10724991942441378</v>
      </c>
      <c r="Q23" s="28">
        <f>P23+預測IC!R27</f>
        <v>0.13132653347223711</v>
      </c>
      <c r="R23" s="28">
        <f>Q23+預測IC!S27</f>
        <v>0.11913650817319715</v>
      </c>
      <c r="S23" s="28">
        <f>R23+預測IC!T27</f>
        <v>7.9386930013607554E-2</v>
      </c>
      <c r="T23" s="28">
        <f>S23+預測IC!U27</f>
        <v>6.2314801819580018E-3</v>
      </c>
      <c r="U23" s="28">
        <f>T23+預測IC!V27</f>
        <v>-5.2028749728156659E-2</v>
      </c>
      <c r="V23" s="28">
        <f>U23+預測IC!W27</f>
        <v>-5.1255952162648284E-2</v>
      </c>
      <c r="W23" s="28">
        <f>V23+預測IC!X27</f>
        <v>-6.6644310274293142E-3</v>
      </c>
      <c r="X23" s="28">
        <f>W23+預測IC!Y27</f>
        <v>-3.4364111077642409E-2</v>
      </c>
      <c r="Y23" s="28">
        <f>X23+預測IC!Z27</f>
        <v>-3.226910512789876E-2</v>
      </c>
      <c r="Z23" s="28">
        <f>Y23+預測IC!AA27</f>
        <v>-5.5669656120462874E-2</v>
      </c>
      <c r="AA23" s="28">
        <f>Z23+預測IC!AB27</f>
        <v>-2.3540285023140685E-2</v>
      </c>
      <c r="AB23" s="28">
        <f>AA23+預測IC!AC27</f>
        <v>1.5362988070925745E-2</v>
      </c>
      <c r="AC23" s="28">
        <f>AB23+預測IC!AD27</f>
        <v>-2.7502394100178525E-2</v>
      </c>
      <c r="AD23" s="28">
        <f>AC23+預測IC!AE27</f>
        <v>-8.8551995500263658E-3</v>
      </c>
      <c r="AE23" s="28">
        <f>AD23+預測IC!AF27</f>
        <v>6.3745687725025833E-3</v>
      </c>
      <c r="AF23" s="28">
        <f>AE23+預測IC!AG27</f>
        <v>4.2391172551395004E-2</v>
      </c>
      <c r="AG23" s="28">
        <f>AF23+預測IC!AH27</f>
        <v>5.174578393671117E-2</v>
      </c>
      <c r="AH23" s="28">
        <f>AG23+預測IC!AI27</f>
        <v>6.2494035273549312E-2</v>
      </c>
      <c r="AI23" s="28">
        <f>AH23+預測IC!AJ27</f>
        <v>7.5851789326630281E-2</v>
      </c>
      <c r="AJ23" s="28">
        <f>AI23+預測IC!AK27</f>
        <v>7.0519041997534893E-2</v>
      </c>
      <c r="AK23" s="28">
        <f>AJ23+預測IC!AL27</f>
        <v>7.1902177804796574E-2</v>
      </c>
      <c r="AL23" s="28">
        <f>AK23+預測IC!AM27</f>
        <v>9.2698106224871041E-2</v>
      </c>
      <c r="AM23" s="28">
        <f>AL23+預測IC!AN27</f>
        <v>0.12421580844526167</v>
      </c>
      <c r="AN23" s="28">
        <f>AM23+預測IC!AO27</f>
        <v>0.13045752497859112</v>
      </c>
      <c r="AO23" s="28">
        <f>AN23+預測IC!AP27</f>
        <v>0.13660278663216249</v>
      </c>
      <c r="AP23" s="28">
        <f>AO23+預測IC!AQ27</f>
        <v>0.15354914430885899</v>
      </c>
      <c r="AQ23" s="28">
        <f>AP23+預測IC!AR27</f>
        <v>0.18823197476316722</v>
      </c>
      <c r="AR23" s="28">
        <f>AQ23+預測IC!AS27</f>
        <v>0.19133056338036419</v>
      </c>
      <c r="AS23" s="28">
        <f>AR23+預測IC!AT27</f>
        <v>0.2064119105238503</v>
      </c>
      <c r="AT23" s="28">
        <f>AS23+預測IC!AU27</f>
        <v>0.18716070129398632</v>
      </c>
      <c r="AU23" s="28">
        <f>AT23+預測IC!AV27</f>
        <v>0.22587221468161775</v>
      </c>
      <c r="AV23" s="28">
        <f>AU23+預測IC!AW27</f>
        <v>0.20401526354588115</v>
      </c>
      <c r="AW23" s="28">
        <f>AV23+預測IC!AX27</f>
        <v>0.21178956425567083</v>
      </c>
      <c r="AX23" s="28">
        <f>AW23+預測IC!AY27</f>
        <v>0.25418681095099677</v>
      </c>
      <c r="AY23" s="28">
        <f>AX23+預測IC!AZ27</f>
        <v>0.22787783608983703</v>
      </c>
      <c r="AZ23" s="28">
        <f>AY23+預測IC!BA27</f>
        <v>0.23744958539855326</v>
      </c>
      <c r="BA23" s="28">
        <f>AZ23+預測IC!BB27</f>
        <v>0.21319984413227844</v>
      </c>
      <c r="BB23" s="28">
        <f>BA23+預測IC!BC27</f>
        <v>0.23336321827619427</v>
      </c>
      <c r="BC23" s="28">
        <f>BB23+預測IC!BD27</f>
        <v>0.22985821949407825</v>
      </c>
      <c r="BD23" s="28">
        <f>BC23+預測IC!BE27</f>
        <v>0.25001015459262055</v>
      </c>
      <c r="BE23" s="28">
        <f>BD23+預測IC!BF27</f>
        <v>0.25059149082339083</v>
      </c>
      <c r="BF23" s="28">
        <f>BE23+預測IC!BG27</f>
        <v>0.24537178987013822</v>
      </c>
      <c r="BG23" s="28">
        <f>BF23+預測IC!BH27</f>
        <v>0.12950002846800823</v>
      </c>
      <c r="BH23" s="28">
        <f>BG23+預測IC!BI27</f>
        <v>0.13822525416044559</v>
      </c>
      <c r="BI23" s="28">
        <f>BH23+預測IC!BJ27</f>
        <v>0.12184799318262345</v>
      </c>
      <c r="BJ23" s="28">
        <f>BI23+預測IC!BK27</f>
        <v>0.14268836478288388</v>
      </c>
      <c r="BK23" s="28">
        <f>BJ23+預測IC!BL27</f>
        <v>0.18766423688499859</v>
      </c>
      <c r="BL23" s="28">
        <f>BK23+預測IC!BM27</f>
        <v>0.21161854296686244</v>
      </c>
      <c r="BM23" s="28">
        <f>BL23+預測IC!BN27</f>
        <v>0.24185764435830504</v>
      </c>
      <c r="BN23" s="28">
        <f>BM23+預測IC!BO27</f>
        <v>0.19813175676721753</v>
      </c>
      <c r="BO23" s="28">
        <f>BN23+預測IC!BP27</f>
        <v>0.22002122633541615</v>
      </c>
      <c r="BP23" s="28">
        <f>BO23+預測IC!BQ27</f>
        <v>0.22864865659892455</v>
      </c>
      <c r="BQ23" s="28">
        <f>BP23+預測IC!BR27</f>
        <v>0.20945570260426577</v>
      </c>
      <c r="BR23" s="28">
        <f>BQ23+預測IC!BS27</f>
        <v>0.22919083249239883</v>
      </c>
      <c r="BS23" s="28">
        <f>BR23+預測IC!BT27</f>
        <v>0.27688516997609824</v>
      </c>
      <c r="BT23" s="28">
        <f>BS23+預測IC!BU27</f>
        <v>0.28833998678268163</v>
      </c>
      <c r="BU23" s="28">
        <f>BT23+預測IC!BV27</f>
        <v>0.33156860751789485</v>
      </c>
      <c r="BV23" s="28">
        <f>BU23+預測IC!BW27</f>
        <v>0.28882117708097205</v>
      </c>
      <c r="BW23" s="28">
        <f>BV23+預測IC!BX27</f>
        <v>0.27100988465317749</v>
      </c>
      <c r="BX23" s="28">
        <f>BW23+預測IC!BY27</f>
        <v>0.11985678778410189</v>
      </c>
      <c r="BY23" s="28">
        <f>BX23+預測IC!BZ27</f>
        <v>0.24408079140367717</v>
      </c>
      <c r="BZ23" s="28">
        <f>BY23+預測IC!CA27</f>
        <v>0.23952353755914751</v>
      </c>
      <c r="CA23" s="28">
        <f>BZ23+預測IC!CB27</f>
        <v>0.29973477776405871</v>
      </c>
      <c r="CB23" s="28">
        <f>CA23+預測IC!CC27</f>
        <v>0.385726811246561</v>
      </c>
      <c r="CC23" s="28">
        <f>CB23+預測IC!CD27</f>
        <v>0.37991833166419492</v>
      </c>
      <c r="CD23" s="28">
        <f>CC23+預測IC!CE27</f>
        <v>0.37387698467522684</v>
      </c>
      <c r="CE23" s="28">
        <f>CD23+預測IC!CF27</f>
        <v>0.37632930904747891</v>
      </c>
      <c r="CF23" s="28">
        <f>CE23+預測IC!CG27</f>
        <v>0.46596556098450181</v>
      </c>
      <c r="CG23" s="28">
        <f>CF23+預測IC!CH27</f>
        <v>0.53695829351125968</v>
      </c>
      <c r="CH23" s="28">
        <f>CG23+預測IC!CI27</f>
        <v>0.56412893641304307</v>
      </c>
      <c r="CI23" s="28">
        <f>CH23+預測IC!CJ27</f>
        <v>0.61659736483837313</v>
      </c>
      <c r="CJ23" s="28">
        <f>CI23+預測IC!CK27</f>
        <v>0.64607802578142259</v>
      </c>
      <c r="CK23" s="28">
        <f>CJ23+預測IC!CL27</f>
        <v>0.71290310684162383</v>
      </c>
      <c r="CL23" s="28">
        <f>CK23+預測IC!CM27</f>
        <v>0.68413087782180682</v>
      </c>
      <c r="CM23" s="28">
        <f>CL23+預測IC!CN27</f>
        <v>0.72359339372344467</v>
      </c>
      <c r="CN23" s="28">
        <f>CM23+預測IC!CO27</f>
        <v>0.69456230674608477</v>
      </c>
      <c r="CO23" s="28">
        <f>CN23+預測IC!CP27</f>
        <v>0.70854618926555268</v>
      </c>
      <c r="CP23" s="28">
        <f>CO23+預測IC!CQ27</f>
        <v>0.67626922430621883</v>
      </c>
      <c r="CQ23" s="28">
        <f>CP23+預測IC!CR27</f>
        <v>0.6793728009191129</v>
      </c>
      <c r="CR23" s="28">
        <f>CQ23+預測IC!CS27</f>
        <v>0.70496465668619601</v>
      </c>
      <c r="CS23" s="28">
        <f>CR23+預測IC!CT27</f>
        <v>0.74935654297338927</v>
      </c>
      <c r="CT23" s="28">
        <f>CS23+預測IC!CU27</f>
        <v>0.71901758442381181</v>
      </c>
      <c r="CU23" s="28">
        <f>CT23+預測IC!CV27</f>
        <v>0.7177596079692401</v>
      </c>
      <c r="CV23" s="28">
        <f>CU23+預測IC!CW27</f>
        <v>0.72009596442509805</v>
      </c>
      <c r="CW23" s="28">
        <f>CV23+預測IC!CX27</f>
        <v>0.655831819499192</v>
      </c>
      <c r="CX23" s="28">
        <f>CW23+預測IC!CY27</f>
        <v>0.66874159895818441</v>
      </c>
      <c r="CY23" s="28">
        <f>CX23+預測IC!CZ27</f>
        <v>0.54326450428732564</v>
      </c>
      <c r="CZ23" s="28">
        <f>CY23+預測IC!DA27</f>
        <v>0.55495518722711823</v>
      </c>
      <c r="DA23" s="28">
        <f>CZ23+預測IC!DB27</f>
        <v>0.56129303092785998</v>
      </c>
      <c r="DB23" s="28">
        <f>DA23+預測IC!DC27</f>
        <v>0.44398767445847448</v>
      </c>
      <c r="DC23" s="28">
        <f>DB23+預測IC!DD27</f>
        <v>0.40797680240902789</v>
      </c>
      <c r="DD23" s="28">
        <f>DC23+預測IC!DE27</f>
        <v>0.54688810648129582</v>
      </c>
      <c r="DE23" s="28">
        <f>DD23+預測IC!DF27</f>
        <v>0.49574460025519007</v>
      </c>
      <c r="DF23" s="28">
        <f>DE23+預測IC!DG27</f>
        <v>0.57247604743715907</v>
      </c>
      <c r="DG23" s="28">
        <f>DF23+預測IC!DH27</f>
        <v>0.58798482963416721</v>
      </c>
      <c r="DH23" s="28">
        <f>DG23+預測IC!DI27</f>
        <v>0.61120860330892302</v>
      </c>
      <c r="DI23" s="28">
        <f>DH23+預測IC!DJ27</f>
        <v>0.59283572694769515</v>
      </c>
      <c r="DJ23" s="28">
        <f>DI23+預測IC!DK27</f>
        <v>0.65503474103279458</v>
      </c>
      <c r="DK23" s="28">
        <f>DJ23+預測IC!DL27</f>
        <v>0.67513304551975173</v>
      </c>
      <c r="DL23" s="28">
        <f>DK23+預測IC!DM27</f>
        <v>0.68863198526781977</v>
      </c>
      <c r="DM23" s="28">
        <f>DL23+預測IC!DN27</f>
        <v>0.65837977253939894</v>
      </c>
      <c r="DN23" s="28">
        <f>DM23+預測IC!DO27</f>
        <v>0.64135693683134509</v>
      </c>
      <c r="DO23" s="28">
        <f>DN23+預測IC!DP27</f>
        <v>0.61956841355888315</v>
      </c>
      <c r="DP23" s="28">
        <f>DO23+預測IC!DQ27</f>
        <v>0.70531403814402038</v>
      </c>
      <c r="DQ23" s="28">
        <f>DP23+預測IC!DR27</f>
        <v>0.73342078174899417</v>
      </c>
      <c r="DR23" s="28">
        <f>DQ23+預測IC!DS27</f>
        <v>0.73111762194163477</v>
      </c>
      <c r="DS23" s="28">
        <f>DR23+預測IC!DT27</f>
        <v>0.78958882007312226</v>
      </c>
      <c r="DT23" s="28">
        <f>DS23+預測IC!DU27</f>
        <v>0.85724776912176992</v>
      </c>
      <c r="DU23" s="28">
        <f>DT23+預測IC!DV27</f>
        <v>0.86226853976220219</v>
      </c>
      <c r="DV23" s="28">
        <f>DU23+預測IC!DW27</f>
        <v>0.89968472343740924</v>
      </c>
      <c r="DW23" s="28">
        <f>DV23+預測IC!DX27</f>
        <v>0.98379572718345132</v>
      </c>
      <c r="DX23" s="28">
        <f>DW23+預測IC!DY27</f>
        <v>0.94696332863943844</v>
      </c>
      <c r="DY23" s="28">
        <f>DX23+預測IC!DZ27</f>
        <v>0.95005503145637549</v>
      </c>
      <c r="DZ23" s="28">
        <f>DY23+預測IC!EA27</f>
        <v>0.94809740324208092</v>
      </c>
      <c r="EA23" s="28">
        <f>DZ23+預測IC!EB27</f>
        <v>0.97455650684560069</v>
      </c>
      <c r="EB23" s="28">
        <f>EA23+預測IC!EC27</f>
        <v>0.94980396808491041</v>
      </c>
      <c r="EC23" s="28">
        <f>EB23+預測IC!ED27</f>
        <v>0.98391945906747036</v>
      </c>
      <c r="ED23" s="28">
        <f>EC23+預測IC!EE27</f>
        <v>1.0049814330565034</v>
      </c>
      <c r="EE23" s="28">
        <f>ED23+預測IC!EF27</f>
        <v>0.98470404035049752</v>
      </c>
      <c r="EF23" s="3"/>
    </row>
    <row r="39" spans="13:13">
      <c r="M39" s="21"/>
    </row>
  </sheetData>
  <mergeCells count="1">
    <mergeCell ref="A8:B8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H29"/>
  <sheetViews>
    <sheetView topLeftCell="A14" zoomScaleNormal="74" workbookViewId="0">
      <selection activeCell="U37" sqref="U37"/>
    </sheetView>
  </sheetViews>
  <sheetFormatPr baseColWidth="10" defaultColWidth="8.83203125" defaultRowHeight="15"/>
  <cols>
    <col min="2" max="2" width="7.6640625" style="21" customWidth="1"/>
    <col min="3" max="3" width="10.83203125" style="21" customWidth="1"/>
  </cols>
  <sheetData>
    <row r="3" spans="3:137" ht="16" customHeight="1">
      <c r="C3" s="6" t="s">
        <v>142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 customHeight="1">
      <c r="C4" s="24" t="s">
        <v>144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 t="s">
        <v>38</v>
      </c>
      <c r="AN4" s="14" t="s">
        <v>39</v>
      </c>
      <c r="AO4" s="14" t="s">
        <v>40</v>
      </c>
      <c r="AP4" s="14" t="s">
        <v>41</v>
      </c>
      <c r="AQ4" s="14" t="s">
        <v>42</v>
      </c>
      <c r="AR4" s="14" t="s">
        <v>43</v>
      </c>
      <c r="AS4" s="14" t="s">
        <v>44</v>
      </c>
      <c r="AT4" s="14" t="s">
        <v>45</v>
      </c>
      <c r="AU4" s="14" t="s">
        <v>46</v>
      </c>
      <c r="AV4" s="14" t="s">
        <v>47</v>
      </c>
      <c r="AW4" s="14" t="s">
        <v>48</v>
      </c>
      <c r="AX4" s="14" t="s">
        <v>49</v>
      </c>
      <c r="AY4" s="14" t="s">
        <v>50</v>
      </c>
      <c r="AZ4" s="14" t="s">
        <v>51</v>
      </c>
      <c r="BA4" s="14" t="s">
        <v>52</v>
      </c>
      <c r="BB4" s="14" t="s">
        <v>53</v>
      </c>
      <c r="BC4" s="14" t="s">
        <v>54</v>
      </c>
      <c r="BD4" s="14" t="s">
        <v>55</v>
      </c>
      <c r="BE4" s="14" t="s">
        <v>56</v>
      </c>
      <c r="BF4" s="14" t="s">
        <v>57</v>
      </c>
      <c r="BG4" s="14" t="s">
        <v>58</v>
      </c>
      <c r="BH4" s="14" t="s">
        <v>59</v>
      </c>
      <c r="BI4" s="14" t="s">
        <v>60</v>
      </c>
      <c r="BJ4" s="14" t="s">
        <v>61</v>
      </c>
      <c r="BK4" s="14" t="s">
        <v>62</v>
      </c>
      <c r="BL4" s="14" t="s">
        <v>63</v>
      </c>
      <c r="BM4" s="14" t="s">
        <v>64</v>
      </c>
      <c r="BN4" s="14" t="s">
        <v>65</v>
      </c>
      <c r="BO4" s="14" t="s">
        <v>66</v>
      </c>
      <c r="BP4" s="14" t="s">
        <v>67</v>
      </c>
      <c r="BQ4" s="14" t="s">
        <v>68</v>
      </c>
      <c r="BR4" s="14" t="s">
        <v>69</v>
      </c>
      <c r="BS4" s="14" t="s">
        <v>70</v>
      </c>
      <c r="BT4" s="14" t="s">
        <v>71</v>
      </c>
      <c r="BU4" s="14" t="s">
        <v>72</v>
      </c>
      <c r="BV4" s="14" t="s">
        <v>73</v>
      </c>
      <c r="BW4" s="14" t="s">
        <v>74</v>
      </c>
      <c r="BX4" s="14" t="s">
        <v>75</v>
      </c>
      <c r="BY4" s="14" t="s">
        <v>76</v>
      </c>
      <c r="BZ4" s="14" t="s">
        <v>77</v>
      </c>
      <c r="CA4" s="14" t="s">
        <v>78</v>
      </c>
      <c r="CB4" s="14" t="s">
        <v>79</v>
      </c>
      <c r="CC4" s="14" t="s">
        <v>80</v>
      </c>
      <c r="CD4" s="14" t="s">
        <v>81</v>
      </c>
      <c r="CE4" s="14" t="s">
        <v>82</v>
      </c>
      <c r="CF4" s="14" t="s">
        <v>83</v>
      </c>
      <c r="CG4" s="14" t="s">
        <v>84</v>
      </c>
      <c r="CH4" s="14" t="s">
        <v>85</v>
      </c>
      <c r="CI4" s="14" t="s">
        <v>86</v>
      </c>
      <c r="CJ4" s="14" t="s">
        <v>87</v>
      </c>
      <c r="CK4" s="14" t="s">
        <v>88</v>
      </c>
      <c r="CL4" s="14" t="s">
        <v>89</v>
      </c>
      <c r="CM4" s="14" t="s">
        <v>90</v>
      </c>
      <c r="CN4" s="14" t="s">
        <v>91</v>
      </c>
      <c r="CO4" s="14" t="s">
        <v>92</v>
      </c>
      <c r="CP4" s="14" t="s">
        <v>93</v>
      </c>
      <c r="CQ4" s="14" t="s">
        <v>94</v>
      </c>
      <c r="CR4" s="14" t="s">
        <v>95</v>
      </c>
      <c r="CS4" s="14" t="s">
        <v>96</v>
      </c>
      <c r="CT4" s="14" t="s">
        <v>97</v>
      </c>
      <c r="CU4" s="14" t="s">
        <v>98</v>
      </c>
      <c r="CV4" s="14" t="s">
        <v>99</v>
      </c>
      <c r="CW4" s="14" t="s">
        <v>100</v>
      </c>
      <c r="CX4" s="14" t="s">
        <v>101</v>
      </c>
      <c r="CY4" s="14" t="s">
        <v>102</v>
      </c>
      <c r="CZ4" s="14" t="s">
        <v>103</v>
      </c>
      <c r="DA4" s="14" t="s">
        <v>104</v>
      </c>
      <c r="DB4" s="14" t="s">
        <v>105</v>
      </c>
      <c r="DC4" s="14" t="s">
        <v>106</v>
      </c>
      <c r="DD4" s="14" t="s">
        <v>107</v>
      </c>
      <c r="DE4" s="14" t="s">
        <v>108</v>
      </c>
      <c r="DF4" s="14" t="s">
        <v>109</v>
      </c>
      <c r="DG4" s="14" t="s">
        <v>110</v>
      </c>
      <c r="DH4" s="14" t="s">
        <v>111</v>
      </c>
      <c r="DI4" s="14" t="s">
        <v>112</v>
      </c>
      <c r="DJ4" s="14" t="s">
        <v>113</v>
      </c>
      <c r="DK4" s="14" t="s">
        <v>114</v>
      </c>
      <c r="DL4" s="14" t="s">
        <v>115</v>
      </c>
      <c r="DM4" s="14" t="s">
        <v>116</v>
      </c>
      <c r="DN4" s="14" t="s">
        <v>117</v>
      </c>
      <c r="DO4" s="14" t="s">
        <v>118</v>
      </c>
      <c r="DP4" s="14" t="s">
        <v>119</v>
      </c>
      <c r="DQ4" s="14" t="s">
        <v>120</v>
      </c>
      <c r="DR4" s="14" t="s">
        <v>121</v>
      </c>
      <c r="DS4" s="14" t="s">
        <v>122</v>
      </c>
      <c r="DT4" s="14" t="s">
        <v>123</v>
      </c>
      <c r="DU4" s="14" t="s">
        <v>124</v>
      </c>
      <c r="DV4" s="14" t="s">
        <v>125</v>
      </c>
      <c r="DW4" s="14" t="s">
        <v>126</v>
      </c>
      <c r="DX4" s="14" t="s">
        <v>127</v>
      </c>
      <c r="DY4" s="14" t="s">
        <v>128</v>
      </c>
      <c r="DZ4" s="14" t="s">
        <v>129</v>
      </c>
      <c r="EA4" s="14" t="s">
        <v>130</v>
      </c>
      <c r="EB4" s="14" t="s">
        <v>131</v>
      </c>
      <c r="EC4" s="14" t="s">
        <v>132</v>
      </c>
      <c r="ED4" s="14" t="s">
        <v>133</v>
      </c>
      <c r="EE4" s="14" t="s">
        <v>134</v>
      </c>
      <c r="EF4" s="14" t="s">
        <v>135</v>
      </c>
      <c r="EG4" s="14" t="s">
        <v>146</v>
      </c>
    </row>
    <row r="5" spans="3:137" ht="16" customHeight="1">
      <c r="C5" s="6">
        <v>10</v>
      </c>
      <c r="D5" s="2">
        <v>1.9976135343076479E-2</v>
      </c>
      <c r="E5" s="9">
        <f t="array" ref="E5">PRODUCT(1 + 預測IC!$C14:D14) - 1</f>
        <v>7.3136969308418287E-3</v>
      </c>
      <c r="F5" s="9">
        <f t="array" ref="F5">PRODUCT(1 + 預測IC!$C14:E14) - 1</f>
        <v>-5.4534246991562174E-3</v>
      </c>
      <c r="G5" s="9">
        <f t="array" ref="G5">PRODUCT(1 + 預測IC!$C14:F14) - 1</f>
        <v>3.1406350799185745E-3</v>
      </c>
      <c r="H5" s="9">
        <f t="array" ref="H5">PRODUCT(1 + 預測IC!$C14:G14) - 1</f>
        <v>-5.5933524462192796E-3</v>
      </c>
      <c r="I5" s="9">
        <f t="array" ref="I5">PRODUCT(1 + 預測IC!$C14:H14) - 1</f>
        <v>5.9367757974733149E-3</v>
      </c>
      <c r="J5" s="9">
        <f t="array" ref="J5">PRODUCT(1 + 預測IC!$C14:I14) - 1</f>
        <v>-1.045108506918524E-3</v>
      </c>
      <c r="K5" s="9">
        <f t="array" ref="K5">PRODUCT(1 + 預測IC!$C14:J14) - 1</f>
        <v>7.2628751608658781E-3</v>
      </c>
      <c r="L5" s="9">
        <f t="array" ref="L5">PRODUCT(1 + 預測IC!$C14:K14) - 1</f>
        <v>9.2912522681221077E-3</v>
      </c>
      <c r="M5" s="9">
        <f t="array" ref="M5">PRODUCT(1 + 預測IC!$C14:L14) - 1</f>
        <v>-1.6314751745021172E-2</v>
      </c>
      <c r="N5" s="9">
        <f t="array" ref="N5">PRODUCT(1 + 預測IC!$C14:M14) - 1</f>
        <v>-2.2414988509363964E-2</v>
      </c>
      <c r="O5" s="9">
        <f t="array" ref="O5">PRODUCT(1 + 預測IC!$C14:N14) - 1</f>
        <v>-2.8866180104639705E-3</v>
      </c>
      <c r="P5" s="9">
        <f t="array" ref="P5">PRODUCT(1 + 預測IC!$C14:O14) - 1</f>
        <v>1.7200470955565317E-2</v>
      </c>
      <c r="Q5" s="9">
        <f t="array" ref="Q5">PRODUCT(1 + 預測IC!$C14:P14) - 1</f>
        <v>1.8040048587407487E-2</v>
      </c>
      <c r="R5" s="9">
        <f t="array" ref="R5">PRODUCT(1 + 預測IC!$C14:Q14) - 1</f>
        <v>1.505317539439055E-3</v>
      </c>
      <c r="S5" s="9">
        <f t="array" ref="S5">PRODUCT(1 + 預測IC!$C14:R14) - 1</f>
        <v>2.1553191918367798E-2</v>
      </c>
      <c r="T5" s="9">
        <f t="array" ref="T5">PRODUCT(1 + 預測IC!$C14:S14) - 1</f>
        <v>5.7157035185841698E-2</v>
      </c>
      <c r="U5" s="9">
        <f t="array" ref="U5">PRODUCT(1 + 預測IC!$C14:T14) - 1</f>
        <v>5.4501571516009539E-2</v>
      </c>
      <c r="V5" s="9">
        <f t="array" ref="V5">PRODUCT(1 + 預測IC!$C14:U14) - 1</f>
        <v>4.8513646304522817E-2</v>
      </c>
      <c r="W5" s="9">
        <f t="array" ref="W5">PRODUCT(1 + 預測IC!$C14:V14) - 1</f>
        <v>6.2536383013092944E-2</v>
      </c>
      <c r="X5" s="9">
        <f t="array" ref="X5">PRODUCT(1 + 預測IC!$C14:W14) - 1</f>
        <v>6.1875131697134877E-2</v>
      </c>
      <c r="Y5" s="9">
        <f t="array" ref="Y5">PRODUCT(1 + 預測IC!$C14:X14) - 1</f>
        <v>0.14043892865316998</v>
      </c>
      <c r="Z5" s="9">
        <f t="array" ref="Z5">PRODUCT(1 + 預測IC!$C14:Y14) - 1</f>
        <v>0.11556742061358638</v>
      </c>
      <c r="AA5" s="9">
        <f t="array" ref="AA5">PRODUCT(1 + 預測IC!$C14:Z14) - 1</f>
        <v>0.13419085516283857</v>
      </c>
      <c r="AB5" s="9">
        <f t="array" ref="AB5">PRODUCT(1 + 預測IC!$C14:AA14) - 1</f>
        <v>0.11701350531519616</v>
      </c>
      <c r="AC5" s="9">
        <f t="array" ref="AC5">PRODUCT(1 + 預測IC!$C14:AB14) - 1</f>
        <v>0.13817829893271938</v>
      </c>
      <c r="AD5" s="9">
        <f t="array" ref="AD5">PRODUCT(1 + 預測IC!$C14:AC14) - 1</f>
        <v>0.14210341606588095</v>
      </c>
      <c r="AE5" s="9">
        <f t="array" ref="AE5">PRODUCT(1 + 預測IC!$C14:AD14) - 1</f>
        <v>0.13536820851158882</v>
      </c>
      <c r="AF5" s="9">
        <f t="array" ref="AF5">PRODUCT(1 + 預測IC!$C14:AE14) - 1</f>
        <v>0.14817300658346788</v>
      </c>
      <c r="AG5" s="9">
        <f t="array" ref="AG5">PRODUCT(1 + 預測IC!$C14:AF14) - 1</f>
        <v>0.14032259352971677</v>
      </c>
      <c r="AH5" s="9">
        <f t="array" ref="AH5">PRODUCT(1 + 預測IC!$C14:AG14) - 1</f>
        <v>0.12584341473064486</v>
      </c>
      <c r="AI5" s="9">
        <f t="array" ref="AI5">PRODUCT(1 + 預測IC!$C14:AH14) - 1</f>
        <v>0.14177684641349031</v>
      </c>
      <c r="AJ5" s="9">
        <f t="array" ref="AJ5">PRODUCT(1 + 預測IC!$C14:AI14) - 1</f>
        <v>0.14319780610200894</v>
      </c>
      <c r="AK5" s="9">
        <f t="array" ref="AK5">PRODUCT(1 + 預測IC!$C14:AJ14) - 1</f>
        <v>0.1341361211617631</v>
      </c>
      <c r="AL5" s="9">
        <f t="array" ref="AL5">PRODUCT(1 + 預測IC!$C14:AK14) - 1</f>
        <v>0.1087705134001542</v>
      </c>
      <c r="AM5" s="9">
        <f t="array" ref="AM5">PRODUCT(1 + 預測IC!$C14:AL14) - 1</f>
        <v>0.10278852726376986</v>
      </c>
      <c r="AN5" s="9">
        <f t="array" ref="AN5">PRODUCT(1 + 預測IC!$C14:AM14) - 1</f>
        <v>0.13156100122789005</v>
      </c>
      <c r="AO5" s="9">
        <f t="array" ref="AO5">PRODUCT(1 + 預測IC!$C14:AN14) - 1</f>
        <v>0.10644279321311223</v>
      </c>
      <c r="AP5" s="9">
        <f t="array" ref="AP5">PRODUCT(1 + 預測IC!$C14:AO14) - 1</f>
        <v>0.11933265881714017</v>
      </c>
      <c r="AQ5" s="9">
        <f t="array" ref="AQ5">PRODUCT(1 + 預測IC!$C14:AP14) - 1</f>
        <v>0.10237484682486198</v>
      </c>
      <c r="AR5" s="9">
        <f t="array" ref="AR5">PRODUCT(1 + 預測IC!$C14:AQ14) - 1</f>
        <v>0.10279527489297746</v>
      </c>
      <c r="AS5" s="9">
        <f t="array" ref="AS5">PRODUCT(1 + 預測IC!$C14:AR14) - 1</f>
        <v>0.10876596821185847</v>
      </c>
      <c r="AT5" s="9">
        <f t="array" ref="AT5">PRODUCT(1 + 預測IC!$C14:AS14) - 1</f>
        <v>0.11502217918834012</v>
      </c>
      <c r="AU5" s="9">
        <f t="array" ref="AU5">PRODUCT(1 + 預測IC!$C14:AT14) - 1</f>
        <v>0.10864082685333054</v>
      </c>
      <c r="AV5" s="9">
        <f t="array" ref="AV5">PRODUCT(1 + 預測IC!$C14:AU14) - 1</f>
        <v>0.11196128605595379</v>
      </c>
      <c r="AW5" s="9">
        <f t="array" ref="AW5">PRODUCT(1 + 預測IC!$C14:AV14) - 1</f>
        <v>0.1051604794332901</v>
      </c>
      <c r="AX5" s="9">
        <f t="array" ref="AX5">PRODUCT(1 + 預測IC!$C14:AW14) - 1</f>
        <v>9.3718222544648455E-2</v>
      </c>
      <c r="AY5" s="9">
        <f t="array" ref="AY5">PRODUCT(1 + 預測IC!$C14:AX14) - 1</f>
        <v>5.9111233084373493E-2</v>
      </c>
      <c r="AZ5" s="9">
        <f t="array" ref="AZ5">PRODUCT(1 + 預測IC!$C14:AY14) - 1</f>
        <v>7.6840076611863761E-2</v>
      </c>
      <c r="BA5" s="9">
        <f t="array" ref="BA5">PRODUCT(1 + 預測IC!$C14:AZ14) - 1</f>
        <v>7.602703810360012E-2</v>
      </c>
      <c r="BB5" s="9">
        <f t="array" ref="BB5">PRODUCT(1 + 預測IC!$C14:BA14) - 1</f>
        <v>5.1785676768783651E-2</v>
      </c>
      <c r="BC5" s="9">
        <f t="array" ref="BC5">PRODUCT(1 + 預測IC!$C14:BB14) - 1</f>
        <v>4.4072292932277435E-2</v>
      </c>
      <c r="BD5" s="9">
        <f t="array" ref="BD5">PRODUCT(1 + 預測IC!$C14:BC14) - 1</f>
        <v>4.9836177991050556E-2</v>
      </c>
      <c r="BE5" s="9">
        <f t="array" ref="BE5">PRODUCT(1 + 預測IC!$C14:BD14) - 1</f>
        <v>3.420151953754047E-2</v>
      </c>
      <c r="BF5" s="9">
        <f t="array" ref="BF5">PRODUCT(1 + 預測IC!$C14:BE14) - 1</f>
        <v>2.6730978353037393E-2</v>
      </c>
      <c r="BG5" s="9">
        <f t="array" ref="BG5">PRODUCT(1 + 預測IC!$C14:BF14) - 1</f>
        <v>4.7606029926678284E-2</v>
      </c>
      <c r="BH5" s="9">
        <f t="array" ref="BH5">PRODUCT(1 + 預測IC!$C14:BG14) - 1</f>
        <v>7.3650107418660182E-2</v>
      </c>
      <c r="BI5" s="9">
        <f t="array" ref="BI5">PRODUCT(1 + 預測IC!$C14:BH14) - 1</f>
        <v>0.12042991159713901</v>
      </c>
      <c r="BJ5" s="9">
        <f t="array" ref="BJ5">PRODUCT(1 + 預測IC!$C14:BI14) - 1</f>
        <v>8.0669772357979674E-2</v>
      </c>
      <c r="BK5" s="9">
        <f t="array" ref="BK5">PRODUCT(1 + 預測IC!$C14:BJ14) - 1</f>
        <v>4.3960360197051296E-2</v>
      </c>
      <c r="BL5" s="9">
        <f t="array" ref="BL5">PRODUCT(1 + 預測IC!$C14:BK14) - 1</f>
        <v>5.4270759624808429E-2</v>
      </c>
      <c r="BM5" s="9">
        <f t="array" ref="BM5">PRODUCT(1 + 預測IC!$C14:BL14) - 1</f>
        <v>3.7233813020445705E-2</v>
      </c>
      <c r="BN5" s="9">
        <f t="array" ref="BN5">PRODUCT(1 + 預測IC!$C14:BM14) - 1</f>
        <v>3.9417641597424113E-2</v>
      </c>
      <c r="BO5" s="9">
        <f t="array" ref="BO5">PRODUCT(1 + 預測IC!$C14:BN14) - 1</f>
        <v>3.7403078808140089E-2</v>
      </c>
      <c r="BP5" s="9">
        <f t="array" ref="BP5">PRODUCT(1 + 預測IC!$C14:BO14) - 1</f>
        <v>8.8524474895839145E-3</v>
      </c>
      <c r="BQ5" s="9">
        <f t="array" ref="BQ5">PRODUCT(1 + 預測IC!$C14:BP14) - 1</f>
        <v>2.0003269810955349E-2</v>
      </c>
      <c r="BR5" s="9">
        <f t="array" ref="BR5">PRODUCT(1 + 預測IC!$C14:BQ14) - 1</f>
        <v>1.109413214977395E-2</v>
      </c>
      <c r="BS5" s="9">
        <f t="array" ref="BS5">PRODUCT(1 + 預測IC!$C14:BR14) - 1</f>
        <v>-9.1201091492936204E-3</v>
      </c>
      <c r="BT5" s="9">
        <f t="array" ref="BT5">PRODUCT(1 + 預測IC!$C14:BS14) - 1</f>
        <v>-2.5711571328475458E-2</v>
      </c>
      <c r="BU5" s="9">
        <f t="array" ref="BU5">PRODUCT(1 + 預測IC!$C14:BT14) - 1</f>
        <v>-6.1022142569276183E-2</v>
      </c>
      <c r="BV5" s="9">
        <f t="array" ref="BV5">PRODUCT(1 + 預測IC!$C14:BU14) - 1</f>
        <v>-7.3005533853518267E-2</v>
      </c>
      <c r="BW5" s="9">
        <f t="array" ref="BW5">PRODUCT(1 + 預測IC!$C14:BV14) - 1</f>
        <v>-4.1674424608039384E-2</v>
      </c>
      <c r="BX5" s="9">
        <f t="array" ref="BX5">PRODUCT(1 + 預測IC!$C14:BW14) - 1</f>
        <v>-2.7925088109717722E-2</v>
      </c>
      <c r="BY5" s="9">
        <f t="array" ref="BY5">PRODUCT(1 + 預測IC!$C14:BX14) - 1</f>
        <v>-2.6718483745599375E-2</v>
      </c>
      <c r="BZ5" s="9">
        <f t="array" ref="BZ5">PRODUCT(1 + 預測IC!$C14:BY14) - 1</f>
        <v>-4.6847429526441942E-2</v>
      </c>
      <c r="CA5" s="9">
        <f t="array" ref="CA5">PRODUCT(1 + 預測IC!$C14:BZ14) - 1</f>
        <v>-7.9924331918583835E-2</v>
      </c>
      <c r="CB5" s="9">
        <f t="array" ref="CB5">PRODUCT(1 + 預測IC!$C14:CA14) - 1</f>
        <v>-8.121633538700046E-2</v>
      </c>
      <c r="CC5" s="9">
        <f t="array" ref="CC5">PRODUCT(1 + 預測IC!$C14:CB14) - 1</f>
        <v>-8.0875482411836952E-2</v>
      </c>
      <c r="CD5" s="9">
        <f t="array" ref="CD5">PRODUCT(1 + 預測IC!$C14:CC14) - 1</f>
        <v>-6.4875847735728853E-2</v>
      </c>
      <c r="CE5" s="9">
        <f t="array" ref="CE5">PRODUCT(1 + 預測IC!$C14:CD14) - 1</f>
        <v>-8.6986233738351126E-2</v>
      </c>
      <c r="CF5" s="9">
        <f t="array" ref="CF5">PRODUCT(1 + 預測IC!$C14:CE14) - 1</f>
        <v>-5.6421497879279969E-2</v>
      </c>
      <c r="CG5" s="9">
        <f t="array" ref="CG5">PRODUCT(1 + 預測IC!$C14:CF14) - 1</f>
        <v>-6.8929565977249307E-2</v>
      </c>
      <c r="CH5" s="9">
        <f t="array" ref="CH5">PRODUCT(1 + 預測IC!$C14:CG14) - 1</f>
        <v>-7.3886232066801782E-2</v>
      </c>
      <c r="CI5" s="9">
        <f t="array" ref="CI5">PRODUCT(1 + 預測IC!$C14:CH14) - 1</f>
        <v>-5.653117103665084E-2</v>
      </c>
      <c r="CJ5" s="9">
        <f t="array" ref="CJ5">PRODUCT(1 + 預測IC!$C14:CI14) - 1</f>
        <v>-6.1645275573428693E-2</v>
      </c>
      <c r="CK5" s="9">
        <f t="array" ref="CK5">PRODUCT(1 + 預測IC!$C14:CJ14) - 1</f>
        <v>-5.7527212940190475E-2</v>
      </c>
      <c r="CL5" s="9">
        <f t="array" ref="CL5">PRODUCT(1 + 預測IC!$C14:CK14) - 1</f>
        <v>-4.6836479896695038E-2</v>
      </c>
      <c r="CM5" s="9">
        <f t="array" ref="CM5">PRODUCT(1 + 預測IC!$C14:CL14) - 1</f>
        <v>-8.926486265179312E-2</v>
      </c>
      <c r="CN5" s="9">
        <f t="array" ref="CN5">PRODUCT(1 + 預測IC!$C14:CM14) - 1</f>
        <v>-0.11335816564125412</v>
      </c>
      <c r="CO5" s="9">
        <f t="array" ref="CO5">PRODUCT(1 + 預測IC!$C14:CN14) - 1</f>
        <v>-0.13274331466194489</v>
      </c>
      <c r="CP5" s="9">
        <f t="array" ref="CP5">PRODUCT(1 + 預測IC!$C14:CO14) - 1</f>
        <v>-0.1005835167237813</v>
      </c>
      <c r="CQ5" s="9">
        <f t="array" ref="CQ5">PRODUCT(1 + 預測IC!$C14:CP14) - 1</f>
        <v>-0.12070647172585203</v>
      </c>
      <c r="CR5" s="9">
        <f t="array" ref="CR5">PRODUCT(1 + 預測IC!$C14:CQ14) - 1</f>
        <v>-0.10901418452231815</v>
      </c>
      <c r="CS5" s="9">
        <f t="array" ref="CS5">PRODUCT(1 + 預測IC!$C14:CR14) - 1</f>
        <v>-0.13422426604345905</v>
      </c>
      <c r="CT5" s="9">
        <f t="array" ref="CT5">PRODUCT(1 + 預測IC!$C14:CS14) - 1</f>
        <v>-0.15284579919427443</v>
      </c>
      <c r="CU5" s="9">
        <f t="array" ref="CU5">PRODUCT(1 + 預測IC!$C14:CT14) - 1</f>
        <v>-0.15934461049054283</v>
      </c>
      <c r="CV5" s="9">
        <f t="array" ref="CV5">PRODUCT(1 + 預測IC!$C14:CU14) - 1</f>
        <v>-0.14443264208893347</v>
      </c>
      <c r="CW5" s="9">
        <f t="array" ref="CW5">PRODUCT(1 + 預測IC!$C14:CV14) - 1</f>
        <v>-0.16760976797617677</v>
      </c>
      <c r="CX5" s="9">
        <f t="array" ref="CX5">PRODUCT(1 + 預測IC!$C14:CW14) - 1</f>
        <v>-0.17339945761299791</v>
      </c>
      <c r="CY5" s="9">
        <f t="array" ref="CY5">PRODUCT(1 + 預測IC!$C14:CX14) - 1</f>
        <v>-0.17613566589466012</v>
      </c>
      <c r="CZ5" s="9">
        <f t="array" ref="CZ5">PRODUCT(1 + 預測IC!$C14:CY14) - 1</f>
        <v>-0.17342495281438119</v>
      </c>
      <c r="DA5" s="9">
        <f t="array" ref="DA5">PRODUCT(1 + 預測IC!$C14:CZ14) - 1</f>
        <v>-0.17434644666997545</v>
      </c>
      <c r="DB5" s="9">
        <f t="array" ref="DB5">PRODUCT(1 + 預測IC!$C14:DA14) - 1</f>
        <v>-0.17677037964653242</v>
      </c>
      <c r="DC5" s="9">
        <f t="array" ref="DC5">PRODUCT(1 + 預測IC!$C14:DB14) - 1</f>
        <v>-0.18174056921411452</v>
      </c>
      <c r="DD5" s="9">
        <f t="array" ref="DD5">PRODUCT(1 + 預測IC!$C14:DC14) - 1</f>
        <v>-0.13495213379265858</v>
      </c>
      <c r="DE5" s="9">
        <f t="array" ref="DE5">PRODUCT(1 + 預測IC!$C14:DD14) - 1</f>
        <v>-0.1600205257466516</v>
      </c>
      <c r="DF5" s="9">
        <f t="array" ref="DF5">PRODUCT(1 + 預測IC!$C14:DE14) - 1</f>
        <v>-0.17364352820184081</v>
      </c>
      <c r="DG5" s="9">
        <f t="array" ref="DG5">PRODUCT(1 + 預測IC!$C14:DF14) - 1</f>
        <v>-0.16929981641719127</v>
      </c>
      <c r="DH5" s="9">
        <f t="array" ref="DH5">PRODUCT(1 + 預測IC!$C14:DG14) - 1</f>
        <v>-0.17533441453593279</v>
      </c>
      <c r="DI5" s="9">
        <f t="array" ref="DI5">PRODUCT(1 + 預測IC!$C14:DH14) - 1</f>
        <v>-0.17985104674676511</v>
      </c>
      <c r="DJ5" s="9">
        <f t="array" ref="DJ5">PRODUCT(1 + 預測IC!$C14:DI14) - 1</f>
        <v>-0.19415977421729436</v>
      </c>
      <c r="DK5" s="9">
        <f t="array" ref="DK5">PRODUCT(1 + 預測IC!$C14:DJ14) - 1</f>
        <v>-0.17448317564634885</v>
      </c>
      <c r="DL5" s="9">
        <f t="array" ref="DL5">PRODUCT(1 + 預測IC!$C14:DK14) - 1</f>
        <v>-0.17784096760456014</v>
      </c>
      <c r="DM5" s="9">
        <f t="array" ref="DM5">PRODUCT(1 + 預測IC!$C14:DL14) - 1</f>
        <v>-0.18264786693089119</v>
      </c>
      <c r="DN5" s="9">
        <f t="array" ref="DN5">PRODUCT(1 + 預測IC!$C14:DM14) - 1</f>
        <v>-0.21387689365461471</v>
      </c>
      <c r="DO5" s="9">
        <f t="array" ref="DO5">PRODUCT(1 + 預測IC!$C14:DN14) - 1</f>
        <v>-0.20596210421473871</v>
      </c>
      <c r="DP5" s="9">
        <f t="array" ref="DP5">PRODUCT(1 + 預測IC!$C14:DO14) - 1</f>
        <v>-0.21672018286449335</v>
      </c>
      <c r="DQ5" s="9">
        <f t="array" ref="DQ5">PRODUCT(1 + 預測IC!$C14:DP14) - 1</f>
        <v>-0.19800040300565214</v>
      </c>
      <c r="DR5" s="9">
        <f t="array" ref="DR5">PRODUCT(1 + 預測IC!$C14:DQ14) - 1</f>
        <v>-0.18840435697378277</v>
      </c>
      <c r="DS5" s="9">
        <f t="array" ref="DS5">PRODUCT(1 + 預測IC!$C14:DR14) - 1</f>
        <v>-0.19350035133286714</v>
      </c>
      <c r="DT5" s="9">
        <f t="array" ref="DT5">PRODUCT(1 + 預測IC!$C14:DS14) - 1</f>
        <v>-0.1944508734456537</v>
      </c>
      <c r="DU5" s="9">
        <f t="array" ref="DU5">PRODUCT(1 + 預測IC!$C14:DT14) - 1</f>
        <v>-0.15414864392619732</v>
      </c>
      <c r="DV5" s="9">
        <f t="array" ref="DV5">PRODUCT(1 + 預測IC!$C14:DU14) - 1</f>
        <v>-0.12723896786567324</v>
      </c>
      <c r="DW5" s="9">
        <f t="array" ref="DW5">PRODUCT(1 + 預測IC!$C14:DV14) - 1</f>
        <v>-0.13316100132577291</v>
      </c>
      <c r="DX5" s="9">
        <f t="array" ref="DX5">PRODUCT(1 + 預測IC!$C14:DW14) - 1</f>
        <v>-0.12066826610598202</v>
      </c>
      <c r="DY5" s="9">
        <f t="array" ref="DY5">PRODUCT(1 + 預測IC!$C14:DX14) - 1</f>
        <v>-0.13993085786786141</v>
      </c>
      <c r="DZ5" s="9">
        <f t="array" ref="DZ5">PRODUCT(1 + 預測IC!$C14:DY14) - 1</f>
        <v>-0.14991469982252326</v>
      </c>
      <c r="EA5" s="9">
        <f t="array" ref="EA5">PRODUCT(1 + 預測IC!$C14:DZ14) - 1</f>
        <v>-0.14187368082993734</v>
      </c>
      <c r="EB5" s="9">
        <f t="array" ref="EB5">PRODUCT(1 + 預測IC!$C14:EA14) - 1</f>
        <v>-0.15110562229065172</v>
      </c>
      <c r="EC5" s="9">
        <f t="array" ref="EC5">PRODUCT(1 + 預測IC!$C14:EB14) - 1</f>
        <v>-0.150597586346496</v>
      </c>
      <c r="ED5" s="9">
        <f t="array" ref="ED5">PRODUCT(1 + 預測IC!$C14:EC14) - 1</f>
        <v>-0.15961745117911086</v>
      </c>
      <c r="EE5" s="9">
        <f t="array" ref="EE5">PRODUCT(1 + 預測IC!$C14:ED14) - 1</f>
        <v>-0.1714955798290454</v>
      </c>
      <c r="EF5" s="9">
        <f t="array" ref="EF5">PRODUCT(1 + 預測IC!$C14:EE14) - 1</f>
        <v>-0.16303573430021823</v>
      </c>
      <c r="EG5" s="9">
        <f t="array" ref="EG5">PRODUCT(1 + 預測IC!$C14:EF14) - 1</f>
        <v>-0.14724628624691816</v>
      </c>
    </row>
    <row r="6" spans="3:137" ht="16" customHeight="1">
      <c r="C6" s="6">
        <v>20</v>
      </c>
      <c r="D6" s="2">
        <v>5.9099920037642271E-2</v>
      </c>
      <c r="E6" s="9">
        <f t="array" ref="E6">PRODUCT(1 + 預測IC!$C15:D15) - 1</f>
        <v>7.3273710747004728E-2</v>
      </c>
      <c r="F6" s="9">
        <f t="array" ref="F6">PRODUCT(1 + 預測IC!$C15:E15) - 1</f>
        <v>7.3294362603239627E-2</v>
      </c>
      <c r="G6" s="9">
        <f t="array" ref="G6">PRODUCT(1 + 預測IC!$C15:F15) - 1</f>
        <v>3.5330763916108898E-2</v>
      </c>
      <c r="H6" s="9">
        <f t="array" ref="H6">PRODUCT(1 + 預測IC!$C15:G15) - 1</f>
        <v>8.566980545772207E-3</v>
      </c>
      <c r="I6" s="9">
        <f t="array" ref="I6">PRODUCT(1 + 預測IC!$C15:H15) - 1</f>
        <v>1.4721714773631378E-2</v>
      </c>
      <c r="J6" s="9">
        <f t="array" ref="J6">PRODUCT(1 + 預測IC!$C15:I15) - 1</f>
        <v>1.1626453030828321E-2</v>
      </c>
      <c r="K6" s="9">
        <f t="array" ref="K6">PRODUCT(1 + 預測IC!$C15:J15) - 1</f>
        <v>4.2700125954893142E-2</v>
      </c>
      <c r="L6" s="9">
        <f t="array" ref="L6">PRODUCT(1 + 預測IC!$C15:K15) - 1</f>
        <v>3.285571794146791E-2</v>
      </c>
      <c r="M6" s="9">
        <f t="array" ref="M6">PRODUCT(1 + 預測IC!$C15:L15) - 1</f>
        <v>-4.4007115642872296E-2</v>
      </c>
      <c r="N6" s="9">
        <f t="array" ref="N6">PRODUCT(1 + 預測IC!$C15:M15) - 1</f>
        <v>-3.5210791548400122E-2</v>
      </c>
      <c r="O6" s="9">
        <f t="array" ref="O6">PRODUCT(1 + 預測IC!$C15:N15) - 1</f>
        <v>2.1808173524269669E-2</v>
      </c>
      <c r="P6" s="9">
        <f t="array" ref="P6">PRODUCT(1 + 預測IC!$C15:O15) - 1</f>
        <v>6.0075006352795279E-2</v>
      </c>
      <c r="Q6" s="9">
        <f t="array" ref="Q6">PRODUCT(1 + 預測IC!$C15:P15) - 1</f>
        <v>6.5836449195008973E-2</v>
      </c>
      <c r="R6" s="9">
        <f t="array" ref="R6">PRODUCT(1 + 預測IC!$C15:Q15) - 1</f>
        <v>6.2429793140228229E-2</v>
      </c>
      <c r="S6" s="9">
        <f t="array" ref="S6">PRODUCT(1 + 預測IC!$C15:R15) - 1</f>
        <v>0.12320725625571738</v>
      </c>
      <c r="T6" s="9">
        <f t="array" ref="T6">PRODUCT(1 + 預測IC!$C15:S15) - 1</f>
        <v>0.19298359283484978</v>
      </c>
      <c r="U6" s="9">
        <f t="array" ref="U6">PRODUCT(1 + 預測IC!$C15:T15) - 1</f>
        <v>0.19715988213551427</v>
      </c>
      <c r="V6" s="9">
        <f t="array" ref="V6">PRODUCT(1 + 預測IC!$C15:U15) - 1</f>
        <v>0.16150309351733116</v>
      </c>
      <c r="W6" s="9">
        <f t="array" ref="W6">PRODUCT(1 + 預測IC!$C15:V15) - 1</f>
        <v>0.19593434004344723</v>
      </c>
      <c r="X6" s="9">
        <f t="array" ref="X6">PRODUCT(1 + 預測IC!$C15:W15) - 1</f>
        <v>0.1941340397504363</v>
      </c>
      <c r="Y6" s="9">
        <f t="array" ref="Y6">PRODUCT(1 + 預測IC!$C15:X15) - 1</f>
        <v>0.28745964922303702</v>
      </c>
      <c r="Z6" s="9">
        <f t="array" ref="Z6">PRODUCT(1 + 預測IC!$C15:Y15) - 1</f>
        <v>0.2742329516446036</v>
      </c>
      <c r="AA6" s="9">
        <f t="array" ref="AA6">PRODUCT(1 + 預測IC!$C15:Z15) - 1</f>
        <v>0.31247196277721545</v>
      </c>
      <c r="AB6" s="9">
        <f t="array" ref="AB6">PRODUCT(1 + 預測IC!$C15:AA15) - 1</f>
        <v>0.28545205898788217</v>
      </c>
      <c r="AC6" s="9">
        <f t="array" ref="AC6">PRODUCT(1 + 預測IC!$C15:AB15) - 1</f>
        <v>0.29121979440759382</v>
      </c>
      <c r="AD6" s="9">
        <f t="array" ref="AD6">PRODUCT(1 + 預測IC!$C15:AC15) - 1</f>
        <v>0.3087116665393701</v>
      </c>
      <c r="AE6" s="9">
        <f t="array" ref="AE6">PRODUCT(1 + 預測IC!$C15:AD15) - 1</f>
        <v>0.26417072946526265</v>
      </c>
      <c r="AF6" s="9">
        <f t="array" ref="AF6">PRODUCT(1 + 預測IC!$C15:AE15) - 1</f>
        <v>0.30950446875355153</v>
      </c>
      <c r="AG6" s="9">
        <f t="array" ref="AG6">PRODUCT(1 + 預測IC!$C15:AF15) - 1</f>
        <v>0.31139569746127727</v>
      </c>
      <c r="AH6" s="9">
        <f t="array" ref="AH6">PRODUCT(1 + 預測IC!$C15:AG15) - 1</f>
        <v>0.29523816994567942</v>
      </c>
      <c r="AI6" s="9">
        <f t="array" ref="AI6">PRODUCT(1 + 預測IC!$C15:AH15) - 1</f>
        <v>0.3133913697773274</v>
      </c>
      <c r="AJ6" s="9">
        <f t="array" ref="AJ6">PRODUCT(1 + 預測IC!$C15:AI15) - 1</f>
        <v>0.33428175585128117</v>
      </c>
      <c r="AK6" s="9">
        <f t="array" ref="AK6">PRODUCT(1 + 預測IC!$C15:AJ15) - 1</f>
        <v>0.3311126103659312</v>
      </c>
      <c r="AL6" s="9">
        <f t="array" ref="AL6">PRODUCT(1 + 預測IC!$C15:AK15) - 1</f>
        <v>0.32533367605362473</v>
      </c>
      <c r="AM6" s="9">
        <f t="array" ref="AM6">PRODUCT(1 + 預測IC!$C15:AL15) - 1</f>
        <v>0.34062143614843032</v>
      </c>
      <c r="AN6" s="9">
        <f t="array" ref="AN6">PRODUCT(1 + 預測IC!$C15:AM15) - 1</f>
        <v>0.39656260043203706</v>
      </c>
      <c r="AO6" s="9">
        <f t="array" ref="AO6">PRODUCT(1 + 預測IC!$C15:AN15) - 1</f>
        <v>0.37105615170391215</v>
      </c>
      <c r="AP6" s="9">
        <f t="array" ref="AP6">PRODUCT(1 + 預測IC!$C15:AO15) - 1</f>
        <v>0.37266895229439601</v>
      </c>
      <c r="AQ6" s="9">
        <f t="array" ref="AQ6">PRODUCT(1 + 預測IC!$C15:AP15) - 1</f>
        <v>0.35272916867780646</v>
      </c>
      <c r="AR6" s="9">
        <f t="array" ref="AR6">PRODUCT(1 + 預測IC!$C15:AQ15) - 1</f>
        <v>0.39207292407290129</v>
      </c>
      <c r="AS6" s="9">
        <f t="array" ref="AS6">PRODUCT(1 + 預測IC!$C15:AR15) - 1</f>
        <v>0.39036015474235253</v>
      </c>
      <c r="AT6" s="9">
        <f t="array" ref="AT6">PRODUCT(1 + 預測IC!$C15:AS15) - 1</f>
        <v>0.41670256091293822</v>
      </c>
      <c r="AU6" s="9">
        <f t="array" ref="AU6">PRODUCT(1 + 預測IC!$C15:AT15) - 1</f>
        <v>0.38530772782606948</v>
      </c>
      <c r="AV6" s="9">
        <f t="array" ref="AV6">PRODUCT(1 + 預測IC!$C15:AU15) - 1</f>
        <v>0.42588447030469689</v>
      </c>
      <c r="AW6" s="9">
        <f t="array" ref="AW6">PRODUCT(1 + 預測IC!$C15:AV15) - 1</f>
        <v>0.42005848526274225</v>
      </c>
      <c r="AX6" s="9">
        <f t="array" ref="AX6">PRODUCT(1 + 預測IC!$C15:AW15) - 1</f>
        <v>0.41876765841437247</v>
      </c>
      <c r="AY6" s="9">
        <f t="array" ref="AY6">PRODUCT(1 + 預測IC!$C15:AX15) - 1</f>
        <v>0.41452205269706788</v>
      </c>
      <c r="AZ6" s="9">
        <f t="array" ref="AZ6">PRODUCT(1 + 預測IC!$C15:AY15) - 1</f>
        <v>0.50200861381273998</v>
      </c>
      <c r="BA6" s="9">
        <f t="array" ref="BA6">PRODUCT(1 + 預測IC!$C15:AZ15) - 1</f>
        <v>0.4835955782340251</v>
      </c>
      <c r="BB6" s="9">
        <f t="array" ref="BB6">PRODUCT(1 + 預測IC!$C15:BA15) - 1</f>
        <v>0.45722348638195887</v>
      </c>
      <c r="BC6" s="9">
        <f t="array" ref="BC6">PRODUCT(1 + 預測IC!$C15:BB15) - 1</f>
        <v>0.46251943789263583</v>
      </c>
      <c r="BD6" s="9">
        <f t="array" ref="BD6">PRODUCT(1 + 預測IC!$C15:BC15) - 1</f>
        <v>0.5001966539667444</v>
      </c>
      <c r="BE6" s="9">
        <f t="array" ref="BE6">PRODUCT(1 + 預測IC!$C15:BD15) - 1</f>
        <v>0.50397775574490034</v>
      </c>
      <c r="BF6" s="9">
        <f t="array" ref="BF6">PRODUCT(1 + 預測IC!$C15:BE15) - 1</f>
        <v>0.52139426917123832</v>
      </c>
      <c r="BG6" s="9">
        <f t="array" ref="BG6">PRODUCT(1 + 預測IC!$C15:BF15) - 1</f>
        <v>0.56893568736197686</v>
      </c>
      <c r="BH6" s="9">
        <f t="array" ref="BH6">PRODUCT(1 + 預測IC!$C15:BG15) - 1</f>
        <v>0.62398882219809715</v>
      </c>
      <c r="BI6" s="9">
        <f t="array" ref="BI6">PRODUCT(1 + 預測IC!$C15:BH15) - 1</f>
        <v>0.69791800296384254</v>
      </c>
      <c r="BJ6" s="9">
        <f t="array" ref="BJ6">PRODUCT(1 + 預測IC!$C15:BI15) - 1</f>
        <v>0.62474628914480501</v>
      </c>
      <c r="BK6" s="9">
        <f t="array" ref="BK6">PRODUCT(1 + 預測IC!$C15:BJ15) - 1</f>
        <v>0.58801371833806715</v>
      </c>
      <c r="BL6" s="9">
        <f t="array" ref="BL6">PRODUCT(1 + 預測IC!$C15:BK15) - 1</f>
        <v>0.61945687991142728</v>
      </c>
      <c r="BM6" s="9">
        <f t="array" ref="BM6">PRODUCT(1 + 預測IC!$C15:BL15) - 1</f>
        <v>0.59907210806012801</v>
      </c>
      <c r="BN6" s="9">
        <f t="array" ref="BN6">PRODUCT(1 + 預測IC!$C15:BM15) - 1</f>
        <v>0.61831318589250106</v>
      </c>
      <c r="BO6" s="9">
        <f t="array" ref="BO6">PRODUCT(1 + 預測IC!$C15:BN15) - 1</f>
        <v>0.56617466687085694</v>
      </c>
      <c r="BP6" s="9">
        <f t="array" ref="BP6">PRODUCT(1 + 預測IC!$C15:BO15) - 1</f>
        <v>0.52011742200116595</v>
      </c>
      <c r="BQ6" s="9">
        <f t="array" ref="BQ6">PRODUCT(1 + 預測IC!$C15:BP15) - 1</f>
        <v>0.56197296697320209</v>
      </c>
      <c r="BR6" s="9">
        <f t="array" ref="BR6">PRODUCT(1 + 預測IC!$C15:BQ15) - 1</f>
        <v>0.55549960591992975</v>
      </c>
      <c r="BS6" s="9">
        <f t="array" ref="BS6">PRODUCT(1 + 預測IC!$C15:BR15) - 1</f>
        <v>0.50571005512452993</v>
      </c>
      <c r="BT6" s="9">
        <f t="array" ref="BT6">PRODUCT(1 + 預測IC!$C15:BS15) - 1</f>
        <v>0.46803422558230112</v>
      </c>
      <c r="BU6" s="9">
        <f t="array" ref="BU6">PRODUCT(1 + 預測IC!$C15:BT15) - 1</f>
        <v>0.41782092943300175</v>
      </c>
      <c r="BV6" s="9">
        <f t="array" ref="BV6">PRODUCT(1 + 預測IC!$C15:BU15) - 1</f>
        <v>0.40017778624624722</v>
      </c>
      <c r="BW6" s="9">
        <f t="array" ref="BW6">PRODUCT(1 + 預測IC!$C15:BV15) - 1</f>
        <v>0.43133915298293668</v>
      </c>
      <c r="BX6" s="9">
        <f t="array" ref="BX6">PRODUCT(1 + 預測IC!$C15:BW15) - 1</f>
        <v>0.44021691462355594</v>
      </c>
      <c r="BY6" s="9">
        <f t="array" ref="BY6">PRODUCT(1 + 預測IC!$C15:BX15) - 1</f>
        <v>0.43776074997343217</v>
      </c>
      <c r="BZ6" s="9">
        <f t="array" ref="BZ6">PRODUCT(1 + 預測IC!$C15:BY15) - 1</f>
        <v>0.3822883424418273</v>
      </c>
      <c r="CA6" s="9">
        <f t="array" ref="CA6">PRODUCT(1 + 預測IC!$C15:BZ15) - 1</f>
        <v>0.32670053435360802</v>
      </c>
      <c r="CB6" s="9">
        <f t="array" ref="CB6">PRODUCT(1 + 預測IC!$C15:CA15) - 1</f>
        <v>0.31438307737841997</v>
      </c>
      <c r="CC6" s="9">
        <f t="array" ref="CC6">PRODUCT(1 + 預測IC!$C15:CB15) - 1</f>
        <v>0.36581878156629388</v>
      </c>
      <c r="CD6" s="9">
        <f t="array" ref="CD6">PRODUCT(1 + 預測IC!$C15:CC15) - 1</f>
        <v>0.39315847672063287</v>
      </c>
      <c r="CE6" s="9">
        <f t="array" ref="CE6">PRODUCT(1 + 預測IC!$C15:CD15) - 1</f>
        <v>0.31701137924522538</v>
      </c>
      <c r="CF6" s="9">
        <f t="array" ref="CF6">PRODUCT(1 + 預測IC!$C15:CE15) - 1</f>
        <v>0.32055353445215307</v>
      </c>
      <c r="CG6" s="9">
        <f t="array" ref="CG6">PRODUCT(1 + 預測IC!$C15:CF15) - 1</f>
        <v>0.30011847912575407</v>
      </c>
      <c r="CH6" s="9">
        <f t="array" ref="CH6">PRODUCT(1 + 預測IC!$C15:CG15) - 1</f>
        <v>0.33464105551253098</v>
      </c>
      <c r="CI6" s="9">
        <f t="array" ref="CI6">PRODUCT(1 + 預測IC!$C15:CH15) - 1</f>
        <v>0.34482852592707713</v>
      </c>
      <c r="CJ6" s="9">
        <f t="array" ref="CJ6">PRODUCT(1 + 預測IC!$C15:CI15) - 1</f>
        <v>0.37060882426885411</v>
      </c>
      <c r="CK6" s="9">
        <f t="array" ref="CK6">PRODUCT(1 + 預測IC!$C15:CJ15) - 1</f>
        <v>0.38926534957368997</v>
      </c>
      <c r="CL6" s="9">
        <f t="array" ref="CL6">PRODUCT(1 + 預測IC!$C15:CK15) - 1</f>
        <v>0.42521665559764621</v>
      </c>
      <c r="CM6" s="9">
        <f t="array" ref="CM6">PRODUCT(1 + 預測IC!$C15:CL15) - 1</f>
        <v>0.34373397909606362</v>
      </c>
      <c r="CN6" s="9">
        <f t="array" ref="CN6">PRODUCT(1 + 預測IC!$C15:CM15) - 1</f>
        <v>0.30715534831423152</v>
      </c>
      <c r="CO6" s="9">
        <f t="array" ref="CO6">PRODUCT(1 + 預測IC!$C15:CN15) - 1</f>
        <v>0.23328022920858071</v>
      </c>
      <c r="CP6" s="9">
        <f t="array" ref="CP6">PRODUCT(1 + 預測IC!$C15:CO15) - 1</f>
        <v>0.30013911896194068</v>
      </c>
      <c r="CQ6" s="9">
        <f t="array" ref="CQ6">PRODUCT(1 + 預測IC!$C15:CP15) - 1</f>
        <v>0.24579721758386697</v>
      </c>
      <c r="CR6" s="9">
        <f t="array" ref="CR6">PRODUCT(1 + 預測IC!$C15:CQ15) - 1</f>
        <v>0.23929756581200667</v>
      </c>
      <c r="CS6" s="9">
        <f t="array" ref="CS6">PRODUCT(1 + 預測IC!$C15:CR15) - 1</f>
        <v>0.16597731922146597</v>
      </c>
      <c r="CT6" s="9">
        <f t="array" ref="CT6">PRODUCT(1 + 預測IC!$C15:CS15) - 1</f>
        <v>0.1287495305283719</v>
      </c>
      <c r="CU6" s="9">
        <f t="array" ref="CU6">PRODUCT(1 + 預測IC!$C15:CT15) - 1</f>
        <v>9.5497029429328251E-2</v>
      </c>
      <c r="CV6" s="9">
        <f t="array" ref="CV6">PRODUCT(1 + 預測IC!$C15:CU15) - 1</f>
        <v>0.12128917077957113</v>
      </c>
      <c r="CW6" s="9">
        <f t="array" ref="CW6">PRODUCT(1 + 預測IC!$C15:CV15) - 1</f>
        <v>6.7807770405034828E-2</v>
      </c>
      <c r="CX6" s="9">
        <f t="array" ref="CX6">PRODUCT(1 + 預測IC!$C15:CW15) - 1</f>
        <v>4.0272128520313144E-2</v>
      </c>
      <c r="CY6" s="9">
        <f t="array" ref="CY6">PRODUCT(1 + 預測IC!$C15:CX15) - 1</f>
        <v>2.3439069207148222E-2</v>
      </c>
      <c r="CZ6" s="9">
        <f t="array" ref="CZ6">PRODUCT(1 + 預測IC!$C15:CY15) - 1</f>
        <v>3.3912453993552472E-2</v>
      </c>
      <c r="DA6" s="9">
        <f t="array" ref="DA6">PRODUCT(1 + 預測IC!$C15:CZ15) - 1</f>
        <v>3.2301464990561746E-2</v>
      </c>
      <c r="DB6" s="9">
        <f t="array" ref="DB6">PRODUCT(1 + 預測IC!$C15:DA15) - 1</f>
        <v>4.2517702571707616E-2</v>
      </c>
      <c r="DC6" s="9">
        <f t="array" ref="DC6">PRODUCT(1 + 預測IC!$C15:DB15) - 1</f>
        <v>1.7698050877653637E-2</v>
      </c>
      <c r="DD6" s="9">
        <f t="array" ref="DD6">PRODUCT(1 + 預測IC!$C15:DC15) - 1</f>
        <v>6.9185536396272562E-2</v>
      </c>
      <c r="DE6" s="9">
        <f t="array" ref="DE6">PRODUCT(1 + 預測IC!$C15:DD15) - 1</f>
        <v>2.9774678007746136E-2</v>
      </c>
      <c r="DF6" s="9">
        <f t="array" ref="DF6">PRODUCT(1 + 預測IC!$C15:DE15) - 1</f>
        <v>-3.8809341952383836E-4</v>
      </c>
      <c r="DG6" s="9">
        <f t="array" ref="DG6">PRODUCT(1 + 預測IC!$C15:DF15) - 1</f>
        <v>-1.5608396623625898E-2</v>
      </c>
      <c r="DH6" s="9">
        <f t="array" ref="DH6">PRODUCT(1 + 預測IC!$C15:DG15) - 1</f>
        <v>-2.4367394071822757E-2</v>
      </c>
      <c r="DI6" s="9">
        <f t="array" ref="DI6">PRODUCT(1 + 預測IC!$C15:DH15) - 1</f>
        <v>-7.8835912325599944E-3</v>
      </c>
      <c r="DJ6" s="9">
        <f t="array" ref="DJ6">PRODUCT(1 + 預測IC!$C15:DI15) - 1</f>
        <v>-2.310777311379586E-2</v>
      </c>
      <c r="DK6" s="9">
        <f t="array" ref="DK6">PRODUCT(1 + 預測IC!$C15:DJ15) - 1</f>
        <v>1.0939232705155177E-2</v>
      </c>
      <c r="DL6" s="9">
        <f t="array" ref="DL6">PRODUCT(1 + 預測IC!$C15:DK15) - 1</f>
        <v>2.5376409190427829E-2</v>
      </c>
      <c r="DM6" s="9">
        <f t="array" ref="DM6">PRODUCT(1 + 預測IC!$C15:DL15) - 1</f>
        <v>1.2217524188517848E-2</v>
      </c>
      <c r="DN6" s="9">
        <f t="array" ref="DN6">PRODUCT(1 + 預測IC!$C15:DM15) - 1</f>
        <v>-3.2078262240248012E-2</v>
      </c>
      <c r="DO6" s="9">
        <f t="array" ref="DO6">PRODUCT(1 + 預測IC!$C15:DN15) - 1</f>
        <v>-3.5765965192975924E-2</v>
      </c>
      <c r="DP6" s="9">
        <f t="array" ref="DP6">PRODUCT(1 + 預測IC!$C15:DO15) - 1</f>
        <v>-5.713920722431387E-2</v>
      </c>
      <c r="DQ6" s="9">
        <f t="array" ref="DQ6">PRODUCT(1 + 預測IC!$C15:DP15) - 1</f>
        <v>-1.0614490559684109E-2</v>
      </c>
      <c r="DR6" s="9">
        <f t="array" ref="DR6">PRODUCT(1 + 預測IC!$C15:DQ15) - 1</f>
        <v>2.0470512808047348E-2</v>
      </c>
      <c r="DS6" s="9">
        <f t="array" ref="DS6">PRODUCT(1 + 預測IC!$C15:DR15) - 1</f>
        <v>1.8036070115712288E-2</v>
      </c>
      <c r="DT6" s="9">
        <f t="array" ref="DT6">PRODUCT(1 + 預測IC!$C15:DS15) - 1</f>
        <v>1.4135363965166015E-2</v>
      </c>
      <c r="DU6" s="9">
        <f t="array" ref="DU6">PRODUCT(1 + 預測IC!$C15:DT15) - 1</f>
        <v>6.336187751130784E-2</v>
      </c>
      <c r="DV6" s="9">
        <f t="array" ref="DV6">PRODUCT(1 + 預測IC!$C15:DU15) - 1</f>
        <v>0.10170726487716397</v>
      </c>
      <c r="DW6" s="9">
        <f t="array" ref="DW6">PRODUCT(1 + 預測IC!$C15:DV15) - 1</f>
        <v>0.11756701000092007</v>
      </c>
      <c r="DX6" s="9">
        <f t="array" ref="DX6">PRODUCT(1 + 預測IC!$C15:DW15) - 1</f>
        <v>0.1683499789589038</v>
      </c>
      <c r="DY6" s="9">
        <f t="array" ref="DY6">PRODUCT(1 + 預測IC!$C15:DX15) - 1</f>
        <v>0.1299799277975191</v>
      </c>
      <c r="DZ6" s="9">
        <f t="array" ref="DZ6">PRODUCT(1 + 預測IC!$C15:DY15) - 1</f>
        <v>0.11669935170609658</v>
      </c>
      <c r="EA6" s="9">
        <f t="array" ref="EA6">PRODUCT(1 + 預測IC!$C15:DZ15) - 1</f>
        <v>0.10968018364883636</v>
      </c>
      <c r="EB6" s="9">
        <f t="array" ref="EB6">PRODUCT(1 + 預測IC!$C15:EA15) - 1</f>
        <v>9.7223810641852371E-2</v>
      </c>
      <c r="EC6" s="9">
        <f t="array" ref="EC6">PRODUCT(1 + 預測IC!$C15:EB15) - 1</f>
        <v>7.9697382484190227E-2</v>
      </c>
      <c r="ED6" s="9">
        <f t="array" ref="ED6">PRODUCT(1 + 預測IC!$C15:EC15) - 1</f>
        <v>6.5848430586360251E-2</v>
      </c>
      <c r="EE6" s="9">
        <f t="array" ref="EE6">PRODUCT(1 + 預測IC!$C15:ED15) - 1</f>
        <v>6.9129224230177977E-2</v>
      </c>
      <c r="EF6" s="9">
        <f t="array" ref="EF6">PRODUCT(1 + 預測IC!$C15:EE15) - 1</f>
        <v>8.0349770422002642E-2</v>
      </c>
      <c r="EG6" s="9">
        <f t="array" ref="EG6">PRODUCT(1 + 預測IC!$C15:EF15) - 1</f>
        <v>8.2353457019089804E-2</v>
      </c>
    </row>
    <row r="7" spans="3:137" ht="16" customHeight="1">
      <c r="C7" s="6">
        <v>50</v>
      </c>
      <c r="D7" s="2">
        <v>5.5126982158774263E-2</v>
      </c>
      <c r="E7" s="9">
        <f t="array" ref="E7">PRODUCT(1 + 預測IC!$C16:D16) - 1</f>
        <v>7.4787550612329667E-2</v>
      </c>
      <c r="F7" s="9">
        <f t="array" ref="F7">PRODUCT(1 + 預測IC!$C16:E16) - 1</f>
        <v>0.10865988950632688</v>
      </c>
      <c r="G7" s="9">
        <f t="array" ref="G7">PRODUCT(1 + 預測IC!$C16:F16) - 1</f>
        <v>0.11204827071459511</v>
      </c>
      <c r="H7" s="9">
        <f t="array" ref="H7">PRODUCT(1 + 預測IC!$C16:G16) - 1</f>
        <v>0.14342011442459013</v>
      </c>
      <c r="I7" s="9">
        <f t="array" ref="I7">PRODUCT(1 + 預測IC!$C16:H16) - 1</f>
        <v>0.1207751495411642</v>
      </c>
      <c r="J7" s="9">
        <f t="array" ref="J7">PRODUCT(1 + 預測IC!$C16:I16) - 1</f>
        <v>0.12386774245850507</v>
      </c>
      <c r="K7" s="9">
        <f t="array" ref="K7">PRODUCT(1 + 預測IC!$C16:J16) - 1</f>
        <v>0.16258901552212501</v>
      </c>
      <c r="L7" s="9">
        <f t="array" ref="L7">PRODUCT(1 + 預測IC!$C16:K16) - 1</f>
        <v>0.1784804291500417</v>
      </c>
      <c r="M7" s="9">
        <f t="array" ref="M7">PRODUCT(1 + 預測IC!$C16:L16) - 1</f>
        <v>0.20305605189269027</v>
      </c>
      <c r="N7" s="9">
        <f t="array" ref="N7">PRODUCT(1 + 預測IC!$C16:M16) - 1</f>
        <v>0.23689551511870777</v>
      </c>
      <c r="O7" s="9">
        <f t="array" ref="O7">PRODUCT(1 + 預測IC!$C16:N16) - 1</f>
        <v>0.30508183211292472</v>
      </c>
      <c r="P7" s="9">
        <f t="array" ref="P7">PRODUCT(1 + 預測IC!$C16:O16) - 1</f>
        <v>0.309140837858213</v>
      </c>
      <c r="Q7" s="9">
        <f t="array" ref="Q7">PRODUCT(1 + 預測IC!$C16:P16) - 1</f>
        <v>0.2945368601976408</v>
      </c>
      <c r="R7" s="9">
        <f t="array" ref="R7">PRODUCT(1 + 預測IC!$C16:Q16) - 1</f>
        <v>0.28377479729783017</v>
      </c>
      <c r="S7" s="9">
        <f t="array" ref="S7">PRODUCT(1 + 預測IC!$C16:R16) - 1</f>
        <v>0.36201669999943809</v>
      </c>
      <c r="T7" s="9">
        <f t="array" ref="T7">PRODUCT(1 + 預測IC!$C16:S16) - 1</f>
        <v>0.47709309393573185</v>
      </c>
      <c r="U7" s="9">
        <f t="array" ref="U7">PRODUCT(1 + 預測IC!$C16:T16) - 1</f>
        <v>0.46796456965378641</v>
      </c>
      <c r="V7" s="9">
        <f t="array" ref="V7">PRODUCT(1 + 預測IC!$C16:U16) - 1</f>
        <v>0.39750057289026386</v>
      </c>
      <c r="W7" s="9">
        <f t="array" ref="W7">PRODUCT(1 + 預測IC!$C16:V16) - 1</f>
        <v>0.44353150172623912</v>
      </c>
      <c r="X7" s="9">
        <f t="array" ref="X7">PRODUCT(1 + 預測IC!$C16:W16) - 1</f>
        <v>0.39818260827760166</v>
      </c>
      <c r="Y7" s="9">
        <f t="array" ref="Y7">PRODUCT(1 + 預測IC!$C16:X16) - 1</f>
        <v>0.54888410060335668</v>
      </c>
      <c r="Z7" s="9">
        <f t="array" ref="Z7">PRODUCT(1 + 預測IC!$C16:Y16) - 1</f>
        <v>0.52951701333120749</v>
      </c>
      <c r="AA7" s="9">
        <f t="array" ref="AA7">PRODUCT(1 + 預測IC!$C16:Z16) - 1</f>
        <v>0.60110243640379002</v>
      </c>
      <c r="AB7" s="9">
        <f t="array" ref="AB7">PRODUCT(1 + 預測IC!$C16:AA16) - 1</f>
        <v>0.53851953122812568</v>
      </c>
      <c r="AC7" s="9">
        <f t="array" ref="AC7">PRODUCT(1 + 預測IC!$C16:AB16) - 1</f>
        <v>0.51646184051341826</v>
      </c>
      <c r="AD7" s="9">
        <f t="array" ref="AD7">PRODUCT(1 + 預測IC!$C16:AC16) - 1</f>
        <v>0.5772350567301574</v>
      </c>
      <c r="AE7" s="9">
        <f t="array" ref="AE7">PRODUCT(1 + 預測IC!$C16:AD16) - 1</f>
        <v>0.53199208108134255</v>
      </c>
      <c r="AF7" s="9">
        <f t="array" ref="AF7">PRODUCT(1 + 預測IC!$C16:AE16) - 1</f>
        <v>0.66633846261296292</v>
      </c>
      <c r="AG7" s="9">
        <f t="array" ref="AG7">PRODUCT(1 + 預測IC!$C16:AF16) - 1</f>
        <v>0.7040737793447962</v>
      </c>
      <c r="AH7" s="9">
        <f t="array" ref="AH7">PRODUCT(1 + 預測IC!$C16:AG16) - 1</f>
        <v>0.72472867366571725</v>
      </c>
      <c r="AI7" s="9">
        <f t="array" ref="AI7">PRODUCT(1 + 預測IC!$C16:AH16) - 1</f>
        <v>0.77333747897020788</v>
      </c>
      <c r="AJ7" s="9">
        <f t="array" ref="AJ7">PRODUCT(1 + 預測IC!$C16:AI16) - 1</f>
        <v>0.71679334756574131</v>
      </c>
      <c r="AK7" s="9">
        <f t="array" ref="AK7">PRODUCT(1 + 預測IC!$C16:AJ16) - 1</f>
        <v>0.7627977930132166</v>
      </c>
      <c r="AL7" s="9">
        <f t="array" ref="AL7">PRODUCT(1 + 預測IC!$C16:AK16) - 1</f>
        <v>0.77113793919182005</v>
      </c>
      <c r="AM7" s="9">
        <f t="array" ref="AM7">PRODUCT(1 + 預測IC!$C16:AL16) - 1</f>
        <v>0.74445160158171242</v>
      </c>
      <c r="AN7" s="9">
        <f t="array" ref="AN7">PRODUCT(1 + 預測IC!$C16:AM16) - 1</f>
        <v>0.8807244061984576</v>
      </c>
      <c r="AO7" s="9">
        <f t="array" ref="AO7">PRODUCT(1 + 預測IC!$C16:AN16) - 1</f>
        <v>0.89233305228549797</v>
      </c>
      <c r="AP7" s="9">
        <f t="array" ref="AP7">PRODUCT(1 + 預測IC!$C16:AO16) - 1</f>
        <v>0.97445081529767918</v>
      </c>
      <c r="AQ7" s="9">
        <f t="array" ref="AQ7">PRODUCT(1 + 預測IC!$C16:AP16) - 1</f>
        <v>0.78567480153024793</v>
      </c>
      <c r="AR7" s="9">
        <f t="array" ref="AR7">PRODUCT(1 + 預測IC!$C16:AQ16) - 1</f>
        <v>0.86191690322912229</v>
      </c>
      <c r="AS7" s="9">
        <f t="array" ref="AS7">PRODUCT(1 + 預測IC!$C16:AR16) - 1</f>
        <v>0.84203595314545354</v>
      </c>
      <c r="AT7" s="9">
        <f t="array" ref="AT7">PRODUCT(1 + 預測IC!$C16:AS16) - 1</f>
        <v>0.91508106820826196</v>
      </c>
      <c r="AU7" s="9">
        <f t="array" ref="AU7">PRODUCT(1 + 預測IC!$C16:AT16) - 1</f>
        <v>0.73753086776670451</v>
      </c>
      <c r="AV7" s="9">
        <f t="array" ref="AV7">PRODUCT(1 + 預測IC!$C16:AU16) - 1</f>
        <v>0.76852618638633552</v>
      </c>
      <c r="AW7" s="9">
        <f t="array" ref="AW7">PRODUCT(1 + 預測IC!$C16:AV16) - 1</f>
        <v>0.71014167353055035</v>
      </c>
      <c r="AX7" s="9">
        <f t="array" ref="AX7">PRODUCT(1 + 預測IC!$C16:AW16) - 1</f>
        <v>0.75115788301814135</v>
      </c>
      <c r="AY7" s="9">
        <f t="array" ref="AY7">PRODUCT(1 + 預測IC!$C16:AX16) - 1</f>
        <v>0.71360018216867571</v>
      </c>
      <c r="AZ7" s="9">
        <f t="array" ref="AZ7">PRODUCT(1 + 預測IC!$C16:AY16) - 1</f>
        <v>0.82170144333751294</v>
      </c>
      <c r="BA7" s="9">
        <f t="array" ref="BA7">PRODUCT(1 + 預測IC!$C16:AZ16) - 1</f>
        <v>0.74899509151696742</v>
      </c>
      <c r="BB7" s="9">
        <f t="array" ref="BB7">PRODUCT(1 + 預測IC!$C16:BA16) - 1</f>
        <v>0.79597669708285523</v>
      </c>
      <c r="BC7" s="9">
        <f t="array" ref="BC7">PRODUCT(1 + 預測IC!$C16:BB16) - 1</f>
        <v>0.73958455769855447</v>
      </c>
      <c r="BD7" s="9">
        <f t="array" ref="BD7">PRODUCT(1 + 預測IC!$C16:BC16) - 1</f>
        <v>0.68001754230204359</v>
      </c>
      <c r="BE7" s="9">
        <f t="array" ref="BE7">PRODUCT(1 + 預測IC!$C16:BD16) - 1</f>
        <v>0.72171664394028112</v>
      </c>
      <c r="BF7" s="9">
        <f t="array" ref="BF7">PRODUCT(1 + 預測IC!$C16:BE16) - 1</f>
        <v>0.8262697012704574</v>
      </c>
      <c r="BG7" s="9">
        <f t="array" ref="BG7">PRODUCT(1 + 預測IC!$C16:BF16) - 1</f>
        <v>0.93336280860991372</v>
      </c>
      <c r="BH7" s="9">
        <f t="array" ref="BH7">PRODUCT(1 + 預測IC!$C16:BG16) - 1</f>
        <v>0.930308271175188</v>
      </c>
      <c r="BI7" s="9">
        <f t="array" ref="BI7">PRODUCT(1 + 預測IC!$C16:BH16) - 1</f>
        <v>1.0432668572209187</v>
      </c>
      <c r="BJ7" s="9">
        <f t="array" ref="BJ7">PRODUCT(1 + 預測IC!$C16:BI16) - 1</f>
        <v>0.92877429311504933</v>
      </c>
      <c r="BK7" s="9">
        <f t="array" ref="BK7">PRODUCT(1 + 預測IC!$C16:BJ16) - 1</f>
        <v>0.96592787868388919</v>
      </c>
      <c r="BL7" s="9">
        <f t="array" ref="BL7">PRODUCT(1 + 預測IC!$C16:BK16) - 1</f>
        <v>1.0366113040938649</v>
      </c>
      <c r="BM7" s="9">
        <f t="array" ref="BM7">PRODUCT(1 + 預測IC!$C16:BL16) - 1</f>
        <v>1.0261992991770694</v>
      </c>
      <c r="BN7" s="9">
        <f t="array" ref="BN7">PRODUCT(1 + 預測IC!$C16:BM16) - 1</f>
        <v>1.1009358245839476</v>
      </c>
      <c r="BO7" s="9">
        <f t="array" ref="BO7">PRODUCT(1 + 預測IC!$C16:BN16) - 1</f>
        <v>0.99053954895290852</v>
      </c>
      <c r="BP7" s="9">
        <f t="array" ref="BP7">PRODUCT(1 + 預測IC!$C16:BO16) - 1</f>
        <v>0.81028802181103754</v>
      </c>
      <c r="BQ7" s="9">
        <f t="array" ref="BQ7">PRODUCT(1 + 預測IC!$C16:BP16) - 1</f>
        <v>0.8693643231136241</v>
      </c>
      <c r="BR7" s="9">
        <f t="array" ref="BR7">PRODUCT(1 + 預測IC!$C16:BQ16) - 1</f>
        <v>0.83927544973944079</v>
      </c>
      <c r="BS7" s="9">
        <f t="array" ref="BS7">PRODUCT(1 + 預測IC!$C16:BR16) - 1</f>
        <v>0.70389457164465652</v>
      </c>
      <c r="BT7" s="9">
        <f t="array" ref="BT7">PRODUCT(1 + 預測IC!$C16:BS16) - 1</f>
        <v>0.63851831713182472</v>
      </c>
      <c r="BU7" s="9">
        <f t="array" ref="BU7">PRODUCT(1 + 預測IC!$C16:BT16) - 1</f>
        <v>0.50309794843528222</v>
      </c>
      <c r="BV7" s="9">
        <f t="array" ref="BV7">PRODUCT(1 + 預測IC!$C16:BU16) - 1</f>
        <v>0.50262105230224763</v>
      </c>
      <c r="BW7" s="9">
        <f t="array" ref="BW7">PRODUCT(1 + 預測IC!$C16:BV16) - 1</f>
        <v>0.51030853504130658</v>
      </c>
      <c r="BX7" s="9">
        <f t="array" ref="BX7">PRODUCT(1 + 預測IC!$C16:BW16) - 1</f>
        <v>0.51187238986756678</v>
      </c>
      <c r="BY7" s="9">
        <f t="array" ref="BY7">PRODUCT(1 + 預測IC!$C16:BX16) - 1</f>
        <v>0.49623965095225331</v>
      </c>
      <c r="BZ7" s="9">
        <f t="array" ref="BZ7">PRODUCT(1 + 預測IC!$C16:BY16) - 1</f>
        <v>0.35867137966046703</v>
      </c>
      <c r="CA7" s="9">
        <f t="array" ref="CA7">PRODUCT(1 + 預測IC!$C16:BZ16) - 1</f>
        <v>0.36886676041314281</v>
      </c>
      <c r="CB7" s="9">
        <f t="array" ref="CB7">PRODUCT(1 + 預測IC!$C16:CA16) - 1</f>
        <v>0.22575435902077756</v>
      </c>
      <c r="CC7" s="9">
        <f t="array" ref="CC7">PRODUCT(1 + 預測IC!$C16:CB16) - 1</f>
        <v>0.25391182418756109</v>
      </c>
      <c r="CD7" s="9">
        <f t="array" ref="CD7">PRODUCT(1 + 預測IC!$C16:CC16) - 1</f>
        <v>0.27802559053061526</v>
      </c>
      <c r="CE7" s="9">
        <f t="array" ref="CE7">PRODUCT(1 + 預測IC!$C16:CD16) - 1</f>
        <v>0.12256157312536531</v>
      </c>
      <c r="CF7" s="9">
        <f t="array" ref="CF7">PRODUCT(1 + 預測IC!$C16:CE16) - 1</f>
        <v>5.7254009106888715E-2</v>
      </c>
      <c r="CG7" s="9">
        <f t="array" ref="CG7">PRODUCT(1 + 預測IC!$C16:CF16) - 1</f>
        <v>6.6724920247247077E-2</v>
      </c>
      <c r="CH7" s="9">
        <f t="array" ref="CH7">PRODUCT(1 + 預測IC!$C16:CG16) - 1</f>
        <v>0.11822090285545328</v>
      </c>
      <c r="CI7" s="9">
        <f t="array" ref="CI7">PRODUCT(1 + 預測IC!$C16:CH16) - 1</f>
        <v>0.14285896911548934</v>
      </c>
      <c r="CJ7" s="9">
        <f t="array" ref="CJ7">PRODUCT(1 + 預測IC!$C16:CI16) - 1</f>
        <v>0.18114634994455159</v>
      </c>
      <c r="CK7" s="9">
        <f t="array" ref="CK7">PRODUCT(1 + 預測IC!$C16:CJ16) - 1</f>
        <v>0.22296732376303607</v>
      </c>
      <c r="CL7" s="9">
        <f t="array" ref="CL7">PRODUCT(1 + 預測IC!$C16:CK16) - 1</f>
        <v>0.16228479667151774</v>
      </c>
      <c r="CM7" s="9">
        <f t="array" ref="CM7">PRODUCT(1 + 預測IC!$C16:CL16) - 1</f>
        <v>0.15383597774294833</v>
      </c>
      <c r="CN7" s="9">
        <f t="array" ref="CN7">PRODUCT(1 + 預測IC!$C16:CM16) - 1</f>
        <v>0.10253381075383827</v>
      </c>
      <c r="CO7" s="9">
        <f t="array" ref="CO7">PRODUCT(1 + 預測IC!$C16:CN16) - 1</f>
        <v>4.2945079070503711E-2</v>
      </c>
      <c r="CP7" s="9">
        <f t="array" ref="CP7">PRODUCT(1 + 預測IC!$C16:CO16) - 1</f>
        <v>0.11564308242741705</v>
      </c>
      <c r="CQ7" s="9">
        <f t="array" ref="CQ7">PRODUCT(1 + 預測IC!$C16:CP16) - 1</f>
        <v>7.496679587827404E-2</v>
      </c>
      <c r="CR7" s="9">
        <f t="array" ref="CR7">PRODUCT(1 + 預測IC!$C16:CQ16) - 1</f>
        <v>9.3432809636723624E-2</v>
      </c>
      <c r="CS7" s="9">
        <f t="array" ref="CS7">PRODUCT(1 + 預測IC!$C16:CR16) - 1</f>
        <v>-2.9295057132650348E-2</v>
      </c>
      <c r="CT7" s="9">
        <f t="array" ref="CT7">PRODUCT(1 + 預測IC!$C16:CS16) - 1</f>
        <v>-5.2167431323958846E-2</v>
      </c>
      <c r="CU7" s="9">
        <f t="array" ref="CU7">PRODUCT(1 + 預測IC!$C16:CT16) - 1</f>
        <v>-8.7667608542853825E-2</v>
      </c>
      <c r="CV7" s="9">
        <f t="array" ref="CV7">PRODUCT(1 + 預測IC!$C16:CU16) - 1</f>
        <v>-9.089877801779378E-2</v>
      </c>
      <c r="CW7" s="9">
        <f t="array" ref="CW7">PRODUCT(1 + 預測IC!$C16:CV16) - 1</f>
        <v>-0.11742947543001947</v>
      </c>
      <c r="CX7" s="9">
        <f t="array" ref="CX7">PRODUCT(1 + 預測IC!$C16:CW16) - 1</f>
        <v>-0.13481932812082642</v>
      </c>
      <c r="CY7" s="9">
        <f t="array" ref="CY7">PRODUCT(1 + 預測IC!$C16:CX16) - 1</f>
        <v>-0.17618711736861592</v>
      </c>
      <c r="CZ7" s="9">
        <f t="array" ref="CZ7">PRODUCT(1 + 預測IC!$C16:CY16) - 1</f>
        <v>-0.16307746376557197</v>
      </c>
      <c r="DA7" s="9">
        <f t="array" ref="DA7">PRODUCT(1 + 預測IC!$C16:CZ16) - 1</f>
        <v>-0.1811156912059132</v>
      </c>
      <c r="DB7" s="9">
        <f t="array" ref="DB7">PRODUCT(1 + 預測IC!$C16:DA16) - 1</f>
        <v>-0.11935085598483319</v>
      </c>
      <c r="DC7" s="9">
        <f t="array" ref="DC7">PRODUCT(1 + 預測IC!$C16:DB16) - 1</f>
        <v>-0.14158043449444657</v>
      </c>
      <c r="DD7" s="9">
        <f t="array" ref="DD7">PRODUCT(1 + 預測IC!$C16:DC16) - 1</f>
        <v>-9.9465689515945366E-2</v>
      </c>
      <c r="DE7" s="9">
        <f t="array" ref="DE7">PRODUCT(1 + 預測IC!$C16:DD16) - 1</f>
        <v>-0.17997826390522442</v>
      </c>
      <c r="DF7" s="9">
        <f t="array" ref="DF7">PRODUCT(1 + 預測IC!$C16:DE16) - 1</f>
        <v>-0.18041471658844832</v>
      </c>
      <c r="DG7" s="9">
        <f t="array" ref="DG7">PRODUCT(1 + 預測IC!$C16:DF16) - 1</f>
        <v>-0.20881305858490529</v>
      </c>
      <c r="DH7" s="9">
        <f t="array" ref="DH7">PRODUCT(1 + 預測IC!$C16:DG16) - 1</f>
        <v>-0.22978880509189026</v>
      </c>
      <c r="DI7" s="9">
        <f t="array" ref="DI7">PRODUCT(1 + 預測IC!$C16:DH16) - 1</f>
        <v>-0.22050792495382565</v>
      </c>
      <c r="DJ7" s="9">
        <f t="array" ref="DJ7">PRODUCT(1 + 預測IC!$C16:DI16) - 1</f>
        <v>-0.1382031932100366</v>
      </c>
      <c r="DK7" s="9">
        <f t="array" ref="DK7">PRODUCT(1 + 預測IC!$C16:DJ16) - 1</f>
        <v>-5.4511701766896015E-2</v>
      </c>
      <c r="DL7" s="9">
        <f t="array" ref="DL7">PRODUCT(1 + 預測IC!$C16:DK16) - 1</f>
        <v>-5.7350596183124547E-2</v>
      </c>
      <c r="DM7" s="9">
        <f t="array" ref="DM7">PRODUCT(1 + 預測IC!$C16:DL16) - 1</f>
        <v>-0.10721425671144436</v>
      </c>
      <c r="DN7" s="9">
        <f t="array" ref="DN7">PRODUCT(1 + 預測IC!$C16:DM16) - 1</f>
        <v>-0.17397418653395125</v>
      </c>
      <c r="DO7" s="9">
        <f t="array" ref="DO7">PRODUCT(1 + 預測IC!$C16:DN16) - 1</f>
        <v>-0.15153637368171913</v>
      </c>
      <c r="DP7" s="9">
        <f t="array" ref="DP7">PRODUCT(1 + 預測IC!$C16:DO16) - 1</f>
        <v>-0.15461590791134561</v>
      </c>
      <c r="DQ7" s="9">
        <f t="array" ref="DQ7">PRODUCT(1 + 預測IC!$C16:DP16) - 1</f>
        <v>-6.1279635644095221E-2</v>
      </c>
      <c r="DR7" s="9">
        <f t="array" ref="DR7">PRODUCT(1 + 預測IC!$C16:DQ16) - 1</f>
        <v>-2.9957191841530784E-2</v>
      </c>
      <c r="DS7" s="9">
        <f t="array" ref="DS7">PRODUCT(1 + 預測IC!$C16:DR16) - 1</f>
        <v>-3.8402277939452056E-2</v>
      </c>
      <c r="DT7" s="9">
        <f t="array" ref="DT7">PRODUCT(1 + 預測IC!$C16:DS16) - 1</f>
        <v>-3.0913710029045638E-2</v>
      </c>
      <c r="DU7" s="9">
        <f t="array" ref="DU7">PRODUCT(1 + 預測IC!$C16:DT16) - 1</f>
        <v>2.0941358983659342E-3</v>
      </c>
      <c r="DV7" s="9">
        <f t="array" ref="DV7">PRODUCT(1 + 預測IC!$C16:DU16) - 1</f>
        <v>2.8110334980202323E-2</v>
      </c>
      <c r="DW7" s="9">
        <f t="array" ref="DW7">PRODUCT(1 + 預測IC!$C16:DV16) - 1</f>
        <v>6.7482285859799651E-2</v>
      </c>
      <c r="DX7" s="9">
        <f t="array" ref="DX7">PRODUCT(1 + 預測IC!$C16:DW16) - 1</f>
        <v>0.12293467470815433</v>
      </c>
      <c r="DY7" s="9">
        <f t="array" ref="DY7">PRODUCT(1 + 預測IC!$C16:DX16) - 1</f>
        <v>5.4025256650712672E-2</v>
      </c>
      <c r="DZ7" s="9">
        <f t="array" ref="DZ7">PRODUCT(1 + 預測IC!$C16:DY16) - 1</f>
        <v>5.334827953685406E-2</v>
      </c>
      <c r="EA7" s="9">
        <f t="array" ref="EA7">PRODUCT(1 + 預測IC!$C16:DZ16) - 1</f>
        <v>8.0163709398955785E-2</v>
      </c>
      <c r="EB7" s="9">
        <f t="array" ref="EB7">PRODUCT(1 + 預測IC!$C16:EA16) - 1</f>
        <v>7.3167771745513033E-2</v>
      </c>
      <c r="EC7" s="9">
        <f t="array" ref="EC7">PRODUCT(1 + 預測IC!$C16:EB16) - 1</f>
        <v>5.8255003076263412E-2</v>
      </c>
      <c r="ED7" s="9">
        <f t="array" ref="ED7">PRODUCT(1 + 預測IC!$C16:EC16) - 1</f>
        <v>6.9619227268766348E-2</v>
      </c>
      <c r="EE7" s="9">
        <f t="array" ref="EE7">PRODUCT(1 + 預測IC!$C16:ED16) - 1</f>
        <v>0.10923030562577707</v>
      </c>
      <c r="EF7" s="9">
        <f t="array" ref="EF7">PRODUCT(1 + 預測IC!$C16:EE16) - 1</f>
        <v>0.13597047292082842</v>
      </c>
      <c r="EG7" s="9">
        <f t="array" ref="EG7">PRODUCT(1 + 預測IC!$C16:EF16) - 1</f>
        <v>0.14634959911989576</v>
      </c>
    </row>
    <row r="8" spans="3:137" ht="16" customHeight="1">
      <c r="C8" s="6">
        <v>100</v>
      </c>
      <c r="D8" s="2">
        <v>6.6842489650082784E-2</v>
      </c>
      <c r="E8" s="9">
        <f t="array" ref="E8">PRODUCT(1 + 預測IC!$C17:D17) - 1</f>
        <v>0.14103880107198208</v>
      </c>
      <c r="F8" s="9">
        <f t="array" ref="F8">PRODUCT(1 + 預測IC!$C17:E17) - 1</f>
        <v>0.154963521348642</v>
      </c>
      <c r="G8" s="9">
        <f t="array" ref="G8">PRODUCT(1 + 預測IC!$C17:F17) - 1</f>
        <v>0.20059047509870775</v>
      </c>
      <c r="H8" s="9">
        <f t="array" ref="H8">PRODUCT(1 + 預測IC!$C17:G17) - 1</f>
        <v>0.29447961464807926</v>
      </c>
      <c r="I8" s="9">
        <f t="array" ref="I8">PRODUCT(1 + 預測IC!$C17:H17) - 1</f>
        <v>0.21039245686167618</v>
      </c>
      <c r="J8" s="9">
        <f t="array" ref="J8">PRODUCT(1 + 預測IC!$C17:I17) - 1</f>
        <v>0.20364440736501854</v>
      </c>
      <c r="K8" s="9">
        <f t="array" ref="K8">PRODUCT(1 + 預測IC!$C17:J17) - 1</f>
        <v>0.20056500962230772</v>
      </c>
      <c r="L8" s="9">
        <f t="array" ref="L8">PRODUCT(1 + 預測IC!$C17:K17) - 1</f>
        <v>0.16880213335091065</v>
      </c>
      <c r="M8" s="9">
        <f t="array" ref="M8">PRODUCT(1 + 預測IC!$C17:L17) - 1</f>
        <v>0.16757370568331953</v>
      </c>
      <c r="N8" s="9">
        <f t="array" ref="N8">PRODUCT(1 + 預測IC!$C17:M17) - 1</f>
        <v>0.21699876827669362</v>
      </c>
      <c r="O8" s="9">
        <f t="array" ref="O8">PRODUCT(1 + 預測IC!$C17:N17) - 1</f>
        <v>0.29834599584939192</v>
      </c>
      <c r="P8" s="9">
        <f t="array" ref="P8">PRODUCT(1 + 預測IC!$C17:O17) - 1</f>
        <v>0.35172492684454171</v>
      </c>
      <c r="Q8" s="9">
        <f t="array" ref="Q8">PRODUCT(1 + 預測IC!$C17:P17) - 1</f>
        <v>0.39596798614996342</v>
      </c>
      <c r="R8" s="9">
        <f t="array" ref="R8">PRODUCT(1 + 預測IC!$C17:Q17) - 1</f>
        <v>0.41769390050032507</v>
      </c>
      <c r="S8" s="9">
        <f t="array" ref="S8">PRODUCT(1 + 預測IC!$C17:R17) - 1</f>
        <v>0.53960151763776154</v>
      </c>
      <c r="T8" s="9">
        <f t="array" ref="T8">PRODUCT(1 + 預測IC!$C17:S17) - 1</f>
        <v>0.45252990426330908</v>
      </c>
      <c r="U8" s="9">
        <f t="array" ref="U8">PRODUCT(1 + 預測IC!$C17:T17) - 1</f>
        <v>0.4898026152944932</v>
      </c>
      <c r="V8" s="9">
        <f t="array" ref="V8">PRODUCT(1 + 預測IC!$C17:U17) - 1</f>
        <v>0.38475226196164392</v>
      </c>
      <c r="W8" s="9">
        <f t="array" ref="W8">PRODUCT(1 + 預測IC!$C17:V17) - 1</f>
        <v>0.42550656212045834</v>
      </c>
      <c r="X8" s="9">
        <f t="array" ref="X8">PRODUCT(1 + 預測IC!$C17:W17) - 1</f>
        <v>0.41555933530470268</v>
      </c>
      <c r="Y8" s="9">
        <f t="array" ref="Y8">PRODUCT(1 + 預測IC!$C17:X17) - 1</f>
        <v>0.60793557596402747</v>
      </c>
      <c r="Z8" s="9">
        <f t="array" ref="Z8">PRODUCT(1 + 預測IC!$C17:Y17) - 1</f>
        <v>0.57197461412818029</v>
      </c>
      <c r="AA8" s="9">
        <f t="array" ref="AA8">PRODUCT(1 + 預測IC!$C17:Z17) - 1</f>
        <v>0.67708768875594139</v>
      </c>
      <c r="AB8" s="9">
        <f t="array" ref="AB8">PRODUCT(1 + 預測IC!$C17:AA17) - 1</f>
        <v>0.63408497205668413</v>
      </c>
      <c r="AC8" s="9">
        <f t="array" ref="AC8">PRODUCT(1 + 預測IC!$C17:AB17) - 1</f>
        <v>0.6777774477504841</v>
      </c>
      <c r="AD8" s="9">
        <f t="array" ref="AD8">PRODUCT(1 + 預測IC!$C17:AC17) - 1</f>
        <v>0.70360182223747425</v>
      </c>
      <c r="AE8" s="9">
        <f t="array" ref="AE8">PRODUCT(1 + 預測IC!$C17:AD17) - 1</f>
        <v>0.60809640143823485</v>
      </c>
      <c r="AF8" s="9">
        <f t="array" ref="AF8">PRODUCT(1 + 預測IC!$C17:AE17) - 1</f>
        <v>0.8515831593952774</v>
      </c>
      <c r="AG8" s="9">
        <f t="array" ref="AG8">PRODUCT(1 + 預測IC!$C17:AF17) - 1</f>
        <v>0.88380041000653198</v>
      </c>
      <c r="AH8" s="9">
        <f t="array" ref="AH8">PRODUCT(1 + 預測IC!$C17:AG17) - 1</f>
        <v>0.85680069706139683</v>
      </c>
      <c r="AI8" s="9">
        <f t="array" ref="AI8">PRODUCT(1 + 預測IC!$C17:AH17) - 1</f>
        <v>0.91723049660615374</v>
      </c>
      <c r="AJ8" s="9">
        <f t="array" ref="AJ8">PRODUCT(1 + 預測IC!$C17:AI17) - 1</f>
        <v>0.79130774097681722</v>
      </c>
      <c r="AK8" s="9">
        <f t="array" ref="AK8">PRODUCT(1 + 預測IC!$C17:AJ17) - 1</f>
        <v>0.84282310230684776</v>
      </c>
      <c r="AL8" s="9">
        <f t="array" ref="AL8">PRODUCT(1 + 預測IC!$C17:AK17) - 1</f>
        <v>0.92136459656998881</v>
      </c>
      <c r="AM8" s="9">
        <f t="array" ref="AM8">PRODUCT(1 + 預測IC!$C17:AL17) - 1</f>
        <v>0.76281705301039704</v>
      </c>
      <c r="AN8" s="9">
        <f t="array" ref="AN8">PRODUCT(1 + 預測IC!$C17:AM17) - 1</f>
        <v>0.91541953364188955</v>
      </c>
      <c r="AO8" s="9">
        <f t="array" ref="AO8">PRODUCT(1 + 預測IC!$C17:AN17) - 1</f>
        <v>1.0308643081670059</v>
      </c>
      <c r="AP8" s="9">
        <f t="array" ref="AP8">PRODUCT(1 + 預測IC!$C17:AO17) - 1</f>
        <v>1.0049985168716105</v>
      </c>
      <c r="AQ8" s="9">
        <f t="array" ref="AQ8">PRODUCT(1 + 預測IC!$C17:AP17) - 1</f>
        <v>0.71881625178861608</v>
      </c>
      <c r="AR8" s="9">
        <f t="array" ref="AR8">PRODUCT(1 + 預測IC!$C17:AQ17) - 1</f>
        <v>0.86799063747418503</v>
      </c>
      <c r="AS8" s="9">
        <f t="array" ref="AS8">PRODUCT(1 + 預測IC!$C17:AR17) - 1</f>
        <v>0.73156687884088978</v>
      </c>
      <c r="AT8" s="9">
        <f t="array" ref="AT8">PRODUCT(1 + 預測IC!$C17:AS17) - 1</f>
        <v>0.74317042952680024</v>
      </c>
      <c r="AU8" s="9">
        <f t="array" ref="AU8">PRODUCT(1 + 預測IC!$C17:AT17) - 1</f>
        <v>0.62687833771363999</v>
      </c>
      <c r="AV8" s="9">
        <f t="array" ref="AV8">PRODUCT(1 + 預測IC!$C17:AU17) - 1</f>
        <v>0.54334685526210458</v>
      </c>
      <c r="AW8" s="9">
        <f t="array" ref="AW8">PRODUCT(1 + 預測IC!$C17:AV17) - 1</f>
        <v>0.46211190063051166</v>
      </c>
      <c r="AX8" s="9">
        <f t="array" ref="AX8">PRODUCT(1 + 預測IC!$C17:AW17) - 1</f>
        <v>0.3703012591713728</v>
      </c>
      <c r="AY8" s="9">
        <f t="array" ref="AY8">PRODUCT(1 + 預測IC!$C17:AX17) - 1</f>
        <v>0.46803472465581519</v>
      </c>
      <c r="AZ8" s="9">
        <f t="array" ref="AZ8">PRODUCT(1 + 預測IC!$C17:AY17) - 1</f>
        <v>0.66701981316632741</v>
      </c>
      <c r="BA8" s="9">
        <f t="array" ref="BA8">PRODUCT(1 + 預測IC!$C17:AZ17) - 1</f>
        <v>0.45754346270142365</v>
      </c>
      <c r="BB8" s="9">
        <f t="array" ref="BB8">PRODUCT(1 + 預測IC!$C17:BA17) - 1</f>
        <v>0.56184520346558275</v>
      </c>
      <c r="BC8" s="9">
        <f t="array" ref="BC8">PRODUCT(1 + 預測IC!$C17:BB17) - 1</f>
        <v>0.35132193379082066</v>
      </c>
      <c r="BD8" s="9">
        <f t="array" ref="BD8">PRODUCT(1 + 預測IC!$C17:BC17) - 1</f>
        <v>0.26134585449459502</v>
      </c>
      <c r="BE8" s="9">
        <f t="array" ref="BE8">PRODUCT(1 + 預測IC!$C17:BD17) - 1</f>
        <v>0.24516980254083087</v>
      </c>
      <c r="BF8" s="9">
        <f t="array" ref="BF8">PRODUCT(1 + 預測IC!$C17:BE17) - 1</f>
        <v>0.29268961744941513</v>
      </c>
      <c r="BG8" s="9">
        <f t="array" ref="BG8">PRODUCT(1 + 預測IC!$C17:BF17) - 1</f>
        <v>0.37556009964988535</v>
      </c>
      <c r="BH8" s="9">
        <f t="array" ref="BH8">PRODUCT(1 + 預測IC!$C17:BG17) - 1</f>
        <v>0.47384289350346398</v>
      </c>
      <c r="BI8" s="9">
        <f t="array" ref="BI8">PRODUCT(1 + 預測IC!$C17:BH17) - 1</f>
        <v>0.60412819608634583</v>
      </c>
      <c r="BJ8" s="9">
        <f t="array" ref="BJ8">PRODUCT(1 + 預測IC!$C17:BI17) - 1</f>
        <v>0.49405314864804706</v>
      </c>
      <c r="BK8" s="9">
        <f t="array" ref="BK8">PRODUCT(1 + 預測IC!$C17:BJ17) - 1</f>
        <v>0.51982638358436195</v>
      </c>
      <c r="BL8" s="9">
        <f t="array" ref="BL8">PRODUCT(1 + 預測IC!$C17:BK17) - 1</f>
        <v>0.57107684074067411</v>
      </c>
      <c r="BM8" s="9">
        <f t="array" ref="BM8">PRODUCT(1 + 預測IC!$C17:BL17) - 1</f>
        <v>0.56823237750486899</v>
      </c>
      <c r="BN8" s="9">
        <f t="array" ref="BN8">PRODUCT(1 + 預測IC!$C17:BM17) - 1</f>
        <v>0.6480946937561316</v>
      </c>
      <c r="BO8" s="9">
        <f t="array" ref="BO8">PRODUCT(1 + 預測IC!$C17:BN17) - 1</f>
        <v>0.62568753793522647</v>
      </c>
      <c r="BP8" s="9">
        <f t="array" ref="BP8">PRODUCT(1 + 預測IC!$C17:BO17) - 1</f>
        <v>0.47196355949638136</v>
      </c>
      <c r="BQ8" s="9">
        <f t="array" ref="BQ8">PRODUCT(1 + 預測IC!$C17:BP17) - 1</f>
        <v>0.54167023148015137</v>
      </c>
      <c r="BR8" s="9">
        <f t="array" ref="BR8">PRODUCT(1 + 預測IC!$C17:BQ17) - 1</f>
        <v>0.52762778138816024</v>
      </c>
      <c r="BS8" s="9">
        <f t="array" ref="BS8">PRODUCT(1 + 預測IC!$C17:BR17) - 1</f>
        <v>0.39840735485411005</v>
      </c>
      <c r="BT8" s="9">
        <f t="array" ref="BT8">PRODUCT(1 + 預測IC!$C17:BS17) - 1</f>
        <v>0.31407790318298834</v>
      </c>
      <c r="BU8" s="9">
        <f t="array" ref="BU8">PRODUCT(1 + 預測IC!$C17:BT17) - 1</f>
        <v>0.27779420744263628</v>
      </c>
      <c r="BV8" s="9">
        <f t="array" ref="BV8">PRODUCT(1 + 預測IC!$C17:BU17) - 1</f>
        <v>0.23131107989421418</v>
      </c>
      <c r="BW8" s="9">
        <f t="array" ref="BW8">PRODUCT(1 + 預測IC!$C17:BV17) - 1</f>
        <v>0.1541507155445152</v>
      </c>
      <c r="BX8" s="9">
        <f t="array" ref="BX8">PRODUCT(1 + 預測IC!$C17:BW17) - 1</f>
        <v>0.25117488348759887</v>
      </c>
      <c r="BY8" s="9">
        <f t="array" ref="BY8">PRODUCT(1 + 預測IC!$C17:BX17) - 1</f>
        <v>0.26333082419804543</v>
      </c>
      <c r="BZ8" s="9">
        <f t="array" ref="BZ8">PRODUCT(1 + 預測IC!$C17:BY17) - 1</f>
        <v>0.13787637718289747</v>
      </c>
      <c r="CA8" s="9">
        <f t="array" ref="CA8">PRODUCT(1 + 預測IC!$C17:BZ17) - 1</f>
        <v>0.17659659829713026</v>
      </c>
      <c r="CB8" s="9">
        <f t="array" ref="CB8">PRODUCT(1 + 預測IC!$C17:CA17) - 1</f>
        <v>6.4722619883885724E-3</v>
      </c>
      <c r="CC8" s="9">
        <f t="array" ref="CC8">PRODUCT(1 + 預測IC!$C17:CB17) - 1</f>
        <v>9.0254878987339193E-3</v>
      </c>
      <c r="CD8" s="9">
        <f t="array" ref="CD8">PRODUCT(1 + 預測IC!$C17:CC17) - 1</f>
        <v>-1.4740274543196041E-2</v>
      </c>
      <c r="CE8" s="9">
        <f t="array" ref="CE8">PRODUCT(1 + 預測IC!$C17:CD17) - 1</f>
        <v>-3.3184335426429068E-2</v>
      </c>
      <c r="CF8" s="9">
        <f t="array" ref="CF8">PRODUCT(1 + 預測IC!$C17:CE17) - 1</f>
        <v>-0.1484193125232609</v>
      </c>
      <c r="CG8" s="9">
        <f t="array" ref="CG8">PRODUCT(1 + 預測IC!$C17:CF17) - 1</f>
        <v>-0.15868964678875608</v>
      </c>
      <c r="CH8" s="9">
        <f t="array" ref="CH8">PRODUCT(1 + 預測IC!$C17:CG17) - 1</f>
        <v>-7.7281706367673508E-2</v>
      </c>
      <c r="CI8" s="9">
        <f t="array" ref="CI8">PRODUCT(1 + 預測IC!$C17:CH17) - 1</f>
        <v>-0.11580677738640144</v>
      </c>
      <c r="CJ8" s="9">
        <f t="array" ref="CJ8">PRODUCT(1 + 預測IC!$C17:CI17) - 1</f>
        <v>-0.17648716524588015</v>
      </c>
      <c r="CK8" s="9">
        <f t="array" ref="CK8">PRODUCT(1 + 預測IC!$C17:CJ17) - 1</f>
        <v>-0.16013873706392712</v>
      </c>
      <c r="CL8" s="9">
        <f t="array" ref="CL8">PRODUCT(1 + 預測IC!$C17:CK17) - 1</f>
        <v>-0.20717150045169175</v>
      </c>
      <c r="CM8" s="9">
        <f t="array" ref="CM8">PRODUCT(1 + 預測IC!$C17:CL17) - 1</f>
        <v>-0.11327072542684535</v>
      </c>
      <c r="CN8" s="9">
        <f t="array" ref="CN8">PRODUCT(1 + 預測IC!$C17:CM17) - 1</f>
        <v>-0.15796236436903843</v>
      </c>
      <c r="CO8" s="9">
        <f t="array" ref="CO8">PRODUCT(1 + 預測IC!$C17:CN17) - 1</f>
        <v>-0.30782704967381891</v>
      </c>
      <c r="CP8" s="9">
        <f t="array" ref="CP8">PRODUCT(1 + 預測IC!$C17:CO17) - 1</f>
        <v>-0.25113944344077921</v>
      </c>
      <c r="CQ8" s="9">
        <f t="array" ref="CQ8">PRODUCT(1 + 預測IC!$C17:CP17) - 1</f>
        <v>-0.3022374156269253</v>
      </c>
      <c r="CR8" s="9">
        <f t="array" ref="CR8">PRODUCT(1 + 預測IC!$C17:CQ17) - 1</f>
        <v>-0.30831069662053401</v>
      </c>
      <c r="CS8" s="9">
        <f t="array" ref="CS8">PRODUCT(1 + 預測IC!$C17:CR17) - 1</f>
        <v>-0.36317245498719064</v>
      </c>
      <c r="CT8" s="9">
        <f t="array" ref="CT8">PRODUCT(1 + 預測IC!$C17:CS17) - 1</f>
        <v>-0.37072274677113604</v>
      </c>
      <c r="CU8" s="9">
        <f t="array" ref="CU8">PRODUCT(1 + 預測IC!$C17:CT17) - 1</f>
        <v>-0.3882689591224936</v>
      </c>
      <c r="CV8" s="9">
        <f t="array" ref="CV8">PRODUCT(1 + 預測IC!$C17:CU17) - 1</f>
        <v>-0.34995905549566997</v>
      </c>
      <c r="CW8" s="9">
        <f t="array" ref="CW8">PRODUCT(1 + 預測IC!$C17:CV17) - 1</f>
        <v>-0.37701223871547029</v>
      </c>
      <c r="CX8" s="9">
        <f t="array" ref="CX8">PRODUCT(1 + 預測IC!$C17:CW17) - 1</f>
        <v>-0.38353496615774207</v>
      </c>
      <c r="CY8" s="9">
        <f t="array" ref="CY8">PRODUCT(1 + 預測IC!$C17:CX17) - 1</f>
        <v>-0.39548620456436412</v>
      </c>
      <c r="CZ8" s="9">
        <f t="array" ref="CZ8">PRODUCT(1 + 預測IC!$C17:CY17) - 1</f>
        <v>-0.38247369005853438</v>
      </c>
      <c r="DA8" s="9">
        <f t="array" ref="DA8">PRODUCT(1 + 預測IC!$C17:CZ17) - 1</f>
        <v>-0.38103524865184324</v>
      </c>
      <c r="DB8" s="9">
        <f t="array" ref="DB8">PRODUCT(1 + 預測IC!$C17:DA17) - 1</f>
        <v>-0.29420725195667052</v>
      </c>
      <c r="DC8" s="9">
        <f t="array" ref="DC8">PRODUCT(1 + 預測IC!$C17:DB17) - 1</f>
        <v>-0.33367246401021633</v>
      </c>
      <c r="DD8" s="9">
        <f t="array" ref="DD8">PRODUCT(1 + 預測IC!$C17:DC17) - 1</f>
        <v>-0.29075194122877779</v>
      </c>
      <c r="DE8" s="9">
        <f t="array" ref="DE8">PRODUCT(1 + 預測IC!$C17:DD17) - 1</f>
        <v>-0.36128947428204161</v>
      </c>
      <c r="DF8" s="9">
        <f t="array" ref="DF8">PRODUCT(1 + 預測IC!$C17:DE17) - 1</f>
        <v>-0.37644548647413489</v>
      </c>
      <c r="DG8" s="9">
        <f t="array" ref="DG8">PRODUCT(1 + 預測IC!$C17:DF17) - 1</f>
        <v>-0.39992752057196002</v>
      </c>
      <c r="DH8" s="9">
        <f t="array" ref="DH8">PRODUCT(1 + 預測IC!$C17:DG17) - 1</f>
        <v>-0.43404852968498908</v>
      </c>
      <c r="DI8" s="9">
        <f t="array" ref="DI8">PRODUCT(1 + 預測IC!$C17:DH17) - 1</f>
        <v>-0.40833771751182391</v>
      </c>
      <c r="DJ8" s="9">
        <f t="array" ref="DJ8">PRODUCT(1 + 預測IC!$C17:DI17) - 1</f>
        <v>-0.3885011731003003</v>
      </c>
      <c r="DK8" s="9">
        <f t="array" ref="DK8">PRODUCT(1 + 預測IC!$C17:DJ17) - 1</f>
        <v>-0.36055653001889243</v>
      </c>
      <c r="DL8" s="9">
        <f t="array" ref="DL8">PRODUCT(1 + 預測IC!$C17:DK17) - 1</f>
        <v>-0.3845137476798447</v>
      </c>
      <c r="DM8" s="9">
        <f t="array" ref="DM8">PRODUCT(1 + 預測IC!$C17:DL17) - 1</f>
        <v>-0.39609057561177297</v>
      </c>
      <c r="DN8" s="9">
        <f t="array" ref="DN8">PRODUCT(1 + 預測IC!$C17:DM17) - 1</f>
        <v>-0.45598465911606467</v>
      </c>
      <c r="DO8" s="9">
        <f t="array" ref="DO8">PRODUCT(1 + 預測IC!$C17:DN17) - 1</f>
        <v>-0.43713100372703761</v>
      </c>
      <c r="DP8" s="9">
        <f t="array" ref="DP8">PRODUCT(1 + 預測IC!$C17:DO17) - 1</f>
        <v>-0.45840317382357509</v>
      </c>
      <c r="DQ8" s="9">
        <f t="array" ref="DQ8">PRODUCT(1 + 預測IC!$C17:DP17) - 1</f>
        <v>-0.41418589764497615</v>
      </c>
      <c r="DR8" s="9">
        <f t="array" ref="DR8">PRODUCT(1 + 預測IC!$C17:DQ17) - 1</f>
        <v>-0.41223293850975684</v>
      </c>
      <c r="DS8" s="9">
        <f t="array" ref="DS8">PRODUCT(1 + 預測IC!$C17:DR17) - 1</f>
        <v>-0.40834746007402623</v>
      </c>
      <c r="DT8" s="9">
        <f t="array" ref="DT8">PRODUCT(1 + 預測IC!$C17:DS17) - 1</f>
        <v>-0.39796745082771123</v>
      </c>
      <c r="DU8" s="9">
        <f t="array" ref="DU8">PRODUCT(1 + 預測IC!$C17:DT17) - 1</f>
        <v>-0.40037262664486151</v>
      </c>
      <c r="DV8" s="9">
        <f t="array" ref="DV8">PRODUCT(1 + 預測IC!$C17:DU17) - 1</f>
        <v>-0.37334794984392061</v>
      </c>
      <c r="DW8" s="9">
        <f t="array" ref="DW8">PRODUCT(1 + 預測IC!$C17:DV17) - 1</f>
        <v>-0.35691920120038489</v>
      </c>
      <c r="DX8" s="9">
        <f t="array" ref="DX8">PRODUCT(1 + 預測IC!$C17:DW17) - 1</f>
        <v>-0.31901823326550671</v>
      </c>
      <c r="DY8" s="9">
        <f t="array" ref="DY8">PRODUCT(1 + 預測IC!$C17:DX17) - 1</f>
        <v>-0.37944221030407688</v>
      </c>
      <c r="DZ8" s="9">
        <f t="array" ref="DZ8">PRODUCT(1 + 預測IC!$C17:DY17) - 1</f>
        <v>-0.34579815246535273</v>
      </c>
      <c r="EA8" s="9">
        <f t="array" ref="EA8">PRODUCT(1 + 預測IC!$C17:DZ17) - 1</f>
        <v>-0.30595996073494314</v>
      </c>
      <c r="EB8" s="9">
        <f t="array" ref="EB8">PRODUCT(1 + 預測IC!$C17:EA17) - 1</f>
        <v>-0.30833886608717531</v>
      </c>
      <c r="EC8" s="9">
        <f t="array" ref="EC8">PRODUCT(1 + 預測IC!$C17:EB17) - 1</f>
        <v>-0.27637789534388946</v>
      </c>
      <c r="ED8" s="9">
        <f t="array" ref="ED8">PRODUCT(1 + 預測IC!$C17:EC17) - 1</f>
        <v>-0.26400096060528866</v>
      </c>
      <c r="EE8" s="9">
        <f t="array" ref="EE8">PRODUCT(1 + 預測IC!$C17:ED17) - 1</f>
        <v>-0.20267189098270444</v>
      </c>
      <c r="EF8" s="9">
        <f t="array" ref="EF8">PRODUCT(1 + 預測IC!$C17:EE17) - 1</f>
        <v>-0.17602861525592639</v>
      </c>
      <c r="EG8" s="9">
        <f t="array" ref="EG8">PRODUCT(1 + 預測IC!$C17:EF17) - 1</f>
        <v>-0.16994012103882583</v>
      </c>
    </row>
    <row r="9" spans="3:137" ht="16" customHeight="1">
      <c r="C9" s="6">
        <v>107</v>
      </c>
      <c r="D9" s="2">
        <v>4.467463327290154E-2</v>
      </c>
      <c r="E9" s="9">
        <f t="array" ref="E9">PRODUCT(1 + 預測IC!$C18:D18) - 1</f>
        <v>0.12126542712298338</v>
      </c>
      <c r="F9" s="9">
        <f t="array" ref="F9">PRODUCT(1 + 預測IC!$C18:E18) - 1</f>
        <v>0.12611527117128341</v>
      </c>
      <c r="G9" s="9">
        <f t="array" ref="G9">PRODUCT(1 + 預測IC!$C18:F18) - 1</f>
        <v>0.1009831765232867</v>
      </c>
      <c r="H9" s="9">
        <f t="array" ref="H9">PRODUCT(1 + 預測IC!$C18:G18) - 1</f>
        <v>0.19125300048529748</v>
      </c>
      <c r="I9" s="9">
        <f t="array" ref="I9">PRODUCT(1 + 預測IC!$C18:H18) - 1</f>
        <v>0.12662201388480465</v>
      </c>
      <c r="J9" s="9">
        <f t="array" ref="J9">PRODUCT(1 + 預測IC!$C18:I18) - 1</f>
        <v>9.64071020131545E-2</v>
      </c>
      <c r="K9" s="9">
        <f t="array" ref="K9">PRODUCT(1 + 預測IC!$C18:J18) - 1</f>
        <v>0.10198680758542933</v>
      </c>
      <c r="L9" s="9">
        <f t="array" ref="L9">PRODUCT(1 + 預測IC!$C18:K18) - 1</f>
        <v>3.2568385081677143E-2</v>
      </c>
      <c r="M9" s="9">
        <f t="array" ref="M9">PRODUCT(1 + 預測IC!$C18:L18) - 1</f>
        <v>5.3123942915479505E-2</v>
      </c>
      <c r="N9" s="9">
        <f t="array" ref="N9">PRODUCT(1 + 預測IC!$C18:M18) - 1</f>
        <v>0.11977667844724493</v>
      </c>
      <c r="O9" s="9">
        <f t="array" ref="O9">PRODUCT(1 + 預測IC!$C18:N18) - 1</f>
        <v>0.16980229090442345</v>
      </c>
      <c r="P9" s="9">
        <f t="array" ref="P9">PRODUCT(1 + 預測IC!$C18:O18) - 1</f>
        <v>0.20031574647440142</v>
      </c>
      <c r="Q9" s="9">
        <f t="array" ref="Q9">PRODUCT(1 + 預測IC!$C18:P18) - 1</f>
        <v>0.22956196131353579</v>
      </c>
      <c r="R9" s="9">
        <f t="array" ref="R9">PRODUCT(1 + 預測IC!$C18:Q18) - 1</f>
        <v>0.23723642695188074</v>
      </c>
      <c r="S9" s="9">
        <f t="array" ref="S9">PRODUCT(1 + 預測IC!$C18:R18) - 1</f>
        <v>0.35572293602557048</v>
      </c>
      <c r="T9" s="9">
        <f t="array" ref="T9">PRODUCT(1 + 預測IC!$C18:S18) - 1</f>
        <v>0.28632800523406243</v>
      </c>
      <c r="U9" s="9">
        <f t="array" ref="U9">PRODUCT(1 + 預測IC!$C18:T18) - 1</f>
        <v>0.30015326038939172</v>
      </c>
      <c r="V9" s="9">
        <f t="array" ref="V9">PRODUCT(1 + 預測IC!$C18:U18) - 1</f>
        <v>0.18279283291470594</v>
      </c>
      <c r="W9" s="9">
        <f t="array" ref="W9">PRODUCT(1 + 預測IC!$C18:V18) - 1</f>
        <v>0.2279771668513868</v>
      </c>
      <c r="X9" s="9">
        <f t="array" ref="X9">PRODUCT(1 + 預測IC!$C18:W18) - 1</f>
        <v>0.22432076164098058</v>
      </c>
      <c r="Y9" s="9">
        <f t="array" ref="Y9">PRODUCT(1 + 預測IC!$C18:X18) - 1</f>
        <v>0.37066931127197456</v>
      </c>
      <c r="Z9" s="9">
        <f t="array" ref="Z9">PRODUCT(1 + 預測IC!$C18:Y18) - 1</f>
        <v>0.32586454137165899</v>
      </c>
      <c r="AA9" s="9">
        <f t="array" ref="AA9">PRODUCT(1 + 預測IC!$C18:Z18) - 1</f>
        <v>0.43137707344995069</v>
      </c>
      <c r="AB9" s="9">
        <f t="array" ref="AB9">PRODUCT(1 + 預測IC!$C18:AA18) - 1</f>
        <v>0.46073144832439472</v>
      </c>
      <c r="AC9" s="9">
        <f t="array" ref="AC9">PRODUCT(1 + 預測IC!$C18:AB18) - 1</f>
        <v>0.49901391391693006</v>
      </c>
      <c r="AD9" s="9">
        <f t="array" ref="AD9">PRODUCT(1 + 預測IC!$C18:AC18) - 1</f>
        <v>0.55336609578431917</v>
      </c>
      <c r="AE9" s="9">
        <f t="array" ref="AE9">PRODUCT(1 + 預測IC!$C18:AD18) - 1</f>
        <v>0.47183924977673319</v>
      </c>
      <c r="AF9" s="9">
        <f t="array" ref="AF9">PRODUCT(1 + 預測IC!$C18:AE18) - 1</f>
        <v>0.71658733703990474</v>
      </c>
      <c r="AG9" s="9">
        <f t="array" ref="AG9">PRODUCT(1 + 預測IC!$C18:AF18) - 1</f>
        <v>0.72976818010616884</v>
      </c>
      <c r="AH9" s="9">
        <f t="array" ref="AH9">PRODUCT(1 + 預測IC!$C18:AG18) - 1</f>
        <v>0.72706291513995325</v>
      </c>
      <c r="AI9" s="9">
        <f t="array" ref="AI9">PRODUCT(1 + 預測IC!$C18:AH18) - 1</f>
        <v>0.78141939363944357</v>
      </c>
      <c r="AJ9" s="9">
        <f t="array" ref="AJ9">PRODUCT(1 + 預測IC!$C18:AI18) - 1</f>
        <v>0.6597720902527735</v>
      </c>
      <c r="AK9" s="9">
        <f t="array" ref="AK9">PRODUCT(1 + 預測IC!$C18:AJ18) - 1</f>
        <v>0.69593524649774419</v>
      </c>
      <c r="AL9" s="9">
        <f t="array" ref="AL9">PRODUCT(1 + 預測IC!$C18:AK18) - 1</f>
        <v>0.76728149436844473</v>
      </c>
      <c r="AM9" s="9">
        <f t="array" ref="AM9">PRODUCT(1 + 預測IC!$C18:AL18) - 1</f>
        <v>0.6131957901623204</v>
      </c>
      <c r="AN9" s="9">
        <f t="array" ref="AN9">PRODUCT(1 + 預測IC!$C18:AM18) - 1</f>
        <v>0.70154909718070479</v>
      </c>
      <c r="AO9" s="9">
        <f t="array" ref="AO9">PRODUCT(1 + 預測IC!$C18:AN18) - 1</f>
        <v>0.81767533953125238</v>
      </c>
      <c r="AP9" s="9">
        <f t="array" ref="AP9">PRODUCT(1 + 預測IC!$C18:AO18) - 1</f>
        <v>0.82277529251141712</v>
      </c>
      <c r="AQ9" s="9">
        <f t="array" ref="AQ9">PRODUCT(1 + 預測IC!$C18:AP18) - 1</f>
        <v>0.53802192117764691</v>
      </c>
      <c r="AR9" s="9">
        <f t="array" ref="AR9">PRODUCT(1 + 預測IC!$C18:AQ18) - 1</f>
        <v>0.6541042210370196</v>
      </c>
      <c r="AS9" s="9">
        <f t="array" ref="AS9">PRODUCT(1 + 預測IC!$C18:AR18) - 1</f>
        <v>0.53294496902243305</v>
      </c>
      <c r="AT9" s="9">
        <f t="array" ref="AT9">PRODUCT(1 + 預測IC!$C18:AS18) - 1</f>
        <v>0.54948676539660224</v>
      </c>
      <c r="AU9" s="9">
        <f t="array" ref="AU9">PRODUCT(1 + 預測IC!$C18:AT18) - 1</f>
        <v>0.42135901146527543</v>
      </c>
      <c r="AV9" s="9">
        <f t="array" ref="AV9">PRODUCT(1 + 預測IC!$C18:AU18) - 1</f>
        <v>0.34725945737907415</v>
      </c>
      <c r="AW9" s="9">
        <f t="array" ref="AW9">PRODUCT(1 + 預測IC!$C18:AV18) - 1</f>
        <v>0.28564625102507568</v>
      </c>
      <c r="AX9" s="9">
        <f t="array" ref="AX9">PRODUCT(1 + 預測IC!$C18:AW18) - 1</f>
        <v>0.22947562845070846</v>
      </c>
      <c r="AY9" s="9">
        <f t="array" ref="AY9">PRODUCT(1 + 預測IC!$C18:AX18) - 1</f>
        <v>0.3510137423815578</v>
      </c>
      <c r="AZ9" s="9">
        <f t="array" ref="AZ9">PRODUCT(1 + 預測IC!$C18:AY18) - 1</f>
        <v>0.53329218394025779</v>
      </c>
      <c r="BA9" s="9">
        <f t="array" ref="BA9">PRODUCT(1 + 預測IC!$C18:AZ18) - 1</f>
        <v>0.33188365608442139</v>
      </c>
      <c r="BB9" s="9">
        <f t="array" ref="BB9">PRODUCT(1 + 預測IC!$C18:BA18) - 1</f>
        <v>0.42404178032067041</v>
      </c>
      <c r="BC9" s="9">
        <f t="array" ref="BC9">PRODUCT(1 + 預測IC!$C18:BB18) - 1</f>
        <v>0.2411703519737336</v>
      </c>
      <c r="BD9" s="9">
        <f t="array" ref="BD9">PRODUCT(1 + 預測IC!$C18:BC18) - 1</f>
        <v>0.14624220173041858</v>
      </c>
      <c r="BE9" s="9">
        <f t="array" ref="BE9">PRODUCT(1 + 預測IC!$C18:BD18) - 1</f>
        <v>0.1599789541449006</v>
      </c>
      <c r="BF9" s="9">
        <f t="array" ref="BF9">PRODUCT(1 + 預測IC!$C18:BE18) - 1</f>
        <v>0.19997852037765163</v>
      </c>
      <c r="BG9" s="9">
        <f t="array" ref="BG9">PRODUCT(1 + 預測IC!$C18:BF18) - 1</f>
        <v>0.29080664094199649</v>
      </c>
      <c r="BH9" s="9">
        <f t="array" ref="BH9">PRODUCT(1 + 預測IC!$C18:BG18) - 1</f>
        <v>0.43024986347977157</v>
      </c>
      <c r="BI9" s="9">
        <f t="array" ref="BI9">PRODUCT(1 + 預測IC!$C18:BH18) - 1</f>
        <v>0.53666567440718604</v>
      </c>
      <c r="BJ9" s="9">
        <f t="array" ref="BJ9">PRODUCT(1 + 預測IC!$C18:BI18) - 1</f>
        <v>0.46002169219173905</v>
      </c>
      <c r="BK9" s="9">
        <f t="array" ref="BK9">PRODUCT(1 + 預測IC!$C18:BJ18) - 1</f>
        <v>0.48744021395100812</v>
      </c>
      <c r="BL9" s="9">
        <f t="array" ref="BL9">PRODUCT(1 + 預測IC!$C18:BK18) - 1</f>
        <v>0.55028845290896422</v>
      </c>
      <c r="BM9" s="9">
        <f t="array" ref="BM9">PRODUCT(1 + 預測IC!$C18:BL18) - 1</f>
        <v>0.55831414306743543</v>
      </c>
      <c r="BN9" s="9">
        <f t="array" ref="BN9">PRODUCT(1 + 預測IC!$C18:BM18) - 1</f>
        <v>0.63263690818823504</v>
      </c>
      <c r="BO9" s="9">
        <f t="array" ref="BO9">PRODUCT(1 + 預測IC!$C18:BN18) - 1</f>
        <v>0.61272477388290048</v>
      </c>
      <c r="BP9" s="9">
        <f t="array" ref="BP9">PRODUCT(1 + 預測IC!$C18:BO18) - 1</f>
        <v>0.47979303036518672</v>
      </c>
      <c r="BQ9" s="9">
        <f t="array" ref="BQ9">PRODUCT(1 + 預測IC!$C18:BP18) - 1</f>
        <v>0.56711932179942059</v>
      </c>
      <c r="BR9" s="9">
        <f t="array" ref="BR9">PRODUCT(1 + 預測IC!$C18:BQ18) - 1</f>
        <v>0.56404294854783776</v>
      </c>
      <c r="BS9" s="9">
        <f t="array" ref="BS9">PRODUCT(1 + 預測IC!$C18:BR18) - 1</f>
        <v>0.4067187568691264</v>
      </c>
      <c r="BT9" s="9">
        <f t="array" ref="BT9">PRODUCT(1 + 預測IC!$C18:BS18) - 1</f>
        <v>0.33824074856918984</v>
      </c>
      <c r="BU9" s="9">
        <f t="array" ref="BU9">PRODUCT(1 + 預測IC!$C18:BT18) - 1</f>
        <v>0.29278069447599386</v>
      </c>
      <c r="BV9" s="9">
        <f t="array" ref="BV9">PRODUCT(1 + 預測IC!$C18:BU18) - 1</f>
        <v>0.24282062501188162</v>
      </c>
      <c r="BW9" s="9">
        <f t="array" ref="BW9">PRODUCT(1 + 預測IC!$C18:BV18) - 1</f>
        <v>0.14343734902764704</v>
      </c>
      <c r="BX9" s="9">
        <f t="array" ref="BX9">PRODUCT(1 + 預測IC!$C18:BW18) - 1</f>
        <v>0.25220403023256655</v>
      </c>
      <c r="BY9" s="9">
        <f t="array" ref="BY9">PRODUCT(1 + 預測IC!$C18:BX18) - 1</f>
        <v>0.27574848609226388</v>
      </c>
      <c r="BZ9" s="9">
        <f t="array" ref="BZ9">PRODUCT(1 + 預測IC!$C18:BY18) - 1</f>
        <v>0.14476023547474082</v>
      </c>
      <c r="CA9" s="9">
        <f t="array" ref="CA9">PRODUCT(1 + 預測IC!$C18:BZ18) - 1</f>
        <v>0.13793388471133139</v>
      </c>
      <c r="CB9" s="9">
        <f t="array" ref="CB9">PRODUCT(1 + 預測IC!$C18:CA18) - 1</f>
        <v>-5.1528133928225972E-2</v>
      </c>
      <c r="CC9" s="9">
        <f t="array" ref="CC9">PRODUCT(1 + 預測IC!$C18:CB18) - 1</f>
        <v>-3.7730062494449546E-2</v>
      </c>
      <c r="CD9" s="9">
        <f t="array" ref="CD9">PRODUCT(1 + 預測IC!$C18:CC18) - 1</f>
        <v>-6.5839491966884323E-2</v>
      </c>
      <c r="CE9" s="9">
        <f t="array" ref="CE9">PRODUCT(1 + 預測IC!$C18:CD18) - 1</f>
        <v>-8.7102106738521923E-2</v>
      </c>
      <c r="CF9" s="9">
        <f t="array" ref="CF9">PRODUCT(1 + 預測IC!$C18:CE18) - 1</f>
        <v>-0.17337782474651986</v>
      </c>
      <c r="CG9" s="9">
        <f t="array" ref="CG9">PRODUCT(1 + 預測IC!$C18:CF18) - 1</f>
        <v>-0.18874849821242179</v>
      </c>
      <c r="CH9" s="9">
        <f t="array" ref="CH9">PRODUCT(1 + 預測IC!$C18:CG18) - 1</f>
        <v>-0.10236804702394053</v>
      </c>
      <c r="CI9" s="9">
        <f t="array" ref="CI9">PRODUCT(1 + 預測IC!$C18:CH18) - 1</f>
        <v>-0.17074589774971327</v>
      </c>
      <c r="CJ9" s="9">
        <f t="array" ref="CJ9">PRODUCT(1 + 預測IC!$C18:CI18) - 1</f>
        <v>-0.220642251005708</v>
      </c>
      <c r="CK9" s="9">
        <f t="array" ref="CK9">PRODUCT(1 + 預測IC!$C18:CJ18) - 1</f>
        <v>-0.17821869121306677</v>
      </c>
      <c r="CL9" s="9">
        <f t="array" ref="CL9">PRODUCT(1 + 預測IC!$C18:CK18) - 1</f>
        <v>-0.23717162227091082</v>
      </c>
      <c r="CM9" s="9">
        <f t="array" ref="CM9">PRODUCT(1 + 預測IC!$C18:CL18) - 1</f>
        <v>-0.18656792647907772</v>
      </c>
      <c r="CN9" s="9">
        <f t="array" ref="CN9">PRODUCT(1 + 預測IC!$C18:CM18) - 1</f>
        <v>-0.24582216990643446</v>
      </c>
      <c r="CO9" s="9">
        <f t="array" ref="CO9">PRODUCT(1 + 預測IC!$C18:CN18) - 1</f>
        <v>-0.39185850739817996</v>
      </c>
      <c r="CP9" s="9">
        <f t="array" ref="CP9">PRODUCT(1 + 預測IC!$C18:CO18) - 1</f>
        <v>-0.34616120280720031</v>
      </c>
      <c r="CQ9" s="9">
        <f t="array" ref="CQ9">PRODUCT(1 + 預測IC!$C18:CP18) - 1</f>
        <v>-0.37181995261322065</v>
      </c>
      <c r="CR9" s="9">
        <f t="array" ref="CR9">PRODUCT(1 + 預測IC!$C18:CQ18) - 1</f>
        <v>-0.38539168013233116</v>
      </c>
      <c r="CS9" s="9">
        <f t="array" ref="CS9">PRODUCT(1 + 預測IC!$C18:CR18) - 1</f>
        <v>-0.43205075844422758</v>
      </c>
      <c r="CT9" s="9">
        <f t="array" ref="CT9">PRODUCT(1 + 預測IC!$C18:CS18) - 1</f>
        <v>-0.43327985310855299</v>
      </c>
      <c r="CU9" s="9">
        <f t="array" ref="CU9">PRODUCT(1 + 預測IC!$C18:CT18) - 1</f>
        <v>-0.46417990131234677</v>
      </c>
      <c r="CV9" s="9">
        <f t="array" ref="CV9">PRODUCT(1 + 預測IC!$C18:CU18) - 1</f>
        <v>-0.42060903123878224</v>
      </c>
      <c r="CW9" s="9">
        <f t="array" ref="CW9">PRODUCT(1 + 預測IC!$C18:CV18) - 1</f>
        <v>-0.450570685249435</v>
      </c>
      <c r="CX9" s="9">
        <f t="array" ref="CX9">PRODUCT(1 + 預測IC!$C18:CW18) - 1</f>
        <v>-0.45487492430150367</v>
      </c>
      <c r="CY9" s="9">
        <f t="array" ref="CY9">PRODUCT(1 + 預測IC!$C18:CX18) - 1</f>
        <v>-0.4645680465879034</v>
      </c>
      <c r="CZ9" s="9">
        <f t="array" ref="CZ9">PRODUCT(1 + 預測IC!$C18:CY18) - 1</f>
        <v>-0.45208589942009192</v>
      </c>
      <c r="DA9" s="9">
        <f t="array" ref="DA9">PRODUCT(1 + 預測IC!$C18:CZ18) - 1</f>
        <v>-0.4505892040273457</v>
      </c>
      <c r="DB9" s="9">
        <f t="array" ref="DB9">PRODUCT(1 + 預測IC!$C18:DA18) - 1</f>
        <v>-0.35950974649797596</v>
      </c>
      <c r="DC9" s="9">
        <f t="array" ref="DC9">PRODUCT(1 + 預測IC!$C18:DB18) - 1</f>
        <v>-0.39509879795934333</v>
      </c>
      <c r="DD9" s="9">
        <f t="array" ref="DD9">PRODUCT(1 + 預測IC!$C18:DC18) - 1</f>
        <v>-0.37128040198276602</v>
      </c>
      <c r="DE9" s="9">
        <f t="array" ref="DE9">PRODUCT(1 + 預測IC!$C18:DD18) - 1</f>
        <v>-0.4241656358386805</v>
      </c>
      <c r="DF9" s="9">
        <f t="array" ref="DF9">PRODUCT(1 + 預測IC!$C18:DE18) - 1</f>
        <v>-0.43593855992524533</v>
      </c>
      <c r="DG9" s="9">
        <f t="array" ref="DG9">PRODUCT(1 + 預測IC!$C18:DF18) - 1</f>
        <v>-0.45742782962442141</v>
      </c>
      <c r="DH9" s="9">
        <f t="array" ref="DH9">PRODUCT(1 + 預測IC!$C18:DG18) - 1</f>
        <v>-0.4690075317215</v>
      </c>
      <c r="DI9" s="9">
        <f t="array" ref="DI9">PRODUCT(1 + 預測IC!$C18:DH18) - 1</f>
        <v>-0.4467501579551848</v>
      </c>
      <c r="DJ9" s="9">
        <f t="array" ref="DJ9">PRODUCT(1 + 預測IC!$C18:DI18) - 1</f>
        <v>-0.41614271418531024</v>
      </c>
      <c r="DK9" s="9">
        <f t="array" ref="DK9">PRODUCT(1 + 預測IC!$C18:DJ18) - 1</f>
        <v>-0.3908243202132643</v>
      </c>
      <c r="DL9" s="9">
        <f t="array" ref="DL9">PRODUCT(1 + 預測IC!$C18:DK18) - 1</f>
        <v>-0.41012331208087649</v>
      </c>
      <c r="DM9" s="9">
        <f t="array" ref="DM9">PRODUCT(1 + 預測IC!$C18:DL18) - 1</f>
        <v>-0.42595254749730604</v>
      </c>
      <c r="DN9" s="9">
        <f t="array" ref="DN9">PRODUCT(1 + 預測IC!$C18:DM18) - 1</f>
        <v>-0.49107872818743714</v>
      </c>
      <c r="DO9" s="9">
        <f t="array" ref="DO9">PRODUCT(1 + 預測IC!$C18:DN18) - 1</f>
        <v>-0.46559568009908137</v>
      </c>
      <c r="DP9" s="9">
        <f t="array" ref="DP9">PRODUCT(1 + 預測IC!$C18:DO18) - 1</f>
        <v>-0.49005155741996376</v>
      </c>
      <c r="DQ9" s="9">
        <f t="array" ref="DQ9">PRODUCT(1 + 預測IC!$C18:DP18) - 1</f>
        <v>-0.44899941313173741</v>
      </c>
      <c r="DR9" s="9">
        <f t="array" ref="DR9">PRODUCT(1 + 預測IC!$C18:DQ18) - 1</f>
        <v>-0.44250094673763474</v>
      </c>
      <c r="DS9" s="9">
        <f t="array" ref="DS9">PRODUCT(1 + 預測IC!$C18:DR18) - 1</f>
        <v>-0.43914287092433091</v>
      </c>
      <c r="DT9" s="9">
        <f t="array" ref="DT9">PRODUCT(1 + 預測IC!$C18:DS18) - 1</f>
        <v>-0.42399826489737003</v>
      </c>
      <c r="DU9" s="9">
        <f t="array" ref="DU9">PRODUCT(1 + 預測IC!$C18:DT18) - 1</f>
        <v>-0.43447498627087455</v>
      </c>
      <c r="DV9" s="9">
        <f t="array" ref="DV9">PRODUCT(1 + 預測IC!$C18:DU18) - 1</f>
        <v>-0.38026096619791472</v>
      </c>
      <c r="DW9" s="9">
        <f t="array" ref="DW9">PRODUCT(1 + 預測IC!$C18:DV18) - 1</f>
        <v>-0.37052005876936867</v>
      </c>
      <c r="DX9" s="9">
        <f t="array" ref="DX9">PRODUCT(1 + 預測IC!$C18:DW18) - 1</f>
        <v>-0.32557120689344499</v>
      </c>
      <c r="DY9" s="9">
        <f t="array" ref="DY9">PRODUCT(1 + 預測IC!$C18:DX18) - 1</f>
        <v>-0.39083056912605119</v>
      </c>
      <c r="DZ9" s="9">
        <f t="array" ref="DZ9">PRODUCT(1 + 預測IC!$C18:DY18) - 1</f>
        <v>-0.35011219371888647</v>
      </c>
      <c r="EA9" s="9">
        <f t="array" ref="EA9">PRODUCT(1 + 預測IC!$C18:DZ18) - 1</f>
        <v>-0.3119006935518136</v>
      </c>
      <c r="EB9" s="9">
        <f t="array" ref="EB9">PRODUCT(1 + 預測IC!$C18:EA18) - 1</f>
        <v>-0.3156948404931802</v>
      </c>
      <c r="EC9" s="9">
        <f t="array" ref="EC9">PRODUCT(1 + 預測IC!$C18:EB18) - 1</f>
        <v>-0.27151043326682767</v>
      </c>
      <c r="ED9" s="9">
        <f t="array" ref="ED9">PRODUCT(1 + 預測IC!$C18:EC18) - 1</f>
        <v>-0.2449750698527452</v>
      </c>
      <c r="EE9" s="9">
        <f t="array" ref="EE9">PRODUCT(1 + 預測IC!$C18:ED18) - 1</f>
        <v>-0.18062423882324619</v>
      </c>
      <c r="EF9" s="9">
        <f t="array" ref="EF9">PRODUCT(1 + 預測IC!$C18:EE18) - 1</f>
        <v>-0.14723632871100534</v>
      </c>
      <c r="EG9" s="9">
        <f t="array" ref="EG9">PRODUCT(1 + 預測IC!$C18:EF18) - 1</f>
        <v>-0.14814267286214389</v>
      </c>
    </row>
    <row r="10" spans="3:137" ht="16" customHeight="1">
      <c r="C10" s="6">
        <v>120</v>
      </c>
      <c r="D10" s="2">
        <v>3.7740370201682062E-2</v>
      </c>
      <c r="E10" s="9">
        <f t="array" ref="E10">PRODUCT(1 + 預測IC!$C19:D19) - 1</f>
        <v>0.11525278289948893</v>
      </c>
      <c r="F10" s="9">
        <f t="array" ref="F10">PRODUCT(1 + 預測IC!$C19:E19) - 1</f>
        <v>0.18297474918624612</v>
      </c>
      <c r="G10" s="9">
        <f t="array" ref="G10">PRODUCT(1 + 預測IC!$C19:F19) - 1</f>
        <v>0.17641859581795427</v>
      </c>
      <c r="H10" s="9">
        <f t="array" ref="H10">PRODUCT(1 + 預測IC!$C19:G19) - 1</f>
        <v>0.271282593577582</v>
      </c>
      <c r="I10" s="9">
        <f t="array" ref="I10">PRODUCT(1 + 預測IC!$C19:H19) - 1</f>
        <v>0.2214042536447467</v>
      </c>
      <c r="J10" s="9">
        <f t="array" ref="J10">PRODUCT(1 + 預測IC!$C19:I19) - 1</f>
        <v>0.19231764843484078</v>
      </c>
      <c r="K10" s="9">
        <f t="array" ref="K10">PRODUCT(1 + 預測IC!$C19:J19) - 1</f>
        <v>0.20474653329909032</v>
      </c>
      <c r="L10" s="9">
        <f t="array" ref="L10">PRODUCT(1 + 預測IC!$C19:K19) - 1</f>
        <v>0.1347046763519093</v>
      </c>
      <c r="M10" s="9">
        <f t="array" ref="M10">PRODUCT(1 + 預測IC!$C19:L19) - 1</f>
        <v>0.15147809668412471</v>
      </c>
      <c r="N10" s="9">
        <f t="array" ref="N10">PRODUCT(1 + 預測IC!$C19:M19) - 1</f>
        <v>0.27111730727188377</v>
      </c>
      <c r="O10" s="9">
        <f t="array" ref="O10">PRODUCT(1 + 預測IC!$C19:N19) - 1</f>
        <v>0.31908974501808984</v>
      </c>
      <c r="P10" s="9">
        <f t="array" ref="P10">PRODUCT(1 + 預測IC!$C19:O19) - 1</f>
        <v>0.35290933449429307</v>
      </c>
      <c r="Q10" s="9">
        <f t="array" ref="Q10">PRODUCT(1 + 預測IC!$C19:P19) - 1</f>
        <v>0.39010865653145621</v>
      </c>
      <c r="R10" s="9">
        <f t="array" ref="R10">PRODUCT(1 + 預測IC!$C19:Q19) - 1</f>
        <v>0.4175054858447087</v>
      </c>
      <c r="S10" s="9">
        <f t="array" ref="S10">PRODUCT(1 + 預測IC!$C19:R19) - 1</f>
        <v>0.56591149285565612</v>
      </c>
      <c r="T10" s="9">
        <f t="array" ref="T10">PRODUCT(1 + 預測IC!$C19:S19) - 1</f>
        <v>0.51259042626830142</v>
      </c>
      <c r="U10" s="9">
        <f t="array" ref="U10">PRODUCT(1 + 預測IC!$C19:T19) - 1</f>
        <v>0.5340380340846882</v>
      </c>
      <c r="V10" s="9">
        <f t="array" ref="V10">PRODUCT(1 + 預測IC!$C19:U19) - 1</f>
        <v>0.40394296931363005</v>
      </c>
      <c r="W10" s="9">
        <f t="array" ref="W10">PRODUCT(1 + 預測IC!$C19:V19) - 1</f>
        <v>0.47771099540704975</v>
      </c>
      <c r="X10" s="9">
        <f t="array" ref="X10">PRODUCT(1 + 預測IC!$C19:W19) - 1</f>
        <v>0.47439089943425072</v>
      </c>
      <c r="Y10" s="9">
        <f t="array" ref="Y10">PRODUCT(1 + 預測IC!$C19:X19) - 1</f>
        <v>0.69268069206756122</v>
      </c>
      <c r="Z10" s="9">
        <f t="array" ref="Z10">PRODUCT(1 + 預測IC!$C19:Y19) - 1</f>
        <v>0.62120335745632782</v>
      </c>
      <c r="AA10" s="9">
        <f t="array" ref="AA10">PRODUCT(1 + 預測IC!$C19:Z19) - 1</f>
        <v>0.76687313415392522</v>
      </c>
      <c r="AB10" s="9">
        <f t="array" ref="AB10">PRODUCT(1 + 預測IC!$C19:AA19) - 1</f>
        <v>0.79624872162962923</v>
      </c>
      <c r="AC10" s="9">
        <f t="array" ref="AC10">PRODUCT(1 + 預測IC!$C19:AB19) - 1</f>
        <v>0.86665320327798101</v>
      </c>
      <c r="AD10" s="9">
        <f t="array" ref="AD10">PRODUCT(1 + 預測IC!$C19:AC19) - 1</f>
        <v>0.95906523764790363</v>
      </c>
      <c r="AE10" s="9">
        <f t="array" ref="AE10">PRODUCT(1 + 預測IC!$C19:AD19) - 1</f>
        <v>0.88339568547535774</v>
      </c>
      <c r="AF10" s="9">
        <f t="array" ref="AF10">PRODUCT(1 + 預測IC!$C19:AE19) - 1</f>
        <v>1.2220059017727576</v>
      </c>
      <c r="AG10" s="9">
        <f t="array" ref="AG10">PRODUCT(1 + 預測IC!$C19:AF19) - 1</f>
        <v>1.26548292580943</v>
      </c>
      <c r="AH10" s="9">
        <f t="array" ref="AH10">PRODUCT(1 + 預測IC!$C19:AG19) - 1</f>
        <v>1.2480156210019242</v>
      </c>
      <c r="AI10" s="9">
        <f t="array" ref="AI10">PRODUCT(1 + 預測IC!$C19:AH19) - 1</f>
        <v>1.333905635346806</v>
      </c>
      <c r="AJ10" s="9">
        <f t="array" ref="AJ10">PRODUCT(1 + 預測IC!$C19:AI19) - 1</f>
        <v>1.1537029297092154</v>
      </c>
      <c r="AK10" s="9">
        <f t="array" ref="AK10">PRODUCT(1 + 預測IC!$C19:AJ19) - 1</f>
        <v>1.2108736916297635</v>
      </c>
      <c r="AL10" s="9">
        <f t="array" ref="AL10">PRODUCT(1 + 預測IC!$C19:AK19) - 1</f>
        <v>1.3272536664380583</v>
      </c>
      <c r="AM10" s="9">
        <f t="array" ref="AM10">PRODUCT(1 + 預測IC!$C19:AL19) - 1</f>
        <v>1.1303725262512665</v>
      </c>
      <c r="AN10" s="9">
        <f t="array" ref="AN10">PRODUCT(1 + 預測IC!$C19:AM19) - 1</f>
        <v>1.2509816426471918</v>
      </c>
      <c r="AO10" s="9">
        <f t="array" ref="AO10">PRODUCT(1 + 預測IC!$C19:AN19) - 1</f>
        <v>1.3452957977095572</v>
      </c>
      <c r="AP10" s="9">
        <f t="array" ref="AP10">PRODUCT(1 + 預測IC!$C19:AO19) - 1</f>
        <v>1.3594241439962667</v>
      </c>
      <c r="AQ10" s="9">
        <f t="array" ref="AQ10">PRODUCT(1 + 預測IC!$C19:AP19) - 1</f>
        <v>0.93519257583341164</v>
      </c>
      <c r="AR10" s="9">
        <f t="array" ref="AR10">PRODUCT(1 + 預測IC!$C19:AQ19) - 1</f>
        <v>1.0794234341717601</v>
      </c>
      <c r="AS10" s="9">
        <f t="array" ref="AS10">PRODUCT(1 + 預測IC!$C19:AR19) - 1</f>
        <v>0.9199663422158546</v>
      </c>
      <c r="AT10" s="9">
        <f t="array" ref="AT10">PRODUCT(1 + 預測IC!$C19:AS19) - 1</f>
        <v>0.92018073156649383</v>
      </c>
      <c r="AU10" s="9">
        <f t="array" ref="AU10">PRODUCT(1 + 預測IC!$C19:AT19) - 1</f>
        <v>0.70587946495412179</v>
      </c>
      <c r="AV10" s="9">
        <f t="array" ref="AV10">PRODUCT(1 + 預測IC!$C19:AU19) - 1</f>
        <v>0.57520157687148754</v>
      </c>
      <c r="AW10" s="9">
        <f t="array" ref="AW10">PRODUCT(1 + 預測IC!$C19:AV19) - 1</f>
        <v>0.47076465492414044</v>
      </c>
      <c r="AX10" s="9">
        <f t="array" ref="AX10">PRODUCT(1 + 預測IC!$C19:AW19) - 1</f>
        <v>0.39359535953973901</v>
      </c>
      <c r="AY10" s="9">
        <f t="array" ref="AY10">PRODUCT(1 + 預測IC!$C19:AX19) - 1</f>
        <v>0.54563015104613122</v>
      </c>
      <c r="AZ10" s="9">
        <f t="array" ref="AZ10">PRODUCT(1 + 預測IC!$C19:AY19) - 1</f>
        <v>0.74566425117714785</v>
      </c>
      <c r="BA10" s="9">
        <f t="array" ref="BA10">PRODUCT(1 + 預測IC!$C19:AZ19) - 1</f>
        <v>0.48809157377496315</v>
      </c>
      <c r="BB10" s="9">
        <f t="array" ref="BB10">PRODUCT(1 + 預測IC!$C19:BA19) - 1</f>
        <v>0.58555503612305304</v>
      </c>
      <c r="BC10" s="9">
        <f t="array" ref="BC10">PRODUCT(1 + 預測IC!$C19:BB19) - 1</f>
        <v>0.36337187963653728</v>
      </c>
      <c r="BD10" s="9">
        <f t="array" ref="BD10">PRODUCT(1 + 預測IC!$C19:BC19) - 1</f>
        <v>0.21683255559350956</v>
      </c>
      <c r="BE10" s="9">
        <f t="array" ref="BE10">PRODUCT(1 + 預測IC!$C19:BD19) - 1</f>
        <v>0.24052548752935232</v>
      </c>
      <c r="BF10" s="9">
        <f t="array" ref="BF10">PRODUCT(1 + 預測IC!$C19:BE19) - 1</f>
        <v>0.27995516596123182</v>
      </c>
      <c r="BG10" s="9">
        <f t="array" ref="BG10">PRODUCT(1 + 預測IC!$C19:BF19) - 1</f>
        <v>0.39343669364541234</v>
      </c>
      <c r="BH10" s="9">
        <f t="array" ref="BH10">PRODUCT(1 + 預測IC!$C19:BG19) - 1</f>
        <v>0.55901929751371937</v>
      </c>
      <c r="BI10" s="9">
        <f t="array" ref="BI10">PRODUCT(1 + 預測IC!$C19:BH19) - 1</f>
        <v>0.6661531278132915</v>
      </c>
      <c r="BJ10" s="9">
        <f t="array" ref="BJ10">PRODUCT(1 + 預測IC!$C19:BI19) - 1</f>
        <v>0.59867037047533778</v>
      </c>
      <c r="BK10" s="9">
        <f t="array" ref="BK10">PRODUCT(1 + 預測IC!$C19:BJ19) - 1</f>
        <v>0.61361627284010933</v>
      </c>
      <c r="BL10" s="9">
        <f t="array" ref="BL10">PRODUCT(1 + 預測IC!$C19:BK19) - 1</f>
        <v>0.70492992736728155</v>
      </c>
      <c r="BM10" s="9">
        <f t="array" ref="BM10">PRODUCT(1 + 預測IC!$C19:BL19) - 1</f>
        <v>0.72970831022616012</v>
      </c>
      <c r="BN10" s="9">
        <f t="array" ref="BN10">PRODUCT(1 + 預測IC!$C19:BM19) - 1</f>
        <v>0.78919672211618064</v>
      </c>
      <c r="BO10" s="9">
        <f t="array" ref="BO10">PRODUCT(1 + 預測IC!$C19:BN19) - 1</f>
        <v>0.79442671962318379</v>
      </c>
      <c r="BP10" s="9">
        <f t="array" ref="BP10">PRODUCT(1 + 預測IC!$C19:BO19) - 1</f>
        <v>0.63375039084467044</v>
      </c>
      <c r="BQ10" s="9">
        <f t="array" ref="BQ10">PRODUCT(1 + 預測IC!$C19:BP19) - 1</f>
        <v>0.74964439562158502</v>
      </c>
      <c r="BR10" s="9">
        <f t="array" ref="BR10">PRODUCT(1 + 預測IC!$C19:BQ19) - 1</f>
        <v>0.76006691023290318</v>
      </c>
      <c r="BS10" s="9">
        <f t="array" ref="BS10">PRODUCT(1 + 預測IC!$C19:BR19) - 1</f>
        <v>0.62009501903151554</v>
      </c>
      <c r="BT10" s="9">
        <f t="array" ref="BT10">PRODUCT(1 + 預測IC!$C19:BS19) - 1</f>
        <v>0.47208673990100403</v>
      </c>
      <c r="BU10" s="9">
        <f t="array" ref="BU10">PRODUCT(1 + 預測IC!$C19:BT19) - 1</f>
        <v>0.41290917468270405</v>
      </c>
      <c r="BV10" s="9">
        <f t="array" ref="BV10">PRODUCT(1 + 預測IC!$C19:BU19) - 1</f>
        <v>0.39803759789818161</v>
      </c>
      <c r="BW10" s="9">
        <f t="array" ref="BW10">PRODUCT(1 + 預測IC!$C19:BV19) - 1</f>
        <v>0.27588816065559629</v>
      </c>
      <c r="BX10" s="9">
        <f t="array" ref="BX10">PRODUCT(1 + 預測IC!$C19:BW19) - 1</f>
        <v>0.43070023679368807</v>
      </c>
      <c r="BY10" s="9">
        <f t="array" ref="BY10">PRODUCT(1 + 預測IC!$C19:BX19) - 1</f>
        <v>0.45095356532223208</v>
      </c>
      <c r="BZ10" s="9">
        <f t="array" ref="BZ10">PRODUCT(1 + 預測IC!$C19:BY19) - 1</f>
        <v>0.33686929464054582</v>
      </c>
      <c r="CA10" s="9">
        <f t="array" ref="CA10">PRODUCT(1 + 預測IC!$C19:BZ19) - 1</f>
        <v>0.29777685693489642</v>
      </c>
      <c r="CB10" s="9">
        <f t="array" ref="CB10">PRODUCT(1 + 預測IC!$C19:CA19) - 1</f>
        <v>8.2676435087418509E-2</v>
      </c>
      <c r="CC10" s="9">
        <f t="array" ref="CC10">PRODUCT(1 + 預測IC!$C19:CB19) - 1</f>
        <v>9.6786541873295828E-2</v>
      </c>
      <c r="CD10" s="9">
        <f t="array" ref="CD10">PRODUCT(1 + 預測IC!$C19:CC19) - 1</f>
        <v>7.9913758517015543E-2</v>
      </c>
      <c r="CE10" s="9">
        <f t="array" ref="CE10">PRODUCT(1 + 預測IC!$C19:CD19) - 1</f>
        <v>4.3441246551158219E-2</v>
      </c>
      <c r="CF10" s="9">
        <f t="array" ref="CF10">PRODUCT(1 + 預測IC!$C19:CE19) - 1</f>
        <v>-4.0147985989549273E-3</v>
      </c>
      <c r="CG10" s="9">
        <f t="array" ref="CG10">PRODUCT(1 + 預測IC!$C19:CF19) - 1</f>
        <v>-2.9035515211603191E-2</v>
      </c>
      <c r="CH10" s="9">
        <f t="array" ref="CH10">PRODUCT(1 + 預測IC!$C19:CG19) - 1</f>
        <v>5.2298775139455467E-2</v>
      </c>
      <c r="CI10" s="9">
        <f t="array" ref="CI10">PRODUCT(1 + 預測IC!$C19:CH19) - 1</f>
        <v>-9.8514931668293282E-2</v>
      </c>
      <c r="CJ10" s="9">
        <f t="array" ref="CJ10">PRODUCT(1 + 預測IC!$C19:CI19) - 1</f>
        <v>-0.1504590980807603</v>
      </c>
      <c r="CK10" s="9">
        <f t="array" ref="CK10">PRODUCT(1 + 預測IC!$C19:CJ19) - 1</f>
        <v>-0.10971965043773313</v>
      </c>
      <c r="CL10" s="9">
        <f t="array" ref="CL10">PRODUCT(1 + 預測IC!$C19:CK19) - 1</f>
        <v>-0.19042396947451135</v>
      </c>
      <c r="CM10" s="9">
        <f t="array" ref="CM10">PRODUCT(1 + 預測IC!$C19:CL19) - 1</f>
        <v>-0.10412030959107677</v>
      </c>
      <c r="CN10" s="9">
        <f t="array" ref="CN10">PRODUCT(1 + 預測IC!$C19:CM19) - 1</f>
        <v>-0.20271358449542742</v>
      </c>
      <c r="CO10" s="9">
        <f t="array" ref="CO10">PRODUCT(1 + 預測IC!$C19:CN19) - 1</f>
        <v>-0.30216916062486088</v>
      </c>
      <c r="CP10" s="9">
        <f t="array" ref="CP10">PRODUCT(1 + 預測IC!$C19:CO19) - 1</f>
        <v>-0.22757094696259184</v>
      </c>
      <c r="CQ10" s="9">
        <f t="array" ref="CQ10">PRODUCT(1 + 預測IC!$C19:CP19) - 1</f>
        <v>-0.2596908472714321</v>
      </c>
      <c r="CR10" s="9">
        <f t="array" ref="CR10">PRODUCT(1 + 預測IC!$C19:CQ19) - 1</f>
        <v>-0.2710756894938765</v>
      </c>
      <c r="CS10" s="9">
        <f t="array" ref="CS10">PRODUCT(1 + 預測IC!$C19:CR19) - 1</f>
        <v>-0.34081141962215544</v>
      </c>
      <c r="CT10" s="9">
        <f t="array" ref="CT10">PRODUCT(1 + 預測IC!$C19:CS19) - 1</f>
        <v>-0.34537577295348765</v>
      </c>
      <c r="CU10" s="9">
        <f t="array" ref="CU10">PRODUCT(1 + 預測IC!$C19:CT19) - 1</f>
        <v>-0.37588011427436918</v>
      </c>
      <c r="CV10" s="9">
        <f t="array" ref="CV10">PRODUCT(1 + 預測IC!$C19:CU19) - 1</f>
        <v>-0.31551386320577191</v>
      </c>
      <c r="CW10" s="9">
        <f t="array" ref="CW10">PRODUCT(1 + 預測IC!$C19:CV19) - 1</f>
        <v>-0.32207653321696739</v>
      </c>
      <c r="CX10" s="9">
        <f t="array" ref="CX10">PRODUCT(1 + 預測IC!$C19:CW19) - 1</f>
        <v>-0.32426660622591807</v>
      </c>
      <c r="CY10" s="9">
        <f t="array" ref="CY10">PRODUCT(1 + 預測IC!$C19:CX19) - 1</f>
        <v>-0.34438152583198245</v>
      </c>
      <c r="CZ10" s="9">
        <f t="array" ref="CZ10">PRODUCT(1 + 預測IC!$C19:CY19) - 1</f>
        <v>-0.32377558089554581</v>
      </c>
      <c r="DA10" s="9">
        <f t="array" ref="DA10">PRODUCT(1 + 預測IC!$C19:CZ19) - 1</f>
        <v>-0.31450983078323635</v>
      </c>
      <c r="DB10" s="9">
        <f t="array" ref="DB10">PRODUCT(1 + 預測IC!$C19:DA19) - 1</f>
        <v>-0.23199739854345569</v>
      </c>
      <c r="DC10" s="9">
        <f t="array" ref="DC10">PRODUCT(1 + 預測IC!$C19:DB19) - 1</f>
        <v>-0.25873710709620146</v>
      </c>
      <c r="DD10" s="9">
        <f t="array" ref="DD10">PRODUCT(1 + 預測IC!$C19:DC19) - 1</f>
        <v>-0.21587360482896378</v>
      </c>
      <c r="DE10" s="9">
        <f t="array" ref="DE10">PRODUCT(1 + 預測IC!$C19:DD19) - 1</f>
        <v>-0.3137810658802872</v>
      </c>
      <c r="DF10" s="9">
        <f t="array" ref="DF10">PRODUCT(1 + 預測IC!$C19:DE19) - 1</f>
        <v>-0.32352764430113345</v>
      </c>
      <c r="DG10" s="9">
        <f t="array" ref="DG10">PRODUCT(1 + 預測IC!$C19:DF19) - 1</f>
        <v>-0.37377770439769598</v>
      </c>
      <c r="DH10" s="9">
        <f t="array" ref="DH10">PRODUCT(1 + 預測IC!$C19:DG19) - 1</f>
        <v>-0.37416529478975147</v>
      </c>
      <c r="DI10" s="9">
        <f t="array" ref="DI10">PRODUCT(1 + 預測IC!$C19:DH19) - 1</f>
        <v>-0.36196633175932802</v>
      </c>
      <c r="DJ10" s="9">
        <f t="array" ref="DJ10">PRODUCT(1 + 預測IC!$C19:DI19) - 1</f>
        <v>-0.32851931926225864</v>
      </c>
      <c r="DK10" s="9">
        <f t="array" ref="DK10">PRODUCT(1 + 預測IC!$C19:DJ19) - 1</f>
        <v>-0.29753310664531674</v>
      </c>
      <c r="DL10" s="9">
        <f t="array" ref="DL10">PRODUCT(1 + 預測IC!$C19:DK19) - 1</f>
        <v>-0.32019541829787723</v>
      </c>
      <c r="DM10" s="9">
        <f t="array" ref="DM10">PRODUCT(1 + 預測IC!$C19:DL19) - 1</f>
        <v>-0.33596516097759577</v>
      </c>
      <c r="DN10" s="9">
        <f t="array" ref="DN10">PRODUCT(1 + 預測IC!$C19:DM19) - 1</f>
        <v>-0.44278070706766759</v>
      </c>
      <c r="DO10" s="9">
        <f t="array" ref="DO10">PRODUCT(1 + 預測IC!$C19:DN19) - 1</f>
        <v>-0.41489599893918494</v>
      </c>
      <c r="DP10" s="9">
        <f t="array" ref="DP10">PRODUCT(1 + 預測IC!$C19:DO19) - 1</f>
        <v>-0.44386884641698177</v>
      </c>
      <c r="DQ10" s="9">
        <f t="array" ref="DQ10">PRODUCT(1 + 預測IC!$C19:DP19) - 1</f>
        <v>-0.37768107757440539</v>
      </c>
      <c r="DR10" s="9">
        <f t="array" ref="DR10">PRODUCT(1 + 預測IC!$C19:DQ19) - 1</f>
        <v>-0.37755464666210126</v>
      </c>
      <c r="DS10" s="9">
        <f t="array" ref="DS10">PRODUCT(1 + 預測IC!$C19:DR19) - 1</f>
        <v>-0.3742801604604058</v>
      </c>
      <c r="DT10" s="9">
        <f t="array" ref="DT10">PRODUCT(1 + 預測IC!$C19:DS19) - 1</f>
        <v>-0.35897348497941517</v>
      </c>
      <c r="DU10" s="9">
        <f t="array" ref="DU10">PRODUCT(1 + 預測IC!$C19:DT19) - 1</f>
        <v>-0.37062667419269046</v>
      </c>
      <c r="DV10" s="9">
        <f t="array" ref="DV10">PRODUCT(1 + 預測IC!$C19:DU19) - 1</f>
        <v>-0.31904527315411013</v>
      </c>
      <c r="DW10" s="9">
        <f t="array" ref="DW10">PRODUCT(1 + 預測IC!$C19:DV19) - 1</f>
        <v>-0.30752424988935589</v>
      </c>
      <c r="DX10" s="9">
        <f t="array" ref="DX10">PRODUCT(1 + 預測IC!$C19:DW19) - 1</f>
        <v>-0.30404065148511727</v>
      </c>
      <c r="DY10" s="9">
        <f t="array" ref="DY10">PRODUCT(1 + 預測IC!$C19:DX19) - 1</f>
        <v>-0.38612722194522342</v>
      </c>
      <c r="DZ10" s="9">
        <f t="array" ref="DZ10">PRODUCT(1 + 預測IC!$C19:DY19) - 1</f>
        <v>-0.3027329832645268</v>
      </c>
      <c r="EA10" s="9">
        <f t="array" ref="EA10">PRODUCT(1 + 預測IC!$C19:DZ19) - 1</f>
        <v>-0.28705684399283737</v>
      </c>
      <c r="EB10" s="9">
        <f t="array" ref="EB10">PRODUCT(1 + 預測IC!$C19:EA19) - 1</f>
        <v>-0.27170156862882089</v>
      </c>
      <c r="EC10" s="9">
        <f t="array" ref="EC10">PRODUCT(1 + 預測IC!$C19:EB19) - 1</f>
        <v>-0.21563630762290475</v>
      </c>
      <c r="ED10" s="9">
        <f t="array" ref="ED10">PRODUCT(1 + 預測IC!$C19:EC19) - 1</f>
        <v>-0.18724181203022638</v>
      </c>
      <c r="EE10" s="9">
        <f t="array" ref="EE10">PRODUCT(1 + 預測IC!$C19:ED19) - 1</f>
        <v>-0.11228586151389353</v>
      </c>
      <c r="EF10" s="9">
        <f t="array" ref="EF10">PRODUCT(1 + 預測IC!$C19:EE19) - 1</f>
        <v>-6.4132681625706955E-2</v>
      </c>
      <c r="EG10" s="9">
        <f t="array" ref="EG10">PRODUCT(1 + 預測IC!$C19:EF19) - 1</f>
        <v>-7.2383025599831008E-2</v>
      </c>
    </row>
    <row r="11" spans="3:137" ht="16" customHeight="1">
      <c r="C11" s="6">
        <v>137</v>
      </c>
      <c r="D11" s="2">
        <v>2.3960674486270692E-2</v>
      </c>
      <c r="E11" s="9">
        <f t="array" ref="E11">PRODUCT(1 + 預測IC!$C20:D20) - 1</f>
        <v>8.6716390909887364E-2</v>
      </c>
      <c r="F11" s="9">
        <f t="array" ref="F11">PRODUCT(1 + 預測IC!$C20:E20) - 1</f>
        <v>0.14713146195375892</v>
      </c>
      <c r="G11" s="9">
        <f t="array" ref="G11">PRODUCT(1 + 預測IC!$C20:F20) - 1</f>
        <v>0.13393953678752579</v>
      </c>
      <c r="H11" s="9">
        <f t="array" ref="H11">PRODUCT(1 + 預測IC!$C20:G20) - 1</f>
        <v>0.18947028920047337</v>
      </c>
      <c r="I11" s="9">
        <f t="array" ref="I11">PRODUCT(1 + 預測IC!$C20:H20) - 1</f>
        <v>0.14180173256704487</v>
      </c>
      <c r="J11" s="9">
        <f t="array" ref="J11">PRODUCT(1 + 預測IC!$C20:I20) - 1</f>
        <v>0.1105271860946766</v>
      </c>
      <c r="K11" s="9">
        <f t="array" ref="K11">PRODUCT(1 + 預測IC!$C20:J20) - 1</f>
        <v>0.13761208111773326</v>
      </c>
      <c r="L11" s="9">
        <f t="array" ref="L11">PRODUCT(1 + 預測IC!$C20:K20) - 1</f>
        <v>8.510916511436295E-2</v>
      </c>
      <c r="M11" s="9">
        <f t="array" ref="M11">PRODUCT(1 + 預測IC!$C20:L20) - 1</f>
        <v>0.10145886412658456</v>
      </c>
      <c r="N11" s="9">
        <f t="array" ref="N11">PRODUCT(1 + 預測IC!$C20:M20) - 1</f>
        <v>0.24287586460847099</v>
      </c>
      <c r="O11" s="9">
        <f t="array" ref="O11">PRODUCT(1 + 預測IC!$C20:N20) - 1</f>
        <v>0.27265600862719674</v>
      </c>
      <c r="P11" s="9">
        <f t="array" ref="P11">PRODUCT(1 + 預測IC!$C20:O20) - 1</f>
        <v>0.31689172795983156</v>
      </c>
      <c r="Q11" s="9">
        <f t="array" ref="Q11">PRODUCT(1 + 預測IC!$C20:P20) - 1</f>
        <v>0.35863810729051337</v>
      </c>
      <c r="R11" s="9">
        <f t="array" ref="R11">PRODUCT(1 + 預測IC!$C20:Q20) - 1</f>
        <v>0.38552773565928344</v>
      </c>
      <c r="S11" s="9">
        <f t="array" ref="S11">PRODUCT(1 + 預測IC!$C20:R20) - 1</f>
        <v>0.56421285932055065</v>
      </c>
      <c r="T11" s="9">
        <f t="array" ref="T11">PRODUCT(1 + 預測IC!$C20:S20) - 1</f>
        <v>0.52574051259492949</v>
      </c>
      <c r="U11" s="9">
        <f t="array" ref="U11">PRODUCT(1 + 預測IC!$C20:T20) - 1</f>
        <v>0.58695338014058418</v>
      </c>
      <c r="V11" s="9">
        <f t="array" ref="V11">PRODUCT(1 + 預測IC!$C20:U20) - 1</f>
        <v>0.42729415230128409</v>
      </c>
      <c r="W11" s="9">
        <f t="array" ref="W11">PRODUCT(1 + 預測IC!$C20:V20) - 1</f>
        <v>0.48640154292370985</v>
      </c>
      <c r="X11" s="9">
        <f t="array" ref="X11">PRODUCT(1 + 預測IC!$C20:W20) - 1</f>
        <v>0.47433013227336684</v>
      </c>
      <c r="Y11" s="9">
        <f t="array" ref="Y11">PRODUCT(1 + 預測IC!$C20:X20) - 1</f>
        <v>0.74078058968875693</v>
      </c>
      <c r="Z11" s="9">
        <f t="array" ref="Z11">PRODUCT(1 + 預測IC!$C20:Y20) - 1</f>
        <v>0.66355452301425477</v>
      </c>
      <c r="AA11" s="9">
        <f t="array" ref="AA11">PRODUCT(1 + 預測IC!$C20:Z20) - 1</f>
        <v>0.8013090279866093</v>
      </c>
      <c r="AB11" s="9">
        <f t="array" ref="AB11">PRODUCT(1 + 預測IC!$C20:AA20) - 1</f>
        <v>0.86224373481260508</v>
      </c>
      <c r="AC11" s="9">
        <f t="array" ref="AC11">PRODUCT(1 + 預測IC!$C20:AB20) - 1</f>
        <v>0.9625840058207904</v>
      </c>
      <c r="AD11" s="9">
        <f t="array" ref="AD11">PRODUCT(1 + 預測IC!$C20:AC20) - 1</f>
        <v>1.005686715109964</v>
      </c>
      <c r="AE11" s="9">
        <f t="array" ref="AE11">PRODUCT(1 + 預測IC!$C20:AD20) - 1</f>
        <v>0.9443510822330381</v>
      </c>
      <c r="AF11" s="9">
        <f t="array" ref="AF11">PRODUCT(1 + 預測IC!$C20:AE20) - 1</f>
        <v>1.3748950627379761</v>
      </c>
      <c r="AG11" s="9">
        <f t="array" ref="AG11">PRODUCT(1 + 預測IC!$C20:AF20) - 1</f>
        <v>1.4613403120065125</v>
      </c>
      <c r="AH11" s="9">
        <f t="array" ref="AH11">PRODUCT(1 + 預測IC!$C20:AG20) - 1</f>
        <v>1.4000466520582657</v>
      </c>
      <c r="AI11" s="9">
        <f t="array" ref="AI11">PRODUCT(1 + 預測IC!$C20:AH20) - 1</f>
        <v>1.5263081088860813</v>
      </c>
      <c r="AJ11" s="9">
        <f t="array" ref="AJ11">PRODUCT(1 + 預測IC!$C20:AI20) - 1</f>
        <v>1.2838231359980687</v>
      </c>
      <c r="AK11" s="9">
        <f t="array" ref="AK11">PRODUCT(1 + 預測IC!$C20:AJ20) - 1</f>
        <v>1.3163615977079353</v>
      </c>
      <c r="AL11" s="9">
        <f t="array" ref="AL11">PRODUCT(1 + 預測IC!$C20:AK20) - 1</f>
        <v>1.4481080361285819</v>
      </c>
      <c r="AM11" s="9">
        <f t="array" ref="AM11">PRODUCT(1 + 預測IC!$C20:AL20) - 1</f>
        <v>1.2531816040192858</v>
      </c>
      <c r="AN11" s="9">
        <f t="array" ref="AN11">PRODUCT(1 + 預測IC!$C20:AM20) - 1</f>
        <v>1.3398008260079854</v>
      </c>
      <c r="AO11" s="9">
        <f t="array" ref="AO11">PRODUCT(1 + 預測IC!$C20:AN20) - 1</f>
        <v>1.4317257280872639</v>
      </c>
      <c r="AP11" s="9">
        <f t="array" ref="AP11">PRODUCT(1 + 預測IC!$C20:AO20) - 1</f>
        <v>1.399396111452416</v>
      </c>
      <c r="AQ11" s="9">
        <f t="array" ref="AQ11">PRODUCT(1 + 預測IC!$C20:AP20) - 1</f>
        <v>0.90903812514211735</v>
      </c>
      <c r="AR11" s="9">
        <f t="array" ref="AR11">PRODUCT(1 + 預測IC!$C20:AQ20) - 1</f>
        <v>1.0988782163017987</v>
      </c>
      <c r="AS11" s="9">
        <f t="array" ref="AS11">PRODUCT(1 + 預測IC!$C20:AR20) - 1</f>
        <v>0.90992898518294396</v>
      </c>
      <c r="AT11" s="9">
        <f t="array" ref="AT11">PRODUCT(1 + 預測IC!$C20:AS20) - 1</f>
        <v>0.83133714531753156</v>
      </c>
      <c r="AU11" s="9">
        <f t="array" ref="AU11">PRODUCT(1 + 預測IC!$C20:AT20) - 1</f>
        <v>0.5805341611789252</v>
      </c>
      <c r="AV11" s="9">
        <f t="array" ref="AV11">PRODUCT(1 + 預測IC!$C20:AU20) - 1</f>
        <v>0.43666612089367618</v>
      </c>
      <c r="AW11" s="9">
        <f t="array" ref="AW11">PRODUCT(1 + 預測IC!$C20:AV20) - 1</f>
        <v>0.33295399367408574</v>
      </c>
      <c r="AX11" s="9">
        <f t="array" ref="AX11">PRODUCT(1 + 預測IC!$C20:AW20) - 1</f>
        <v>0.32259397964567227</v>
      </c>
      <c r="AY11" s="9">
        <f t="array" ref="AY11">PRODUCT(1 + 預測IC!$C20:AX20) - 1</f>
        <v>0.51050617448305236</v>
      </c>
      <c r="AZ11" s="9">
        <f t="array" ref="AZ11">PRODUCT(1 + 預測IC!$C20:AY20) - 1</f>
        <v>0.74878497608050432</v>
      </c>
      <c r="BA11" s="9">
        <f t="array" ref="BA11">PRODUCT(1 + 預測IC!$C20:AZ20) - 1</f>
        <v>0.47635239417076392</v>
      </c>
      <c r="BB11" s="9">
        <f t="array" ref="BB11">PRODUCT(1 + 預測IC!$C20:BA20) - 1</f>
        <v>0.55105798007981743</v>
      </c>
      <c r="BC11" s="9">
        <f t="array" ref="BC11">PRODUCT(1 + 預測IC!$C20:BB20) - 1</f>
        <v>0.29299213365714372</v>
      </c>
      <c r="BD11" s="9">
        <f t="array" ref="BD11">PRODUCT(1 + 預測IC!$C20:BC20) - 1</f>
        <v>0.14729399219418671</v>
      </c>
      <c r="BE11" s="9">
        <f t="array" ref="BE11">PRODUCT(1 + 預測IC!$C20:BD20) - 1</f>
        <v>0.19378887625490471</v>
      </c>
      <c r="BF11" s="9">
        <f t="array" ref="BF11">PRODUCT(1 + 預測IC!$C20:BE20) - 1</f>
        <v>0.23963051943978009</v>
      </c>
      <c r="BG11" s="9">
        <f t="array" ref="BG11">PRODUCT(1 + 預測IC!$C20:BF20) - 1</f>
        <v>0.37447652527702324</v>
      </c>
      <c r="BH11" s="9">
        <f t="array" ref="BH11">PRODUCT(1 + 預測IC!$C20:BG20) - 1</f>
        <v>0.56806248076460353</v>
      </c>
      <c r="BI11" s="9">
        <f t="array" ref="BI11">PRODUCT(1 + 預測IC!$C20:BH20) - 1</f>
        <v>0.67124041897004161</v>
      </c>
      <c r="BJ11" s="9">
        <f t="array" ref="BJ11">PRODUCT(1 + 預測IC!$C20:BI20) - 1</f>
        <v>0.64985692122307848</v>
      </c>
      <c r="BK11" s="9">
        <f t="array" ref="BK11">PRODUCT(1 + 預測IC!$C20:BJ20) - 1</f>
        <v>0.64693784944641708</v>
      </c>
      <c r="BL11" s="9">
        <f t="array" ref="BL11">PRODUCT(1 + 預測IC!$C20:BK20) - 1</f>
        <v>0.70930906140688954</v>
      </c>
      <c r="BM11" s="9">
        <f t="array" ref="BM11">PRODUCT(1 + 預測IC!$C20:BL20) - 1</f>
        <v>0.74974551641197262</v>
      </c>
      <c r="BN11" s="9">
        <f t="array" ref="BN11">PRODUCT(1 + 預測IC!$C20:BM20) - 1</f>
        <v>0.8489419398727871</v>
      </c>
      <c r="BO11" s="9">
        <f t="array" ref="BO11">PRODUCT(1 + 預測IC!$C20:BN20) - 1</f>
        <v>0.91542223613528861</v>
      </c>
      <c r="BP11" s="9">
        <f t="array" ref="BP11">PRODUCT(1 + 預測IC!$C20:BO20) - 1</f>
        <v>0.68606892343995352</v>
      </c>
      <c r="BQ11" s="9">
        <f t="array" ref="BQ11">PRODUCT(1 + 預測IC!$C20:BP20) - 1</f>
        <v>0.82311769447681704</v>
      </c>
      <c r="BR11" s="9">
        <f t="array" ref="BR11">PRODUCT(1 + 預測IC!$C20:BQ20) - 1</f>
        <v>0.86102486332363015</v>
      </c>
      <c r="BS11" s="9">
        <f t="array" ref="BS11">PRODUCT(1 + 預測IC!$C20:BR20) - 1</f>
        <v>0.70184931763809</v>
      </c>
      <c r="BT11" s="9">
        <f t="array" ref="BT11">PRODUCT(1 + 預測IC!$C20:BS20) - 1</f>
        <v>0.51431878913977247</v>
      </c>
      <c r="BU11" s="9">
        <f t="array" ref="BU11">PRODUCT(1 + 預測IC!$C20:BT20) - 1</f>
        <v>0.54621360989452628</v>
      </c>
      <c r="BV11" s="9">
        <f t="array" ref="BV11">PRODUCT(1 + 預測IC!$C20:BU20) - 1</f>
        <v>0.57904898838792862</v>
      </c>
      <c r="BW11" s="9">
        <f t="array" ref="BW11">PRODUCT(1 + 預測IC!$C20:BV20) - 1</f>
        <v>0.42812372329437243</v>
      </c>
      <c r="BX11" s="9">
        <f t="array" ref="BX11">PRODUCT(1 + 預測IC!$C20:BW20) - 1</f>
        <v>0.58584806503492337</v>
      </c>
      <c r="BY11" s="9">
        <f t="array" ref="BY11">PRODUCT(1 + 預測IC!$C20:BX20) - 1</f>
        <v>0.59743781297395149</v>
      </c>
      <c r="BZ11" s="9">
        <f t="array" ref="BZ11">PRODUCT(1 + 預測IC!$C20:BY20) - 1</f>
        <v>0.39608644162743856</v>
      </c>
      <c r="CA11" s="9">
        <f t="array" ref="CA11">PRODUCT(1 + 預測IC!$C20:BZ20) - 1</f>
        <v>0.35823501033754512</v>
      </c>
      <c r="CB11" s="9">
        <f t="array" ref="CB11">PRODUCT(1 + 預測IC!$C20:CA20) - 1</f>
        <v>0.12711734150064546</v>
      </c>
      <c r="CC11" s="9">
        <f t="array" ref="CC11">PRODUCT(1 + 預測IC!$C20:CB20) - 1</f>
        <v>0.16712571889780969</v>
      </c>
      <c r="CD11" s="9">
        <f t="array" ref="CD11">PRODUCT(1 + 預測IC!$C20:CC20) - 1</f>
        <v>0.13801987365119106</v>
      </c>
      <c r="CE11" s="9">
        <f t="array" ref="CE11">PRODUCT(1 + 預測IC!$C20:CD20) - 1</f>
        <v>4.0191268546584613E-2</v>
      </c>
      <c r="CF11" s="9">
        <f t="array" ref="CF11">PRODUCT(1 + 預測IC!$C20:CE20) - 1</f>
        <v>-8.2690636161111275E-3</v>
      </c>
      <c r="CG11" s="9">
        <f t="array" ref="CG11">PRODUCT(1 + 預測IC!$C20:CF20) - 1</f>
        <v>-7.4919194560821523E-2</v>
      </c>
      <c r="CH11" s="9">
        <f t="array" ref="CH11">PRODUCT(1 + 預測IC!$C20:CG20) - 1</f>
        <v>1.3261008296360677E-2</v>
      </c>
      <c r="CI11" s="9">
        <f t="array" ref="CI11">PRODUCT(1 + 預測IC!$C20:CH20) - 1</f>
        <v>-0.17539764896999144</v>
      </c>
      <c r="CJ11" s="9">
        <f t="array" ref="CJ11">PRODUCT(1 + 預測IC!$C20:CI20) - 1</f>
        <v>-0.22531555994382979</v>
      </c>
      <c r="CK11" s="9">
        <f t="array" ref="CK11">PRODUCT(1 + 預測IC!$C20:CJ20) - 1</f>
        <v>-0.17721358811885513</v>
      </c>
      <c r="CL11" s="9">
        <f t="array" ref="CL11">PRODUCT(1 + 預測IC!$C20:CK20) - 1</f>
        <v>-0.26827261761042798</v>
      </c>
      <c r="CM11" s="9">
        <f t="array" ref="CM11">PRODUCT(1 + 預測IC!$C20:CL20) - 1</f>
        <v>-0.22919615290626549</v>
      </c>
      <c r="CN11" s="9">
        <f t="array" ref="CN11">PRODUCT(1 + 預測IC!$C20:CM20) - 1</f>
        <v>-0.33445233672642394</v>
      </c>
      <c r="CO11" s="9">
        <f t="array" ref="CO11">PRODUCT(1 + 預測IC!$C20:CN20) - 1</f>
        <v>-0.43149551897444849</v>
      </c>
      <c r="CP11" s="9">
        <f t="array" ref="CP11">PRODUCT(1 + 預測IC!$C20:CO20) - 1</f>
        <v>-0.36309077865418071</v>
      </c>
      <c r="CQ11" s="9">
        <f t="array" ref="CQ11">PRODUCT(1 + 預測IC!$C20:CP20) - 1</f>
        <v>-0.3833436663370865</v>
      </c>
      <c r="CR11" s="9">
        <f t="array" ref="CR11">PRODUCT(1 + 預測IC!$C20:CQ20) - 1</f>
        <v>-0.41770625568100317</v>
      </c>
      <c r="CS11" s="9">
        <f t="array" ref="CS11">PRODUCT(1 + 預測IC!$C20:CR20) - 1</f>
        <v>-0.4880148307087534</v>
      </c>
      <c r="CT11" s="9">
        <f t="array" ref="CT11">PRODUCT(1 + 預測IC!$C20:CS20) - 1</f>
        <v>-0.50892723120669947</v>
      </c>
      <c r="CU11" s="9">
        <f t="array" ref="CU11">PRODUCT(1 + 預測IC!$C20:CT20) - 1</f>
        <v>-0.53853309240677349</v>
      </c>
      <c r="CV11" s="9">
        <f t="array" ref="CV11">PRODUCT(1 + 預測IC!$C20:CU20) - 1</f>
        <v>-0.49416831920433857</v>
      </c>
      <c r="CW11" s="9">
        <f t="array" ref="CW11">PRODUCT(1 + 預測IC!$C20:CV20) - 1</f>
        <v>-0.49704185022617531</v>
      </c>
      <c r="CX11" s="9">
        <f t="array" ref="CX11">PRODUCT(1 + 預測IC!$C20:CW20) - 1</f>
        <v>-0.49013149269604106</v>
      </c>
      <c r="CY11" s="9">
        <f t="array" ref="CY11">PRODUCT(1 + 預測IC!$C20:CX20) - 1</f>
        <v>-0.49507125692320686</v>
      </c>
      <c r="CZ11" s="9">
        <f t="array" ref="CZ11">PRODUCT(1 + 預測IC!$C20:CY20) - 1</f>
        <v>-0.49245046219804955</v>
      </c>
      <c r="DA11" s="9">
        <f t="array" ref="DA11">PRODUCT(1 + 預測IC!$C20:CZ20) - 1</f>
        <v>-0.50559650229181985</v>
      </c>
      <c r="DB11" s="9">
        <f t="array" ref="DB11">PRODUCT(1 + 預測IC!$C20:DA20) - 1</f>
        <v>-0.44596056141248175</v>
      </c>
      <c r="DC11" s="9">
        <f t="array" ref="DC11">PRODUCT(1 + 預測IC!$C20:DB20) - 1</f>
        <v>-0.47196860418665021</v>
      </c>
      <c r="DD11" s="9">
        <f t="array" ref="DD11">PRODUCT(1 + 預測IC!$C20:DC20) - 1</f>
        <v>-0.43791493211583399</v>
      </c>
      <c r="DE11" s="9">
        <f t="array" ref="DE11">PRODUCT(1 + 預測IC!$C20:DD20) - 1</f>
        <v>-0.5087339412389732</v>
      </c>
      <c r="DF11" s="9">
        <f t="array" ref="DF11">PRODUCT(1 + 預測IC!$C20:DE20) - 1</f>
        <v>-0.52029765148473828</v>
      </c>
      <c r="DG11" s="9">
        <f t="array" ref="DG11">PRODUCT(1 + 預測IC!$C20:DF20) - 1</f>
        <v>-0.56172467507661894</v>
      </c>
      <c r="DH11" s="9">
        <f t="array" ref="DH11">PRODUCT(1 + 預測IC!$C20:DG20) - 1</f>
        <v>-0.5634520241338542</v>
      </c>
      <c r="DI11" s="9">
        <f t="array" ref="DI11">PRODUCT(1 + 預測IC!$C20:DH20) - 1</f>
        <v>-0.56118990339624286</v>
      </c>
      <c r="DJ11" s="9">
        <f t="array" ref="DJ11">PRODUCT(1 + 預測IC!$C20:DI20) - 1</f>
        <v>-0.53535023820009231</v>
      </c>
      <c r="DK11" s="9">
        <f t="array" ref="DK11">PRODUCT(1 + 預測IC!$C20:DJ20) - 1</f>
        <v>-0.5084030554708846</v>
      </c>
      <c r="DL11" s="9">
        <f t="array" ref="DL11">PRODUCT(1 + 預測IC!$C20:DK20) - 1</f>
        <v>-0.54432276228700738</v>
      </c>
      <c r="DM11" s="9">
        <f t="array" ref="DM11">PRODUCT(1 + 預測IC!$C20:DL20) - 1</f>
        <v>-0.54409510070446576</v>
      </c>
      <c r="DN11" s="9">
        <f t="array" ref="DN11">PRODUCT(1 + 預測IC!$C20:DM20) - 1</f>
        <v>-0.62909568170003927</v>
      </c>
      <c r="DO11" s="9">
        <f t="array" ref="DO11">PRODUCT(1 + 預測IC!$C20:DN20) - 1</f>
        <v>-0.59313742063030017</v>
      </c>
      <c r="DP11" s="9">
        <f t="array" ref="DP11">PRODUCT(1 + 預測IC!$C20:DO20) - 1</f>
        <v>-0.61628824799986837</v>
      </c>
      <c r="DQ11" s="9">
        <f t="array" ref="DQ11">PRODUCT(1 + 預測IC!$C20:DP20) - 1</f>
        <v>-0.55764902491257806</v>
      </c>
      <c r="DR11" s="9">
        <f t="array" ref="DR11">PRODUCT(1 + 預測IC!$C20:DQ20) - 1</f>
        <v>-0.55507580300690296</v>
      </c>
      <c r="DS11" s="9">
        <f t="array" ref="DS11">PRODUCT(1 + 預測IC!$C20:DR20) - 1</f>
        <v>-0.52501549088168797</v>
      </c>
      <c r="DT11" s="9">
        <f t="array" ref="DT11">PRODUCT(1 + 預測IC!$C20:DS20) - 1</f>
        <v>-0.49945387629151794</v>
      </c>
      <c r="DU11" s="9">
        <f t="array" ref="DU11">PRODUCT(1 + 預測IC!$C20:DT20) - 1</f>
        <v>-0.49653142355711477</v>
      </c>
      <c r="DV11" s="9">
        <f t="array" ref="DV11">PRODUCT(1 + 預測IC!$C20:DU20) - 1</f>
        <v>-0.41746954823588456</v>
      </c>
      <c r="DW11" s="9">
        <f t="array" ref="DW11">PRODUCT(1 + 預測IC!$C20:DV20) - 1</f>
        <v>-0.42824453983125654</v>
      </c>
      <c r="DX11" s="9">
        <f t="array" ref="DX11">PRODUCT(1 + 預測IC!$C20:DW20) - 1</f>
        <v>-0.44739436060470872</v>
      </c>
      <c r="DY11" s="9">
        <f t="array" ref="DY11">PRODUCT(1 + 預測IC!$C20:DX20) - 1</f>
        <v>-0.5115889592947358</v>
      </c>
      <c r="DZ11" s="9">
        <f t="array" ref="DZ11">PRODUCT(1 + 預測IC!$C20:DY20) - 1</f>
        <v>-0.44652456539737606</v>
      </c>
      <c r="EA11" s="9">
        <f t="array" ref="EA11">PRODUCT(1 + 預測IC!$C20:DZ20) - 1</f>
        <v>-0.41020250663341695</v>
      </c>
      <c r="EB11" s="9">
        <f t="array" ref="EB11">PRODUCT(1 + 預測IC!$C20:EA20) - 1</f>
        <v>-0.39818411974044166</v>
      </c>
      <c r="EC11" s="9">
        <f t="array" ref="EC11">PRODUCT(1 + 預測IC!$C20:EB20) - 1</f>
        <v>-0.35340050103901866</v>
      </c>
      <c r="ED11" s="9">
        <f t="array" ref="ED11">PRODUCT(1 + 預測IC!$C20:EC20) - 1</f>
        <v>-0.3178796225149132</v>
      </c>
      <c r="EE11" s="9">
        <f t="array" ref="EE11">PRODUCT(1 + 預測IC!$C20:ED20) - 1</f>
        <v>-0.25333753055266495</v>
      </c>
      <c r="EF11" s="9">
        <f t="array" ref="EF11">PRODUCT(1 + 預測IC!$C20:EE20) - 1</f>
        <v>-0.19772435468652427</v>
      </c>
      <c r="EG11" s="9">
        <f t="array" ref="EG11">PRODUCT(1 + 預測IC!$C20:EF20) - 1</f>
        <v>-0.22985594994278125</v>
      </c>
    </row>
    <row r="12" spans="3:137" ht="16" customHeight="1">
      <c r="C12" s="6">
        <v>160</v>
      </c>
      <c r="D12" s="2">
        <v>1.7692424960681141E-2</v>
      </c>
      <c r="E12" s="9">
        <f t="array" ref="E12">PRODUCT(1 + 預測IC!$C21:D21) - 1</f>
        <v>9.092908557307533E-2</v>
      </c>
      <c r="F12" s="9">
        <f t="array" ref="F12">PRODUCT(1 + 預測IC!$C21:E21) - 1</f>
        <v>7.9440371505324237E-2</v>
      </c>
      <c r="G12" s="9">
        <f t="array" ref="G12">PRODUCT(1 + 預測IC!$C21:F21) - 1</f>
        <v>0.10197668365505708</v>
      </c>
      <c r="H12" s="9">
        <f t="array" ref="H12">PRODUCT(1 + 預測IC!$C21:G21) - 1</f>
        <v>0.15410087416333806</v>
      </c>
      <c r="I12" s="9">
        <f t="array" ref="I12">PRODUCT(1 + 預測IC!$C21:H21) - 1</f>
        <v>0.14971047205996491</v>
      </c>
      <c r="J12" s="9">
        <f t="array" ref="J12">PRODUCT(1 + 預測IC!$C21:I21) - 1</f>
        <v>9.8253076448101329E-2</v>
      </c>
      <c r="K12" s="9">
        <f t="array" ref="K12">PRODUCT(1 + 預測IC!$C21:J21) - 1</f>
        <v>0.13914818622763203</v>
      </c>
      <c r="L12" s="9">
        <f t="array" ref="L12">PRODUCT(1 + 預測IC!$C21:K21) - 1</f>
        <v>7.3599135356582357E-2</v>
      </c>
      <c r="M12" s="9">
        <f t="array" ref="M12">PRODUCT(1 + 預測IC!$C21:L21) - 1</f>
        <v>8.6065043928681417E-2</v>
      </c>
      <c r="N12" s="9">
        <f t="array" ref="N12">PRODUCT(1 + 預測IC!$C21:M21) - 1</f>
        <v>0.24383206567114701</v>
      </c>
      <c r="O12" s="9">
        <f t="array" ref="O12">PRODUCT(1 + 預測IC!$C21:N21) - 1</f>
        <v>0.26583847115672277</v>
      </c>
      <c r="P12" s="9">
        <f t="array" ref="P12">PRODUCT(1 + 預測IC!$C21:O21) - 1</f>
        <v>0.26975454948729238</v>
      </c>
      <c r="Q12" s="9">
        <f t="array" ref="Q12">PRODUCT(1 + 預測IC!$C21:P21) - 1</f>
        <v>0.31937616309236172</v>
      </c>
      <c r="R12" s="9">
        <f t="array" ref="R12">PRODUCT(1 + 預測IC!$C21:Q21) - 1</f>
        <v>0.29746739377500608</v>
      </c>
      <c r="S12" s="9">
        <f t="array" ref="S12">PRODUCT(1 + 預測IC!$C21:R21) - 1</f>
        <v>0.43258058058264326</v>
      </c>
      <c r="T12" s="9">
        <f t="array" ref="T12">PRODUCT(1 + 預測IC!$C21:S21) - 1</f>
        <v>0.28271418209888877</v>
      </c>
      <c r="U12" s="9">
        <f t="array" ref="U12">PRODUCT(1 + 預測IC!$C21:T21) - 1</f>
        <v>0.34887922914680081</v>
      </c>
      <c r="V12" s="9">
        <f t="array" ref="V12">PRODUCT(1 + 預測IC!$C21:U21) - 1</f>
        <v>0.23338201963418048</v>
      </c>
      <c r="W12" s="9">
        <f t="array" ref="W12">PRODUCT(1 + 預測IC!$C21:V21) - 1</f>
        <v>0.29553701213246408</v>
      </c>
      <c r="X12" s="9">
        <f t="array" ref="X12">PRODUCT(1 + 預測IC!$C21:W21) - 1</f>
        <v>0.26906949585081352</v>
      </c>
      <c r="Y12" s="9">
        <f t="array" ref="Y12">PRODUCT(1 + 預測IC!$C21:X21) - 1</f>
        <v>0.47272089002314721</v>
      </c>
      <c r="Z12" s="9">
        <f t="array" ref="Z12">PRODUCT(1 + 預測IC!$C21:Y21) - 1</f>
        <v>0.37329199993401851</v>
      </c>
      <c r="AA12" s="9">
        <f t="array" ref="AA12">PRODUCT(1 + 預測IC!$C21:Z21) - 1</f>
        <v>0.41781324756942495</v>
      </c>
      <c r="AB12" s="9">
        <f t="array" ref="AB12">PRODUCT(1 + 預測IC!$C21:AA21) - 1</f>
        <v>0.48476443911788691</v>
      </c>
      <c r="AC12" s="9">
        <f t="array" ref="AC12">PRODUCT(1 + 預測IC!$C21:AB21) - 1</f>
        <v>0.47631870480731253</v>
      </c>
      <c r="AD12" s="9">
        <f t="array" ref="AD12">PRODUCT(1 + 預測IC!$C21:AC21) - 1</f>
        <v>0.51489898564537029</v>
      </c>
      <c r="AE12" s="9">
        <f t="array" ref="AE12">PRODUCT(1 + 預測IC!$C21:AD21) - 1</f>
        <v>0.47198937524673568</v>
      </c>
      <c r="AF12" s="9">
        <f t="array" ref="AF12">PRODUCT(1 + 預測IC!$C21:AE21) - 1</f>
        <v>0.77620942743639199</v>
      </c>
      <c r="AG12" s="9">
        <f t="array" ref="AG12">PRODUCT(1 + 預測IC!$C21:AF21) - 1</f>
        <v>0.87509019416587219</v>
      </c>
      <c r="AH12" s="9">
        <f t="array" ref="AH12">PRODUCT(1 + 預測IC!$C21:AG21) - 1</f>
        <v>0.81917205301115215</v>
      </c>
      <c r="AI12" s="9">
        <f t="array" ref="AI12">PRODUCT(1 + 預測IC!$C21:AH21) - 1</f>
        <v>0.95906206837582908</v>
      </c>
      <c r="AJ12" s="9">
        <f t="array" ref="AJ12">PRODUCT(1 + 預測IC!$C21:AI21) - 1</f>
        <v>0.76398044726841818</v>
      </c>
      <c r="AK12" s="9">
        <f t="array" ref="AK12">PRODUCT(1 + 預測IC!$C21:AJ21) - 1</f>
        <v>0.8187126440677488</v>
      </c>
      <c r="AL12" s="9">
        <f t="array" ref="AL12">PRODUCT(1 + 預測IC!$C21:AK21) - 1</f>
        <v>0.89297877104492462</v>
      </c>
      <c r="AM12" s="9">
        <f t="array" ref="AM12">PRODUCT(1 + 預測IC!$C21:AL21) - 1</f>
        <v>0.71537598222844001</v>
      </c>
      <c r="AN12" s="9">
        <f t="array" ref="AN12">PRODUCT(1 + 預測IC!$C21:AM21) - 1</f>
        <v>0.78038127947357605</v>
      </c>
      <c r="AO12" s="9">
        <f t="array" ref="AO12">PRODUCT(1 + 預測IC!$C21:AN21) - 1</f>
        <v>0.9337559478709152</v>
      </c>
      <c r="AP12" s="9">
        <f t="array" ref="AP12">PRODUCT(1 + 預測IC!$C21:AO21) - 1</f>
        <v>0.84472824504143307</v>
      </c>
      <c r="AQ12" s="9">
        <f t="array" ref="AQ12">PRODUCT(1 + 預測IC!$C21:AP21) - 1</f>
        <v>0.42137780439118866</v>
      </c>
      <c r="AR12" s="9">
        <f t="array" ref="AR12">PRODUCT(1 + 預測IC!$C21:AQ21) - 1</f>
        <v>0.58121797350203108</v>
      </c>
      <c r="AS12" s="9">
        <f t="array" ref="AS12">PRODUCT(1 + 預測IC!$C21:AR21) - 1</f>
        <v>0.39384503404414417</v>
      </c>
      <c r="AT12" s="9">
        <f t="array" ref="AT12">PRODUCT(1 + 預測IC!$C21:AS21) - 1</f>
        <v>0.41905832668452958</v>
      </c>
      <c r="AU12" s="9">
        <f t="array" ref="AU12">PRODUCT(1 + 預測IC!$C21:AT21) - 1</f>
        <v>0.23084150758651178</v>
      </c>
      <c r="AV12" s="9">
        <f t="array" ref="AV12">PRODUCT(1 + 預測IC!$C21:AU21) - 1</f>
        <v>9.3244672055713185E-2</v>
      </c>
      <c r="AW12" s="9">
        <f t="array" ref="AW12">PRODUCT(1 + 預測IC!$C21:AV21) - 1</f>
        <v>1.5443668492873375E-2</v>
      </c>
      <c r="AX12" s="9">
        <f t="array" ref="AX12">PRODUCT(1 + 預測IC!$C21:AW21) - 1</f>
        <v>3.2322248473506399E-3</v>
      </c>
      <c r="AY12" s="9">
        <f t="array" ref="AY12">PRODUCT(1 + 預測IC!$C21:AX21) - 1</f>
        <v>0.15469502067080509</v>
      </c>
      <c r="AZ12" s="9">
        <f t="array" ref="AZ12">PRODUCT(1 + 預測IC!$C21:AY21) - 1</f>
        <v>0.37792757865023097</v>
      </c>
      <c r="BA12" s="9">
        <f t="array" ref="BA12">PRODUCT(1 + 預測IC!$C21:AZ21) - 1</f>
        <v>0.14340361735726526</v>
      </c>
      <c r="BB12" s="9">
        <f t="array" ref="BB12">PRODUCT(1 + 預測IC!$C21:BA21) - 1</f>
        <v>0.23396560266295152</v>
      </c>
      <c r="BC12" s="9">
        <f t="array" ref="BC12">PRODUCT(1 + 預測IC!$C21:BB21) - 1</f>
        <v>-3.4663219608265128E-2</v>
      </c>
      <c r="BD12" s="9">
        <f t="array" ref="BD12">PRODUCT(1 + 預測IC!$C21:BC21) - 1</f>
        <v>-0.11313980193518602</v>
      </c>
      <c r="BE12" s="9">
        <f t="array" ref="BE12">PRODUCT(1 + 預測IC!$C21:BD21) - 1</f>
        <v>-8.7889315446589178E-2</v>
      </c>
      <c r="BF12" s="9">
        <f t="array" ref="BF12">PRODUCT(1 + 預測IC!$C21:BE21) - 1</f>
        <v>-6.8328259941144998E-2</v>
      </c>
      <c r="BG12" s="9">
        <f t="array" ref="BG12">PRODUCT(1 + 預測IC!$C21:BF21) - 1</f>
        <v>7.1650233099690874E-2</v>
      </c>
      <c r="BH12" s="9">
        <f t="array" ref="BH12">PRODUCT(1 + 預測IC!$C21:BG21) - 1</f>
        <v>0.23261958787507808</v>
      </c>
      <c r="BI12" s="9">
        <f t="array" ref="BI12">PRODUCT(1 + 預測IC!$C21:BH21) - 1</f>
        <v>0.28217234915623934</v>
      </c>
      <c r="BJ12" s="9">
        <f t="array" ref="BJ12">PRODUCT(1 + 預測IC!$C21:BI21) - 1</f>
        <v>0.33530982780102514</v>
      </c>
      <c r="BK12" s="9">
        <f t="array" ref="BK12">PRODUCT(1 + 預測IC!$C21:BJ21) - 1</f>
        <v>0.41994664579025143</v>
      </c>
      <c r="BL12" s="9">
        <f t="array" ref="BL12">PRODUCT(1 + 預測IC!$C21:BK21) - 1</f>
        <v>0.46186829126614115</v>
      </c>
      <c r="BM12" s="9">
        <f t="array" ref="BM12">PRODUCT(1 + 預測IC!$C21:BL21) - 1</f>
        <v>0.49014322851226511</v>
      </c>
      <c r="BN12" s="9">
        <f t="array" ref="BN12">PRODUCT(1 + 預測IC!$C21:BM21) - 1</f>
        <v>0.55222162750250492</v>
      </c>
      <c r="BO12" s="9">
        <f t="array" ref="BO12">PRODUCT(1 + 預測IC!$C21:BN21) - 1</f>
        <v>0.5853281923462581</v>
      </c>
      <c r="BP12" s="9">
        <f t="array" ref="BP12">PRODUCT(1 + 預測IC!$C21:BO21) - 1</f>
        <v>0.45709085004651517</v>
      </c>
      <c r="BQ12" s="9">
        <f t="array" ref="BQ12">PRODUCT(1 + 預測IC!$C21:BP21) - 1</f>
        <v>0.57913462416154582</v>
      </c>
      <c r="BR12" s="9">
        <f t="array" ref="BR12">PRODUCT(1 + 預測IC!$C21:BQ21) - 1</f>
        <v>0.56598527141346477</v>
      </c>
      <c r="BS12" s="9">
        <f t="array" ref="BS12">PRODUCT(1 + 預測IC!$C21:BR21) - 1</f>
        <v>0.4130395602902035</v>
      </c>
      <c r="BT12" s="9">
        <f t="array" ref="BT12">PRODUCT(1 + 預測IC!$C21:BS21) - 1</f>
        <v>0.19367897605091811</v>
      </c>
      <c r="BU12" s="9">
        <f t="array" ref="BU12">PRODUCT(1 + 預測IC!$C21:BT21) - 1</f>
        <v>0.23040272440930298</v>
      </c>
      <c r="BV12" s="9">
        <f t="array" ref="BV12">PRODUCT(1 + 預測IC!$C21:BU21) - 1</f>
        <v>0.2592323945913908</v>
      </c>
      <c r="BW12" s="9">
        <f t="array" ref="BW12">PRODUCT(1 + 預測IC!$C21:BV21) - 1</f>
        <v>0.18859988752226653</v>
      </c>
      <c r="BX12" s="9">
        <f t="array" ref="BX12">PRODUCT(1 + 預測IC!$C21:BW21) - 1</f>
        <v>0.30692070592996812</v>
      </c>
      <c r="BY12" s="9">
        <f t="array" ref="BY12">PRODUCT(1 + 預測IC!$C21:BX21) - 1</f>
        <v>0.36514337903729488</v>
      </c>
      <c r="BZ12" s="9">
        <f t="array" ref="BZ12">PRODUCT(1 + 預測IC!$C21:BY21) - 1</f>
        <v>0.20633833655894906</v>
      </c>
      <c r="CA12" s="9">
        <f t="array" ref="CA12">PRODUCT(1 + 預測IC!$C21:BZ21) - 1</f>
        <v>0.17846609324465201</v>
      </c>
      <c r="CB12" s="9">
        <f t="array" ref="CB12">PRODUCT(1 + 預測IC!$C21:CA21) - 1</f>
        <v>-3.2231022639385931E-2</v>
      </c>
      <c r="CC12" s="9">
        <f t="array" ref="CC12">PRODUCT(1 + 預測IC!$C21:CB21) - 1</f>
        <v>-5.5795808767777566E-2</v>
      </c>
      <c r="CD12" s="9">
        <f t="array" ref="CD12">PRODUCT(1 + 預測IC!$C21:CC21) - 1</f>
        <v>-0.1088811599933438</v>
      </c>
      <c r="CE12" s="9">
        <f t="array" ref="CE12">PRODUCT(1 + 預測IC!$C21:CD21) - 1</f>
        <v>-9.1804143528016136E-2</v>
      </c>
      <c r="CF12" s="9">
        <f t="array" ref="CF12">PRODUCT(1 + 預測IC!$C21:CE21) - 1</f>
        <v>-6.4042939287498601E-2</v>
      </c>
      <c r="CG12" s="9">
        <f t="array" ref="CG12">PRODUCT(1 + 預測IC!$C21:CF21) - 1</f>
        <v>-0.12726459504898247</v>
      </c>
      <c r="CH12" s="9">
        <f t="array" ref="CH12">PRODUCT(1 + 預測IC!$C21:CG21) - 1</f>
        <v>2.4698443078063237E-2</v>
      </c>
      <c r="CI12" s="9">
        <f t="array" ref="CI12">PRODUCT(1 + 預測IC!$C21:CH21) - 1</f>
        <v>-0.16810310526221472</v>
      </c>
      <c r="CJ12" s="9">
        <f t="array" ref="CJ12">PRODUCT(1 + 預測IC!$C21:CI21) - 1</f>
        <v>-0.12337673444391106</v>
      </c>
      <c r="CK12" s="9">
        <f t="array" ref="CK12">PRODUCT(1 + 預測IC!$C21:CJ21) - 1</f>
        <v>-5.1601176689603956E-2</v>
      </c>
      <c r="CL12" s="9">
        <f t="array" ref="CL12">PRODUCT(1 + 預測IC!$C21:CK21) - 1</f>
        <v>-0.1369587125862739</v>
      </c>
      <c r="CM12" s="9">
        <f t="array" ref="CM12">PRODUCT(1 + 預測IC!$C21:CL21) - 1</f>
        <v>-0.1323938022631409</v>
      </c>
      <c r="CN12" s="9">
        <f t="array" ref="CN12">PRODUCT(1 + 預測IC!$C21:CM21) - 1</f>
        <v>-0.25846768549463883</v>
      </c>
      <c r="CO12" s="9">
        <f t="array" ref="CO12">PRODUCT(1 + 預測IC!$C21:CN21) - 1</f>
        <v>-0.37051441898670634</v>
      </c>
      <c r="CP12" s="9">
        <f t="array" ref="CP12">PRODUCT(1 + 預測IC!$C21:CO21) - 1</f>
        <v>-0.29693431234484713</v>
      </c>
      <c r="CQ12" s="9">
        <f t="array" ref="CQ12">PRODUCT(1 + 預測IC!$C21:CP21) - 1</f>
        <v>-0.32020833364345269</v>
      </c>
      <c r="CR12" s="9">
        <f t="array" ref="CR12">PRODUCT(1 + 預測IC!$C21:CQ21) - 1</f>
        <v>-0.37066046529716257</v>
      </c>
      <c r="CS12" s="9">
        <f t="array" ref="CS12">PRODUCT(1 + 預測IC!$C21:CR21) - 1</f>
        <v>-0.48387405957082119</v>
      </c>
      <c r="CT12" s="9">
        <f t="array" ref="CT12">PRODUCT(1 + 預測IC!$C21:CS21) - 1</f>
        <v>-0.52219309791781798</v>
      </c>
      <c r="CU12" s="9">
        <f t="array" ref="CU12">PRODUCT(1 + 預測IC!$C21:CT21) - 1</f>
        <v>-0.55085271072058273</v>
      </c>
      <c r="CV12" s="9">
        <f t="array" ref="CV12">PRODUCT(1 + 預測IC!$C21:CU21) - 1</f>
        <v>-0.50336949318933466</v>
      </c>
      <c r="CW12" s="9">
        <f t="array" ref="CW12">PRODUCT(1 + 預測IC!$C21:CV21) - 1</f>
        <v>-0.53338699664138245</v>
      </c>
      <c r="CX12" s="9">
        <f t="array" ref="CX12">PRODUCT(1 + 預測IC!$C21:CW21) - 1</f>
        <v>-0.52985360018501282</v>
      </c>
      <c r="CY12" s="9">
        <f t="array" ref="CY12">PRODUCT(1 + 預測IC!$C21:CX21) - 1</f>
        <v>-0.52301219967074586</v>
      </c>
      <c r="CZ12" s="9">
        <f t="array" ref="CZ12">PRODUCT(1 + 預測IC!$C21:CY21) - 1</f>
        <v>-0.52512324057597404</v>
      </c>
      <c r="DA12" s="9">
        <f t="array" ref="DA12">PRODUCT(1 + 預測IC!$C21:CZ21) - 1</f>
        <v>-0.54968140689931566</v>
      </c>
      <c r="DB12" s="9">
        <f t="array" ref="DB12">PRODUCT(1 + 預測IC!$C21:DA21) - 1</f>
        <v>-0.48867795548397297</v>
      </c>
      <c r="DC12" s="9">
        <f t="array" ref="DC12">PRODUCT(1 + 預測IC!$C21:DB21) - 1</f>
        <v>-0.47516470203679773</v>
      </c>
      <c r="DD12" s="9">
        <f t="array" ref="DD12">PRODUCT(1 + 預測IC!$C21:DC21) - 1</f>
        <v>-0.45098909091016159</v>
      </c>
      <c r="DE12" s="9">
        <f t="array" ref="DE12">PRODUCT(1 + 預測IC!$C21:DD21) - 1</f>
        <v>-0.53548335870292929</v>
      </c>
      <c r="DF12" s="9">
        <f t="array" ref="DF12">PRODUCT(1 + 預測IC!$C21:DE21) - 1</f>
        <v>-0.55488356289290919</v>
      </c>
      <c r="DG12" s="9">
        <f t="array" ref="DG12">PRODUCT(1 + 預測IC!$C21:DF21) - 1</f>
        <v>-0.58626621364810716</v>
      </c>
      <c r="DH12" s="9">
        <f t="array" ref="DH12">PRODUCT(1 + 預測IC!$C21:DG21) - 1</f>
        <v>-0.5970285590465132</v>
      </c>
      <c r="DI12" s="9">
        <f t="array" ref="DI12">PRODUCT(1 + 預測IC!$C21:DH21) - 1</f>
        <v>-0.59055116205152847</v>
      </c>
      <c r="DJ12" s="9">
        <f t="array" ref="DJ12">PRODUCT(1 + 預測IC!$C21:DI21) - 1</f>
        <v>-0.5770534784202761</v>
      </c>
      <c r="DK12" s="9">
        <f t="array" ref="DK12">PRODUCT(1 + 預測IC!$C21:DJ21) - 1</f>
        <v>-0.55533561128183606</v>
      </c>
      <c r="DL12" s="9">
        <f t="array" ref="DL12">PRODUCT(1 + 預測IC!$C21:DK21) - 1</f>
        <v>-0.61787402199793939</v>
      </c>
      <c r="DM12" s="9">
        <f t="array" ref="DM12">PRODUCT(1 + 預測IC!$C21:DL21) - 1</f>
        <v>-0.61506303044613608</v>
      </c>
      <c r="DN12" s="9">
        <f t="array" ref="DN12">PRODUCT(1 + 預測IC!$C21:DM21) - 1</f>
        <v>-0.6590135992407673</v>
      </c>
      <c r="DO12" s="9">
        <f t="array" ref="DO12">PRODUCT(1 + 預測IC!$C21:DN21) - 1</f>
        <v>-0.61191345937377994</v>
      </c>
      <c r="DP12" s="9">
        <f t="array" ref="DP12">PRODUCT(1 + 預測IC!$C21:DO21) - 1</f>
        <v>-0.64085216210476892</v>
      </c>
      <c r="DQ12" s="9">
        <f t="array" ref="DQ12">PRODUCT(1 + 預測IC!$C21:DP21) - 1</f>
        <v>-0.60510840683973455</v>
      </c>
      <c r="DR12" s="9">
        <f t="array" ref="DR12">PRODUCT(1 + 預測IC!$C21:DQ21) - 1</f>
        <v>-0.60629890435387179</v>
      </c>
      <c r="DS12" s="9">
        <f t="array" ref="DS12">PRODUCT(1 + 預測IC!$C21:DR21) - 1</f>
        <v>-0.57843156819650565</v>
      </c>
      <c r="DT12" s="9">
        <f t="array" ref="DT12">PRODUCT(1 + 預測IC!$C21:DS21) - 1</f>
        <v>-0.56605611698386982</v>
      </c>
      <c r="DU12" s="9">
        <f t="array" ref="DU12">PRODUCT(1 + 預測IC!$C21:DT21) - 1</f>
        <v>-0.57440032649700112</v>
      </c>
      <c r="DV12" s="9">
        <f t="array" ref="DV12">PRODUCT(1 + 預測IC!$C21:DU21) - 1</f>
        <v>-0.515264375069453</v>
      </c>
      <c r="DW12" s="9">
        <f t="array" ref="DW12">PRODUCT(1 + 預測IC!$C21:DV21) - 1</f>
        <v>-0.49606189642002096</v>
      </c>
      <c r="DX12" s="9">
        <f t="array" ref="DX12">PRODUCT(1 + 預測IC!$C21:DW21) - 1</f>
        <v>-0.51320998758296699</v>
      </c>
      <c r="DY12" s="9">
        <f t="array" ref="DY12">PRODUCT(1 + 預測IC!$C21:DX21) - 1</f>
        <v>-0.57451322864155752</v>
      </c>
      <c r="DZ12" s="9">
        <f t="array" ref="DZ12">PRODUCT(1 + 預測IC!$C21:DY21) - 1</f>
        <v>-0.50249597885208053</v>
      </c>
      <c r="EA12" s="9">
        <f t="array" ref="EA12">PRODUCT(1 + 預測IC!$C21:DZ21) - 1</f>
        <v>-0.4655532456256507</v>
      </c>
      <c r="EB12" s="9">
        <f t="array" ref="EB12">PRODUCT(1 + 預測IC!$C21:EA21) - 1</f>
        <v>-0.45192288088657573</v>
      </c>
      <c r="EC12" s="9">
        <f t="array" ref="EC12">PRODUCT(1 + 預測IC!$C21:EB21) - 1</f>
        <v>-0.43096448238929952</v>
      </c>
      <c r="ED12" s="9">
        <f t="array" ref="ED12">PRODUCT(1 + 預測IC!$C21:EC21) - 1</f>
        <v>-0.38505922657762293</v>
      </c>
      <c r="EE12" s="9">
        <f t="array" ref="EE12">PRODUCT(1 + 預測IC!$C21:ED21) - 1</f>
        <v>-0.3123901303737594</v>
      </c>
      <c r="EF12" s="9">
        <f t="array" ref="EF12">PRODUCT(1 + 預測IC!$C21:EE21) - 1</f>
        <v>-0.28123922810004098</v>
      </c>
      <c r="EG12" s="9">
        <f t="array" ref="EG12">PRODUCT(1 + 預測IC!$C21:EF21) - 1</f>
        <v>-0.30946072588713547</v>
      </c>
    </row>
    <row r="13" spans="3:137" ht="16" customHeight="1">
      <c r="C13" s="6">
        <v>192</v>
      </c>
      <c r="D13" s="2">
        <v>3.6241182215047199E-2</v>
      </c>
      <c r="E13" s="9">
        <f t="array" ref="E13">PRODUCT(1 + 預測IC!$C22:D22) - 1</f>
        <v>0.10373894264098871</v>
      </c>
      <c r="F13" s="9">
        <f t="array" ref="F13">PRODUCT(1 + 預測IC!$C22:E22) - 1</f>
        <v>9.3116903101321036E-2</v>
      </c>
      <c r="G13" s="9">
        <f t="array" ref="G13">PRODUCT(1 + 預測IC!$C22:F22) - 1</f>
        <v>0.14706380717990486</v>
      </c>
      <c r="H13" s="9">
        <f t="array" ref="H13">PRODUCT(1 + 預測IC!$C22:G22) - 1</f>
        <v>0.21781102854980317</v>
      </c>
      <c r="I13" s="9">
        <f t="array" ref="I13">PRODUCT(1 + 預測IC!$C22:H22) - 1</f>
        <v>0.22828631422057399</v>
      </c>
      <c r="J13" s="9">
        <f t="array" ref="J13">PRODUCT(1 + 預測IC!$C22:I22) - 1</f>
        <v>0.22664554502124434</v>
      </c>
      <c r="K13" s="9">
        <f t="array" ref="K13">PRODUCT(1 + 預測IC!$C22:J22) - 1</f>
        <v>0.24747956068496557</v>
      </c>
      <c r="L13" s="9">
        <f t="array" ref="L13">PRODUCT(1 + 預測IC!$C22:K22) - 1</f>
        <v>0.18440137175865479</v>
      </c>
      <c r="M13" s="9">
        <f t="array" ref="M13">PRODUCT(1 + 預測IC!$C22:L22) - 1</f>
        <v>0.25952785619161234</v>
      </c>
      <c r="N13" s="9">
        <f t="array" ref="N13">PRODUCT(1 + 預測IC!$C22:M22) - 1</f>
        <v>0.41990366537067803</v>
      </c>
      <c r="O13" s="9">
        <f t="array" ref="O13">PRODUCT(1 + 預測IC!$C22:N22) - 1</f>
        <v>0.47136265283519019</v>
      </c>
      <c r="P13" s="9">
        <f t="array" ref="P13">PRODUCT(1 + 預測IC!$C22:O22) - 1</f>
        <v>0.46656002794052531</v>
      </c>
      <c r="Q13" s="9">
        <f t="array" ref="Q13">PRODUCT(1 + 預測IC!$C22:P22) - 1</f>
        <v>0.52534073086611222</v>
      </c>
      <c r="R13" s="9">
        <f t="array" ref="R13">PRODUCT(1 + 預測IC!$C22:Q22) - 1</f>
        <v>0.44923116732865376</v>
      </c>
      <c r="S13" s="9">
        <f t="array" ref="S13">PRODUCT(1 + 預測IC!$C22:R22) - 1</f>
        <v>0.63906177923026952</v>
      </c>
      <c r="T13" s="9">
        <f t="array" ref="T13">PRODUCT(1 + 預測IC!$C22:S22) - 1</f>
        <v>0.3652725992121566</v>
      </c>
      <c r="U13" s="9">
        <f t="array" ref="U13">PRODUCT(1 + 預測IC!$C22:T22) - 1</f>
        <v>0.50566388915629212</v>
      </c>
      <c r="V13" s="9">
        <f t="array" ref="V13">PRODUCT(1 + 預測IC!$C22:U22) - 1</f>
        <v>0.41175005118030539</v>
      </c>
      <c r="W13" s="9">
        <f t="array" ref="W13">PRODUCT(1 + 預測IC!$C22:V22) - 1</f>
        <v>0.47909704419453858</v>
      </c>
      <c r="X13" s="9">
        <f t="array" ref="X13">PRODUCT(1 + 預測IC!$C22:W22) - 1</f>
        <v>0.45152005823404662</v>
      </c>
      <c r="Y13" s="9">
        <f t="array" ref="Y13">PRODUCT(1 + 預測IC!$C22:X22) - 1</f>
        <v>0.72080288819688931</v>
      </c>
      <c r="Z13" s="9">
        <f t="array" ref="Z13">PRODUCT(1 + 預測IC!$C22:Y22) - 1</f>
        <v>0.5748191267312901</v>
      </c>
      <c r="AA13" s="9">
        <f t="array" ref="AA13">PRODUCT(1 + 預測IC!$C22:Z22) - 1</f>
        <v>0.65741299409152565</v>
      </c>
      <c r="AB13" s="9">
        <f t="array" ref="AB13">PRODUCT(1 + 預測IC!$C22:AA22) - 1</f>
        <v>0.80718853078508079</v>
      </c>
      <c r="AC13" s="9">
        <f t="array" ref="AC13">PRODUCT(1 + 預測IC!$C22:AB22) - 1</f>
        <v>0.77212296453348861</v>
      </c>
      <c r="AD13" s="9">
        <f t="array" ref="AD13">PRODUCT(1 + 預測IC!$C22:AC22) - 1</f>
        <v>0.806656197745238</v>
      </c>
      <c r="AE13" s="9">
        <f t="array" ref="AE13">PRODUCT(1 + 預測IC!$C22:AD22) - 1</f>
        <v>0.81304698946095</v>
      </c>
      <c r="AF13" s="9">
        <f t="array" ref="AF13">PRODUCT(1 + 預測IC!$C22:AE22) - 1</f>
        <v>1.2292458422638193</v>
      </c>
      <c r="AG13" s="9">
        <f t="array" ref="AG13">PRODUCT(1 + 預測IC!$C22:AF22) - 1</f>
        <v>1.3720505960726599</v>
      </c>
      <c r="AH13" s="9">
        <f t="array" ref="AH13">PRODUCT(1 + 預測IC!$C22:AG22) - 1</f>
        <v>1.3405176838259938</v>
      </c>
      <c r="AI13" s="9">
        <f t="array" ref="AI13">PRODUCT(1 + 預測IC!$C22:AH22) - 1</f>
        <v>1.4770832382420189</v>
      </c>
      <c r="AJ13" s="9">
        <f t="array" ref="AJ13">PRODUCT(1 + 預測IC!$C22:AI22) - 1</f>
        <v>1.1089255187812808</v>
      </c>
      <c r="AK13" s="9">
        <f t="array" ref="AK13">PRODUCT(1 + 預測IC!$C22:AJ22) - 1</f>
        <v>1.199213983151568</v>
      </c>
      <c r="AL13" s="9">
        <f t="array" ref="AL13">PRODUCT(1 + 預測IC!$C22:AK22) - 1</f>
        <v>1.2068170981582855</v>
      </c>
      <c r="AM13" s="9">
        <f t="array" ref="AM13">PRODUCT(1 + 預測IC!$C22:AL22) - 1</f>
        <v>0.96130558368308727</v>
      </c>
      <c r="AN13" s="9">
        <f t="array" ref="AN13">PRODUCT(1 + 預測IC!$C22:AM22) - 1</f>
        <v>1.0523328075407217</v>
      </c>
      <c r="AO13" s="9">
        <f t="array" ref="AO13">PRODUCT(1 + 預測IC!$C22:AN22) - 1</f>
        <v>1.2045866086626198</v>
      </c>
      <c r="AP13" s="9">
        <f t="array" ref="AP13">PRODUCT(1 + 預測IC!$C22:AO22) - 1</f>
        <v>1.0914130248169602</v>
      </c>
      <c r="AQ13" s="9">
        <f t="array" ref="AQ13">PRODUCT(1 + 預測IC!$C22:AP22) - 1</f>
        <v>0.60307562982330798</v>
      </c>
      <c r="AR13" s="9">
        <f t="array" ref="AR13">PRODUCT(1 + 預測IC!$C22:AQ22) - 1</f>
        <v>0.78458147118133392</v>
      </c>
      <c r="AS13" s="9">
        <f t="array" ref="AS13">PRODUCT(1 + 預測IC!$C22:AR22) - 1</f>
        <v>0.55310178155433687</v>
      </c>
      <c r="AT13" s="9">
        <f t="array" ref="AT13">PRODUCT(1 + 預測IC!$C22:AS22) - 1</f>
        <v>0.60506572116654023</v>
      </c>
      <c r="AU13" s="9">
        <f t="array" ref="AU13">PRODUCT(1 + 預測IC!$C22:AT22) - 1</f>
        <v>0.40190598570189651</v>
      </c>
      <c r="AV13" s="9">
        <f t="array" ref="AV13">PRODUCT(1 + 預測IC!$C22:AU22) - 1</f>
        <v>0.22618064606877031</v>
      </c>
      <c r="AW13" s="9">
        <f t="array" ref="AW13">PRODUCT(1 + 預測IC!$C22:AV22) - 1</f>
        <v>0.13999582325979953</v>
      </c>
      <c r="AX13" s="9">
        <f t="array" ref="AX13">PRODUCT(1 + 預測IC!$C22:AW22) - 1</f>
        <v>0.14469706600112953</v>
      </c>
      <c r="AY13" s="9">
        <f t="array" ref="AY13">PRODUCT(1 + 預測IC!$C22:AX22) - 1</f>
        <v>0.50388903249480621</v>
      </c>
      <c r="AZ13" s="9">
        <f t="array" ref="AZ13">PRODUCT(1 + 預測IC!$C22:AY22) - 1</f>
        <v>0.88770627490526777</v>
      </c>
      <c r="BA13" s="9">
        <f t="array" ref="BA13">PRODUCT(1 + 預測IC!$C22:AZ22) - 1</f>
        <v>0.7949942605482887</v>
      </c>
      <c r="BB13" s="9">
        <f t="array" ref="BB13">PRODUCT(1 + 預測IC!$C22:BA22) - 1</f>
        <v>0.85611044704292327</v>
      </c>
      <c r="BC13" s="9">
        <f t="array" ref="BC13">PRODUCT(1 + 預測IC!$C22:BB22) - 1</f>
        <v>0.58664112114864331</v>
      </c>
      <c r="BD13" s="9">
        <f t="array" ref="BD13">PRODUCT(1 + 預測IC!$C22:BC22) - 1</f>
        <v>0.50512102694774752</v>
      </c>
      <c r="BE13" s="9">
        <f t="array" ref="BE13">PRODUCT(1 + 預測IC!$C22:BD22) - 1</f>
        <v>0.58247215271869757</v>
      </c>
      <c r="BF13" s="9">
        <f t="array" ref="BF13">PRODUCT(1 + 預測IC!$C22:BE22) - 1</f>
        <v>0.61560367431659224</v>
      </c>
      <c r="BG13" s="9">
        <f t="array" ref="BG13">PRODUCT(1 + 預測IC!$C22:BF22) - 1</f>
        <v>0.76942575869897745</v>
      </c>
      <c r="BH13" s="9">
        <f t="array" ref="BH13">PRODUCT(1 + 預測IC!$C22:BG22) - 1</f>
        <v>1.1169654889027889</v>
      </c>
      <c r="BI13" s="9">
        <f t="array" ref="BI13">PRODUCT(1 + 預測IC!$C22:BH22) - 1</f>
        <v>1.2887910117027634</v>
      </c>
      <c r="BJ13" s="9">
        <f t="array" ref="BJ13">PRODUCT(1 + 預測IC!$C22:BI22) - 1</f>
        <v>1.368147345983115</v>
      </c>
      <c r="BK13" s="9">
        <f t="array" ref="BK13">PRODUCT(1 + 預測IC!$C22:BJ22) - 1</f>
        <v>1.5015931779198493</v>
      </c>
      <c r="BL13" s="9">
        <f t="array" ref="BL13">PRODUCT(1 + 預測IC!$C22:BK22) - 1</f>
        <v>1.5942267473533911</v>
      </c>
      <c r="BM13" s="9">
        <f t="array" ref="BM13">PRODUCT(1 + 預測IC!$C22:BL22) - 1</f>
        <v>1.7325294470796053</v>
      </c>
      <c r="BN13" s="9">
        <f t="array" ref="BN13">PRODUCT(1 + 預測IC!$C22:BM22) - 1</f>
        <v>1.8135861342909463</v>
      </c>
      <c r="BO13" s="9">
        <f t="array" ref="BO13">PRODUCT(1 + 預測IC!$C22:BN22) - 1</f>
        <v>1.7971465976171395</v>
      </c>
      <c r="BP13" s="9">
        <f t="array" ref="BP13">PRODUCT(1 + 預測IC!$C22:BO22) - 1</f>
        <v>1.5990810416630006</v>
      </c>
      <c r="BQ13" s="9">
        <f t="array" ref="BQ13">PRODUCT(1 + 預測IC!$C22:BP22) - 1</f>
        <v>1.8001017645191384</v>
      </c>
      <c r="BR13" s="9">
        <f t="array" ref="BR13">PRODUCT(1 + 預測IC!$C22:BQ22) - 1</f>
        <v>1.7151264489915228</v>
      </c>
      <c r="BS13" s="9">
        <f t="array" ref="BS13">PRODUCT(1 + 預測IC!$C22:BR22) - 1</f>
        <v>1.2060031674240292</v>
      </c>
      <c r="BT13" s="9">
        <f t="array" ref="BT13">PRODUCT(1 + 預測IC!$C22:BS22) - 1</f>
        <v>0.81676793127846081</v>
      </c>
      <c r="BU13" s="9">
        <f t="array" ref="BU13">PRODUCT(1 + 預測IC!$C22:BT22) - 1</f>
        <v>0.6700580495259354</v>
      </c>
      <c r="BV13" s="9">
        <f t="array" ref="BV13">PRODUCT(1 + 預測IC!$C22:BU22) - 1</f>
        <v>0.74332431516957009</v>
      </c>
      <c r="BW13" s="9">
        <f t="array" ref="BW13">PRODUCT(1 + 預測IC!$C22:BV22) - 1</f>
        <v>0.64444900632313917</v>
      </c>
      <c r="BX13" s="9">
        <f t="array" ref="BX13">PRODUCT(1 + 預測IC!$C22:BW22) - 1</f>
        <v>0.8753956508040881</v>
      </c>
      <c r="BY13" s="9">
        <f t="array" ref="BY13">PRODUCT(1 + 預測IC!$C22:BX22) - 1</f>
        <v>0.96943597483466082</v>
      </c>
      <c r="BZ13" s="9">
        <f t="array" ref="BZ13">PRODUCT(1 + 預測IC!$C22:BY22) - 1</f>
        <v>0.87444292505146071</v>
      </c>
      <c r="CA13" s="9">
        <f t="array" ref="CA13">PRODUCT(1 + 預測IC!$C22:BZ22) - 1</f>
        <v>0.71894210567634098</v>
      </c>
      <c r="CB13" s="9">
        <f t="array" ref="CB13">PRODUCT(1 + 預測IC!$C22:CA22) - 1</f>
        <v>0.3613788919351606</v>
      </c>
      <c r="CC13" s="9">
        <f t="array" ref="CC13">PRODUCT(1 + 預測IC!$C22:CB22) - 1</f>
        <v>0.33819544455377293</v>
      </c>
      <c r="CD13" s="9">
        <f t="array" ref="CD13">PRODUCT(1 + 預測IC!$C22:CC22) - 1</f>
        <v>0.32001391854271111</v>
      </c>
      <c r="CE13" s="9">
        <f t="array" ref="CE13">PRODUCT(1 + 預測IC!$C22:CD22) - 1</f>
        <v>0.30356299236947426</v>
      </c>
      <c r="CF13" s="9">
        <f t="array" ref="CF13">PRODUCT(1 + 預測IC!$C22:CE22) - 1</f>
        <v>0.31164108380990085</v>
      </c>
      <c r="CG13" s="9">
        <f t="array" ref="CG13">PRODUCT(1 + 預測IC!$C22:CF22) - 1</f>
        <v>0.25324529961802766</v>
      </c>
      <c r="CH13" s="9">
        <f t="array" ref="CH13">PRODUCT(1 + 預測IC!$C22:CG22) - 1</f>
        <v>0.50319224534638818</v>
      </c>
      <c r="CI13" s="9">
        <f t="array" ref="CI13">PRODUCT(1 + 預測IC!$C22:CH22) - 1</f>
        <v>0.2987511539039287</v>
      </c>
      <c r="CJ13" s="9">
        <f t="array" ref="CJ13">PRODUCT(1 + 預測IC!$C22:CI22) - 1</f>
        <v>0.39753015378823964</v>
      </c>
      <c r="CK13" s="9">
        <f t="array" ref="CK13">PRODUCT(1 + 預測IC!$C22:CJ22) - 1</f>
        <v>0.5652818641682622</v>
      </c>
      <c r="CL13" s="9">
        <f t="array" ref="CL13">PRODUCT(1 + 預測IC!$C22:CK22) - 1</f>
        <v>0.38115338786092123</v>
      </c>
      <c r="CM13" s="9">
        <f t="array" ref="CM13">PRODUCT(1 + 預測IC!$C22:CL22) - 1</f>
        <v>0.4008523032156952</v>
      </c>
      <c r="CN13" s="9">
        <f t="array" ref="CN13">PRODUCT(1 + 預測IC!$C22:CM22) - 1</f>
        <v>0.17105189374894114</v>
      </c>
      <c r="CO13" s="9">
        <f t="array" ref="CO13">PRODUCT(1 + 預測IC!$C22:CN22) - 1</f>
        <v>-5.5942095971145411E-2</v>
      </c>
      <c r="CP13" s="9">
        <f t="array" ref="CP13">PRODUCT(1 + 預測IC!$C22:CO22) - 1</f>
        <v>0.1247911078273114</v>
      </c>
      <c r="CQ13" s="9">
        <f t="array" ref="CQ13">PRODUCT(1 + 預測IC!$C22:CP22) - 1</f>
        <v>9.3412311641970058E-2</v>
      </c>
      <c r="CR13" s="9">
        <f t="array" ref="CR13">PRODUCT(1 + 預測IC!$C22:CQ22) - 1</f>
        <v>4.4376795242028422E-2</v>
      </c>
      <c r="CS13" s="9">
        <f t="array" ref="CS13">PRODUCT(1 + 預測IC!$C22:CR22) - 1</f>
        <v>-0.12816254574728625</v>
      </c>
      <c r="CT13" s="9">
        <f t="array" ref="CT13">PRODUCT(1 + 預測IC!$C22:CS22) - 1</f>
        <v>-0.22956022385701602</v>
      </c>
      <c r="CU13" s="9">
        <f t="array" ref="CU13">PRODUCT(1 + 預測IC!$C22:CT22) - 1</f>
        <v>-0.29265140914819288</v>
      </c>
      <c r="CV13" s="9">
        <f t="array" ref="CV13">PRODUCT(1 + 預測IC!$C22:CU22) - 1</f>
        <v>-0.21090246066796758</v>
      </c>
      <c r="CW13" s="9">
        <f t="array" ref="CW13">PRODUCT(1 + 預測IC!$C22:CV22) - 1</f>
        <v>-0.24300533193759555</v>
      </c>
      <c r="CX13" s="9">
        <f t="array" ref="CX13">PRODUCT(1 + 預測IC!$C22:CW22) - 1</f>
        <v>-0.24886008812693228</v>
      </c>
      <c r="CY13" s="9">
        <f t="array" ref="CY13">PRODUCT(1 + 預測IC!$C22:CX22) - 1</f>
        <v>-0.25483621766762332</v>
      </c>
      <c r="CZ13" s="9">
        <f t="array" ref="CZ13">PRODUCT(1 + 預測IC!$C22:CY22) - 1</f>
        <v>-0.25913911390856581</v>
      </c>
      <c r="DA13" s="9">
        <f t="array" ref="DA13">PRODUCT(1 + 預測IC!$C22:CZ22) - 1</f>
        <v>-0.26107031554193805</v>
      </c>
      <c r="DB13" s="9">
        <f t="array" ref="DB13">PRODUCT(1 + 預測IC!$C22:DA22) - 1</f>
        <v>-0.11806254758222734</v>
      </c>
      <c r="DC13" s="9">
        <f t="array" ref="DC13">PRODUCT(1 + 預測IC!$C22:DB22) - 1</f>
        <v>-0.10483805650614531</v>
      </c>
      <c r="DD13" s="9">
        <f t="array" ref="DD13">PRODUCT(1 + 預測IC!$C22:DC22) - 1</f>
        <v>-7.1817380811578513E-2</v>
      </c>
      <c r="DE13" s="9">
        <f t="array" ref="DE13">PRODUCT(1 + 預測IC!$C22:DD22) - 1</f>
        <v>-0.15714296528544269</v>
      </c>
      <c r="DF13" s="9">
        <f t="array" ref="DF13">PRODUCT(1 + 預測IC!$C22:DE22) - 1</f>
        <v>-0.17982317340146214</v>
      </c>
      <c r="DG13" s="9">
        <f t="array" ref="DG13">PRODUCT(1 + 預測IC!$C22:DF22) - 1</f>
        <v>-0.24706632065171474</v>
      </c>
      <c r="DH13" s="9">
        <f t="array" ref="DH13">PRODUCT(1 + 預測IC!$C22:DG22) - 1</f>
        <v>-0.26590685304007367</v>
      </c>
      <c r="DI13" s="9">
        <f t="array" ref="DI13">PRODUCT(1 + 預測IC!$C22:DH22) - 1</f>
        <v>-0.23999524207209855</v>
      </c>
      <c r="DJ13" s="9">
        <f t="array" ref="DJ13">PRODUCT(1 + 預測IC!$C22:DI22) - 1</f>
        <v>-0.20520560028571211</v>
      </c>
      <c r="DK13" s="9">
        <f t="array" ref="DK13">PRODUCT(1 + 預測IC!$C22:DJ22) - 1</f>
        <v>-0.16137610361720633</v>
      </c>
      <c r="DL13" s="9">
        <f t="array" ref="DL13">PRODUCT(1 + 預測IC!$C22:DK22) - 1</f>
        <v>-0.27596244342510479</v>
      </c>
      <c r="DM13" s="9">
        <f t="array" ref="DM13">PRODUCT(1 + 預測IC!$C22:DL22) - 1</f>
        <v>-0.27017286742973323</v>
      </c>
      <c r="DN13" s="9">
        <f t="array" ref="DN13">PRODUCT(1 + 預測IC!$C22:DM22) - 1</f>
        <v>-0.32336985420100117</v>
      </c>
      <c r="DO13" s="9">
        <f t="array" ref="DO13">PRODUCT(1 + 預測IC!$C22:DN22) - 1</f>
        <v>-0.20631423258110537</v>
      </c>
      <c r="DP13" s="9">
        <f t="array" ref="DP13">PRODUCT(1 + 預測IC!$C22:DO22) - 1</f>
        <v>-0.30172650412441449</v>
      </c>
      <c r="DQ13" s="9">
        <f t="array" ref="DQ13">PRODUCT(1 + 預測IC!$C22:DP22) - 1</f>
        <v>-0.26777167984142181</v>
      </c>
      <c r="DR13" s="9">
        <f t="array" ref="DR13">PRODUCT(1 + 預測IC!$C22:DQ22) - 1</f>
        <v>-0.25310972290469536</v>
      </c>
      <c r="DS13" s="9">
        <f t="array" ref="DS13">PRODUCT(1 + 預測IC!$C22:DR22) - 1</f>
        <v>-0.21434817246684812</v>
      </c>
      <c r="DT13" s="9">
        <f t="array" ref="DT13">PRODUCT(1 + 預測IC!$C22:DS22) - 1</f>
        <v>-0.15248184946111398</v>
      </c>
      <c r="DU13" s="9">
        <f t="array" ref="DU13">PRODUCT(1 + 預測IC!$C22:DT22) - 1</f>
        <v>-0.1056189436725804</v>
      </c>
      <c r="DV13" s="9">
        <f t="array" ref="DV13">PRODUCT(1 + 預測IC!$C22:DU22) - 1</f>
        <v>4.036722934321979E-2</v>
      </c>
      <c r="DW13" s="9">
        <f t="array" ref="DW13">PRODUCT(1 + 預測IC!$C22:DV22) - 1</f>
        <v>9.913887130429222E-2</v>
      </c>
      <c r="DX13" s="9">
        <f t="array" ref="DX13">PRODUCT(1 + 預測IC!$C22:DW22) - 1</f>
        <v>0.14929816689694309</v>
      </c>
      <c r="DY13" s="9">
        <f t="array" ref="DY13">PRODUCT(1 + 預測IC!$C22:DX22) - 1</f>
        <v>-9.1816681258581445E-2</v>
      </c>
      <c r="DZ13" s="9">
        <f t="array" ref="DZ13">PRODUCT(1 + 預測IC!$C22:DY22) - 1</f>
        <v>3.737971065523582E-2</v>
      </c>
      <c r="EA13" s="9">
        <f t="array" ref="EA13">PRODUCT(1 + 預測IC!$C22:DZ22) - 1</f>
        <v>0.11078201811151689</v>
      </c>
      <c r="EB13" s="9">
        <f t="array" ref="EB13">PRODUCT(1 + 預測IC!$C22:EA22) - 1</f>
        <v>0.15403676648825226</v>
      </c>
      <c r="EC13" s="9">
        <f t="array" ref="EC13">PRODUCT(1 + 預測IC!$C22:EB22) - 1</f>
        <v>0.19784229407073739</v>
      </c>
      <c r="ED13" s="9">
        <f t="array" ref="ED13">PRODUCT(1 + 預測IC!$C22:EC22) - 1</f>
        <v>0.33116268243837621</v>
      </c>
      <c r="EE13" s="9">
        <f t="array" ref="EE13">PRODUCT(1 + 預測IC!$C22:ED22) - 1</f>
        <v>0.60962751726956044</v>
      </c>
      <c r="EF13" s="9">
        <f t="array" ref="EF13">PRODUCT(1 + 預測IC!$C22:EE22) - 1</f>
        <v>0.71207883290914986</v>
      </c>
      <c r="EG13" s="9">
        <f t="array" ref="EG13">PRODUCT(1 + 預測IC!$C22:EF22) - 1</f>
        <v>0.61568427301397355</v>
      </c>
    </row>
    <row r="14" spans="3:137" ht="16" customHeight="1">
      <c r="C14" s="6">
        <v>241</v>
      </c>
      <c r="D14" s="2">
        <v>-8.8942128545151655E-3</v>
      </c>
      <c r="E14" s="9">
        <f t="array" ref="E14">PRODUCT(1 + 預測IC!$C23:D23) - 1</f>
        <v>5.4327875433594297E-2</v>
      </c>
      <c r="F14" s="9">
        <f t="array" ref="F14">PRODUCT(1 + 預測IC!$C23:E23) - 1</f>
        <v>4.5745189862282043E-2</v>
      </c>
      <c r="G14" s="9">
        <f t="array" ref="G14">PRODUCT(1 + 預測IC!$C23:F23) - 1</f>
        <v>1.7400489304821853E-3</v>
      </c>
      <c r="H14" s="9">
        <f t="array" ref="H14">PRODUCT(1 + 預測IC!$C23:G23) - 1</f>
        <v>-6.3028916031658833E-3</v>
      </c>
      <c r="I14" s="9">
        <f t="array" ref="I14">PRODUCT(1 + 預測IC!$C23:H23) - 1</f>
        <v>-1.1628870490004162E-2</v>
      </c>
      <c r="J14" s="9">
        <f t="array" ref="J14">PRODUCT(1 + 預測IC!$C23:I23) - 1</f>
        <v>-6.9453132527413919E-3</v>
      </c>
      <c r="K14" s="9">
        <f t="array" ref="K14">PRODUCT(1 + 預測IC!$C23:J23) - 1</f>
        <v>2.5653889514366313E-2</v>
      </c>
      <c r="L14" s="9">
        <f t="array" ref="L14">PRODUCT(1 + 預測IC!$C23:K23) - 1</f>
        <v>-7.422707057541944E-2</v>
      </c>
      <c r="M14" s="9">
        <f t="array" ref="M14">PRODUCT(1 + 預測IC!$C23:L23) - 1</f>
        <v>-4.790195216998816E-2</v>
      </c>
      <c r="N14" s="9">
        <f t="array" ref="N14">PRODUCT(1 + 預測IC!$C23:M23) - 1</f>
        <v>4.9997386517586673E-2</v>
      </c>
      <c r="O14" s="9">
        <f t="array" ref="O14">PRODUCT(1 + 預測IC!$C23:N23) - 1</f>
        <v>4.0658486265214622E-2</v>
      </c>
      <c r="P14" s="9">
        <f t="array" ref="P14">PRODUCT(1 + 預測IC!$C23:O23) - 1</f>
        <v>1.1478768919793936E-2</v>
      </c>
      <c r="Q14" s="9">
        <f t="array" ref="Q14">PRODUCT(1 + 預測IC!$C23:P23) - 1</f>
        <v>8.0050897405816501E-2</v>
      </c>
      <c r="R14" s="9">
        <f t="array" ref="R14">PRODUCT(1 + 預測IC!$C23:Q23) - 1</f>
        <v>-1.3263102571615004E-2</v>
      </c>
      <c r="S14" s="9">
        <f t="array" ref="S14">PRODUCT(1 + 預測IC!$C23:R23) - 1</f>
        <v>0.15171482051585405</v>
      </c>
      <c r="T14" s="9">
        <f t="array" ref="T14">PRODUCT(1 + 預測IC!$C23:S23) - 1</f>
        <v>-1.0662960550637868E-2</v>
      </c>
      <c r="U14" s="9">
        <f t="array" ref="U14">PRODUCT(1 + 預測IC!$C23:T23) - 1</f>
        <v>6.0847832032126403E-2</v>
      </c>
      <c r="V14" s="9">
        <f t="array" ref="V14">PRODUCT(1 + 預測IC!$C23:U23) - 1</f>
        <v>-8.3819218179961186E-2</v>
      </c>
      <c r="W14" s="9">
        <f t="array" ref="W14">PRODUCT(1 + 預測IC!$C23:V23) - 1</f>
        <v>-1.5955941241567073E-2</v>
      </c>
      <c r="X14" s="9">
        <f t="array" ref="X14">PRODUCT(1 + 預測IC!$C23:W23) - 1</f>
        <v>-2.5063407056417963E-2</v>
      </c>
      <c r="Y14" s="9">
        <f t="array" ref="Y14">PRODUCT(1 + 預測IC!$C23:X23) - 1</f>
        <v>0.25635873629168637</v>
      </c>
      <c r="Z14" s="9">
        <f t="array" ref="Z14">PRODUCT(1 + 預測IC!$C23:Y23) - 1</f>
        <v>0.16613177165017468</v>
      </c>
      <c r="AA14" s="9">
        <f t="array" ref="AA14">PRODUCT(1 + 預測IC!$C23:Z23) - 1</f>
        <v>0.20097780944816113</v>
      </c>
      <c r="AB14" s="9">
        <f t="array" ref="AB14">PRODUCT(1 + 預測IC!$C23:AA23) - 1</f>
        <v>0.3479749157226939</v>
      </c>
      <c r="AC14" s="9">
        <f t="array" ref="AC14">PRODUCT(1 + 預測IC!$C23:AB23) - 1</f>
        <v>0.26205009944991087</v>
      </c>
      <c r="AD14" s="9">
        <f t="array" ref="AD14">PRODUCT(1 + 預測IC!$C23:AC23) - 1</f>
        <v>0.26649666602172628</v>
      </c>
      <c r="AE14" s="9">
        <f t="array" ref="AE14">PRODUCT(1 + 預測IC!$C23:AD23) - 1</f>
        <v>0.22023081244554588</v>
      </c>
      <c r="AF14" s="9">
        <f t="array" ref="AF14">PRODUCT(1 + 預測IC!$C23:AE23) - 1</f>
        <v>0.50476398858449412</v>
      </c>
      <c r="AG14" s="9">
        <f t="array" ref="AG14">PRODUCT(1 + 預測IC!$C23:AF23) - 1</f>
        <v>0.57070183643026162</v>
      </c>
      <c r="AH14" s="9">
        <f t="array" ref="AH14">PRODUCT(1 + 預測IC!$C23:AG23) - 1</f>
        <v>0.55593508098840072</v>
      </c>
      <c r="AI14" s="9">
        <f t="array" ref="AI14">PRODUCT(1 + 預測IC!$C23:AH23) - 1</f>
        <v>0.87069410477482689</v>
      </c>
      <c r="AJ14" s="9">
        <f t="array" ref="AJ14">PRODUCT(1 + 預測IC!$C23:AI23) - 1</f>
        <v>0.65516989646665613</v>
      </c>
      <c r="AK14" s="9">
        <f t="array" ref="AK14">PRODUCT(1 + 預測IC!$C23:AJ23) - 1</f>
        <v>0.71757127990296676</v>
      </c>
      <c r="AL14" s="9">
        <f t="array" ref="AL14">PRODUCT(1 + 預測IC!$C23:AK23) - 1</f>
        <v>0.79511733814042529</v>
      </c>
      <c r="AM14" s="9">
        <f t="array" ref="AM14">PRODUCT(1 + 預測IC!$C23:AL23) - 1</f>
        <v>0.55764859437057579</v>
      </c>
      <c r="AN14" s="9">
        <f t="array" ref="AN14">PRODUCT(1 + 預測IC!$C23:AM23) - 1</f>
        <v>0.65450627099623149</v>
      </c>
      <c r="AO14" s="9">
        <f t="array" ref="AO14">PRODUCT(1 + 預測IC!$C23:AN23) - 1</f>
        <v>0.84362650822957175</v>
      </c>
      <c r="AP14" s="9">
        <f t="array" ref="AP14">PRODUCT(1 + 預測IC!$C23:AO23) - 1</f>
        <v>0.72351817606239188</v>
      </c>
      <c r="AQ14" s="9">
        <f t="array" ref="AQ14">PRODUCT(1 + 預測IC!$C23:AP23) - 1</f>
        <v>0.62918556032640516</v>
      </c>
      <c r="AR14" s="9">
        <f t="array" ref="AR14">PRODUCT(1 + 預測IC!$C23:AQ23) - 1</f>
        <v>0.72355790284925292</v>
      </c>
      <c r="AS14" s="9">
        <f t="array" ref="AS14">PRODUCT(1 + 預測IC!$C23:AR23) - 1</f>
        <v>0.51042772902424427</v>
      </c>
      <c r="AT14" s="9">
        <f t="array" ref="AT14">PRODUCT(1 + 預測IC!$C23:AS23) - 1</f>
        <v>0.62429250311846918</v>
      </c>
      <c r="AU14" s="9">
        <f t="array" ref="AU14">PRODUCT(1 + 預測IC!$C23:AT23) - 1</f>
        <v>0.35236575259319092</v>
      </c>
      <c r="AV14" s="9">
        <f t="array" ref="AV14">PRODUCT(1 + 預測IC!$C23:AU23) - 1</f>
        <v>0.19528669895279616</v>
      </c>
      <c r="AW14" s="9">
        <f t="array" ref="AW14">PRODUCT(1 + 預測IC!$C23:AV23) - 1</f>
        <v>0.15178442549893068</v>
      </c>
      <c r="AX14" s="9">
        <f t="array" ref="AX14">PRODUCT(1 + 預測IC!$C23:AW23) - 1</f>
        <v>0.12401970298731113</v>
      </c>
      <c r="AY14" s="9">
        <f t="array" ref="AY14">PRODUCT(1 + 預測IC!$C23:AX23) - 1</f>
        <v>0.57309856993754482</v>
      </c>
      <c r="AZ14" s="9">
        <f t="array" ref="AZ14">PRODUCT(1 + 預測IC!$C23:AY23) - 1</f>
        <v>1.01255665493888</v>
      </c>
      <c r="BA14" s="9">
        <f t="array" ref="BA14">PRODUCT(1 + 預測IC!$C23:AZ23) - 1</f>
        <v>0.8974240271976599</v>
      </c>
      <c r="BB14" s="9">
        <f t="array" ref="BB14">PRODUCT(1 + 預測IC!$C23:BA23) - 1</f>
        <v>0.69296872043290181</v>
      </c>
      <c r="BC14" s="9">
        <f t="array" ref="BC14">PRODUCT(1 + 預測IC!$C23:BB23) - 1</f>
        <v>0.36807526349033126</v>
      </c>
      <c r="BD14" s="9">
        <f t="array" ref="BD14">PRODUCT(1 + 預測IC!$C23:BC23) - 1</f>
        <v>0.33411520763964431</v>
      </c>
      <c r="BE14" s="9">
        <f t="array" ref="BE14">PRODUCT(1 + 預測IC!$C23:BD23) - 1</f>
        <v>0.45495947525254965</v>
      </c>
      <c r="BF14" s="9">
        <f t="array" ref="BF14">PRODUCT(1 + 預測IC!$C23:BE23) - 1</f>
        <v>0.48385208697985593</v>
      </c>
      <c r="BG14" s="9">
        <f t="array" ref="BG14">PRODUCT(1 + 預測IC!$C23:BF23) - 1</f>
        <v>0.65131003104427565</v>
      </c>
      <c r="BH14" s="9">
        <f t="array" ref="BH14">PRODUCT(1 + 預測IC!$C23:BG23) - 1</f>
        <v>1.0445663282662347</v>
      </c>
      <c r="BI14" s="9">
        <f t="array" ref="BI14">PRODUCT(1 + 預測IC!$C23:BH23) - 1</f>
        <v>1.2102383119479612</v>
      </c>
      <c r="BJ14" s="9">
        <f t="array" ref="BJ14">PRODUCT(1 + 預測IC!$C23:BI23) - 1</f>
        <v>1.2904047631086866</v>
      </c>
      <c r="BK14" s="9">
        <f t="array" ref="BK14">PRODUCT(1 + 預測IC!$C23:BJ23) - 1</f>
        <v>1.5100011074602571</v>
      </c>
      <c r="BL14" s="9">
        <f t="array" ref="BL14">PRODUCT(1 + 預測IC!$C23:BK23) - 1</f>
        <v>1.5689368966088302</v>
      </c>
      <c r="BM14" s="9">
        <f t="array" ref="BM14">PRODUCT(1 + 預測IC!$C23:BL23) - 1</f>
        <v>1.7539059767880243</v>
      </c>
      <c r="BN14" s="9">
        <f t="array" ref="BN14">PRODUCT(1 + 預測IC!$C23:BM23) - 1</f>
        <v>1.8662412001606477</v>
      </c>
      <c r="BO14" s="9">
        <f t="array" ref="BO14">PRODUCT(1 + 預測IC!$C23:BN23) - 1</f>
        <v>1.7621734488236589</v>
      </c>
      <c r="BP14" s="9">
        <f t="array" ref="BP14">PRODUCT(1 + 預測IC!$C23:BO23) - 1</f>
        <v>1.6203882708200155</v>
      </c>
      <c r="BQ14" s="9">
        <f t="array" ref="BQ14">PRODUCT(1 + 預測IC!$C23:BP23) - 1</f>
        <v>1.8627138367233953</v>
      </c>
      <c r="BR14" s="9">
        <f t="array" ref="BR14">PRODUCT(1 + 預測IC!$C23:BQ23) - 1</f>
        <v>1.6843758953096377</v>
      </c>
      <c r="BS14" s="9">
        <f t="array" ref="BS14">PRODUCT(1 + 預測IC!$C23:BR23) - 1</f>
        <v>1.1644370788114777</v>
      </c>
      <c r="BT14" s="9">
        <f t="array" ref="BT14">PRODUCT(1 + 預測IC!$C23:BS23) - 1</f>
        <v>0.73148069431903173</v>
      </c>
      <c r="BU14" s="9">
        <f t="array" ref="BU14">PRODUCT(1 + 預測IC!$C23:BT23) - 1</f>
        <v>0.52665424769419644</v>
      </c>
      <c r="BV14" s="9">
        <f t="array" ref="BV14">PRODUCT(1 + 預測IC!$C23:BU23) - 1</f>
        <v>0.57861127045734251</v>
      </c>
      <c r="BW14" s="9">
        <f t="array" ref="BW14">PRODUCT(1 + 預測IC!$C23:BV23) - 1</f>
        <v>0.46356750568802219</v>
      </c>
      <c r="BX14" s="9">
        <f t="array" ref="BX14">PRODUCT(1 + 預測IC!$C23:BW23) - 1</f>
        <v>0.63863158520657026</v>
      </c>
      <c r="BY14" s="9">
        <f t="array" ref="BY14">PRODUCT(1 + 預測IC!$C23:BX23) - 1</f>
        <v>0.68921376554430513</v>
      </c>
      <c r="BZ14" s="9">
        <f t="array" ref="BZ14">PRODUCT(1 + 預測IC!$C23:BY23) - 1</f>
        <v>0.64781281977342275</v>
      </c>
      <c r="CA14" s="9">
        <f t="array" ref="CA14">PRODUCT(1 + 預測IC!$C23:BZ23) - 1</f>
        <v>0.29642545278625199</v>
      </c>
      <c r="CB14" s="9">
        <f t="array" ref="CB14">PRODUCT(1 + 預測IC!$C23:CA23) - 1</f>
        <v>0.1939640204180122</v>
      </c>
      <c r="CC14" s="9">
        <f t="array" ref="CC14">PRODUCT(1 + 預測IC!$C23:CB23) - 1</f>
        <v>0.16363884960257002</v>
      </c>
      <c r="CD14" s="9">
        <f t="array" ref="CD14">PRODUCT(1 + 預測IC!$C23:CC23) - 1</f>
        <v>0.10597583256156584</v>
      </c>
      <c r="CE14" s="9">
        <f t="array" ref="CE14">PRODUCT(1 + 預測IC!$C23:CD23) - 1</f>
        <v>0.15967303335223071</v>
      </c>
      <c r="CF14" s="9">
        <f t="array" ref="CF14">PRODUCT(1 + 預測IC!$C23:CE23) - 1</f>
        <v>0.24256460783976674</v>
      </c>
      <c r="CG14" s="9">
        <f t="array" ref="CG14">PRODUCT(1 + 預測IC!$C23:CF23) - 1</f>
        <v>0.16585250601352919</v>
      </c>
      <c r="CH14" s="9">
        <f t="array" ref="CH14">PRODUCT(1 + 預測IC!$C23:CG23) - 1</f>
        <v>0.46973604770351773</v>
      </c>
      <c r="CI14" s="9">
        <f t="array" ref="CI14">PRODUCT(1 + 預測IC!$C23:CH23) - 1</f>
        <v>0.16364016110738833</v>
      </c>
      <c r="CJ14" s="9">
        <f t="array" ref="CJ14">PRODUCT(1 + 預測IC!$C23:CI23) - 1</f>
        <v>0.2297756096602861</v>
      </c>
      <c r="CK14" s="9">
        <f t="array" ref="CK14">PRODUCT(1 + 預測IC!$C23:CJ23) - 1</f>
        <v>0.45528970731332374</v>
      </c>
      <c r="CL14" s="9">
        <f t="array" ref="CL14">PRODUCT(1 + 預測IC!$C23:CK23) - 1</f>
        <v>0.31845149910465365</v>
      </c>
      <c r="CM14" s="9">
        <f t="array" ref="CM14">PRODUCT(1 + 預測IC!$C23:CL23) - 1</f>
        <v>0.16266161713012139</v>
      </c>
      <c r="CN14" s="9">
        <f t="array" ref="CN14">PRODUCT(1 + 預測IC!$C23:CM23) - 1</f>
        <v>-0.13652386860216159</v>
      </c>
      <c r="CO14" s="9">
        <f t="array" ref="CO14">PRODUCT(1 + 預測IC!$C23:CN23) - 1</f>
        <v>-0.41284433947915633</v>
      </c>
      <c r="CP14" s="9">
        <f t="array" ref="CP14">PRODUCT(1 + 預測IC!$C23:CO23) - 1</f>
        <v>-0.26852809594151206</v>
      </c>
      <c r="CQ14" s="9">
        <f t="array" ref="CQ14">PRODUCT(1 + 預測IC!$C23:CP23) - 1</f>
        <v>-0.2895656673532353</v>
      </c>
      <c r="CR14" s="9">
        <f t="array" ref="CR14">PRODUCT(1 + 預測IC!$C23:CQ23) - 1</f>
        <v>-0.322921166853818</v>
      </c>
      <c r="CS14" s="9">
        <f t="array" ref="CS14">PRODUCT(1 + 預測IC!$C23:CR23) - 1</f>
        <v>-0.46922151914304444</v>
      </c>
      <c r="CT14" s="9">
        <f t="array" ref="CT14">PRODUCT(1 + 預測IC!$C23:CS23) - 1</f>
        <v>-0.56173306104882204</v>
      </c>
      <c r="CU14" s="9">
        <f t="array" ref="CU14">PRODUCT(1 + 預測IC!$C23:CT23) - 1</f>
        <v>-0.57999965927417041</v>
      </c>
      <c r="CV14" s="9">
        <f t="array" ref="CV14">PRODUCT(1 + 預測IC!$C23:CU23) - 1</f>
        <v>-0.55096703916499767</v>
      </c>
      <c r="CW14" s="9">
        <f t="array" ref="CW14">PRODUCT(1 + 預測IC!$C23:CV23) - 1</f>
        <v>-0.57325694436438079</v>
      </c>
      <c r="CX14" s="9">
        <f t="array" ref="CX14">PRODUCT(1 + 預測IC!$C23:CW23) - 1</f>
        <v>-0.5762398140374152</v>
      </c>
      <c r="CY14" s="9">
        <f t="array" ref="CY14">PRODUCT(1 + 預測IC!$C23:CX23) - 1</f>
        <v>-0.59199108988859894</v>
      </c>
      <c r="CZ14" s="9">
        <f t="array" ref="CZ14">PRODUCT(1 + 預測IC!$C23:CY23) - 1</f>
        <v>-0.55013784825862388</v>
      </c>
      <c r="DA14" s="9">
        <f t="array" ref="DA14">PRODUCT(1 + 預測IC!$C23:CZ23) - 1</f>
        <v>-0.53308194552423238</v>
      </c>
      <c r="DB14" s="9">
        <f t="array" ref="DB14">PRODUCT(1 + 預測IC!$C23:DA23) - 1</f>
        <v>-0.4394668365224047</v>
      </c>
      <c r="DC14" s="9">
        <f t="array" ref="DC14">PRODUCT(1 + 預測IC!$C23:DB23) - 1</f>
        <v>-0.43706547502294824</v>
      </c>
      <c r="DD14" s="9">
        <f t="array" ref="DD14">PRODUCT(1 + 預測IC!$C23:DC23) - 1</f>
        <v>-0.4188906004265841</v>
      </c>
      <c r="DE14" s="9">
        <f t="array" ref="DE14">PRODUCT(1 + 預測IC!$C23:DD23) - 1</f>
        <v>-0.4612494287081329</v>
      </c>
      <c r="DF14" s="9">
        <f t="array" ref="DF14">PRODUCT(1 + 預測IC!$C23:DE23) - 1</f>
        <v>-0.47654361027302772</v>
      </c>
      <c r="DG14" s="9">
        <f t="array" ref="DG14">PRODUCT(1 + 預測IC!$C23:DF23) - 1</f>
        <v>-0.51283362409422539</v>
      </c>
      <c r="DH14" s="9">
        <f t="array" ref="DH14">PRODUCT(1 + 預測IC!$C23:DG23) - 1</f>
        <v>-0.53081361706545938</v>
      </c>
      <c r="DI14" s="9">
        <f t="array" ref="DI14">PRODUCT(1 + 預測IC!$C23:DH23) - 1</f>
        <v>-0.50225163821826135</v>
      </c>
      <c r="DJ14" s="9">
        <f t="array" ref="DJ14">PRODUCT(1 + 預測IC!$C23:DI23) - 1</f>
        <v>-0.48458029862420748</v>
      </c>
      <c r="DK14" s="9">
        <f t="array" ref="DK14">PRODUCT(1 + 預測IC!$C23:DJ23) - 1</f>
        <v>-0.44292235093901944</v>
      </c>
      <c r="DL14" s="9">
        <f t="array" ref="DL14">PRODUCT(1 + 預測IC!$C23:DK23) - 1</f>
        <v>-0.52562915308877201</v>
      </c>
      <c r="DM14" s="9">
        <f t="array" ref="DM14">PRODUCT(1 + 預測IC!$C23:DL23) - 1</f>
        <v>-0.54438585233465164</v>
      </c>
      <c r="DN14" s="9">
        <f t="array" ref="DN14">PRODUCT(1 + 預測IC!$C23:DM23) - 1</f>
        <v>-0.56456222285779722</v>
      </c>
      <c r="DO14" s="9">
        <f t="array" ref="DO14">PRODUCT(1 + 預測IC!$C23:DN23) - 1</f>
        <v>-0.47605840854704573</v>
      </c>
      <c r="DP14" s="9">
        <f t="array" ref="DP14">PRODUCT(1 + 預測IC!$C23:DO23) - 1</f>
        <v>-0.55486855252666789</v>
      </c>
      <c r="DQ14" s="9">
        <f t="array" ref="DQ14">PRODUCT(1 + 預測IC!$C23:DP23) - 1</f>
        <v>-0.51558724746343798</v>
      </c>
      <c r="DR14" s="9">
        <f t="array" ref="DR14">PRODUCT(1 + 預測IC!$C23:DQ23) - 1</f>
        <v>-0.47947110096266898</v>
      </c>
      <c r="DS14" s="9">
        <f t="array" ref="DS14">PRODUCT(1 + 預測IC!$C23:DR23) - 1</f>
        <v>-0.43801349224502462</v>
      </c>
      <c r="DT14" s="9">
        <f t="array" ref="DT14">PRODUCT(1 + 預測IC!$C23:DS23) - 1</f>
        <v>-0.37188898527935677</v>
      </c>
      <c r="DU14" s="9">
        <f t="array" ref="DU14">PRODUCT(1 + 預測IC!$C23:DT23) - 1</f>
        <v>-0.32472277982733688</v>
      </c>
      <c r="DV14" s="9">
        <f t="array" ref="DV14">PRODUCT(1 + 預測IC!$C23:DU23) - 1</f>
        <v>-0.22532354808098498</v>
      </c>
      <c r="DW14" s="9">
        <f t="array" ref="DW14">PRODUCT(1 + 預測IC!$C23:DV23) - 1</f>
        <v>-0.15303901123697139</v>
      </c>
      <c r="DX14" s="9">
        <f t="array" ref="DX14">PRODUCT(1 + 預測IC!$C23:DW23) - 1</f>
        <v>-0.12957915281202648</v>
      </c>
      <c r="DY14" s="9">
        <f t="array" ref="DY14">PRODUCT(1 + 預測IC!$C23:DX23) - 1</f>
        <v>-0.31750225796793097</v>
      </c>
      <c r="DZ14" s="9">
        <f t="array" ref="DZ14">PRODUCT(1 + 預測IC!$C23:DY23) - 1</f>
        <v>-0.30229253939119327</v>
      </c>
      <c r="EA14" s="9">
        <f t="array" ref="EA14">PRODUCT(1 + 預測IC!$C23:DZ23) - 1</f>
        <v>-0.22633430181898129</v>
      </c>
      <c r="EB14" s="9">
        <f t="array" ref="EB14">PRODUCT(1 + 預測IC!$C23:EA23) - 1</f>
        <v>-0.14340085571826933</v>
      </c>
      <c r="EC14" s="9">
        <f t="array" ref="EC14">PRODUCT(1 + 預測IC!$C23:EB23) - 1</f>
        <v>-8.2107985937950212E-2</v>
      </c>
      <c r="ED14" s="9">
        <f t="array" ref="ED14">PRODUCT(1 + 預測IC!$C23:EC23) - 1</f>
        <v>5.9455368984420831E-2</v>
      </c>
      <c r="EE14" s="9">
        <f t="array" ref="EE14">PRODUCT(1 + 預測IC!$C23:ED23) - 1</f>
        <v>0.30200918843804736</v>
      </c>
      <c r="EF14" s="9">
        <f t="array" ref="EF14">PRODUCT(1 + 預測IC!$C23:EE23) - 1</f>
        <v>0.37877579522722882</v>
      </c>
      <c r="EG14" s="9">
        <f t="array" ref="EG14">PRODUCT(1 + 預測IC!$C23:EF23) - 1</f>
        <v>0.38852114642771074</v>
      </c>
    </row>
    <row r="15" spans="3:137" ht="16" customHeight="1">
      <c r="C15" s="6">
        <v>321</v>
      </c>
      <c r="D15" s="2">
        <v>-0.13322237415329011</v>
      </c>
      <c r="E15" s="9">
        <f t="array" ref="E15">PRODUCT(1 + 預測IC!$C24:D24) - 1</f>
        <v>-8.4117664130463399E-2</v>
      </c>
      <c r="F15" s="9">
        <f t="array" ref="F15">PRODUCT(1 + 預測IC!$C24:E24) - 1</f>
        <v>-7.3028826231747113E-2</v>
      </c>
      <c r="G15" s="9">
        <f t="array" ref="G15">PRODUCT(1 + 預測IC!$C24:F24) - 1</f>
        <v>-0.10849181927172113</v>
      </c>
      <c r="H15" s="9">
        <f t="array" ref="H15">PRODUCT(1 + 預測IC!$C24:G24) - 1</f>
        <v>-0.17539592864387499</v>
      </c>
      <c r="I15" s="9">
        <f t="array" ref="I15">PRODUCT(1 + 預測IC!$C24:H24) - 1</f>
        <v>-0.17996334417784898</v>
      </c>
      <c r="J15" s="9">
        <f t="array" ref="J15">PRODUCT(1 + 預測IC!$C24:I24) - 1</f>
        <v>-0.16942892703210921</v>
      </c>
      <c r="K15" s="9">
        <f t="array" ref="K15">PRODUCT(1 + 預測IC!$C24:J24) - 1</f>
        <v>-0.14839424583495009</v>
      </c>
      <c r="L15" s="9">
        <f t="array" ref="L15">PRODUCT(1 + 預測IC!$C24:K24) - 1</f>
        <v>-0.14961358040479755</v>
      </c>
      <c r="M15" s="9">
        <f t="array" ref="M15">PRODUCT(1 + 預測IC!$C24:L24) - 1</f>
        <v>-0.17797080394432996</v>
      </c>
      <c r="N15" s="9">
        <f t="array" ref="N15">PRODUCT(1 + 預測IC!$C24:M24) - 1</f>
        <v>-4.1121045347551788E-2</v>
      </c>
      <c r="O15" s="9">
        <f t="array" ref="O15">PRODUCT(1 + 預測IC!$C24:N24) - 1</f>
        <v>-0.16886517621197594</v>
      </c>
      <c r="P15" s="9">
        <f t="array" ref="P15">PRODUCT(1 + 預測IC!$C24:O24) - 1</f>
        <v>-0.16368453135944416</v>
      </c>
      <c r="Q15" s="9">
        <f t="array" ref="Q15">PRODUCT(1 + 預測IC!$C24:P24) - 1</f>
        <v>-0.10716631853038505</v>
      </c>
      <c r="R15" s="9">
        <f t="array" ref="R15">PRODUCT(1 + 預測IC!$C24:Q24) - 1</f>
        <v>-0.29948680677526163</v>
      </c>
      <c r="S15" s="9">
        <f t="array" ref="S15">PRODUCT(1 + 預測IC!$C24:R24) - 1</f>
        <v>-0.16577007092335372</v>
      </c>
      <c r="T15" s="9">
        <f t="array" ref="T15">PRODUCT(1 + 預測IC!$C24:S24) - 1</f>
        <v>-0.2849380595749359</v>
      </c>
      <c r="U15" s="9">
        <f t="array" ref="U15">PRODUCT(1 + 預測IC!$C24:T24) - 1</f>
        <v>-0.23865855894424759</v>
      </c>
      <c r="V15" s="9">
        <f t="array" ref="V15">PRODUCT(1 + 預測IC!$C24:U24) - 1</f>
        <v>-0.41766476680891806</v>
      </c>
      <c r="W15" s="9">
        <f t="array" ref="W15">PRODUCT(1 + 預測IC!$C24:V24) - 1</f>
        <v>-0.38163018118175118</v>
      </c>
      <c r="X15" s="9">
        <f t="array" ref="X15">PRODUCT(1 + 預測IC!$C24:W24) - 1</f>
        <v>-0.40758560681530664</v>
      </c>
      <c r="Y15" s="9">
        <f t="array" ref="Y15">PRODUCT(1 + 預測IC!$C24:X24) - 1</f>
        <v>-0.1934429669122264</v>
      </c>
      <c r="Z15" s="9">
        <f t="array" ref="Z15">PRODUCT(1 + 預測IC!$C24:Y24) - 1</f>
        <v>-0.19689892681397703</v>
      </c>
      <c r="AA15" s="9">
        <f t="array" ref="AA15">PRODUCT(1 + 預測IC!$C24:Z24) - 1</f>
        <v>-0.14121564332932801</v>
      </c>
      <c r="AB15" s="9">
        <f t="array" ref="AB15">PRODUCT(1 + 預測IC!$C24:AA24) - 1</f>
        <v>-0.12547009787725094</v>
      </c>
      <c r="AC15" s="9">
        <f t="array" ref="AC15">PRODUCT(1 + 預測IC!$C24:AB24) - 1</f>
        <v>-0.24146926701376681</v>
      </c>
      <c r="AD15" s="9">
        <f t="array" ref="AD15">PRODUCT(1 + 預測IC!$C24:AC24) - 1</f>
        <v>-0.26865100663615993</v>
      </c>
      <c r="AE15" s="9">
        <f t="array" ref="AE15">PRODUCT(1 + 預測IC!$C24:AD24) - 1</f>
        <v>-0.34382073330516172</v>
      </c>
      <c r="AF15" s="9">
        <f t="array" ref="AF15">PRODUCT(1 + 預測IC!$C24:AE24) - 1</f>
        <v>-0.17700738327180265</v>
      </c>
      <c r="AG15" s="9">
        <f t="array" ref="AG15">PRODUCT(1 + 預測IC!$C24:AF24) - 1</f>
        <v>-0.17164235456072863</v>
      </c>
      <c r="AH15" s="9">
        <f t="array" ref="AH15">PRODUCT(1 + 預測IC!$C24:AG24) - 1</f>
        <v>-0.12015618472314926</v>
      </c>
      <c r="AI15" s="9">
        <f t="array" ref="AI15">PRODUCT(1 + 預測IC!$C24:AH24) - 1</f>
        <v>0.13109299289609688</v>
      </c>
      <c r="AJ15" s="9">
        <f t="array" ref="AJ15">PRODUCT(1 + 預測IC!$C24:AI24) - 1</f>
        <v>4.3490657181814774E-2</v>
      </c>
      <c r="AK15" s="9">
        <f t="array" ref="AK15">PRODUCT(1 + 預測IC!$C24:AJ24) - 1</f>
        <v>0.16662378862833394</v>
      </c>
      <c r="AL15" s="9">
        <f t="array" ref="AL15">PRODUCT(1 + 預測IC!$C24:AK24) - 1</f>
        <v>0.25250673327885953</v>
      </c>
      <c r="AM15" s="9">
        <f t="array" ref="AM15">PRODUCT(1 + 預測IC!$C24:AL24) - 1</f>
        <v>0.21823965905257037</v>
      </c>
      <c r="AN15" s="9">
        <f t="array" ref="AN15">PRODUCT(1 + 預測IC!$C24:AM24) - 1</f>
        <v>0.33005591668200984</v>
      </c>
      <c r="AO15" s="9">
        <f t="array" ref="AO15">PRODUCT(1 + 預測IC!$C24:AN24) - 1</f>
        <v>0.500241406544635</v>
      </c>
      <c r="AP15" s="9">
        <f t="array" ref="AP15">PRODUCT(1 + 預測IC!$C24:AO24) - 1</f>
        <v>0.29305682531570021</v>
      </c>
      <c r="AQ15" s="9">
        <f t="array" ref="AQ15">PRODUCT(1 + 預測IC!$C24:AP24) - 1</f>
        <v>0.24026149864656099</v>
      </c>
      <c r="AR15" s="9">
        <f t="array" ref="AR15">PRODUCT(1 + 預測IC!$C24:AQ24) - 1</f>
        <v>0.26638959991337474</v>
      </c>
      <c r="AS15" s="9">
        <f t="array" ref="AS15">PRODUCT(1 + 預測IC!$C24:AR24) - 1</f>
        <v>2.7995498447921818E-2</v>
      </c>
      <c r="AT15" s="9">
        <f t="array" ref="AT15">PRODUCT(1 + 預測IC!$C24:AS24) - 1</f>
        <v>3.2481027892611092E-2</v>
      </c>
      <c r="AU15" s="9">
        <f t="array" ref="AU15">PRODUCT(1 + 預測IC!$C24:AT24) - 1</f>
        <v>-0.26301066278432983</v>
      </c>
      <c r="AV15" s="9">
        <f t="array" ref="AV15">PRODUCT(1 + 預測IC!$C24:AU24) - 1</f>
        <v>-0.32055294587526229</v>
      </c>
      <c r="AW15" s="9">
        <f t="array" ref="AW15">PRODUCT(1 + 預測IC!$C24:AV24) - 1</f>
        <v>-0.35243435401244272</v>
      </c>
      <c r="AX15" s="9">
        <f t="array" ref="AX15">PRODUCT(1 + 預測IC!$C24:AW24) - 1</f>
        <v>-0.37765907273474819</v>
      </c>
      <c r="AY15" s="9">
        <f t="array" ref="AY15">PRODUCT(1 + 預測IC!$C24:AX24) - 1</f>
        <v>-0.2346403490982012</v>
      </c>
      <c r="AZ15" s="9">
        <f t="array" ref="AZ15">PRODUCT(1 + 預測IC!$C24:AY24) - 1</f>
        <v>-8.354075404351935E-2</v>
      </c>
      <c r="BA15" s="9">
        <f t="array" ref="BA15">PRODUCT(1 + 預測IC!$C24:AZ24) - 1</f>
        <v>-0.1054873310142016</v>
      </c>
      <c r="BB15" s="9">
        <f t="array" ref="BB15">PRODUCT(1 + 預測IC!$C24:BA24) - 1</f>
        <v>-0.29979638315003443</v>
      </c>
      <c r="BC15" s="9">
        <f t="array" ref="BC15">PRODUCT(1 + 預測IC!$C24:BB24) - 1</f>
        <v>-0.51249444466324701</v>
      </c>
      <c r="BD15" s="9">
        <f t="array" ref="BD15">PRODUCT(1 + 預測IC!$C24:BC24) - 1</f>
        <v>-0.55491824661219891</v>
      </c>
      <c r="BE15" s="9">
        <f t="array" ref="BE15">PRODUCT(1 + 預測IC!$C24:BD24) - 1</f>
        <v>-0.52595334633114521</v>
      </c>
      <c r="BF15" s="9">
        <f t="array" ref="BF15">PRODUCT(1 + 預測IC!$C24:BE24) - 1</f>
        <v>-0.49102350701583442</v>
      </c>
      <c r="BG15" s="9">
        <f t="array" ref="BG15">PRODUCT(1 + 預測IC!$C24:BF24) - 1</f>
        <v>-0.52103427820430515</v>
      </c>
      <c r="BH15" s="9">
        <f t="array" ref="BH15">PRODUCT(1 + 預測IC!$C24:BG24) - 1</f>
        <v>-0.40565397762882605</v>
      </c>
      <c r="BI15" s="9">
        <f t="array" ref="BI15">PRODUCT(1 + 預測IC!$C24:BH24) - 1</f>
        <v>-0.37852304092590361</v>
      </c>
      <c r="BJ15" s="9">
        <f t="array" ref="BJ15">PRODUCT(1 + 預測IC!$C24:BI24) - 1</f>
        <v>-0.33846718510810325</v>
      </c>
      <c r="BK15" s="9">
        <f t="array" ref="BK15">PRODUCT(1 + 預測IC!$C24:BJ24) - 1</f>
        <v>-0.3233783360526844</v>
      </c>
      <c r="BL15" s="9">
        <f t="array" ref="BL15">PRODUCT(1 + 預測IC!$C24:BK24) - 1</f>
        <v>-0.3013165878439763</v>
      </c>
      <c r="BM15" s="9">
        <f t="array" ref="BM15">PRODUCT(1 + 預測IC!$C24:BL24) - 1</f>
        <v>-0.23952588263586228</v>
      </c>
      <c r="BN15" s="9">
        <f t="array" ref="BN15">PRODUCT(1 + 預測IC!$C24:BM24) - 1</f>
        <v>-0.26461062499076504</v>
      </c>
      <c r="BO15" s="9">
        <f t="array" ref="BO15">PRODUCT(1 + 預測IC!$C24:BN24) - 1</f>
        <v>-0.32535724436382174</v>
      </c>
      <c r="BP15" s="9">
        <f t="array" ref="BP15">PRODUCT(1 + 預測IC!$C24:BO24) - 1</f>
        <v>-0.33538180617275948</v>
      </c>
      <c r="BQ15" s="9">
        <f t="array" ref="BQ15">PRODUCT(1 + 預測IC!$C24:BP24) - 1</f>
        <v>-0.26800275227915438</v>
      </c>
      <c r="BR15" s="9">
        <f t="array" ref="BR15">PRODUCT(1 + 預測IC!$C24:BQ24) - 1</f>
        <v>-0.3180494097904869</v>
      </c>
      <c r="BS15" s="9">
        <f t="array" ref="BS15">PRODUCT(1 + 預測IC!$C24:BR24) - 1</f>
        <v>-0.44034374176127289</v>
      </c>
      <c r="BT15" s="9">
        <f t="array" ref="BT15">PRODUCT(1 + 預測IC!$C24:BS24) - 1</f>
        <v>-0.60068085760232615</v>
      </c>
      <c r="BU15" s="9">
        <f t="array" ref="BU15">PRODUCT(1 + 預測IC!$C24:BT24) - 1</f>
        <v>-0.63140895983856526</v>
      </c>
      <c r="BV15" s="9">
        <f t="array" ref="BV15">PRODUCT(1 + 預測IC!$C24:BU24) - 1</f>
        <v>-0.63548255831536438</v>
      </c>
      <c r="BW15" s="9">
        <f t="array" ref="BW15">PRODUCT(1 + 預測IC!$C24:BV24) - 1</f>
        <v>-0.66899031211181215</v>
      </c>
      <c r="BX15" s="9">
        <f t="array" ref="BX15">PRODUCT(1 + 預測IC!$C24:BW24) - 1</f>
        <v>-0.61952612220131842</v>
      </c>
      <c r="BY15" s="9">
        <f t="array" ref="BY15">PRODUCT(1 + 預測IC!$C24:BX24) - 1</f>
        <v>-0.62337174412531193</v>
      </c>
      <c r="BZ15" s="9">
        <f t="array" ref="BZ15">PRODUCT(1 + 預測IC!$C24:BY24) - 1</f>
        <v>-0.58339539929270001</v>
      </c>
      <c r="CA15" s="9">
        <f t="array" ref="CA15">PRODUCT(1 + 預測IC!$C24:BZ24) - 1</f>
        <v>-0.69655306050423693</v>
      </c>
      <c r="CB15" s="9">
        <f t="array" ref="CB15">PRODUCT(1 + 預測IC!$C24:CA24) - 1</f>
        <v>-0.69115939624879119</v>
      </c>
      <c r="CC15" s="9">
        <f t="array" ref="CC15">PRODUCT(1 + 預測IC!$C24:CB24) - 1</f>
        <v>-0.69503655845581203</v>
      </c>
      <c r="CD15" s="9">
        <f t="array" ref="CD15">PRODUCT(1 + 預測IC!$C24:CC24) - 1</f>
        <v>-0.72425136319219674</v>
      </c>
      <c r="CE15" s="9">
        <f t="array" ref="CE15">PRODUCT(1 + 預測IC!$C24:CD24) - 1</f>
        <v>-0.72915107580240079</v>
      </c>
      <c r="CF15" s="9">
        <f t="array" ref="CF15">PRODUCT(1 + 預測IC!$C24:CE24) - 1</f>
        <v>-0.72699129883703106</v>
      </c>
      <c r="CG15" s="9">
        <f t="array" ref="CG15">PRODUCT(1 + 預測IC!$C24:CF24) - 1</f>
        <v>-0.74198507726071861</v>
      </c>
      <c r="CH15" s="9">
        <f t="array" ref="CH15">PRODUCT(1 + 預測IC!$C24:CG24) - 1</f>
        <v>-0.69621230780597199</v>
      </c>
      <c r="CI15" s="9">
        <f t="array" ref="CI15">PRODUCT(1 + 預測IC!$C24:CH24) - 1</f>
        <v>-0.7653192900756538</v>
      </c>
      <c r="CJ15" s="9">
        <f t="array" ref="CJ15">PRODUCT(1 + 預測IC!$C24:CI24) - 1</f>
        <v>-0.74919600339597392</v>
      </c>
      <c r="CK15" s="9">
        <f t="array" ref="CK15">PRODUCT(1 + 預測IC!$C24:CJ24) - 1</f>
        <v>-0.70233181187504257</v>
      </c>
      <c r="CL15" s="9">
        <f t="array" ref="CL15">PRODUCT(1 + 預測IC!$C24:CK24) - 1</f>
        <v>-0.74310290984611793</v>
      </c>
      <c r="CM15" s="9">
        <f t="array" ref="CM15">PRODUCT(1 + 預測IC!$C24:CL24) - 1</f>
        <v>-0.78164779244670424</v>
      </c>
      <c r="CN15" s="9">
        <f t="array" ref="CN15">PRODUCT(1 + 預測IC!$C24:CM24) - 1</f>
        <v>-0.81752084022242644</v>
      </c>
      <c r="CO15" s="9">
        <f t="array" ref="CO15">PRODUCT(1 + 預測IC!$C24:CN24) - 1</f>
        <v>-0.8729154179153733</v>
      </c>
      <c r="CP15" s="9">
        <f t="array" ref="CP15">PRODUCT(1 + 預測IC!$C24:CO24) - 1</f>
        <v>-0.8339103311247158</v>
      </c>
      <c r="CQ15" s="9">
        <f t="array" ref="CQ15">PRODUCT(1 + 預測IC!$C24:CP24) - 1</f>
        <v>-0.8469380478319295</v>
      </c>
      <c r="CR15" s="9">
        <f t="array" ref="CR15">PRODUCT(1 + 預測IC!$C24:CQ24) - 1</f>
        <v>-0.85100670446302273</v>
      </c>
      <c r="CS15" s="9">
        <f t="array" ref="CS15">PRODUCT(1 + 預測IC!$C24:CR24) - 1</f>
        <v>-0.88611140731507088</v>
      </c>
      <c r="CT15" s="9">
        <f t="array" ref="CT15">PRODUCT(1 + 預測IC!$C24:CS24) - 1</f>
        <v>-0.91238439031503948</v>
      </c>
      <c r="CU15" s="9">
        <f t="array" ref="CU15">PRODUCT(1 + 預測IC!$C24:CT24) - 1</f>
        <v>-0.91270775789698977</v>
      </c>
      <c r="CV15" s="9">
        <f t="array" ref="CV15">PRODUCT(1 + 預測IC!$C24:CU24) - 1</f>
        <v>-0.90977900882655149</v>
      </c>
      <c r="CW15" s="9">
        <f t="array" ref="CW15">PRODUCT(1 + 預測IC!$C24:CV24) - 1</f>
        <v>-0.91557682103518134</v>
      </c>
      <c r="CX15" s="9">
        <f t="array" ref="CX15">PRODUCT(1 + 預測IC!$C24:CW24) - 1</f>
        <v>-0.91644978830395674</v>
      </c>
      <c r="CY15" s="9">
        <f t="array" ref="CY15">PRODUCT(1 + 預測IC!$C24:CX24) - 1</f>
        <v>-0.91345625410350395</v>
      </c>
      <c r="CZ15" s="9">
        <f t="array" ref="CZ15">PRODUCT(1 + 預測IC!$C24:CY24) - 1</f>
        <v>-0.89913339277109405</v>
      </c>
      <c r="DA15" s="9">
        <f t="array" ref="DA15">PRODUCT(1 + 預測IC!$C24:CZ24) - 1</f>
        <v>-0.90948013474445932</v>
      </c>
      <c r="DB15" s="9">
        <f t="array" ref="DB15">PRODUCT(1 + 預測IC!$C24:DA24) - 1</f>
        <v>-0.89401623366644412</v>
      </c>
      <c r="DC15" s="9">
        <f t="array" ref="DC15">PRODUCT(1 + 預測IC!$C24:DB24) - 1</f>
        <v>-0.8939130694080023</v>
      </c>
      <c r="DD15" s="9">
        <f t="array" ref="DD15">PRODUCT(1 + 預測IC!$C24:DC24) - 1</f>
        <v>-0.88948286443781699</v>
      </c>
      <c r="DE15" s="9">
        <f t="array" ref="DE15">PRODUCT(1 + 預測IC!$C24:DD24) - 1</f>
        <v>-0.90601759172047169</v>
      </c>
      <c r="DF15" s="9">
        <f t="array" ref="DF15">PRODUCT(1 + 預測IC!$C24:DE24) - 1</f>
        <v>-0.90736370483349371</v>
      </c>
      <c r="DG15" s="9">
        <f t="array" ref="DG15">PRODUCT(1 + 預測IC!$C24:DF24) - 1</f>
        <v>-0.91623420820734114</v>
      </c>
      <c r="DH15" s="9">
        <f t="array" ref="DH15">PRODUCT(1 + 預測IC!$C24:DG24) - 1</f>
        <v>-0.91975990833781929</v>
      </c>
      <c r="DI15" s="9">
        <f t="array" ref="DI15">PRODUCT(1 + 預測IC!$C24:DH24) - 1</f>
        <v>-0.91792248715873459</v>
      </c>
      <c r="DJ15" s="9">
        <f t="array" ref="DJ15">PRODUCT(1 + 預測IC!$C24:DI24) - 1</f>
        <v>-0.91638794682051339</v>
      </c>
      <c r="DK15" s="9">
        <f t="array" ref="DK15">PRODUCT(1 + 預測IC!$C24:DJ24) - 1</f>
        <v>-0.91080467214213001</v>
      </c>
      <c r="DL15" s="9">
        <f t="array" ref="DL15">PRODUCT(1 + 預測IC!$C24:DK24) - 1</f>
        <v>-0.92247424129473166</v>
      </c>
      <c r="DM15" s="9">
        <f t="array" ref="DM15">PRODUCT(1 + 預測IC!$C24:DL24) - 1</f>
        <v>-0.92852993399323791</v>
      </c>
      <c r="DN15" s="9">
        <f t="array" ref="DN15">PRODUCT(1 + 預測IC!$C24:DM24) - 1</f>
        <v>-0.92747680977919433</v>
      </c>
      <c r="DO15" s="9">
        <f t="array" ref="DO15">PRODUCT(1 + 預測IC!$C24:DN24) - 1</f>
        <v>-0.91004888577364029</v>
      </c>
      <c r="DP15" s="9">
        <f t="array" ref="DP15">PRODUCT(1 + 預測IC!$C24:DO24) - 1</f>
        <v>-0.92656626951305265</v>
      </c>
      <c r="DQ15" s="9">
        <f t="array" ref="DQ15">PRODUCT(1 + 預測IC!$C24:DP24) - 1</f>
        <v>-0.92276107158042253</v>
      </c>
      <c r="DR15" s="9">
        <f t="array" ref="DR15">PRODUCT(1 + 預測IC!$C24:DQ24) - 1</f>
        <v>-0.91598985351403361</v>
      </c>
      <c r="DS15" s="9">
        <f t="array" ref="DS15">PRODUCT(1 + 預測IC!$C24:DR24) - 1</f>
        <v>-0.90373241162338114</v>
      </c>
      <c r="DT15" s="9">
        <f t="array" ref="DT15">PRODUCT(1 + 預測IC!$C24:DS24) - 1</f>
        <v>-0.89188699672560356</v>
      </c>
      <c r="DU15" s="9">
        <f t="array" ref="DU15">PRODUCT(1 + 預測IC!$C24:DT24) - 1</f>
        <v>-0.88174482395174714</v>
      </c>
      <c r="DV15" s="9">
        <f t="array" ref="DV15">PRODUCT(1 + 預測IC!$C24:DU24) - 1</f>
        <v>-0.85980926008643055</v>
      </c>
      <c r="DW15" s="9">
        <f t="array" ref="DW15">PRODUCT(1 + 預測IC!$C24:DV24) - 1</f>
        <v>-0.84167911511043225</v>
      </c>
      <c r="DX15" s="9">
        <f t="array" ref="DX15">PRODUCT(1 + 預測IC!$C24:DW24) - 1</f>
        <v>-0.78368064314336416</v>
      </c>
      <c r="DY15" s="9">
        <f t="array" ref="DY15">PRODUCT(1 + 預測IC!$C24:DX24) - 1</f>
        <v>-0.83280815376538109</v>
      </c>
      <c r="DZ15" s="9">
        <f t="array" ref="DZ15">PRODUCT(1 + 預測IC!$C24:DY24) - 1</f>
        <v>-0.84368764813436714</v>
      </c>
      <c r="EA15" s="9">
        <f t="array" ref="EA15">PRODUCT(1 + 預測IC!$C24:DZ24) - 1</f>
        <v>-0.80916181911440033</v>
      </c>
      <c r="EB15" s="9">
        <f t="array" ref="EB15">PRODUCT(1 + 預測IC!$C24:EA24) - 1</f>
        <v>-0.77742276473571192</v>
      </c>
      <c r="EC15" s="9">
        <f t="array" ref="EC15">PRODUCT(1 + 預測IC!$C24:EB24) - 1</f>
        <v>-0.76112273137905373</v>
      </c>
      <c r="ED15" s="9">
        <f t="array" ref="ED15">PRODUCT(1 + 預測IC!$C24:EC24) - 1</f>
        <v>-0.71679738729504905</v>
      </c>
      <c r="EE15" s="9">
        <f t="array" ref="EE15">PRODUCT(1 + 預測IC!$C24:ED24) - 1</f>
        <v>-0.61675990659579849</v>
      </c>
      <c r="EF15" s="9">
        <f t="array" ref="EF15">PRODUCT(1 + 預測IC!$C24:EE24) - 1</f>
        <v>-0.60501631522813981</v>
      </c>
      <c r="EG15" s="9">
        <f t="array" ref="EG15">PRODUCT(1 + 預測IC!$C24:EF24) - 1</f>
        <v>-0.60296383855798608</v>
      </c>
    </row>
    <row r="16" spans="3:137" ht="16" customHeight="1">
      <c r="C16" s="6">
        <v>482</v>
      </c>
      <c r="D16" s="2">
        <v>-0.14698994176607941</v>
      </c>
      <c r="E16" s="9">
        <f t="array" ref="E16">PRODUCT(1 + 預測IC!$C25:D25) - 1</f>
        <v>-9.3365100552608271E-2</v>
      </c>
      <c r="F16" s="9">
        <f t="array" ref="F16">PRODUCT(1 + 預測IC!$C25:E25) - 1</f>
        <v>1.9677351308799329E-2</v>
      </c>
      <c r="G16" s="9">
        <f t="array" ref="G16">PRODUCT(1 + 預測IC!$C25:F25) - 1</f>
        <v>2.1689596690095847E-2</v>
      </c>
      <c r="H16" s="9">
        <f t="array" ref="H16">PRODUCT(1 + 預測IC!$C25:G25) - 1</f>
        <v>1.5613468056403512E-2</v>
      </c>
      <c r="I16" s="9">
        <f t="array" ref="I16">PRODUCT(1 + 預測IC!$C25:H25) - 1</f>
        <v>-1.8677783645074664E-2</v>
      </c>
      <c r="J16" s="9">
        <f t="array" ref="J16">PRODUCT(1 + 預測IC!$C25:I25) - 1</f>
        <v>1.941141398722257E-2</v>
      </c>
      <c r="K16" s="9">
        <f t="array" ref="K16">PRODUCT(1 + 預測IC!$C25:J25) - 1</f>
        <v>9.5892136697597552E-2</v>
      </c>
      <c r="L16" s="9">
        <f t="array" ref="L16">PRODUCT(1 + 預測IC!$C25:K25) - 1</f>
        <v>0.19051023982459303</v>
      </c>
      <c r="M16" s="9">
        <f t="array" ref="M16">PRODUCT(1 + 預測IC!$C25:L25) - 1</f>
        <v>0.15524050149656476</v>
      </c>
      <c r="N16" s="9">
        <f t="array" ref="N16">PRODUCT(1 + 預測IC!$C25:M25) - 1</f>
        <v>0.5497483090230566</v>
      </c>
      <c r="O16" s="9">
        <f t="array" ref="O16">PRODUCT(1 + 預測IC!$C25:N25) - 1</f>
        <v>0.32195089532767751</v>
      </c>
      <c r="P16" s="9">
        <f t="array" ref="P16">PRODUCT(1 + 預測IC!$C25:O25) - 1</f>
        <v>0.31734540552362467</v>
      </c>
      <c r="Q16" s="9">
        <f t="array" ref="Q16">PRODUCT(1 + 預測IC!$C25:P25) - 1</f>
        <v>0.49377940226842298</v>
      </c>
      <c r="R16" s="9">
        <f t="array" ref="R16">PRODUCT(1 + 預測IC!$C25:Q25) - 1</f>
        <v>0.46595996915182436</v>
      </c>
      <c r="S16" s="9">
        <f t="array" ref="S16">PRODUCT(1 + 預測IC!$C25:R25) - 1</f>
        <v>0.7544093109335186</v>
      </c>
      <c r="T16" s="9">
        <f t="array" ref="T16">PRODUCT(1 + 預測IC!$C25:S25) - 1</f>
        <v>0.68975919592436918</v>
      </c>
      <c r="U16" s="9">
        <f t="array" ref="U16">PRODUCT(1 + 預測IC!$C25:T25) - 1</f>
        <v>0.77008210593772297</v>
      </c>
      <c r="V16" s="9">
        <f t="array" ref="V16">PRODUCT(1 + 預測IC!$C25:U25) - 1</f>
        <v>0.38175402142039139</v>
      </c>
      <c r="W16" s="9">
        <f t="array" ref="W16">PRODUCT(1 + 預測IC!$C25:V25) - 1</f>
        <v>0.35427679207923779</v>
      </c>
      <c r="X16" s="9">
        <f t="array" ref="X16">PRODUCT(1 + 預測IC!$C25:W25) - 1</f>
        <v>0.26290619894571088</v>
      </c>
      <c r="Y16" s="9">
        <f t="array" ref="Y16">PRODUCT(1 + 預測IC!$C25:X25) - 1</f>
        <v>0.88357606450241133</v>
      </c>
      <c r="Z16" s="9">
        <f t="array" ref="Z16">PRODUCT(1 + 預測IC!$C25:Y25) - 1</f>
        <v>0.82766873131582974</v>
      </c>
      <c r="AA16" s="9">
        <f t="array" ref="AA16">PRODUCT(1 + 預測IC!$C25:Z25) - 1</f>
        <v>0.99613451604841252</v>
      </c>
      <c r="AB16" s="9">
        <f t="array" ref="AB16">PRODUCT(1 + 預測IC!$C25:AA25) - 1</f>
        <v>1.1329131783494879</v>
      </c>
      <c r="AC16" s="9">
        <f t="array" ref="AC16">PRODUCT(1 + 預測IC!$C25:AB25) - 1</f>
        <v>0.55201230808775303</v>
      </c>
      <c r="AD16" s="9">
        <f t="array" ref="AD16">PRODUCT(1 + 預測IC!$C25:AC25) - 1</f>
        <v>0.46125023419581868</v>
      </c>
      <c r="AE16" s="9">
        <f t="array" ref="AE16">PRODUCT(1 + 預測IC!$C25:AD25) - 1</f>
        <v>0.22255791758853727</v>
      </c>
      <c r="AF16" s="9">
        <f t="array" ref="AF16">PRODUCT(1 + 預測IC!$C25:AE25) - 1</f>
        <v>0.29019084557574071</v>
      </c>
      <c r="AG16" s="9">
        <f t="array" ref="AG16">PRODUCT(1 + 預測IC!$C25:AF25) - 1</f>
        <v>6.061399283206681E-2</v>
      </c>
      <c r="AH16" s="9">
        <f t="array" ref="AH16">PRODUCT(1 + 預測IC!$C25:AG25) - 1</f>
        <v>0.10140044283813654</v>
      </c>
      <c r="AI16" s="9">
        <f t="array" ref="AI16">PRODUCT(1 + 預測IC!$C25:AH25) - 1</f>
        <v>7.592796232813348E-2</v>
      </c>
      <c r="AJ16" s="9">
        <f t="array" ref="AJ16">PRODUCT(1 + 預測IC!$C25:AI25) - 1</f>
        <v>-0.1786451738519621</v>
      </c>
      <c r="AK16" s="9">
        <f t="array" ref="AK16">PRODUCT(1 + 預測IC!$C25:AJ25) - 1</f>
        <v>-8.5821921648169708E-2</v>
      </c>
      <c r="AL16" s="9">
        <f t="array" ref="AL16">PRODUCT(1 + 預測IC!$C25:AK25) - 1</f>
        <v>-3.5420925770944023E-2</v>
      </c>
      <c r="AM16" s="9">
        <f t="array" ref="AM16">PRODUCT(1 + 預測IC!$C25:AL25) - 1</f>
        <v>2.6817813752366915E-2</v>
      </c>
      <c r="AN16" s="9">
        <f t="array" ref="AN16">PRODUCT(1 + 預測IC!$C25:AM25) - 1</f>
        <v>0.16363309794883429</v>
      </c>
      <c r="AO16" s="9">
        <f t="array" ref="AO16">PRODUCT(1 + 預測IC!$C25:AN25) - 1</f>
        <v>0.24837634738617664</v>
      </c>
      <c r="AP16" s="9">
        <f t="array" ref="AP16">PRODUCT(1 + 預測IC!$C25:AO25) - 1</f>
        <v>-4.7381911511567676E-2</v>
      </c>
      <c r="AQ16" s="9">
        <f t="array" ref="AQ16">PRODUCT(1 + 預測IC!$C25:AP25) - 1</f>
        <v>-6.3071143763479998E-2</v>
      </c>
      <c r="AR16" s="9">
        <f t="array" ref="AR16">PRODUCT(1 + 預測IC!$C25:AQ25) - 1</f>
        <v>-7.8660102166920653E-2</v>
      </c>
      <c r="AS16" s="9">
        <f t="array" ref="AS16">PRODUCT(1 + 預測IC!$C25:AR25) - 1</f>
        <v>-0.35548601116898759</v>
      </c>
      <c r="AT16" s="9">
        <f t="array" ref="AT16">PRODUCT(1 + 預測IC!$C25:AS25) - 1</f>
        <v>-0.33420807213044168</v>
      </c>
      <c r="AU16" s="9">
        <f t="array" ref="AU16">PRODUCT(1 + 預測IC!$C25:AT25) - 1</f>
        <v>-0.63627892819296505</v>
      </c>
      <c r="AV16" s="9">
        <f t="array" ref="AV16">PRODUCT(1 + 預測IC!$C25:AU25) - 1</f>
        <v>-0.66410154284510825</v>
      </c>
      <c r="AW16" s="9">
        <f t="array" ref="AW16">PRODUCT(1 + 預測IC!$C25:AV25) - 1</f>
        <v>-0.69256664163995163</v>
      </c>
      <c r="AX16" s="9">
        <f t="array" ref="AX16">PRODUCT(1 + 預測IC!$C25:AW25) - 1</f>
        <v>-0.69227807809496555</v>
      </c>
      <c r="AY16" s="9">
        <f t="array" ref="AY16">PRODUCT(1 + 預測IC!$C25:AX25) - 1</f>
        <v>-0.63788965184601754</v>
      </c>
      <c r="AZ16" s="9">
        <f t="array" ref="AZ16">PRODUCT(1 + 預測IC!$C25:AY25) - 1</f>
        <v>-0.54879039038438537</v>
      </c>
      <c r="BA16" s="9">
        <f t="array" ref="BA16">PRODUCT(1 + 預測IC!$C25:AZ25) - 1</f>
        <v>-0.59888826710654264</v>
      </c>
      <c r="BB16" s="9">
        <f t="array" ref="BB16">PRODUCT(1 + 預測IC!$C25:BA25) - 1</f>
        <v>-0.67237275553955211</v>
      </c>
      <c r="BC16" s="9">
        <f t="array" ref="BC16">PRODUCT(1 + 預測IC!$C25:BB25) - 1</f>
        <v>-0.80514234000755436</v>
      </c>
      <c r="BD16" s="9">
        <f t="array" ref="BD16">PRODUCT(1 + 預測IC!$C25:BC25) - 1</f>
        <v>-0.80629408547304637</v>
      </c>
      <c r="BE16" s="9">
        <f t="array" ref="BE16">PRODUCT(1 + 預測IC!$C25:BD25) - 1</f>
        <v>-0.78358842326696476</v>
      </c>
      <c r="BF16" s="9">
        <f t="array" ref="BF16">PRODUCT(1 + 預測IC!$C25:BE25) - 1</f>
        <v>-0.77709609644382538</v>
      </c>
      <c r="BG16" s="9">
        <f t="array" ref="BG16">PRODUCT(1 + 預測IC!$C25:BF25) - 1</f>
        <v>-0.79675113930558372</v>
      </c>
      <c r="BH16" s="9">
        <f t="array" ref="BH16">PRODUCT(1 + 預測IC!$C25:BG25) - 1</f>
        <v>-0.72721029135680681</v>
      </c>
      <c r="BI16" s="9">
        <f t="array" ref="BI16">PRODUCT(1 + 預測IC!$C25:BH25) - 1</f>
        <v>-0.72428239475363543</v>
      </c>
      <c r="BJ16" s="9">
        <f t="array" ref="BJ16">PRODUCT(1 + 預測IC!$C25:BI25) - 1</f>
        <v>-0.74178690579582729</v>
      </c>
      <c r="BK16" s="9">
        <f t="array" ref="BK16">PRODUCT(1 + 預測IC!$C25:BJ25) - 1</f>
        <v>-0.75886046367667792</v>
      </c>
      <c r="BL16" s="9">
        <f t="array" ref="BL16">PRODUCT(1 + 預測IC!$C25:BK25) - 1</f>
        <v>-0.74402922356423273</v>
      </c>
      <c r="BM16" s="9">
        <f t="array" ref="BM16">PRODUCT(1 + 預測IC!$C25:BL25) - 1</f>
        <v>-0.73527408133389627</v>
      </c>
      <c r="BN16" s="9">
        <f t="array" ref="BN16">PRODUCT(1 + 預測IC!$C25:BM25) - 1</f>
        <v>-0.7466977815727075</v>
      </c>
      <c r="BO16" s="9">
        <f t="array" ref="BO16">PRODUCT(1 + 預測IC!$C25:BN25) - 1</f>
        <v>-0.7387049258796663</v>
      </c>
      <c r="BP16" s="9">
        <f t="array" ref="BP16">PRODUCT(1 + 預測IC!$C25:BO25) - 1</f>
        <v>-0.77016896893537989</v>
      </c>
      <c r="BQ16" s="9">
        <f t="array" ref="BQ16">PRODUCT(1 + 預測IC!$C25:BP25) - 1</f>
        <v>-0.71544006921873993</v>
      </c>
      <c r="BR16" s="9">
        <f t="array" ref="BR16">PRODUCT(1 + 預測IC!$C25:BQ25) - 1</f>
        <v>-0.74349568484754425</v>
      </c>
      <c r="BS16" s="9">
        <f t="array" ref="BS16">PRODUCT(1 + 預測IC!$C25:BR25) - 1</f>
        <v>-0.77216981970844834</v>
      </c>
      <c r="BT16" s="9">
        <f t="array" ref="BT16">PRODUCT(1 + 預測IC!$C25:BS25) - 1</f>
        <v>-0.78879169484962464</v>
      </c>
      <c r="BU16" s="9">
        <f t="array" ref="BU16">PRODUCT(1 + 預測IC!$C25:BT25) - 1</f>
        <v>-0.8006976076196467</v>
      </c>
      <c r="BV16" s="9">
        <f t="array" ref="BV16">PRODUCT(1 + 預測IC!$C25:BU25) - 1</f>
        <v>-0.81379430054416069</v>
      </c>
      <c r="BW16" s="9">
        <f t="array" ref="BW16">PRODUCT(1 + 預測IC!$C25:BV25) - 1</f>
        <v>-0.83905088724016397</v>
      </c>
      <c r="BX16" s="9">
        <f t="array" ref="BX16">PRODUCT(1 + 預測IC!$C25:BW25) - 1</f>
        <v>-0.821997200376968</v>
      </c>
      <c r="BY16" s="9">
        <f t="array" ref="BY16">PRODUCT(1 + 預測IC!$C25:BX25) - 1</f>
        <v>-0.81540555059651809</v>
      </c>
      <c r="BZ16" s="9">
        <f t="array" ref="BZ16">PRODUCT(1 + 預測IC!$C25:BY25) - 1</f>
        <v>-0.79218423994325482</v>
      </c>
      <c r="CA16" s="9">
        <f t="array" ref="CA16">PRODUCT(1 + 預測IC!$C25:BZ25) - 1</f>
        <v>-0.82244611792201205</v>
      </c>
      <c r="CB16" s="9">
        <f t="array" ref="CB16">PRODUCT(1 + 預測IC!$C25:CA25) - 1</f>
        <v>-0.82086970815089355</v>
      </c>
      <c r="CC16" s="9">
        <f t="array" ref="CC16">PRODUCT(1 + 預測IC!$C25:CB25) - 1</f>
        <v>-0.81212419245708012</v>
      </c>
      <c r="CD16" s="9">
        <f t="array" ref="CD16">PRODUCT(1 + 預測IC!$C25:CC25) - 1</f>
        <v>-0.82555377034610422</v>
      </c>
      <c r="CE16" s="9">
        <f t="array" ref="CE16">PRODUCT(1 + 預測IC!$C25:CD25) - 1</f>
        <v>-0.83365704268265184</v>
      </c>
      <c r="CF16" s="9">
        <f t="array" ref="CF16">PRODUCT(1 + 預測IC!$C25:CE25) - 1</f>
        <v>-0.82751987159153573</v>
      </c>
      <c r="CG16" s="9">
        <f t="array" ref="CG16">PRODUCT(1 + 預測IC!$C25:CF25) - 1</f>
        <v>-0.82784199427829042</v>
      </c>
      <c r="CH16" s="9">
        <f t="array" ref="CH16">PRODUCT(1 + 預測IC!$C25:CG25) - 1</f>
        <v>-0.85447784020485407</v>
      </c>
      <c r="CI16" s="9">
        <f t="array" ref="CI16">PRODUCT(1 + 預測IC!$C25:CH25) - 1</f>
        <v>-0.89985790870412907</v>
      </c>
      <c r="CJ16" s="9">
        <f t="array" ref="CJ16">PRODUCT(1 + 預測IC!$C25:CI25) - 1</f>
        <v>-0.89374536745787991</v>
      </c>
      <c r="CK16" s="9">
        <f t="array" ref="CK16">PRODUCT(1 + 預測IC!$C25:CJ25) - 1</f>
        <v>-0.86681003086804531</v>
      </c>
      <c r="CL16" s="9">
        <f t="array" ref="CL16">PRODUCT(1 + 預測IC!$C25:CK25) - 1</f>
        <v>-0.88376953977013828</v>
      </c>
      <c r="CM16" s="9">
        <f t="array" ref="CM16">PRODUCT(1 + 預測IC!$C25:CL25) - 1</f>
        <v>-0.89159394526471103</v>
      </c>
      <c r="CN16" s="9">
        <f t="array" ref="CN16">PRODUCT(1 + 預測IC!$C25:CM25) - 1</f>
        <v>-0.91244477580304206</v>
      </c>
      <c r="CO16" s="9">
        <f t="array" ref="CO16">PRODUCT(1 + 預測IC!$C25:CN25) - 1</f>
        <v>-0.93353486577385658</v>
      </c>
      <c r="CP16" s="9">
        <f t="array" ref="CP16">PRODUCT(1 + 預測IC!$C25:CO25) - 1</f>
        <v>-0.9096728846090617</v>
      </c>
      <c r="CQ16" s="9">
        <f t="array" ref="CQ16">PRODUCT(1 + 預測IC!$C25:CP25) - 1</f>
        <v>-0.90881197029390026</v>
      </c>
      <c r="CR16" s="9">
        <f t="array" ref="CR16">PRODUCT(1 + 預測IC!$C25:CQ25) - 1</f>
        <v>-0.92733269133587926</v>
      </c>
      <c r="CS16" s="9">
        <f t="array" ref="CS16">PRODUCT(1 + 預測IC!$C25:CR25) - 1</f>
        <v>-0.94175896466761722</v>
      </c>
      <c r="CT16" s="9">
        <f t="array" ref="CT16">PRODUCT(1 + 預測IC!$C25:CS25) - 1</f>
        <v>-0.95913262445376612</v>
      </c>
      <c r="CU16" s="9">
        <f t="array" ref="CU16">PRODUCT(1 + 預測IC!$C25:CT25) - 1</f>
        <v>-0.95736085421034423</v>
      </c>
      <c r="CV16" s="9">
        <f t="array" ref="CV16">PRODUCT(1 + 預測IC!$C25:CU25) - 1</f>
        <v>-0.95396326810060128</v>
      </c>
      <c r="CW16" s="9">
        <f t="array" ref="CW16">PRODUCT(1 + 預測IC!$C25:CV25) - 1</f>
        <v>-0.95768922768396914</v>
      </c>
      <c r="CX16" s="9">
        <f t="array" ref="CX16">PRODUCT(1 + 預測IC!$C25:CW25) - 1</f>
        <v>-0.95810218298597016</v>
      </c>
      <c r="CY16" s="9">
        <f t="array" ref="CY16">PRODUCT(1 + 預測IC!$C25:CX25) - 1</f>
        <v>-0.95698230687968389</v>
      </c>
      <c r="CZ16" s="9">
        <f t="array" ref="CZ16">PRODUCT(1 + 預測IC!$C25:CY25) - 1</f>
        <v>-0.945279262011823</v>
      </c>
      <c r="DA16" s="9">
        <f t="array" ref="DA16">PRODUCT(1 + 預測IC!$C25:CZ25) - 1</f>
        <v>-0.94926905224530711</v>
      </c>
      <c r="DB16" s="9">
        <f t="array" ref="DB16">PRODUCT(1 + 預測IC!$C25:DA25) - 1</f>
        <v>-0.93305309103505119</v>
      </c>
      <c r="DC16" s="9">
        <f t="array" ref="DC16">PRODUCT(1 + 預測IC!$C25:DB25) - 1</f>
        <v>-0.92787589751944943</v>
      </c>
      <c r="DD16" s="9">
        <f t="array" ref="DD16">PRODUCT(1 + 預測IC!$C25:DC25) - 1</f>
        <v>-0.92642285883489617</v>
      </c>
      <c r="DE16" s="9">
        <f t="array" ref="DE16">PRODUCT(1 + 預測IC!$C25:DD25) - 1</f>
        <v>-0.94382306102839719</v>
      </c>
      <c r="DF16" s="9">
        <f t="array" ref="DF16">PRODUCT(1 + 預測IC!$C25:DE25) - 1</f>
        <v>-0.94488661735775947</v>
      </c>
      <c r="DG16" s="9">
        <f t="array" ref="DG16">PRODUCT(1 + 預測IC!$C25:DF25) - 1</f>
        <v>-0.94990161455895306</v>
      </c>
      <c r="DH16" s="9">
        <f t="array" ref="DH16">PRODUCT(1 + 預測IC!$C25:DG25) - 1</f>
        <v>-0.95112345243508534</v>
      </c>
      <c r="DI16" s="9">
        <f t="array" ref="DI16">PRODUCT(1 + 預測IC!$C25:DH25) - 1</f>
        <v>-0.94920541132812719</v>
      </c>
      <c r="DJ16" s="9">
        <f t="array" ref="DJ16">PRODUCT(1 + 預測IC!$C25:DI25) - 1</f>
        <v>-0.95425224802580588</v>
      </c>
      <c r="DK16" s="9">
        <f t="array" ref="DK16">PRODUCT(1 + 預測IC!$C25:DJ25) - 1</f>
        <v>-0.95200119495809032</v>
      </c>
      <c r="DL16" s="9">
        <f t="array" ref="DL16">PRODUCT(1 + 預測IC!$C25:DK25) - 1</f>
        <v>-0.9582098961505654</v>
      </c>
      <c r="DM16" s="9">
        <f t="array" ref="DM16">PRODUCT(1 + 預測IC!$C25:DL25) - 1</f>
        <v>-0.96465566332218999</v>
      </c>
      <c r="DN16" s="9">
        <f t="array" ref="DN16">PRODUCT(1 + 預測IC!$C25:DM25) - 1</f>
        <v>-0.96311968822592797</v>
      </c>
      <c r="DO16" s="9">
        <f t="array" ref="DO16">PRODUCT(1 + 預測IC!$C25:DN25) - 1</f>
        <v>-0.95265505094732705</v>
      </c>
      <c r="DP16" s="9">
        <f t="array" ref="DP16">PRODUCT(1 + 預測IC!$C25:DO25) - 1</f>
        <v>-0.96195196938072447</v>
      </c>
      <c r="DQ16" s="9">
        <f t="array" ref="DQ16">PRODUCT(1 + 預測IC!$C25:DP25) - 1</f>
        <v>-0.96615433277180651</v>
      </c>
      <c r="DR16" s="9">
        <f t="array" ref="DR16">PRODUCT(1 + 預測IC!$C25:DQ25) - 1</f>
        <v>-0.96549232502976268</v>
      </c>
      <c r="DS16" s="9">
        <f t="array" ref="DS16">PRODUCT(1 + 預測IC!$C25:DR25) - 1</f>
        <v>-0.95672224246076421</v>
      </c>
      <c r="DT16" s="9">
        <f t="array" ref="DT16">PRODUCT(1 + 預測IC!$C25:DS25) - 1</f>
        <v>-0.94658114251084702</v>
      </c>
      <c r="DU16" s="9">
        <f t="array" ref="DU16">PRODUCT(1 + 預測IC!$C25:DT25) - 1</f>
        <v>-0.94369655316707601</v>
      </c>
      <c r="DV16" s="9">
        <f t="array" ref="DV16">PRODUCT(1 + 預測IC!$C25:DU25) - 1</f>
        <v>-0.92214616846509256</v>
      </c>
      <c r="DW16" s="9">
        <f t="array" ref="DW16">PRODUCT(1 + 預測IC!$C25:DV25) - 1</f>
        <v>-0.9124008901719628</v>
      </c>
      <c r="DX16" s="9">
        <f t="array" ref="DX16">PRODUCT(1 + 預測IC!$C25:DW25) - 1</f>
        <v>-0.85961281943063805</v>
      </c>
      <c r="DY16" s="9">
        <f t="array" ref="DY16">PRODUCT(1 + 預測IC!$C25:DX25) - 1</f>
        <v>-0.90542801669562467</v>
      </c>
      <c r="DZ16" s="9">
        <f t="array" ref="DZ16">PRODUCT(1 + 預測IC!$C25:DY25) - 1</f>
        <v>-0.91395839065199425</v>
      </c>
      <c r="EA16" s="9">
        <f t="array" ref="EA16">PRODUCT(1 + 預測IC!$C25:DZ25) - 1</f>
        <v>-0.89792143929181278</v>
      </c>
      <c r="EB16" s="9">
        <f t="array" ref="EB16">PRODUCT(1 + 預測IC!$C25:EA25) - 1</f>
        <v>-0.87610438179492589</v>
      </c>
      <c r="EC16" s="9">
        <f t="array" ref="EC16">PRODUCT(1 + 預測IC!$C25:EB25) - 1</f>
        <v>-0.86934900128951875</v>
      </c>
      <c r="ED16" s="9">
        <f t="array" ref="ED16">PRODUCT(1 + 預測IC!$C25:EC25) - 1</f>
        <v>-0.87801771660240902</v>
      </c>
      <c r="EE16" s="9">
        <f t="array" ref="EE16">PRODUCT(1 + 預測IC!$C25:ED25) - 1</f>
        <v>-0.82470805461554186</v>
      </c>
      <c r="EF16" s="9">
        <f t="array" ref="EF16">PRODUCT(1 + 預測IC!$C25:EE25) - 1</f>
        <v>-0.81039388560217263</v>
      </c>
      <c r="EG16" s="9">
        <f t="array" ref="EG16">PRODUCT(1 + 預測IC!$C25:EF25) - 1</f>
        <v>-0.81209175771008946</v>
      </c>
    </row>
    <row r="17" spans="1:138" ht="16" customHeight="1">
      <c r="C17" s="6">
        <v>964</v>
      </c>
      <c r="D17" s="2">
        <v>-0.25797044854899692</v>
      </c>
      <c r="E17" s="9">
        <f t="array" ref="E17">PRODUCT(1 + 預測IC!$C26:D26) - 1</f>
        <v>-0.16112801491469886</v>
      </c>
      <c r="F17" s="9">
        <f t="array" ref="F17">PRODUCT(1 + 預測IC!$C26:E26) - 1</f>
        <v>-0.21787139567421066</v>
      </c>
      <c r="G17" s="9">
        <f t="array" ref="G17">PRODUCT(1 + 預測IC!$C26:F26) - 1</f>
        <v>-0.18366066469648712</v>
      </c>
      <c r="H17" s="9">
        <f t="array" ref="H17">PRODUCT(1 + 預測IC!$C26:G26) - 1</f>
        <v>-9.8675263660616852E-2</v>
      </c>
      <c r="I17" s="9">
        <f t="array" ref="I17">PRODUCT(1 + 預測IC!$C26:H26) - 1</f>
        <v>-0.22041281045663608</v>
      </c>
      <c r="J17" s="9">
        <f t="array" ref="J17">PRODUCT(1 + 預測IC!$C26:I26) - 1</f>
        <v>-0.30070002236167348</v>
      </c>
      <c r="K17" s="9">
        <f t="array" ref="K17">PRODUCT(1 + 預測IC!$C26:J26) - 1</f>
        <v>-8.6114708087176139E-2</v>
      </c>
      <c r="L17" s="9">
        <f t="array" ref="L17">PRODUCT(1 + 預測IC!$C26:K26) - 1</f>
        <v>-7.0624206743896356E-2</v>
      </c>
      <c r="M17" s="9">
        <f t="array" ref="M17">PRODUCT(1 + 預測IC!$C26:L26) - 1</f>
        <v>-0.12780090578768821</v>
      </c>
      <c r="N17" s="9">
        <f t="array" ref="N17">PRODUCT(1 + 預測IC!$C26:M26) - 1</f>
        <v>0.17303576920220354</v>
      </c>
      <c r="O17" s="9">
        <f t="array" ref="O17">PRODUCT(1 + 預測IC!$C26:N26) - 1</f>
        <v>-0.12957279434290647</v>
      </c>
      <c r="P17" s="9">
        <f t="array" ref="P17">PRODUCT(1 + 預測IC!$C26:O26) - 1</f>
        <v>-0.18479247477642924</v>
      </c>
      <c r="Q17" s="9">
        <f t="array" ref="Q17">PRODUCT(1 + 預測IC!$C26:P26) - 1</f>
        <v>-1.4374052855687491E-2</v>
      </c>
      <c r="R17" s="9">
        <f t="array" ref="R17">PRODUCT(1 + 預測IC!$C26:Q26) - 1</f>
        <v>-3.8356402614247997E-2</v>
      </c>
      <c r="S17" s="9">
        <f t="array" ref="S17">PRODUCT(1 + 預測IC!$C26:R26) - 1</f>
        <v>0.24223306608102502</v>
      </c>
      <c r="T17" s="9">
        <f t="array" ref="T17">PRODUCT(1 + 預測IC!$C26:S26) - 1</f>
        <v>-4.4842175160137998E-3</v>
      </c>
      <c r="U17" s="9">
        <f t="array" ref="U17">PRODUCT(1 + 預測IC!$C26:T26) - 1</f>
        <v>0.1089110339227537</v>
      </c>
      <c r="V17" s="9">
        <f t="array" ref="V17">PRODUCT(1 + 預測IC!$C26:U26) - 1</f>
        <v>-7.8713259921656453E-2</v>
      </c>
      <c r="W17" s="9">
        <f t="array" ref="W17">PRODUCT(1 + 預測IC!$C26:V26) - 1</f>
        <v>0.13376107792651237</v>
      </c>
      <c r="X17" s="9">
        <f t="array" ref="X17">PRODUCT(1 + 預測IC!$C26:W26) - 1</f>
        <v>3.3305647999937626E-2</v>
      </c>
      <c r="Y17" s="9">
        <f t="array" ref="Y17">PRODUCT(1 + 預測IC!$C26:X26) - 1</f>
        <v>0.71132051019309617</v>
      </c>
      <c r="Z17" s="9">
        <f t="array" ref="Z17">PRODUCT(1 + 預測IC!$C26:Y26) - 1</f>
        <v>0.68698328604822589</v>
      </c>
      <c r="AA17" s="9">
        <f t="array" ref="AA17">PRODUCT(1 + 預測IC!$C26:Z26) - 1</f>
        <v>1.2278613571450525</v>
      </c>
      <c r="AB17" s="9">
        <f t="array" ref="AB17">PRODUCT(1 + 預測IC!$C26:AA26) - 1</f>
        <v>1.3555757110192466</v>
      </c>
      <c r="AC17" s="9">
        <f t="array" ref="AC17">PRODUCT(1 + 預測IC!$C26:AB26) - 1</f>
        <v>0.90378142255921512</v>
      </c>
      <c r="AD17" s="9">
        <f t="array" ref="AD17">PRODUCT(1 + 預測IC!$C26:AC26) - 1</f>
        <v>0.71183155218070326</v>
      </c>
      <c r="AE17" s="9">
        <f t="array" ref="AE17">PRODUCT(1 + 預測IC!$C26:AD26) - 1</f>
        <v>0.6357633582911808</v>
      </c>
      <c r="AF17" s="9">
        <f t="array" ref="AF17">PRODUCT(1 + 預測IC!$C26:AE26) - 1</f>
        <v>0.98116726572153024</v>
      </c>
      <c r="AG17" s="9">
        <f t="array" ref="AG17">PRODUCT(1 + 預測IC!$C26:AF26) - 1</f>
        <v>0.86570492691075551</v>
      </c>
      <c r="AH17" s="9">
        <f t="array" ref="AH17">PRODUCT(1 + 預測IC!$C26:AG26) - 1</f>
        <v>0.28506551534392877</v>
      </c>
      <c r="AI17" s="9">
        <f t="array" ref="AI17">PRODUCT(1 + 預測IC!$C26:AH26) - 1</f>
        <v>0.44350555946246328</v>
      </c>
      <c r="AJ17" s="9">
        <f t="array" ref="AJ17">PRODUCT(1 + 預測IC!$C26:AI26) - 1</f>
        <v>7.1456455745137371E-2</v>
      </c>
      <c r="AK17" s="9">
        <f t="array" ref="AK17">PRODUCT(1 + 預測IC!$C26:AJ26) - 1</f>
        <v>0.20725127001779331</v>
      </c>
      <c r="AL17" s="9">
        <f t="array" ref="AL17">PRODUCT(1 + 預測IC!$C26:AK26) - 1</f>
        <v>0.45524450175391529</v>
      </c>
      <c r="AM17" s="9">
        <f t="array" ref="AM17">PRODUCT(1 + 預測IC!$C26:AL26) - 1</f>
        <v>0.35913689420973216</v>
      </c>
      <c r="AN17" s="9">
        <f t="array" ref="AN17">PRODUCT(1 + 預測IC!$C26:AM26) - 1</f>
        <v>0.57420570859622466</v>
      </c>
      <c r="AO17" s="9">
        <f t="array" ref="AO17">PRODUCT(1 + 預測IC!$C26:AN26) - 1</f>
        <v>0.71908293296853731</v>
      </c>
      <c r="AP17" s="9">
        <f t="array" ref="AP17">PRODUCT(1 + 預測IC!$C26:AO26) - 1</f>
        <v>0.15197374718181522</v>
      </c>
      <c r="AQ17" s="9">
        <f t="array" ref="AQ17">PRODUCT(1 + 預測IC!$C26:AP26) - 1</f>
        <v>8.4606392674834163E-2</v>
      </c>
      <c r="AR17" s="9">
        <f t="array" ref="AR17">PRODUCT(1 + 預測IC!$C26:AQ26) - 1</f>
        <v>6.1637457539053919E-2</v>
      </c>
      <c r="AS17" s="9">
        <f t="array" ref="AS17">PRODUCT(1 + 預測IC!$C26:AR26) - 1</f>
        <v>-0.38650548905199134</v>
      </c>
      <c r="AT17" s="9">
        <f t="array" ref="AT17">PRODUCT(1 + 預測IC!$C26:AS26) - 1</f>
        <v>-0.27367655325241869</v>
      </c>
      <c r="AU17" s="9">
        <f t="array" ref="AU17">PRODUCT(1 + 預測IC!$C26:AT26) - 1</f>
        <v>-0.90548984170516034</v>
      </c>
      <c r="AV17" s="9">
        <f t="array" ref="AV17">PRODUCT(1 + 預測IC!$C26:AU26) - 1</f>
        <v>-0.92767761461289389</v>
      </c>
      <c r="AW17" s="9">
        <f t="array" ref="AW17">PRODUCT(1 + 預測IC!$C26:AV26) - 1</f>
        <v>-0.93550012227591317</v>
      </c>
      <c r="AX17" s="9">
        <f t="array" ref="AX17">PRODUCT(1 + 預測IC!$C26:AW26) - 1</f>
        <v>-0.92804060423535628</v>
      </c>
      <c r="AY17" s="9">
        <f t="array" ref="AY17">PRODUCT(1 + 預測IC!$C26:AX26) - 1</f>
        <v>-0.90842697005876405</v>
      </c>
      <c r="AZ17" s="9">
        <f t="array" ref="AZ17">PRODUCT(1 + 預測IC!$C26:AY26) - 1</f>
        <v>-0.85317545441132203</v>
      </c>
      <c r="BA17" s="9">
        <f t="array" ref="BA17">PRODUCT(1 + 預測IC!$C26:AZ26) - 1</f>
        <v>-0.86219174833153422</v>
      </c>
      <c r="BB17" s="9">
        <f t="array" ref="BB17">PRODUCT(1 + 預測IC!$C26:BA26) - 1</f>
        <v>-0.92171980956434618</v>
      </c>
      <c r="BC17" s="9">
        <f t="array" ref="BC17">PRODUCT(1 + 預測IC!$C26:BB26) - 1</f>
        <v>-0.92857198442068256</v>
      </c>
      <c r="BD17" s="9">
        <f t="array" ref="BD17">PRODUCT(1 + 預測IC!$C26:BC26) - 1</f>
        <v>-0.91914990370708749</v>
      </c>
      <c r="BE17" s="9">
        <f t="array" ref="BE17">PRODUCT(1 + 預測IC!$C26:BD26) - 1</f>
        <v>-0.90426955712360046</v>
      </c>
      <c r="BF17" s="9">
        <f t="array" ref="BF17">PRODUCT(1 + 預測IC!$C26:BE26) - 1</f>
        <v>-0.89765055949031813</v>
      </c>
      <c r="BG17" s="9">
        <f t="array" ref="BG17">PRODUCT(1 + 預測IC!$C26:BF26) - 1</f>
        <v>-0.9226934857354081</v>
      </c>
      <c r="BH17" s="9">
        <f t="array" ref="BH17">PRODUCT(1 + 預測IC!$C26:BG26) - 1</f>
        <v>-0.87905902137207959</v>
      </c>
      <c r="BI17" s="9">
        <f t="array" ref="BI17">PRODUCT(1 + 預測IC!$C26:BH26) - 1</f>
        <v>-0.8538496822094177</v>
      </c>
      <c r="BJ17" s="9">
        <f t="array" ref="BJ17">PRODUCT(1 + 預測IC!$C26:BI26) - 1</f>
        <v>-0.87042560249655421</v>
      </c>
      <c r="BK17" s="9">
        <f t="array" ref="BK17">PRODUCT(1 + 預測IC!$C26:BJ26) - 1</f>
        <v>-0.89101994889761904</v>
      </c>
      <c r="BL17" s="9">
        <f t="array" ref="BL17">PRODUCT(1 + 預測IC!$C26:BK26) - 1</f>
        <v>-0.88032493444283444</v>
      </c>
      <c r="BM17" s="9">
        <f t="array" ref="BM17">PRODUCT(1 + 預測IC!$C26:BL26) - 1</f>
        <v>-0.88821663082627678</v>
      </c>
      <c r="BN17" s="9">
        <f t="array" ref="BN17">PRODUCT(1 + 預測IC!$C26:BM26) - 1</f>
        <v>-0.89310446623559758</v>
      </c>
      <c r="BO17" s="9">
        <f t="array" ref="BO17">PRODUCT(1 + 預測IC!$C26:BN26) - 1</f>
        <v>-0.8958700770871052</v>
      </c>
      <c r="BP17" s="9">
        <f t="array" ref="BP17">PRODUCT(1 + 預測IC!$C26:BO26) - 1</f>
        <v>-0.90982019209473186</v>
      </c>
      <c r="BQ17" s="9">
        <f t="array" ref="BQ17">PRODUCT(1 + 預測IC!$C26:BP26) - 1</f>
        <v>-0.88106347180422584</v>
      </c>
      <c r="BR17" s="9">
        <f t="array" ref="BR17">PRODUCT(1 + 預測IC!$C26:BQ26) - 1</f>
        <v>-0.88617360115308275</v>
      </c>
      <c r="BS17" s="9">
        <f t="array" ref="BS17">PRODUCT(1 + 預測IC!$C26:BR26) - 1</f>
        <v>-0.90314574548612658</v>
      </c>
      <c r="BT17" s="9">
        <f t="array" ref="BT17">PRODUCT(1 + 預測IC!$C26:BS26) - 1</f>
        <v>-0.90316611342021713</v>
      </c>
      <c r="BU17" s="9">
        <f t="array" ref="BU17">PRODUCT(1 + 預測IC!$C26:BT26) - 1</f>
        <v>-0.90534140867958013</v>
      </c>
      <c r="BV17" s="9">
        <f t="array" ref="BV17">PRODUCT(1 + 預測IC!$C26:BU26) - 1</f>
        <v>-0.92150334737986217</v>
      </c>
      <c r="BW17" s="9">
        <f t="array" ref="BW17">PRODUCT(1 + 預測IC!$C26:BV26) - 1</f>
        <v>-0.91212774158885435</v>
      </c>
      <c r="BX17" s="9">
        <f t="array" ref="BX17">PRODUCT(1 + 預測IC!$C26:BW26) - 1</f>
        <v>-0.91339413712754469</v>
      </c>
      <c r="BY17" s="9">
        <f t="array" ref="BY17">PRODUCT(1 + 預測IC!$C26:BX26) - 1</f>
        <v>-0.90427499257721866</v>
      </c>
      <c r="BZ17" s="9">
        <f t="array" ref="BZ17">PRODUCT(1 + 預測IC!$C26:BY26) - 1</f>
        <v>-0.87507919073496421</v>
      </c>
      <c r="CA17" s="9">
        <f t="array" ref="CA17">PRODUCT(1 + 預測IC!$C26:BZ26) - 1</f>
        <v>-0.88904426363987588</v>
      </c>
      <c r="CB17" s="9">
        <f t="array" ref="CB17">PRODUCT(1 + 預測IC!$C26:CA26) - 1</f>
        <v>-0.88882401813111866</v>
      </c>
      <c r="CC17" s="9">
        <f t="array" ref="CC17">PRODUCT(1 + 預測IC!$C26:CB26) - 1</f>
        <v>-0.90009026717164431</v>
      </c>
      <c r="CD17" s="9">
        <f t="array" ref="CD17">PRODUCT(1 + 預測IC!$C26:CC26) - 1</f>
        <v>-0.92095335582043125</v>
      </c>
      <c r="CE17" s="9">
        <f t="array" ref="CE17">PRODUCT(1 + 預測IC!$C26:CD26) - 1</f>
        <v>-0.92116864952548383</v>
      </c>
      <c r="CF17" s="9">
        <f t="array" ref="CF17">PRODUCT(1 + 預測IC!$C26:CE26) - 1</f>
        <v>-0.91187120429111135</v>
      </c>
      <c r="CG17" s="9">
        <f t="array" ref="CG17">PRODUCT(1 + 預測IC!$C26:CF26) - 1</f>
        <v>-0.91345050691835139</v>
      </c>
      <c r="CH17" s="9">
        <f t="array" ref="CH17">PRODUCT(1 + 預測IC!$C26:CG26) - 1</f>
        <v>-0.91593291784992115</v>
      </c>
      <c r="CI17" s="9">
        <f t="array" ref="CI17">PRODUCT(1 + 預測IC!$C26:CH26) - 1</f>
        <v>-0.92428004841955236</v>
      </c>
      <c r="CJ17" s="9">
        <f t="array" ref="CJ17">PRODUCT(1 + 預測IC!$C26:CI26) - 1</f>
        <v>-0.89440053149899923</v>
      </c>
      <c r="CK17" s="9">
        <f t="array" ref="CK17">PRODUCT(1 + 預測IC!$C26:CJ26) - 1</f>
        <v>-0.85817222694777584</v>
      </c>
      <c r="CL17" s="9">
        <f t="array" ref="CL17">PRODUCT(1 + 預測IC!$C26:CK26) - 1</f>
        <v>-0.86508420121873808</v>
      </c>
      <c r="CM17" s="9">
        <f t="array" ref="CM17">PRODUCT(1 + 預測IC!$C26:CL26) - 1</f>
        <v>-0.88190430426008759</v>
      </c>
      <c r="CN17" s="9">
        <f t="array" ref="CN17">PRODUCT(1 + 預測IC!$C26:CM26) - 1</f>
        <v>-0.90763119226210176</v>
      </c>
      <c r="CO17" s="9">
        <f t="array" ref="CO17">PRODUCT(1 + 預測IC!$C26:CN26) - 1</f>
        <v>-0.94743600234487291</v>
      </c>
      <c r="CP17" s="9">
        <f t="array" ref="CP17">PRODUCT(1 + 預測IC!$C26:CO26) - 1</f>
        <v>-0.91747815215254869</v>
      </c>
      <c r="CQ17" s="9">
        <f t="array" ref="CQ17">PRODUCT(1 + 預測IC!$C26:CP26) - 1</f>
        <v>-0.89553105009114664</v>
      </c>
      <c r="CR17" s="9">
        <f t="array" ref="CR17">PRODUCT(1 + 預測IC!$C26:CQ26) - 1</f>
        <v>-0.9225764881429418</v>
      </c>
      <c r="CS17" s="9">
        <f t="array" ref="CS17">PRODUCT(1 + 預測IC!$C26:CR26) - 1</f>
        <v>-0.93004344483837553</v>
      </c>
      <c r="CT17" s="9">
        <f t="array" ref="CT17">PRODUCT(1 + 預測IC!$C26:CS26) - 1</f>
        <v>-0.94021273896151203</v>
      </c>
      <c r="CU17" s="9">
        <f t="array" ref="CU17">PRODUCT(1 + 預測IC!$C26:CT26) - 1</f>
        <v>-0.93582795048396938</v>
      </c>
      <c r="CV17" s="9">
        <f t="array" ref="CV17">PRODUCT(1 + 預測IC!$C26:CU26) - 1</f>
        <v>-0.92808194139619227</v>
      </c>
      <c r="CW17" s="9">
        <f t="array" ref="CW17">PRODUCT(1 + 預測IC!$C26:CV26) - 1</f>
        <v>-0.9383827338093762</v>
      </c>
      <c r="CX17" s="9">
        <f t="array" ref="CX17">PRODUCT(1 + 預測IC!$C26:CW26) - 1</f>
        <v>-0.94066511570654343</v>
      </c>
      <c r="CY17" s="9">
        <f t="array" ref="CY17">PRODUCT(1 + 預測IC!$C26:CX26) - 1</f>
        <v>-0.94003381955375842</v>
      </c>
      <c r="CZ17" s="9">
        <f t="array" ref="CZ17">PRODUCT(1 + 預測IC!$C26:CY26) - 1</f>
        <v>-0.93268784860473697</v>
      </c>
      <c r="DA17" s="9">
        <f t="array" ref="DA17">PRODUCT(1 + 預測IC!$C26:CZ26) - 1</f>
        <v>-0.94553419641693492</v>
      </c>
      <c r="DB17" s="9">
        <f t="array" ref="DB17">PRODUCT(1 + 預測IC!$C26:DA26) - 1</f>
        <v>-0.94432140624683281</v>
      </c>
      <c r="DC17" s="9">
        <f t="array" ref="DC17">PRODUCT(1 + 預測IC!$C26:DB26) - 1</f>
        <v>-0.92979407087835064</v>
      </c>
      <c r="DD17" s="9">
        <f t="array" ref="DD17">PRODUCT(1 + 預測IC!$C26:DC26) - 1</f>
        <v>-0.93331456910083621</v>
      </c>
      <c r="DE17" s="9">
        <f t="array" ref="DE17">PRODUCT(1 + 預測IC!$C26:DD26) - 1</f>
        <v>-0.94321434290116346</v>
      </c>
      <c r="DF17" s="9">
        <f t="array" ref="DF17">PRODUCT(1 + 預測IC!$C26:DE26) - 1</f>
        <v>-0.94243462828458147</v>
      </c>
      <c r="DG17" s="9">
        <f t="array" ref="DG17">PRODUCT(1 + 預測IC!$C26:DF26) - 1</f>
        <v>-0.95292299333718877</v>
      </c>
      <c r="DH17" s="9">
        <f t="array" ref="DH17">PRODUCT(1 + 預測IC!$C26:DG26) - 1</f>
        <v>-0.95967515675105486</v>
      </c>
      <c r="DI17" s="9">
        <f t="array" ref="DI17">PRODUCT(1 + 預測IC!$C26:DH26) - 1</f>
        <v>-0.95744276726045185</v>
      </c>
      <c r="DJ17" s="9">
        <f t="array" ref="DJ17">PRODUCT(1 + 預測IC!$C26:DI26) - 1</f>
        <v>-0.96549663060175739</v>
      </c>
      <c r="DK17" s="9">
        <f t="array" ref="DK17">PRODUCT(1 + 預測IC!$C26:DJ26) - 1</f>
        <v>-0.96420703098457472</v>
      </c>
      <c r="DL17" s="9">
        <f t="array" ref="DL17">PRODUCT(1 + 預測IC!$C26:DK26) - 1</f>
        <v>-0.97079060121619909</v>
      </c>
      <c r="DM17" s="9">
        <f t="array" ref="DM17">PRODUCT(1 + 預測IC!$C26:DL26) - 1</f>
        <v>-0.97021566200420595</v>
      </c>
      <c r="DN17" s="9">
        <f t="array" ref="DN17">PRODUCT(1 + 預測IC!$C26:DM26) - 1</f>
        <v>-0.97156708872460629</v>
      </c>
      <c r="DO17" s="9">
        <f t="array" ref="DO17">PRODUCT(1 + 預測IC!$C26:DN26) - 1</f>
        <v>-0.95287902060884522</v>
      </c>
      <c r="DP17" s="9">
        <f t="array" ref="DP17">PRODUCT(1 + 預測IC!$C26:DO26) - 1</f>
        <v>-0.95364727058060805</v>
      </c>
      <c r="DQ17" s="9">
        <f t="array" ref="DQ17">PRODUCT(1 + 預測IC!$C26:DP26) - 1</f>
        <v>-0.96110722687846295</v>
      </c>
      <c r="DR17" s="9">
        <f t="array" ref="DR17">PRODUCT(1 + 預測IC!$C26:DQ26) - 1</f>
        <v>-0.95986939195028287</v>
      </c>
      <c r="DS17" s="9">
        <f t="array" ref="DS17">PRODUCT(1 + 預測IC!$C26:DR26) - 1</f>
        <v>-0.94535200893411298</v>
      </c>
      <c r="DT17" s="9">
        <f t="array" ref="DT17">PRODUCT(1 + 預測IC!$C26:DS26) - 1</f>
        <v>-0.9276760093079357</v>
      </c>
      <c r="DU17" s="9">
        <f t="array" ref="DU17">PRODUCT(1 + 預測IC!$C26:DT26) - 1</f>
        <v>-0.91341065594053328</v>
      </c>
      <c r="DV17" s="9">
        <f t="array" ref="DV17">PRODUCT(1 + 預測IC!$C26:DU26) - 1</f>
        <v>-0.88021369450874243</v>
      </c>
      <c r="DW17" s="9">
        <f t="array" ref="DW17">PRODUCT(1 + 預測IC!$C26:DV26) - 1</f>
        <v>-0.88110219481178675</v>
      </c>
      <c r="DX17" s="9">
        <f t="array" ref="DX17">PRODUCT(1 + 預測IC!$C26:DW26) - 1</f>
        <v>-0.79784037121692086</v>
      </c>
      <c r="DY17" s="9">
        <f t="array" ref="DY17">PRODUCT(1 + 預測IC!$C26:DX26) - 1</f>
        <v>-0.89268129068271973</v>
      </c>
      <c r="DZ17" s="9">
        <f t="array" ref="DZ17">PRODUCT(1 + 預測IC!$C26:DY26) - 1</f>
        <v>-0.92026948218228211</v>
      </c>
      <c r="EA17" s="9">
        <f t="array" ref="EA17">PRODUCT(1 + 預測IC!$C26:DZ26) - 1</f>
        <v>-0.90378057284915081</v>
      </c>
      <c r="EB17" s="9">
        <f t="array" ref="EB17">PRODUCT(1 + 預測IC!$C26:EA26) - 1</f>
        <v>-0.89524527558622702</v>
      </c>
      <c r="EC17" s="9">
        <f t="array" ref="EC17">PRODUCT(1 + 預測IC!$C26:EB26) - 1</f>
        <v>-0.87619766753898132</v>
      </c>
      <c r="ED17" s="9">
        <f t="array" ref="ED17">PRODUCT(1 + 預測IC!$C26:EC26) - 1</f>
        <v>-0.86982992296912964</v>
      </c>
      <c r="EE17" s="9">
        <f t="array" ref="EE17">PRODUCT(1 + 預測IC!$C26:ED26) - 1</f>
        <v>-0.85638627024932956</v>
      </c>
      <c r="EF17" s="9">
        <f t="array" ref="EF17">PRODUCT(1 + 預測IC!$C26:EE26) - 1</f>
        <v>-0.84846092455539146</v>
      </c>
      <c r="EG17" s="9">
        <f t="array" ref="EG17">PRODUCT(1 + 預測IC!$C26:EF26) - 1</f>
        <v>-0.85415663897018224</v>
      </c>
    </row>
    <row r="18" spans="1:138" ht="16" customHeight="1">
      <c r="C18" s="34" t="s">
        <v>147</v>
      </c>
      <c r="D18" s="20">
        <v>-1.7446770539390338E-2</v>
      </c>
      <c r="E18" s="27">
        <f t="array" ref="E18">PRODUCT(1 + 預測IC!$C27:D27) - 1</f>
        <v>2.893123339404724E-3</v>
      </c>
      <c r="F18" s="27">
        <f t="array" ref="F18">PRODUCT(1 + 預測IC!$C27:E27) - 1</f>
        <v>2.6944635852046872E-2</v>
      </c>
      <c r="G18" s="27">
        <f t="array" ref="G18">PRODUCT(1 + 預測IC!$C27:F27) - 1</f>
        <v>2.0210365301730038E-2</v>
      </c>
      <c r="H18" s="27">
        <f t="array" ref="H18">PRODUCT(1 + 預測IC!$C27:G27) - 1</f>
        <v>5.269909680859941E-2</v>
      </c>
      <c r="I18" s="27">
        <f t="array" ref="I18">PRODUCT(1 + 預測IC!$C27:H27) - 1</f>
        <v>8.8857766197530053E-2</v>
      </c>
      <c r="J18" s="27">
        <f t="array" ref="J18">PRODUCT(1 + 預測IC!$C27:I27) - 1</f>
        <v>7.9869318529145472E-2</v>
      </c>
      <c r="K18" s="27">
        <f t="array" ref="K18">PRODUCT(1 + 預測IC!$C27:J27) - 1</f>
        <v>9.3738646464063713E-2</v>
      </c>
      <c r="L18" s="27">
        <f t="array" ref="L18">PRODUCT(1 + 預測IC!$C27:K27) - 1</f>
        <v>3.7937714394164157E-2</v>
      </c>
      <c r="M18" s="27">
        <f t="array" ref="M18">PRODUCT(1 + 預測IC!$C27:L27) - 1</f>
        <v>3.8844812525307137E-2</v>
      </c>
      <c r="N18" s="27">
        <f t="array" ref="N18">PRODUCT(1 + 預測IC!$C27:M27) - 1</f>
        <v>6.3142951706360639E-2</v>
      </c>
      <c r="O18" s="27">
        <f t="array" ref="O18">PRODUCT(1 + 預測IC!$C27:N27) - 1</f>
        <v>7.6952085951054405E-2</v>
      </c>
      <c r="P18" s="27">
        <f t="array" ref="P18">PRODUCT(1 + 預測IC!$C27:O27) - 1</f>
        <v>8.3257197491512391E-2</v>
      </c>
      <c r="Q18" s="27">
        <f t="array" ref="Q18">PRODUCT(1 + 預測IC!$C27:P27) - 1</f>
        <v>0.11295275081672607</v>
      </c>
      <c r="R18" s="27">
        <f t="array" ref="R18">PRODUCT(1 + 預測IC!$C27:Q27) - 1</f>
        <v>0.10882042835093308</v>
      </c>
      <c r="S18" s="27">
        <f t="array" ref="S18">PRODUCT(1 + 預測IC!$C27:R27) - 1</f>
        <v>0.13551706985268064</v>
      </c>
      <c r="T18" s="27">
        <f t="array" ref="T18">PRODUCT(1 + 預測IC!$C27:S27) - 1</f>
        <v>0.12167508804368476</v>
      </c>
      <c r="U18" s="27">
        <f t="array" ref="U18">PRODUCT(1 + 預測IC!$C27:T27) - 1</f>
        <v>7.7088976461827885E-2</v>
      </c>
      <c r="V18" s="27">
        <f t="array" ref="V18">PRODUCT(1 + 預測IC!$C27:U27) - 1</f>
        <v>-1.7059521199481731E-3</v>
      </c>
      <c r="W18" s="27">
        <f t="array" ref="W18">PRODUCT(1 + 預測IC!$C27:V27) - 1</f>
        <v>-5.9866792867339091E-2</v>
      </c>
      <c r="X18" s="27">
        <f t="array" ref="X18">PRODUCT(1 + 預測IC!$C27:W27) - 1</f>
        <v>-5.9140260213613516E-2</v>
      </c>
      <c r="Y18" s="27">
        <f t="array" ref="Y18">PRODUCT(1 + 預測IC!$C27:X27) - 1</f>
        <v>-1.7185893241652206E-2</v>
      </c>
      <c r="Z18" s="27">
        <f t="array" ref="Z18">PRODUCT(1 + 預測IC!$C27:Y27) - 1</f>
        <v>-4.4409529547694393E-2</v>
      </c>
      <c r="AA18" s="27">
        <f t="array" ref="AA18">PRODUCT(1 + 預測IC!$C27:Z27) - 1</f>
        <v>-4.2407561826578566E-2</v>
      </c>
      <c r="AB18" s="27">
        <f t="array" ref="AB18">PRODUCT(1 + 預測IC!$C27:AA27) - 1</f>
        <v>-6.481575250614946E-2</v>
      </c>
      <c r="AC18" s="27">
        <f t="array" ref="AC18">PRODUCT(1 + 預測IC!$C27:AB27) - 1</f>
        <v>-3.4768870774049443E-2</v>
      </c>
      <c r="AD18" s="27">
        <f t="array" ref="AD18">PRODUCT(1 + 預測IC!$C27:AC27) - 1</f>
        <v>2.7817794451217015E-3</v>
      </c>
      <c r="AE18" s="27">
        <f t="array" ref="AE18">PRODUCT(1 + 預測IC!$C27:AD27) - 1</f>
        <v>-4.0202844765013457E-2</v>
      </c>
      <c r="AF18" s="27">
        <f t="array" ref="AF18">PRODUCT(1 + 預測IC!$C27:AE27) - 1</f>
        <v>-2.2305320482664204E-2</v>
      </c>
      <c r="AG18" s="27">
        <f t="array" ref="AG18">PRODUCT(1 + 預測IC!$C27:AF27) - 1</f>
        <v>-7.4152570234460313E-3</v>
      </c>
      <c r="AH18" s="27">
        <f t="array" ref="AH18">PRODUCT(1 + 預測IC!$C27:AG27) - 1</f>
        <v>2.8334274381314417E-2</v>
      </c>
      <c r="AI18" s="27">
        <f t="array" ref="AI18">PRODUCT(1 + 預測IC!$C27:AH27) - 1</f>
        <v>3.7953941892352683E-2</v>
      </c>
      <c r="AJ18" s="27">
        <f t="array" ref="AJ18">PRODUCT(1 + 預測IC!$C27:AI27) - 1</f>
        <v>4.9110131735873752E-2</v>
      </c>
      <c r="AK18" s="27">
        <f t="array" ref="AK18">PRODUCT(1 + 預測IC!$C27:AJ27) - 1</f>
        <v>6.3123886850196875E-2</v>
      </c>
      <c r="AL18" s="27">
        <f t="array" ref="AL18">PRODUCT(1 + 預測IC!$C27:AK27) - 1</f>
        <v>5.7454515782098925E-2</v>
      </c>
      <c r="AM18" s="27">
        <f t="array" ref="AM18">PRODUCT(1 + 預測IC!$C27:AL27) - 1</f>
        <v>5.8917118987427575E-2</v>
      </c>
      <c r="AN18" s="27">
        <f t="array" ref="AN18">PRODUCT(1 + 預測IC!$C27:AM27) - 1</f>
        <v>8.0938283596681648E-2</v>
      </c>
      <c r="AO18" s="27">
        <f t="array" ref="AO18">PRODUCT(1 + 預測IC!$C27:AN27) - 1</f>
        <v>0.11500697453770203</v>
      </c>
      <c r="AP18" s="27">
        <f t="array" ref="AP18">PRODUCT(1 + 預測IC!$C27:AO27) - 1</f>
        <v>0.12196653200545171</v>
      </c>
      <c r="AQ18" s="27">
        <f t="array" ref="AQ18">PRODUCT(1 + 預測IC!$C27:AP27) - 1</f>
        <v>0.12886130991117528</v>
      </c>
      <c r="AR18" s="27">
        <f t="array" ref="AR18">PRODUCT(1 + 預測IC!$C27:AQ27) - 1</f>
        <v>0.14799139743631429</v>
      </c>
      <c r="AS18" s="27">
        <f t="array" ref="AS18">PRODUCT(1 + 預測IC!$C27:AR27) - 1</f>
        <v>0.18780698843660248</v>
      </c>
      <c r="AT18" s="27">
        <f t="array" ref="AT18">PRODUCT(1 + 預測IC!$C27:AS27) - 1</f>
        <v>0.19148751365039929</v>
      </c>
      <c r="AU18" s="27">
        <f t="array" ref="AU18">PRODUCT(1 + 預測IC!$C27:AT27) - 1</f>
        <v>0.20945675046088996</v>
      </c>
      <c r="AV18" s="27">
        <f t="array" ref="AV18">PRODUCT(1 + 預測IC!$C27:AU27) - 1</f>
        <v>0.18617324550329584</v>
      </c>
      <c r="AW18" s="27">
        <f t="array" ref="AW18">PRODUCT(1 + 預測IC!$C27:AV27) - 1</f>
        <v>0.23209180697664689</v>
      </c>
      <c r="AX18" s="27">
        <f t="array" ref="AX18">PRODUCT(1 + 預測IC!$C27:AW27) - 1</f>
        <v>0.20516203655681697</v>
      </c>
      <c r="AY18" s="27">
        <f t="array" ref="AY18">PRODUCT(1 + 預測IC!$C27:AX27) - 1</f>
        <v>0.21453132863303215</v>
      </c>
      <c r="AZ18" s="27">
        <f t="array" ref="AZ18">PRODUCT(1 + 預測IC!$C27:AY27) - 1</f>
        <v>0.2660241129922889</v>
      </c>
      <c r="BA18" s="27">
        <f t="array" ref="BA18">PRODUCT(1 + 預測IC!$C27:AZ27) - 1</f>
        <v>0.23271631642995261</v>
      </c>
      <c r="BB18" s="27">
        <f t="array" ref="BB18">PRODUCT(1 + 預測IC!$C27:BA27) - 1</f>
        <v>0.24451556797958407</v>
      </c>
      <c r="BC18" s="27">
        <f t="array" ref="BC18">PRODUCT(1 + 預測IC!$C27:BB27) - 1</f>
        <v>0.21433638745422812</v>
      </c>
      <c r="BD18" s="27">
        <f t="array" ref="BD18">PRODUCT(1 + 預測IC!$C27:BC27) - 1</f>
        <v>0.23882150637103883</v>
      </c>
      <c r="BE18" s="27">
        <f t="array" ref="BE18">PRODUCT(1 + 預測IC!$C27:BD27) - 1</f>
        <v>0.23447943849994912</v>
      </c>
      <c r="BF18" s="27">
        <f t="array" ref="BF18">PRODUCT(1 + 預測IC!$C27:BE27) - 1</f>
        <v>0.25935658802508499</v>
      </c>
      <c r="BG18" s="27">
        <f t="array" ref="BG18">PRODUCT(1 + 預測IC!$C27:BF27) - 1</f>
        <v>0.26008869763716325</v>
      </c>
      <c r="BH18" s="27">
        <f t="array" ref="BH18">PRODUCT(1 + 預測IC!$C27:BG27) - 1</f>
        <v>0.2535114114609236</v>
      </c>
      <c r="BI18" s="27">
        <f t="array" ref="BI18">PRODUCT(1 + 預測IC!$C27:BH27) - 1</f>
        <v>0.10826483627727623</v>
      </c>
      <c r="BJ18" s="27">
        <f t="array" ref="BJ18">PRODUCT(1 + 預測IC!$C27:BI27) - 1</f>
        <v>0.11793469710078752</v>
      </c>
      <c r="BK18" s="27">
        <f t="array" ref="BK18">PRODUCT(1 + 預測IC!$C27:BJ27) - 1</f>
        <v>9.9625988810205346E-2</v>
      </c>
      <c r="BL18" s="27">
        <f t="array" ref="BL18">PRODUCT(1 + 預測IC!$C27:BK27) - 1</f>
        <v>0.12254260303831388</v>
      </c>
      <c r="BM18" s="27">
        <f t="array" ref="BM18">PRODUCT(1 + 預測IC!$C27:BL27) - 1</f>
        <v>0.17302993558173996</v>
      </c>
      <c r="BN18" s="27">
        <f t="array" ref="BN18">PRODUCT(1 + 預測IC!$C27:BM27) - 1</f>
        <v>0.20112905370185397</v>
      </c>
      <c r="BO18" s="27">
        <f t="array" ref="BO18">PRODUCT(1 + 預測IC!$C27:BN27) - 1</f>
        <v>0.23745011694095197</v>
      </c>
      <c r="BP18" s="27">
        <f t="array" ref="BP18">PRODUCT(1 + 預測IC!$C27:BO27) - 1</f>
        <v>0.18334151222801376</v>
      </c>
      <c r="BQ18" s="27">
        <f t="array" ref="BQ18">PRODUCT(1 + 預測IC!$C27:BP27) - 1</f>
        <v>0.20924423024871497</v>
      </c>
      <c r="BR18" s="27">
        <f t="array" ref="BR18">PRODUCT(1 + 預測IC!$C27:BQ27) - 1</f>
        <v>0.21967690051673561</v>
      </c>
      <c r="BS18" s="27">
        <f t="array" ref="BS18">PRODUCT(1 + 預測IC!$C27:BR27) - 1</f>
        <v>0.1962676978767699</v>
      </c>
      <c r="BT18" s="27">
        <f t="array" ref="BT18">PRODUCT(1 + 預測IC!$C27:BS27) - 1</f>
        <v>0.21987619627534571</v>
      </c>
      <c r="BU18" s="27">
        <f t="array" ref="BU18">PRODUCT(1 + 預測IC!$C27:BT27) - 1</f>
        <v>0.27805738326883356</v>
      </c>
      <c r="BV18" s="27">
        <f t="array" ref="BV18">PRODUCT(1 + 預測IC!$C27:BU27) - 1</f>
        <v>0.29269729646247922</v>
      </c>
      <c r="BW18" s="27">
        <f t="array" ref="BW18">PRODUCT(1 + 預測IC!$C27:BV27) - 1</f>
        <v>0.34857881761669129</v>
      </c>
      <c r="BX18" s="27">
        <f t="array" ref="BX18">PRODUCT(1 + 預測IC!$C27:BW27) - 1</f>
        <v>0.2909305384219143</v>
      </c>
      <c r="BY18" s="27">
        <f t="array" ref="BY18">PRODUCT(1 + 預測IC!$C27:BX27) - 1</f>
        <v>0.26793739709811137</v>
      </c>
      <c r="BZ18" s="27">
        <f t="array" ref="BZ18">PRODUCT(1 + 預測IC!$C27:BY27) - 1</f>
        <v>7.628473289061688E-2</v>
      </c>
      <c r="CA18" s="27">
        <f t="array" ref="CA18">PRODUCT(1 + 預測IC!$C27:BZ27) - 1</f>
        <v>0.20998513144491437</v>
      </c>
      <c r="CB18" s="27">
        <f t="array" ref="CB18">PRODUCT(1 + 預測IC!$C27:CA27) - 1</f>
        <v>0.20447092205281336</v>
      </c>
      <c r="CC18" s="27">
        <f t="array" ref="CC18">PRODUCT(1 + 預測IC!$C27:CB27) - 1</f>
        <v>0.27699361006036605</v>
      </c>
      <c r="CD18" s="27">
        <f t="array" ref="CD18">PRODUCT(1 + 預測IC!$C27:CC27) - 1</f>
        <v>0.38680488733361829</v>
      </c>
      <c r="CE18" s="27">
        <f t="array" ref="CE18">PRODUCT(1 + 預測IC!$C27:CD27) - 1</f>
        <v>0.37874965946081551</v>
      </c>
      <c r="CF18" s="27">
        <f t="array" ref="CF18">PRODUCT(1 + 預測IC!$C27:CE27) - 1</f>
        <v>0.37042015435709108</v>
      </c>
      <c r="CG18" s="27">
        <f t="array" ref="CG18">PRODUCT(1 + 預測IC!$C27:CF27) - 1</f>
        <v>0.37378086910184649</v>
      </c>
      <c r="CH18" s="27">
        <f t="array" ref="CH18">PRODUCT(1 + 預測IC!$C27:CG27) - 1</f>
        <v>0.49692143719092186</v>
      </c>
      <c r="CI18" s="27">
        <f t="array" ref="CI18">PRODUCT(1 + 預測IC!$C27:CH27) - 1</f>
        <v>0.603191980394987</v>
      </c>
      <c r="CJ18" s="27">
        <f t="array" ref="CJ18">PRODUCT(1 + 預測IC!$C27:CI27) - 1</f>
        <v>0.64675173719730239</v>
      </c>
      <c r="CK18" s="27">
        <f t="array" ref="CK18">PRODUCT(1 + 預測IC!$C27:CJ27) - 1</f>
        <v>0.73315421285472704</v>
      </c>
      <c r="CL18" s="27">
        <f t="array" ref="CL18">PRODUCT(1 + 預測IC!$C27:CK27) - 1</f>
        <v>0.7842487445659152</v>
      </c>
      <c r="CM18" s="27">
        <f t="array" ref="CM18">PRODUCT(1 + 預測IC!$C27:CL27) - 1</f>
        <v>0.90348131155309508</v>
      </c>
      <c r="CN18" s="27">
        <f t="array" ref="CN18">PRODUCT(1 + 預測IC!$C27:CM27) - 1</f>
        <v>0.8487139113221478</v>
      </c>
      <c r="CO18" s="27">
        <f t="array" ref="CO18">PRODUCT(1 + 預測IC!$C27:CN27) - 1</f>
        <v>0.92166881344527685</v>
      </c>
      <c r="CP18" s="27">
        <f t="array" ref="CP18">PRODUCT(1 + 預測IC!$C27:CO27) - 1</f>
        <v>0.86588067898046694</v>
      </c>
      <c r="CQ18" s="27">
        <f t="array" ref="CQ18">PRODUCT(1 + 預測IC!$C27:CP27) - 1</f>
        <v>0.89197293519067467</v>
      </c>
      <c r="CR18" s="27">
        <f t="array" ref="CR18">PRODUCT(1 + 預測IC!$C27:CQ27) - 1</f>
        <v>0.83090579105751727</v>
      </c>
      <c r="CS18" s="27">
        <f t="array" ref="CS18">PRODUCT(1 + 預測IC!$C27:CR27) - 1</f>
        <v>0.83658814745105547</v>
      </c>
      <c r="CT18" s="27">
        <f t="array" ref="CT18">PRODUCT(1 + 預測IC!$C27:CS27) - 1</f>
        <v>0.88358984642415717</v>
      </c>
      <c r="CU18" s="27">
        <f t="array" ref="CU18">PRODUCT(1 + 預測IC!$C27:CT27) - 1</f>
        <v>0.9672059526983301</v>
      </c>
      <c r="CV18" s="27">
        <f t="array" ref="CV18">PRODUCT(1 + 預測IC!$C27:CU27) - 1</f>
        <v>0.90752297284093331</v>
      </c>
      <c r="CW18" s="27">
        <f t="array" ref="CW18">PRODUCT(1 + 預測IC!$C27:CV27) - 1</f>
        <v>0.90512335385454468</v>
      </c>
      <c r="CX18" s="27">
        <f t="array" ref="CX18">PRODUCT(1 + 預測IC!$C27:CW27) - 1</f>
        <v>0.90957440110152876</v>
      </c>
      <c r="CY18" s="27">
        <f t="array" ref="CY18">PRODUCT(1 + 預測IC!$C27:CX27) - 1</f>
        <v>0.78685723504233995</v>
      </c>
      <c r="CZ18" s="27">
        <f t="array" ref="CZ18">PRODUCT(1 + 預測IC!$C27:CY27) - 1</f>
        <v>0.80992516787144164</v>
      </c>
      <c r="DA18" s="27">
        <f t="array" ref="DA18">PRODUCT(1 + 預測IC!$C27:CZ27) - 1</f>
        <v>0.58282101623526672</v>
      </c>
      <c r="DB18" s="27">
        <f t="array" ref="DB18">PRODUCT(1 + 預測IC!$C27:DA27) - 1</f>
        <v>0.60132527488651344</v>
      </c>
      <c r="DC18" s="27">
        <f t="array" ref="DC18">PRODUCT(1 + 預測IC!$C27:DB27) - 1</f>
        <v>0.61147422419279152</v>
      </c>
      <c r="DD18" s="27">
        <f t="array" ref="DD18">PRODUCT(1 + 預測IC!$C27:DC27) - 1</f>
        <v>0.42243966588262949</v>
      </c>
      <c r="DE18" s="27">
        <f t="array" ref="DE18">PRODUCT(1 + 預測IC!$C27:DD27) - 1</f>
        <v>0.37121637307647259</v>
      </c>
      <c r="DF18" s="27">
        <f t="array" ref="DF18">PRODUCT(1 + 預測IC!$C27:DE27) - 1</f>
        <v>0.5616938276257708</v>
      </c>
      <c r="DG18" s="27">
        <f t="array" ref="DG18">PRODUCT(1 + 預測IC!$C27:DF27) - 1</f>
        <v>0.48182332962932128</v>
      </c>
      <c r="DH18" s="27">
        <f t="array" ref="DH18">PRODUCT(1 + 預測IC!$C27:DG27) - 1</f>
        <v>0.59552577817978314</v>
      </c>
      <c r="DI18" s="27">
        <f t="array" ref="DI18">PRODUCT(1 + 預測IC!$C27:DH27) - 1</f>
        <v>0.62027043996328524</v>
      </c>
      <c r="DJ18" s="27">
        <f t="array" ref="DJ18">PRODUCT(1 + 預測IC!$C27:DI27) - 1</f>
        <v>0.65789923395288952</v>
      </c>
      <c r="DK18" s="27">
        <f t="array" ref="DK18">PRODUCT(1 + 預測IC!$C27:DJ27) - 1</f>
        <v>0.62743885630809859</v>
      </c>
      <c r="DL18" s="27">
        <f t="array" ref="DL18">PRODUCT(1 + 預測IC!$C27:DK27) - 1</f>
        <v>0.72866394865424411</v>
      </c>
      <c r="DM18" s="27">
        <f t="array" ref="DM18">PRODUCT(1 + 預測IC!$C27:DL27) - 1</f>
        <v>0.76340716304992284</v>
      </c>
      <c r="DN18" s="27">
        <f t="array" ref="DN18">PRODUCT(1 + 預測IC!$C27:DM27) - 1</f>
        <v>0.78721129009524526</v>
      </c>
      <c r="DO18" s="27">
        <f t="array" ref="DO18">PRODUCT(1 + 預測IC!$C27:DN27) - 1</f>
        <v>0.73314419395664854</v>
      </c>
      <c r="DP18" s="27">
        <f t="array" ref="DP18">PRODUCT(1 + 預測IC!$C27:DO27) - 1</f>
        <v>0.7036411650845571</v>
      </c>
      <c r="DQ18" s="27">
        <f t="array" ref="DQ18">PRODUCT(1 + 預測IC!$C27:DP27) - 1</f>
        <v>0.666521339911188</v>
      </c>
      <c r="DR18" s="27">
        <f t="array" ref="DR18">PRODUCT(1 + 預測IC!$C27:DQ27) - 1</f>
        <v>0.80941825308633253</v>
      </c>
      <c r="DS18" s="27">
        <f t="array" ref="DS18">PRODUCT(1 + 預測IC!$C27:DR27) - 1</f>
        <v>0.86027510799998974</v>
      </c>
      <c r="DT18" s="27">
        <f t="array" ref="DT18">PRODUCT(1 + 預測IC!$C27:DS27) - 1</f>
        <v>0.85599059714061299</v>
      </c>
      <c r="DU18" s="27">
        <f t="array" ref="DU18">PRODUCT(1 + 預測IC!$C27:DT27) - 1</f>
        <v>0.9645125910761998</v>
      </c>
      <c r="DV18" s="27">
        <f t="array" ref="DV18">PRODUCT(1 + 預測IC!$C27:DU27) - 1</f>
        <v>1.0974294483812512</v>
      </c>
      <c r="DW18" s="27">
        <f t="array" ref="DW18">PRODUCT(1 + 預測IC!$C27:DV27) - 1</f>
        <v>1.1079601605760616</v>
      </c>
      <c r="DX18" s="27">
        <f t="array" ref="DX18">PRODUCT(1 + 預測IC!$C27:DW27) - 1</f>
        <v>1.1868319851241949</v>
      </c>
      <c r="DY18" s="27">
        <f t="array" ref="DY18">PRODUCT(1 + 預測IC!$C27:DX27) - 1</f>
        <v>1.3707686184169408</v>
      </c>
      <c r="DZ18" s="27">
        <f t="array" ref="DZ18">PRODUCT(1 + 預測IC!$C27:DY27) - 1</f>
        <v>1.2834475238077694</v>
      </c>
      <c r="EA18" s="27">
        <f t="array" ref="EA18">PRODUCT(1 + 預測IC!$C27:DZ27) - 1</f>
        <v>1.2905072649494538</v>
      </c>
      <c r="EB18" s="27">
        <f t="array" ref="EB18">PRODUCT(1 + 預測IC!$C27:EA27) - 1</f>
        <v>1.2860233033025419</v>
      </c>
      <c r="EC18" s="27">
        <f t="array" ref="EC18">PRODUCT(1 + 預測IC!$C27:EB27) - 1</f>
        <v>1.3465094307246845</v>
      </c>
      <c r="ED18" s="27">
        <f t="array" ref="ED18">PRODUCT(1 + 預測IC!$C27:EC27) - 1</f>
        <v>1.2884273650883467</v>
      </c>
      <c r="EE18" s="27">
        <f t="array" ref="EE18">PRODUCT(1 + 預測IC!$C27:ED27) - 1</f>
        <v>1.3664981882262612</v>
      </c>
      <c r="EF18" s="27">
        <f t="array" ref="EF18">PRODUCT(1 + 預測IC!$C27:EE27) - 1</f>
        <v>1.4163413115117764</v>
      </c>
      <c r="EG18" s="27">
        <f t="array" ref="EG18">PRODUCT(1 + 預測IC!$C27:EF27) - 1</f>
        <v>1.367344209826507</v>
      </c>
    </row>
    <row r="22" spans="1:138" s="1" customFormat="1" ht="16" customHeight="1">
      <c r="C22" s="6" t="s">
        <v>144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146</v>
      </c>
      <c r="EH22" s="35"/>
    </row>
    <row r="23" spans="1:138" s="1" customFormat="1" ht="16" customHeight="1">
      <c r="C23" s="6">
        <v>10</v>
      </c>
      <c r="D23" s="1">
        <v>1.9976135343076479E-2</v>
      </c>
      <c r="E23" s="1">
        <v>7.3136969308418287E-3</v>
      </c>
      <c r="F23" s="1">
        <v>-5.4534246991562174E-3</v>
      </c>
      <c r="G23" s="1">
        <v>3.1406350799185745E-3</v>
      </c>
      <c r="H23" s="1">
        <v>-5.5933524462192796E-3</v>
      </c>
      <c r="I23" s="1">
        <v>5.9367757974733149E-3</v>
      </c>
      <c r="J23" s="1">
        <v>-1.045108506918524E-3</v>
      </c>
      <c r="K23" s="1">
        <v>7.2628751608658781E-3</v>
      </c>
      <c r="L23" s="1">
        <v>9.2912522681221077E-3</v>
      </c>
      <c r="M23" s="1">
        <v>-1.6314751745021172E-2</v>
      </c>
      <c r="N23" s="1">
        <v>-2.2414988509363964E-2</v>
      </c>
      <c r="O23" s="1">
        <v>-2.8866180104639705E-3</v>
      </c>
      <c r="P23" s="1">
        <v>1.7200470955565317E-2</v>
      </c>
      <c r="Q23" s="1">
        <v>1.8040048587407487E-2</v>
      </c>
      <c r="R23" s="1">
        <v>1.505317539439055E-3</v>
      </c>
      <c r="S23" s="1">
        <v>2.1553191918367798E-2</v>
      </c>
      <c r="T23" s="1">
        <v>5.7157035185841698E-2</v>
      </c>
      <c r="U23" s="1">
        <v>5.4501571516009539E-2</v>
      </c>
      <c r="V23" s="1">
        <v>4.8513646304522817E-2</v>
      </c>
      <c r="W23" s="1">
        <v>6.2536383013092944E-2</v>
      </c>
      <c r="X23" s="1">
        <v>6.1875131697134877E-2</v>
      </c>
      <c r="Y23" s="1">
        <v>0.14043892865316998</v>
      </c>
      <c r="Z23" s="1">
        <v>0.11556742061358638</v>
      </c>
      <c r="AA23" s="1">
        <v>0.13419085516283857</v>
      </c>
      <c r="AB23" s="1">
        <v>0.11701350531519616</v>
      </c>
      <c r="AC23" s="1">
        <v>0.13817829893271938</v>
      </c>
      <c r="AD23" s="1">
        <v>0.14210341606588095</v>
      </c>
      <c r="AE23" s="1">
        <v>0.13536820851158882</v>
      </c>
      <c r="AF23" s="1">
        <v>0.14817300658346788</v>
      </c>
      <c r="AG23" s="1">
        <v>0.14032259352971677</v>
      </c>
      <c r="AH23" s="1">
        <v>0.12584341473064486</v>
      </c>
      <c r="AI23" s="1">
        <v>0.14177684641349031</v>
      </c>
      <c r="AJ23" s="1">
        <v>0.14319780610200894</v>
      </c>
      <c r="AK23" s="1">
        <v>0.1341361211617631</v>
      </c>
      <c r="AL23" s="1">
        <v>0.1087705134001542</v>
      </c>
      <c r="AM23" s="1">
        <v>0.10278852726376986</v>
      </c>
      <c r="AN23" s="1">
        <v>0.13156100122789005</v>
      </c>
      <c r="AO23" s="1">
        <v>0.10644279321311223</v>
      </c>
      <c r="AP23" s="1">
        <v>0.11933265881714017</v>
      </c>
      <c r="AQ23" s="1">
        <v>0.10237484682486198</v>
      </c>
      <c r="AR23" s="1">
        <v>0.10279527489297746</v>
      </c>
      <c r="AS23" s="1">
        <v>0.10876596821185847</v>
      </c>
      <c r="AT23" s="1">
        <v>0.11502217918834012</v>
      </c>
      <c r="AU23" s="1">
        <v>0.10864082685333054</v>
      </c>
      <c r="AV23" s="1">
        <v>0.11196128605595379</v>
      </c>
      <c r="AW23" s="1">
        <v>0.1051604794332901</v>
      </c>
      <c r="AX23" s="1">
        <v>9.3718222544648455E-2</v>
      </c>
      <c r="AY23" s="1">
        <v>5.9111233084373493E-2</v>
      </c>
      <c r="AZ23" s="1">
        <v>7.6840076611863761E-2</v>
      </c>
      <c r="BA23" s="1">
        <v>7.602703810360012E-2</v>
      </c>
      <c r="BB23" s="1">
        <v>5.1785676768783651E-2</v>
      </c>
      <c r="BC23" s="1">
        <v>4.4072292932277435E-2</v>
      </c>
      <c r="BD23" s="1">
        <v>4.9836177991050556E-2</v>
      </c>
      <c r="BE23" s="1">
        <v>3.420151953754047E-2</v>
      </c>
      <c r="BF23" s="1">
        <v>2.6730978353037393E-2</v>
      </c>
      <c r="BG23" s="1">
        <v>4.7606029926678284E-2</v>
      </c>
      <c r="BH23" s="1">
        <v>7.3650107418660182E-2</v>
      </c>
      <c r="BI23" s="1">
        <v>0.12042991159713901</v>
      </c>
      <c r="BJ23" s="1">
        <v>8.0669772357979674E-2</v>
      </c>
      <c r="BK23" s="1">
        <v>4.3960360197051296E-2</v>
      </c>
      <c r="BL23" s="1">
        <v>5.4270759624808429E-2</v>
      </c>
      <c r="BM23" s="1">
        <v>3.7233813020445705E-2</v>
      </c>
      <c r="BN23" s="1">
        <v>3.9417641597424113E-2</v>
      </c>
      <c r="BO23" s="1">
        <v>3.7403078808140089E-2</v>
      </c>
      <c r="BP23" s="1">
        <v>8.8524474895839145E-3</v>
      </c>
      <c r="BQ23" s="1">
        <v>2.0003269810955349E-2</v>
      </c>
      <c r="BR23" s="1">
        <v>1.109413214977395E-2</v>
      </c>
      <c r="BS23" s="1">
        <v>-9.1201091492936204E-3</v>
      </c>
      <c r="BT23" s="1">
        <v>-2.5711571328475458E-2</v>
      </c>
      <c r="BU23" s="1">
        <v>-6.1022142569276183E-2</v>
      </c>
      <c r="BV23" s="1">
        <v>-7.3005533853518267E-2</v>
      </c>
      <c r="BW23" s="1">
        <v>-4.1674424608039384E-2</v>
      </c>
      <c r="BX23" s="1">
        <v>-2.7925088109717722E-2</v>
      </c>
      <c r="BY23" s="1">
        <v>-2.6718483745599375E-2</v>
      </c>
      <c r="BZ23" s="1">
        <v>-4.6847429526441942E-2</v>
      </c>
      <c r="CA23" s="1">
        <v>-7.9924331918583835E-2</v>
      </c>
      <c r="CB23" s="1">
        <v>-8.121633538700046E-2</v>
      </c>
      <c r="CC23" s="1">
        <v>-8.0875482411836952E-2</v>
      </c>
      <c r="CD23" s="1">
        <v>-6.4875847735728853E-2</v>
      </c>
      <c r="CE23" s="1">
        <v>-8.6986233738351126E-2</v>
      </c>
      <c r="CF23" s="1">
        <v>-5.6421497879279969E-2</v>
      </c>
      <c r="CG23" s="1">
        <v>-6.8929565977249307E-2</v>
      </c>
      <c r="CH23" s="1">
        <v>-7.3886232066801782E-2</v>
      </c>
      <c r="CI23" s="1">
        <v>-5.653117103665084E-2</v>
      </c>
      <c r="CJ23" s="1">
        <v>-6.1645275573428693E-2</v>
      </c>
      <c r="CK23" s="1">
        <v>-5.7527212940190475E-2</v>
      </c>
      <c r="CL23" s="1">
        <v>-4.6836479896695038E-2</v>
      </c>
      <c r="CM23" s="1">
        <v>-8.926486265179312E-2</v>
      </c>
      <c r="CN23" s="1">
        <v>-0.11335816564125412</v>
      </c>
      <c r="CO23" s="1">
        <v>-0.13274331466194489</v>
      </c>
      <c r="CP23" s="1">
        <v>-0.1005835167237813</v>
      </c>
      <c r="CQ23" s="1">
        <v>-0.12070647172585203</v>
      </c>
      <c r="CR23" s="1">
        <v>-0.10901418452231815</v>
      </c>
      <c r="CS23" s="1">
        <v>-0.13422426604345905</v>
      </c>
      <c r="CT23" s="1">
        <v>-0.15284579919427443</v>
      </c>
      <c r="CU23" s="1">
        <v>-0.15934461049054283</v>
      </c>
      <c r="CV23" s="1">
        <v>-0.14443264208893347</v>
      </c>
      <c r="CW23" s="1">
        <v>-0.16760976797617677</v>
      </c>
      <c r="CX23" s="1">
        <v>-0.17339945761299791</v>
      </c>
      <c r="CY23" s="1">
        <v>-0.17613566589466012</v>
      </c>
      <c r="CZ23" s="1">
        <v>-0.17342495281438119</v>
      </c>
      <c r="DA23" s="1">
        <v>-0.17434644666997545</v>
      </c>
      <c r="DB23" s="1">
        <v>-0.17677037964653242</v>
      </c>
      <c r="DC23" s="1">
        <v>-0.18174056921411452</v>
      </c>
      <c r="DD23" s="1">
        <v>-0.13495213379265858</v>
      </c>
      <c r="DE23" s="1">
        <v>-0.1600205257466516</v>
      </c>
      <c r="DF23" s="1">
        <v>-0.17364352820184081</v>
      </c>
      <c r="DG23" s="1">
        <v>-0.16929981641719127</v>
      </c>
      <c r="DH23" s="1">
        <v>-0.17533441453593279</v>
      </c>
      <c r="DI23" s="1">
        <v>-0.17985104674676511</v>
      </c>
      <c r="DJ23" s="1">
        <v>-0.19415977421729436</v>
      </c>
      <c r="DK23" s="1">
        <v>-0.17448317564634885</v>
      </c>
      <c r="DL23" s="1">
        <v>-0.17784096760456014</v>
      </c>
      <c r="DM23" s="1">
        <v>-0.18264786693089119</v>
      </c>
      <c r="DN23" s="1">
        <v>-0.21387689365461471</v>
      </c>
      <c r="DO23" s="1">
        <v>-0.20596210421473871</v>
      </c>
      <c r="DP23" s="1">
        <v>-0.21672018286449335</v>
      </c>
      <c r="DQ23" s="1">
        <v>-0.19800040300565214</v>
      </c>
      <c r="DR23" s="1">
        <v>-0.18840435697378277</v>
      </c>
      <c r="DS23" s="1">
        <v>-0.19350035133286714</v>
      </c>
      <c r="DT23" s="1">
        <v>-0.1944508734456537</v>
      </c>
      <c r="DU23" s="1">
        <v>-0.15414864392619732</v>
      </c>
      <c r="DV23" s="1">
        <v>-0.12723896786567324</v>
      </c>
      <c r="DW23" s="1">
        <v>-0.13316100132577291</v>
      </c>
      <c r="DX23" s="1">
        <v>-0.12066826610598202</v>
      </c>
      <c r="DY23" s="1">
        <v>-0.13993085786786141</v>
      </c>
      <c r="DZ23" s="1">
        <v>-0.14991469982252326</v>
      </c>
      <c r="EA23" s="1">
        <v>-0.14187368082993734</v>
      </c>
      <c r="EB23" s="1">
        <v>-0.15110562229065172</v>
      </c>
      <c r="EC23" s="1">
        <v>-0.150597586346496</v>
      </c>
      <c r="ED23" s="1">
        <v>-0.15961745117911086</v>
      </c>
      <c r="EE23" s="1">
        <v>-0.1714955798290454</v>
      </c>
      <c r="EF23" s="1">
        <v>-0.16303573430021823</v>
      </c>
      <c r="EG23" s="1">
        <v>-0.14724628624691816</v>
      </c>
      <c r="EH23" s="35"/>
    </row>
    <row r="24" spans="1:138" s="1" customFormat="1" ht="16" customHeight="1">
      <c r="C24" s="6">
        <v>20</v>
      </c>
      <c r="D24" s="1">
        <v>5.9099920037642271E-2</v>
      </c>
      <c r="E24" s="1">
        <v>7.3273710747004728E-2</v>
      </c>
      <c r="F24" s="1">
        <v>7.3294362603239627E-2</v>
      </c>
      <c r="G24" s="1">
        <v>3.5330763916108898E-2</v>
      </c>
      <c r="H24" s="1">
        <v>8.566980545772207E-3</v>
      </c>
      <c r="I24" s="1">
        <v>1.4721714773631378E-2</v>
      </c>
      <c r="J24" s="1">
        <v>1.1626453030828321E-2</v>
      </c>
      <c r="K24" s="1">
        <v>4.2700125954893142E-2</v>
      </c>
      <c r="L24" s="1">
        <v>3.285571794146791E-2</v>
      </c>
      <c r="M24" s="1">
        <v>-4.4007115642872296E-2</v>
      </c>
      <c r="N24" s="1">
        <v>-3.5210791548400122E-2</v>
      </c>
      <c r="O24" s="1">
        <v>2.1808173524269669E-2</v>
      </c>
      <c r="P24" s="1">
        <v>6.0075006352795279E-2</v>
      </c>
      <c r="Q24" s="1">
        <v>6.5836449195008973E-2</v>
      </c>
      <c r="R24" s="1">
        <v>6.2429793140228229E-2</v>
      </c>
      <c r="S24" s="1">
        <v>0.12320725625571738</v>
      </c>
      <c r="T24" s="1">
        <v>0.19298359283484978</v>
      </c>
      <c r="U24" s="1">
        <v>0.19715988213551427</v>
      </c>
      <c r="V24" s="1">
        <v>0.16150309351733116</v>
      </c>
      <c r="W24" s="1">
        <v>0.19593434004344723</v>
      </c>
      <c r="X24" s="1">
        <v>0.1941340397504363</v>
      </c>
      <c r="Y24" s="1">
        <v>0.28745964922303702</v>
      </c>
      <c r="Z24" s="1">
        <v>0.2742329516446036</v>
      </c>
      <c r="AA24" s="1">
        <v>0.31247196277721545</v>
      </c>
      <c r="AB24" s="1">
        <v>0.28545205898788217</v>
      </c>
      <c r="AC24" s="1">
        <v>0.29121979440759382</v>
      </c>
      <c r="AD24" s="1">
        <v>0.3087116665393701</v>
      </c>
      <c r="AE24" s="1">
        <v>0.26417072946526265</v>
      </c>
      <c r="AF24" s="1">
        <v>0.30950446875355153</v>
      </c>
      <c r="AG24" s="1">
        <v>0.31139569746127727</v>
      </c>
      <c r="AH24" s="1">
        <v>0.29523816994567942</v>
      </c>
      <c r="AI24" s="1">
        <v>0.3133913697773274</v>
      </c>
      <c r="AJ24" s="1">
        <v>0.33428175585128117</v>
      </c>
      <c r="AK24" s="1">
        <v>0.3311126103659312</v>
      </c>
      <c r="AL24" s="1">
        <v>0.32533367605362473</v>
      </c>
      <c r="AM24" s="1">
        <v>0.34062143614843032</v>
      </c>
      <c r="AN24" s="1">
        <v>0.39656260043203706</v>
      </c>
      <c r="AO24" s="1">
        <v>0.37105615170391215</v>
      </c>
      <c r="AP24" s="1">
        <v>0.37266895229439601</v>
      </c>
      <c r="AQ24" s="1">
        <v>0.35272916867780646</v>
      </c>
      <c r="AR24" s="1">
        <v>0.39207292407290129</v>
      </c>
      <c r="AS24" s="1">
        <v>0.39036015474235253</v>
      </c>
      <c r="AT24" s="1">
        <v>0.41670256091293822</v>
      </c>
      <c r="AU24" s="1">
        <v>0.38530772782606948</v>
      </c>
      <c r="AV24" s="1">
        <v>0.42588447030469689</v>
      </c>
      <c r="AW24" s="1">
        <v>0.42005848526274225</v>
      </c>
      <c r="AX24" s="1">
        <v>0.41876765841437247</v>
      </c>
      <c r="AY24" s="1">
        <v>0.41452205269706788</v>
      </c>
      <c r="AZ24" s="1">
        <v>0.50200861381273998</v>
      </c>
      <c r="BA24" s="1">
        <v>0.4835955782340251</v>
      </c>
      <c r="BB24" s="1">
        <v>0.45722348638195887</v>
      </c>
      <c r="BC24" s="1">
        <v>0.46251943789263583</v>
      </c>
      <c r="BD24" s="1">
        <v>0.5001966539667444</v>
      </c>
      <c r="BE24" s="1">
        <v>0.50397775574490034</v>
      </c>
      <c r="BF24" s="1">
        <v>0.52139426917123832</v>
      </c>
      <c r="BG24" s="1">
        <v>0.56893568736197686</v>
      </c>
      <c r="BH24" s="1">
        <v>0.62398882219809715</v>
      </c>
      <c r="BI24" s="1">
        <v>0.69791800296384254</v>
      </c>
      <c r="BJ24" s="1">
        <v>0.62474628914480501</v>
      </c>
      <c r="BK24" s="1">
        <v>0.58801371833806715</v>
      </c>
      <c r="BL24" s="1">
        <v>0.61945687991142728</v>
      </c>
      <c r="BM24" s="1">
        <v>0.59907210806012801</v>
      </c>
      <c r="BN24" s="1">
        <v>0.61831318589250106</v>
      </c>
      <c r="BO24" s="1">
        <v>0.56617466687085694</v>
      </c>
      <c r="BP24" s="1">
        <v>0.52011742200116595</v>
      </c>
      <c r="BQ24" s="1">
        <v>0.56197296697320209</v>
      </c>
      <c r="BR24" s="1">
        <v>0.55549960591992975</v>
      </c>
      <c r="BS24" s="1">
        <v>0.50571005512452993</v>
      </c>
      <c r="BT24" s="1">
        <v>0.46803422558230112</v>
      </c>
      <c r="BU24" s="1">
        <v>0.41782092943300175</v>
      </c>
      <c r="BV24" s="1">
        <v>0.40017778624624722</v>
      </c>
      <c r="BW24" s="1">
        <v>0.43133915298293668</v>
      </c>
      <c r="BX24" s="1">
        <v>0.44021691462355594</v>
      </c>
      <c r="BY24" s="1">
        <v>0.43776074997343217</v>
      </c>
      <c r="BZ24" s="1">
        <v>0.3822883424418273</v>
      </c>
      <c r="CA24" s="1">
        <v>0.32670053435360802</v>
      </c>
      <c r="CB24" s="1">
        <v>0.31438307737841997</v>
      </c>
      <c r="CC24" s="1">
        <v>0.36581878156629388</v>
      </c>
      <c r="CD24" s="1">
        <v>0.39315847672063287</v>
      </c>
      <c r="CE24" s="1">
        <v>0.31701137924522538</v>
      </c>
      <c r="CF24" s="1">
        <v>0.32055353445215307</v>
      </c>
      <c r="CG24" s="1">
        <v>0.30011847912575407</v>
      </c>
      <c r="CH24" s="1">
        <v>0.33464105551253098</v>
      </c>
      <c r="CI24" s="1">
        <v>0.34482852592707713</v>
      </c>
      <c r="CJ24" s="1">
        <v>0.37060882426885411</v>
      </c>
      <c r="CK24" s="1">
        <v>0.38926534957368997</v>
      </c>
      <c r="CL24" s="1">
        <v>0.42521665559764621</v>
      </c>
      <c r="CM24" s="1">
        <v>0.34373397909606362</v>
      </c>
      <c r="CN24" s="1">
        <v>0.30715534831423152</v>
      </c>
      <c r="CO24" s="1">
        <v>0.23328022920858071</v>
      </c>
      <c r="CP24" s="1">
        <v>0.30013911896194068</v>
      </c>
      <c r="CQ24" s="1">
        <v>0.24579721758386697</v>
      </c>
      <c r="CR24" s="1">
        <v>0.23929756581200667</v>
      </c>
      <c r="CS24" s="1">
        <v>0.16597731922146597</v>
      </c>
      <c r="CT24" s="1">
        <v>0.1287495305283719</v>
      </c>
      <c r="CU24" s="1">
        <v>9.5497029429328251E-2</v>
      </c>
      <c r="CV24" s="1">
        <v>0.12128917077957113</v>
      </c>
      <c r="CW24" s="1">
        <v>6.7807770405034828E-2</v>
      </c>
      <c r="CX24" s="1">
        <v>4.0272128520313144E-2</v>
      </c>
      <c r="CY24" s="1">
        <v>2.3439069207148222E-2</v>
      </c>
      <c r="CZ24" s="1">
        <v>3.3912453993552472E-2</v>
      </c>
      <c r="DA24" s="1">
        <v>3.2301464990561746E-2</v>
      </c>
      <c r="DB24" s="1">
        <v>4.2517702571707616E-2</v>
      </c>
      <c r="DC24" s="1">
        <v>1.7698050877653637E-2</v>
      </c>
      <c r="DD24" s="1">
        <v>6.9185536396272562E-2</v>
      </c>
      <c r="DE24" s="1">
        <v>2.9774678007746136E-2</v>
      </c>
      <c r="DF24" s="1">
        <v>-3.8809341952383836E-4</v>
      </c>
      <c r="DG24" s="1">
        <v>-1.5608396623625898E-2</v>
      </c>
      <c r="DH24" s="1">
        <v>-2.4367394071822757E-2</v>
      </c>
      <c r="DI24" s="1">
        <v>-7.8835912325599944E-3</v>
      </c>
      <c r="DJ24" s="1">
        <v>-2.310777311379586E-2</v>
      </c>
      <c r="DK24" s="1">
        <v>1.0939232705155177E-2</v>
      </c>
      <c r="DL24" s="1">
        <v>2.5376409190427829E-2</v>
      </c>
      <c r="DM24" s="1">
        <v>1.2217524188517848E-2</v>
      </c>
      <c r="DN24" s="1">
        <v>-3.2078262240248012E-2</v>
      </c>
      <c r="DO24" s="1">
        <v>-3.5765965192975924E-2</v>
      </c>
      <c r="DP24" s="1">
        <v>-5.713920722431387E-2</v>
      </c>
      <c r="DQ24" s="1">
        <v>-1.0614490559684109E-2</v>
      </c>
      <c r="DR24" s="1">
        <v>2.0470512808047348E-2</v>
      </c>
      <c r="DS24" s="1">
        <v>1.8036070115712288E-2</v>
      </c>
      <c r="DT24" s="1">
        <v>1.4135363965166015E-2</v>
      </c>
      <c r="DU24" s="1">
        <v>6.336187751130784E-2</v>
      </c>
      <c r="DV24" s="1">
        <v>0.10170726487716397</v>
      </c>
      <c r="DW24" s="1">
        <v>0.11756701000092007</v>
      </c>
      <c r="DX24" s="1">
        <v>0.1683499789589038</v>
      </c>
      <c r="DY24" s="1">
        <v>0.1299799277975191</v>
      </c>
      <c r="DZ24" s="1">
        <v>0.11669935170609658</v>
      </c>
      <c r="EA24" s="1">
        <v>0.10968018364883636</v>
      </c>
      <c r="EB24" s="1">
        <v>9.7223810641852371E-2</v>
      </c>
      <c r="EC24" s="1">
        <v>7.9697382484190227E-2</v>
      </c>
      <c r="ED24" s="1">
        <v>6.5848430586360251E-2</v>
      </c>
      <c r="EE24" s="1">
        <v>6.9129224230177977E-2</v>
      </c>
      <c r="EF24" s="1">
        <v>8.0349770422002642E-2</v>
      </c>
      <c r="EG24" s="1">
        <v>8.2353457019089804E-2</v>
      </c>
      <c r="EH24" s="35"/>
    </row>
    <row r="25" spans="1:138" s="1" customFormat="1" ht="16" customHeight="1">
      <c r="C25" s="6">
        <v>50</v>
      </c>
      <c r="D25" s="1">
        <v>5.5126982158774263E-2</v>
      </c>
      <c r="E25" s="1">
        <v>7.4787550612329667E-2</v>
      </c>
      <c r="F25" s="1">
        <v>0.10865988950632688</v>
      </c>
      <c r="G25" s="1">
        <v>0.11204827071459511</v>
      </c>
      <c r="H25" s="1">
        <v>0.14342011442459013</v>
      </c>
      <c r="I25" s="1">
        <v>0.1207751495411642</v>
      </c>
      <c r="J25" s="1">
        <v>0.12386774245850507</v>
      </c>
      <c r="K25" s="1">
        <v>0.16258901552212501</v>
      </c>
      <c r="L25" s="1">
        <v>0.1784804291500417</v>
      </c>
      <c r="M25" s="1">
        <v>0.20305605189269027</v>
      </c>
      <c r="N25" s="1">
        <v>0.23689551511870777</v>
      </c>
      <c r="O25" s="1">
        <v>0.30508183211292472</v>
      </c>
      <c r="P25" s="1">
        <v>0.309140837858213</v>
      </c>
      <c r="Q25" s="1">
        <v>0.2945368601976408</v>
      </c>
      <c r="R25" s="1">
        <v>0.28377479729783017</v>
      </c>
      <c r="S25" s="1">
        <v>0.36201669999943809</v>
      </c>
      <c r="T25" s="1">
        <v>0.47709309393573185</v>
      </c>
      <c r="U25" s="1">
        <v>0.46796456965378641</v>
      </c>
      <c r="V25" s="1">
        <v>0.39750057289026386</v>
      </c>
      <c r="W25" s="1">
        <v>0.44353150172623912</v>
      </c>
      <c r="X25" s="1">
        <v>0.39818260827760166</v>
      </c>
      <c r="Y25" s="1">
        <v>0.54888410060335668</v>
      </c>
      <c r="Z25" s="1">
        <v>0.52951701333120749</v>
      </c>
      <c r="AA25" s="1">
        <v>0.60110243640379002</v>
      </c>
      <c r="AB25" s="1">
        <v>0.53851953122812568</v>
      </c>
      <c r="AC25" s="1">
        <v>0.51646184051341826</v>
      </c>
      <c r="AD25" s="1">
        <v>0.5772350567301574</v>
      </c>
      <c r="AE25" s="1">
        <v>0.53199208108134255</v>
      </c>
      <c r="AF25" s="1">
        <v>0.66633846261296292</v>
      </c>
      <c r="AG25" s="1">
        <v>0.7040737793447962</v>
      </c>
      <c r="AH25" s="1">
        <v>0.72472867366571725</v>
      </c>
      <c r="AI25" s="1">
        <v>0.77333747897020788</v>
      </c>
      <c r="AJ25" s="1">
        <v>0.71679334756574131</v>
      </c>
      <c r="AK25" s="1">
        <v>0.7627977930132166</v>
      </c>
      <c r="AL25" s="1">
        <v>0.77113793919182005</v>
      </c>
      <c r="AM25" s="1">
        <v>0.74445160158171242</v>
      </c>
      <c r="AN25" s="1">
        <v>0.8807244061984576</v>
      </c>
      <c r="AO25" s="1">
        <v>0.89233305228549797</v>
      </c>
      <c r="AP25" s="1">
        <v>0.97445081529767918</v>
      </c>
      <c r="AQ25" s="1">
        <v>0.78567480153024793</v>
      </c>
      <c r="AR25" s="1">
        <v>0.86191690322912229</v>
      </c>
      <c r="AS25" s="1">
        <v>0.84203595314545354</v>
      </c>
      <c r="AT25" s="1">
        <v>0.91508106820826196</v>
      </c>
      <c r="AU25" s="1">
        <v>0.73753086776670451</v>
      </c>
      <c r="AV25" s="1">
        <v>0.76852618638633552</v>
      </c>
      <c r="AW25" s="1">
        <v>0.71014167353055035</v>
      </c>
      <c r="AX25" s="1">
        <v>0.75115788301814135</v>
      </c>
      <c r="AY25" s="1">
        <v>0.71360018216867571</v>
      </c>
      <c r="AZ25" s="1">
        <v>0.82170144333751294</v>
      </c>
      <c r="BA25" s="1">
        <v>0.74899509151696742</v>
      </c>
      <c r="BB25" s="1">
        <v>0.79597669708285523</v>
      </c>
      <c r="BC25" s="1">
        <v>0.73958455769855447</v>
      </c>
      <c r="BD25" s="1">
        <v>0.68001754230204359</v>
      </c>
      <c r="BE25" s="1">
        <v>0.72171664394028112</v>
      </c>
      <c r="BF25" s="1">
        <v>0.8262697012704574</v>
      </c>
      <c r="BG25" s="1">
        <v>0.93336280860991372</v>
      </c>
      <c r="BH25" s="1">
        <v>0.930308271175188</v>
      </c>
      <c r="BI25" s="1">
        <v>1.0432668572209187</v>
      </c>
      <c r="BJ25" s="1">
        <v>0.92877429311504933</v>
      </c>
      <c r="BK25" s="1">
        <v>0.96592787868388919</v>
      </c>
      <c r="BL25" s="1">
        <v>1.0366113040938649</v>
      </c>
      <c r="BM25" s="1">
        <v>1.0261992991770694</v>
      </c>
      <c r="BN25" s="1">
        <v>1.1009358245839476</v>
      </c>
      <c r="BO25" s="1">
        <v>0.99053954895290852</v>
      </c>
      <c r="BP25" s="1">
        <v>0.81028802181103754</v>
      </c>
      <c r="BQ25" s="1">
        <v>0.8693643231136241</v>
      </c>
      <c r="BR25" s="1">
        <v>0.83927544973944079</v>
      </c>
      <c r="BS25" s="1">
        <v>0.70389457164465652</v>
      </c>
      <c r="BT25" s="1">
        <v>0.63851831713182472</v>
      </c>
      <c r="BU25" s="1">
        <v>0.50309794843528222</v>
      </c>
      <c r="BV25" s="1">
        <v>0.50262105230224763</v>
      </c>
      <c r="BW25" s="1">
        <v>0.51030853504130658</v>
      </c>
      <c r="BX25" s="1">
        <v>0.51187238986756678</v>
      </c>
      <c r="BY25" s="1">
        <v>0.49623965095225331</v>
      </c>
      <c r="BZ25" s="1">
        <v>0.35867137966046703</v>
      </c>
      <c r="CA25" s="1">
        <v>0.36886676041314281</v>
      </c>
      <c r="CB25" s="1">
        <v>0.22575435902077756</v>
      </c>
      <c r="CC25" s="1">
        <v>0.25391182418756109</v>
      </c>
      <c r="CD25" s="1">
        <v>0.27802559053061526</v>
      </c>
      <c r="CE25" s="1">
        <v>0.12256157312536531</v>
      </c>
      <c r="CF25" s="1">
        <v>5.7254009106888715E-2</v>
      </c>
      <c r="CG25" s="1">
        <v>6.6724920247247077E-2</v>
      </c>
      <c r="CH25" s="1">
        <v>0.11822090285545328</v>
      </c>
      <c r="CI25" s="1">
        <v>0.14285896911548934</v>
      </c>
      <c r="CJ25" s="1">
        <v>0.18114634994455159</v>
      </c>
      <c r="CK25" s="1">
        <v>0.22296732376303607</v>
      </c>
      <c r="CL25" s="1">
        <v>0.16228479667151774</v>
      </c>
      <c r="CM25" s="1">
        <v>0.15383597774294833</v>
      </c>
      <c r="CN25" s="1">
        <v>0.10253381075383827</v>
      </c>
      <c r="CO25" s="1">
        <v>4.2945079070503711E-2</v>
      </c>
      <c r="CP25" s="1">
        <v>0.11564308242741705</v>
      </c>
      <c r="CQ25" s="1">
        <v>7.496679587827404E-2</v>
      </c>
      <c r="CR25" s="1">
        <v>9.3432809636723624E-2</v>
      </c>
      <c r="CS25" s="1">
        <v>-2.9295057132650348E-2</v>
      </c>
      <c r="CT25" s="1">
        <v>-5.2167431323958846E-2</v>
      </c>
      <c r="CU25" s="1">
        <v>-8.7667608542853825E-2</v>
      </c>
      <c r="CV25" s="1">
        <v>-9.089877801779378E-2</v>
      </c>
      <c r="CW25" s="1">
        <v>-0.11742947543001947</v>
      </c>
      <c r="CX25" s="1">
        <v>-0.13481932812082642</v>
      </c>
      <c r="CY25" s="1">
        <v>-0.17618711736861592</v>
      </c>
      <c r="CZ25" s="1">
        <v>-0.16307746376557197</v>
      </c>
      <c r="DA25" s="1">
        <v>-0.1811156912059132</v>
      </c>
      <c r="DB25" s="1">
        <v>-0.11935085598483319</v>
      </c>
      <c r="DC25" s="1">
        <v>-0.14158043449444657</v>
      </c>
      <c r="DD25" s="1">
        <v>-9.9465689515945366E-2</v>
      </c>
      <c r="DE25" s="1">
        <v>-0.17997826390522442</v>
      </c>
      <c r="DF25" s="1">
        <v>-0.18041471658844832</v>
      </c>
      <c r="DG25" s="1">
        <v>-0.20881305858490529</v>
      </c>
      <c r="DH25" s="1">
        <v>-0.22978880509189026</v>
      </c>
      <c r="DI25" s="1">
        <v>-0.22050792495382565</v>
      </c>
      <c r="DJ25" s="1">
        <v>-0.1382031932100366</v>
      </c>
      <c r="DK25" s="1">
        <v>-5.4511701766896015E-2</v>
      </c>
      <c r="DL25" s="1">
        <v>-5.7350596183124547E-2</v>
      </c>
      <c r="DM25" s="1">
        <v>-0.10721425671144436</v>
      </c>
      <c r="DN25" s="1">
        <v>-0.17397418653395125</v>
      </c>
      <c r="DO25" s="1">
        <v>-0.15153637368171913</v>
      </c>
      <c r="DP25" s="1">
        <v>-0.15461590791134561</v>
      </c>
      <c r="DQ25" s="1">
        <v>-6.1279635644095221E-2</v>
      </c>
      <c r="DR25" s="1">
        <v>-2.9957191841530784E-2</v>
      </c>
      <c r="DS25" s="1">
        <v>-3.8402277939452056E-2</v>
      </c>
      <c r="DT25" s="1">
        <v>-3.0913710029045638E-2</v>
      </c>
      <c r="DU25" s="1">
        <v>2.0941358983659342E-3</v>
      </c>
      <c r="DV25" s="1">
        <v>2.8110334980202323E-2</v>
      </c>
      <c r="DW25" s="1">
        <v>6.7482285859799651E-2</v>
      </c>
      <c r="DX25" s="1">
        <v>0.12293467470815433</v>
      </c>
      <c r="DY25" s="1">
        <v>5.4025256650712672E-2</v>
      </c>
      <c r="DZ25" s="1">
        <v>5.334827953685406E-2</v>
      </c>
      <c r="EA25" s="1">
        <v>8.0163709398955785E-2</v>
      </c>
      <c r="EB25" s="1">
        <v>7.3167771745513033E-2</v>
      </c>
      <c r="EC25" s="1">
        <v>5.8255003076263412E-2</v>
      </c>
      <c r="ED25" s="1">
        <v>6.9619227268766348E-2</v>
      </c>
      <c r="EE25" s="1">
        <v>0.10923030562577707</v>
      </c>
      <c r="EF25" s="1">
        <v>0.13597047292082842</v>
      </c>
      <c r="EG25" s="1">
        <v>0.14634959911989576</v>
      </c>
      <c r="EH25" s="35"/>
    </row>
    <row r="26" spans="1:138" s="1" customFormat="1" ht="16" customHeight="1">
      <c r="C26" s="6">
        <v>100</v>
      </c>
      <c r="D26" s="1">
        <v>6.6842489650082784E-2</v>
      </c>
      <c r="E26" s="1">
        <v>0.14103880107198208</v>
      </c>
      <c r="F26" s="1">
        <v>0.154963521348642</v>
      </c>
      <c r="G26" s="1">
        <v>0.20059047509870775</v>
      </c>
      <c r="H26" s="1">
        <v>0.29447961464807926</v>
      </c>
      <c r="I26" s="1">
        <v>0.21039245686167618</v>
      </c>
      <c r="J26" s="1">
        <v>0.20364440736501854</v>
      </c>
      <c r="K26" s="1">
        <v>0.20056500962230772</v>
      </c>
      <c r="L26" s="1">
        <v>0.16880213335091065</v>
      </c>
      <c r="M26" s="1">
        <v>0.16757370568331953</v>
      </c>
      <c r="N26" s="1">
        <v>0.21699876827669362</v>
      </c>
      <c r="O26" s="1">
        <v>0.29834599584939192</v>
      </c>
      <c r="P26" s="1">
        <v>0.35172492684454171</v>
      </c>
      <c r="Q26" s="1">
        <v>0.39596798614996342</v>
      </c>
      <c r="R26" s="1">
        <v>0.41769390050032507</v>
      </c>
      <c r="S26" s="1">
        <v>0.53960151763776154</v>
      </c>
      <c r="T26" s="1">
        <v>0.45252990426330908</v>
      </c>
      <c r="U26" s="1">
        <v>0.4898026152944932</v>
      </c>
      <c r="V26" s="1">
        <v>0.38475226196164392</v>
      </c>
      <c r="W26" s="1">
        <v>0.42550656212045834</v>
      </c>
      <c r="X26" s="1">
        <v>0.41555933530470268</v>
      </c>
      <c r="Y26" s="1">
        <v>0.60793557596402747</v>
      </c>
      <c r="Z26" s="1">
        <v>0.57197461412818029</v>
      </c>
      <c r="AA26" s="1">
        <v>0.67708768875594139</v>
      </c>
      <c r="AB26" s="1">
        <v>0.63408497205668413</v>
      </c>
      <c r="AC26" s="1">
        <v>0.6777774477504841</v>
      </c>
      <c r="AD26" s="1">
        <v>0.70360182223747425</v>
      </c>
      <c r="AE26" s="1">
        <v>0.60809640143823485</v>
      </c>
      <c r="AF26" s="1">
        <v>0.8515831593952774</v>
      </c>
      <c r="AG26" s="1">
        <v>0.88380041000653198</v>
      </c>
      <c r="AH26" s="1">
        <v>0.85680069706139683</v>
      </c>
      <c r="AI26" s="1">
        <v>0.91723049660615374</v>
      </c>
      <c r="AJ26" s="1">
        <v>0.79130774097681722</v>
      </c>
      <c r="AK26" s="1">
        <v>0.84282310230684776</v>
      </c>
      <c r="AL26" s="1">
        <v>0.92136459656998881</v>
      </c>
      <c r="AM26" s="1">
        <v>0.76281705301039704</v>
      </c>
      <c r="AN26" s="1">
        <v>0.91541953364188955</v>
      </c>
      <c r="AO26" s="1">
        <v>1.0308643081670059</v>
      </c>
      <c r="AP26" s="1">
        <v>1.0049985168716105</v>
      </c>
      <c r="AQ26" s="1">
        <v>0.71881625178861608</v>
      </c>
      <c r="AR26" s="1">
        <v>0.86799063747418503</v>
      </c>
      <c r="AS26" s="1">
        <v>0.73156687884088978</v>
      </c>
      <c r="AT26" s="1">
        <v>0.74317042952680024</v>
      </c>
      <c r="AU26" s="1">
        <v>0.62687833771363999</v>
      </c>
      <c r="AV26" s="1">
        <v>0.54334685526210458</v>
      </c>
      <c r="AW26" s="1">
        <v>0.46211190063051166</v>
      </c>
      <c r="AX26" s="1">
        <v>0.3703012591713728</v>
      </c>
      <c r="AY26" s="1">
        <v>0.46803472465581519</v>
      </c>
      <c r="AZ26" s="1">
        <v>0.66701981316632741</v>
      </c>
      <c r="BA26" s="1">
        <v>0.45754346270142365</v>
      </c>
      <c r="BB26" s="1">
        <v>0.56184520346558275</v>
      </c>
      <c r="BC26" s="1">
        <v>0.35132193379082066</v>
      </c>
      <c r="BD26" s="1">
        <v>0.26134585449459502</v>
      </c>
      <c r="BE26" s="1">
        <v>0.24516980254083087</v>
      </c>
      <c r="BF26" s="1">
        <v>0.29268961744941513</v>
      </c>
      <c r="BG26" s="1">
        <v>0.37556009964988535</v>
      </c>
      <c r="BH26" s="1">
        <v>0.47384289350346398</v>
      </c>
      <c r="BI26" s="1">
        <v>0.60412819608634583</v>
      </c>
      <c r="BJ26" s="1">
        <v>0.49405314864804706</v>
      </c>
      <c r="BK26" s="1">
        <v>0.51982638358436195</v>
      </c>
      <c r="BL26" s="1">
        <v>0.57107684074067411</v>
      </c>
      <c r="BM26" s="1">
        <v>0.56823237750486899</v>
      </c>
      <c r="BN26" s="1">
        <v>0.6480946937561316</v>
      </c>
      <c r="BO26" s="1">
        <v>0.62568753793522647</v>
      </c>
      <c r="BP26" s="1">
        <v>0.47196355949638136</v>
      </c>
      <c r="BQ26" s="1">
        <v>0.54167023148015137</v>
      </c>
      <c r="BR26" s="1">
        <v>0.52762778138816024</v>
      </c>
      <c r="BS26" s="1">
        <v>0.39840735485411005</v>
      </c>
      <c r="BT26" s="1">
        <v>0.31407790318298834</v>
      </c>
      <c r="BU26" s="1">
        <v>0.27779420744263628</v>
      </c>
      <c r="BV26" s="1">
        <v>0.23131107989421418</v>
      </c>
      <c r="BW26" s="1">
        <v>0.1541507155445152</v>
      </c>
      <c r="BX26" s="1">
        <v>0.25117488348759887</v>
      </c>
      <c r="BY26" s="1">
        <v>0.26333082419804543</v>
      </c>
      <c r="BZ26" s="1">
        <v>0.13787637718289747</v>
      </c>
      <c r="CA26" s="1">
        <v>0.17659659829713026</v>
      </c>
      <c r="CB26" s="1">
        <v>6.4722619883885724E-3</v>
      </c>
      <c r="CC26" s="1">
        <v>9.0254878987339193E-3</v>
      </c>
      <c r="CD26" s="1">
        <v>-1.4740274543196041E-2</v>
      </c>
      <c r="CE26" s="1">
        <v>-3.3184335426429068E-2</v>
      </c>
      <c r="CF26" s="1">
        <v>-0.1484193125232609</v>
      </c>
      <c r="CG26" s="1">
        <v>-0.15868964678875608</v>
      </c>
      <c r="CH26" s="1">
        <v>-7.7281706367673508E-2</v>
      </c>
      <c r="CI26" s="1">
        <v>-0.11580677738640144</v>
      </c>
      <c r="CJ26" s="1">
        <v>-0.17648716524588015</v>
      </c>
      <c r="CK26" s="1">
        <v>-0.16013873706392712</v>
      </c>
      <c r="CL26" s="1">
        <v>-0.20717150045169175</v>
      </c>
      <c r="CM26" s="1">
        <v>-0.11327072542684535</v>
      </c>
      <c r="CN26" s="1">
        <v>-0.15796236436903843</v>
      </c>
      <c r="CO26" s="1">
        <v>-0.30782704967381891</v>
      </c>
      <c r="CP26" s="1">
        <v>-0.25113944344077921</v>
      </c>
      <c r="CQ26" s="1">
        <v>-0.3022374156269253</v>
      </c>
      <c r="CR26" s="1">
        <v>-0.30831069662053401</v>
      </c>
      <c r="CS26" s="1">
        <v>-0.36317245498719064</v>
      </c>
      <c r="CT26" s="1">
        <v>-0.37072274677113604</v>
      </c>
      <c r="CU26" s="1">
        <v>-0.3882689591224936</v>
      </c>
      <c r="CV26" s="1">
        <v>-0.34995905549566997</v>
      </c>
      <c r="CW26" s="1">
        <v>-0.37701223871547029</v>
      </c>
      <c r="CX26" s="1">
        <v>-0.38353496615774207</v>
      </c>
      <c r="CY26" s="1">
        <v>-0.39548620456436412</v>
      </c>
      <c r="CZ26" s="1">
        <v>-0.38247369005853438</v>
      </c>
      <c r="DA26" s="1">
        <v>-0.38103524865184324</v>
      </c>
      <c r="DB26" s="1">
        <v>-0.29420725195667052</v>
      </c>
      <c r="DC26" s="1">
        <v>-0.33367246401021633</v>
      </c>
      <c r="DD26" s="1">
        <v>-0.29075194122877779</v>
      </c>
      <c r="DE26" s="1">
        <v>-0.36128947428204161</v>
      </c>
      <c r="DF26" s="1">
        <v>-0.37644548647413489</v>
      </c>
      <c r="DG26" s="1">
        <v>-0.39992752057196002</v>
      </c>
      <c r="DH26" s="1">
        <v>-0.43404852968498908</v>
      </c>
      <c r="DI26" s="1">
        <v>-0.40833771751182391</v>
      </c>
      <c r="DJ26" s="1">
        <v>-0.3885011731003003</v>
      </c>
      <c r="DK26" s="1">
        <v>-0.36055653001889243</v>
      </c>
      <c r="DL26" s="1">
        <v>-0.3845137476798447</v>
      </c>
      <c r="DM26" s="1">
        <v>-0.39609057561177297</v>
      </c>
      <c r="DN26" s="1">
        <v>-0.45598465911606467</v>
      </c>
      <c r="DO26" s="1">
        <v>-0.43713100372703761</v>
      </c>
      <c r="DP26" s="1">
        <v>-0.45840317382357509</v>
      </c>
      <c r="DQ26" s="1">
        <v>-0.41418589764497615</v>
      </c>
      <c r="DR26" s="1">
        <v>-0.41223293850975684</v>
      </c>
      <c r="DS26" s="1">
        <v>-0.40834746007402623</v>
      </c>
      <c r="DT26" s="1">
        <v>-0.39796745082771123</v>
      </c>
      <c r="DU26" s="1">
        <v>-0.40037262664486151</v>
      </c>
      <c r="DV26" s="1">
        <v>-0.37334794984392061</v>
      </c>
      <c r="DW26" s="1">
        <v>-0.35691920120038489</v>
      </c>
      <c r="DX26" s="1">
        <v>-0.31901823326550671</v>
      </c>
      <c r="DY26" s="1">
        <v>-0.37944221030407688</v>
      </c>
      <c r="DZ26" s="1">
        <v>-0.34579815246535273</v>
      </c>
      <c r="EA26" s="1">
        <v>-0.30595996073494314</v>
      </c>
      <c r="EB26" s="1">
        <v>-0.30833886608717531</v>
      </c>
      <c r="EC26" s="1">
        <v>-0.27637789534388946</v>
      </c>
      <c r="ED26" s="1">
        <v>-0.26400096060528866</v>
      </c>
      <c r="EE26" s="1">
        <v>-0.20267189098270444</v>
      </c>
      <c r="EF26" s="1">
        <v>-0.17602861525592639</v>
      </c>
      <c r="EG26" s="1">
        <v>-0.16994012103882583</v>
      </c>
      <c r="EH26" s="35"/>
    </row>
    <row r="27" spans="1:138" ht="16" customHeight="1">
      <c r="A27" s="1"/>
      <c r="B27" s="1"/>
      <c r="C27" s="6">
        <v>192</v>
      </c>
      <c r="D27" s="1">
        <v>3.6241182215047199E-2</v>
      </c>
      <c r="E27" s="1">
        <v>0.10373894264098871</v>
      </c>
      <c r="F27" s="1">
        <v>9.3116903101321036E-2</v>
      </c>
      <c r="G27" s="1">
        <v>0.14706380717990486</v>
      </c>
      <c r="H27" s="1">
        <v>0.21781102854980317</v>
      </c>
      <c r="I27" s="1">
        <v>0.22828631422057399</v>
      </c>
      <c r="J27" s="1">
        <v>0.22664554502124434</v>
      </c>
      <c r="K27" s="1">
        <v>0.24747956068496557</v>
      </c>
      <c r="L27" s="1">
        <v>0.18440137175865479</v>
      </c>
      <c r="M27" s="1">
        <v>0.25952785619161234</v>
      </c>
      <c r="N27" s="1">
        <v>0.41990366537067803</v>
      </c>
      <c r="O27" s="1">
        <v>0.47136265283519019</v>
      </c>
      <c r="P27" s="1">
        <v>0.46656002794052531</v>
      </c>
      <c r="Q27" s="1">
        <v>0.52534073086611222</v>
      </c>
      <c r="R27" s="1">
        <v>0.44923116732865376</v>
      </c>
      <c r="S27" s="1">
        <v>0.63906177923026952</v>
      </c>
      <c r="T27" s="1">
        <v>0.3652725992121566</v>
      </c>
      <c r="U27" s="1">
        <v>0.50566388915629212</v>
      </c>
      <c r="V27" s="1">
        <v>0.41175005118030539</v>
      </c>
      <c r="W27" s="1">
        <v>0.47909704419453858</v>
      </c>
      <c r="X27" s="1">
        <v>0.45152005823404662</v>
      </c>
      <c r="Y27" s="1">
        <v>0.72080288819688931</v>
      </c>
      <c r="Z27" s="1">
        <v>0.5748191267312901</v>
      </c>
      <c r="AA27" s="1">
        <v>0.65741299409152565</v>
      </c>
      <c r="AB27" s="1">
        <v>0.80718853078508079</v>
      </c>
      <c r="AC27" s="1">
        <v>0.77212296453348861</v>
      </c>
      <c r="AD27" s="1">
        <v>0.806656197745238</v>
      </c>
      <c r="AE27" s="1">
        <v>0.81304698946095</v>
      </c>
      <c r="AF27" s="1">
        <v>1.2292458422638193</v>
      </c>
      <c r="AG27" s="1">
        <v>1.3720505960726599</v>
      </c>
      <c r="AH27" s="1">
        <v>1.3405176838259938</v>
      </c>
      <c r="AI27" s="1">
        <v>1.4770832382420189</v>
      </c>
      <c r="AJ27" s="1">
        <v>1.1089255187812808</v>
      </c>
      <c r="AK27" s="1">
        <v>1.199213983151568</v>
      </c>
      <c r="AL27" s="1">
        <v>1.2068170981582855</v>
      </c>
      <c r="AM27" s="1">
        <v>0.96130558368308727</v>
      </c>
      <c r="AN27" s="1">
        <v>1.0523328075407217</v>
      </c>
      <c r="AO27" s="1">
        <v>1.2045866086626198</v>
      </c>
      <c r="AP27" s="1">
        <v>1.0914130248169602</v>
      </c>
      <c r="AQ27" s="1">
        <v>0.60307562982330798</v>
      </c>
      <c r="AR27" s="1">
        <v>0.78458147118133392</v>
      </c>
      <c r="AS27" s="1">
        <v>0.55310178155433687</v>
      </c>
      <c r="AT27" s="1">
        <v>0.60506572116654023</v>
      </c>
      <c r="AU27" s="1">
        <v>0.40190598570189651</v>
      </c>
      <c r="AV27" s="1">
        <v>0.22618064606877031</v>
      </c>
      <c r="AW27" s="1">
        <v>0.13999582325979953</v>
      </c>
      <c r="AX27" s="1">
        <v>0.14469706600112953</v>
      </c>
      <c r="AY27" s="1">
        <v>0.50388903249480621</v>
      </c>
      <c r="AZ27" s="1">
        <v>0.88770627490526777</v>
      </c>
      <c r="BA27" s="1">
        <v>0.7949942605482887</v>
      </c>
      <c r="BB27" s="1">
        <v>0.85611044704292327</v>
      </c>
      <c r="BC27" s="1">
        <v>0.58664112114864331</v>
      </c>
      <c r="BD27" s="1">
        <v>0.50512102694774752</v>
      </c>
      <c r="BE27" s="1">
        <v>0.58247215271869757</v>
      </c>
      <c r="BF27" s="1">
        <v>0.61560367431659224</v>
      </c>
      <c r="BG27" s="1">
        <v>0.76942575869897745</v>
      </c>
      <c r="BH27" s="1">
        <v>1.1169654889027889</v>
      </c>
      <c r="BI27" s="1">
        <v>1.2887910117027634</v>
      </c>
      <c r="BJ27" s="1">
        <v>1.368147345983115</v>
      </c>
      <c r="BK27" s="1">
        <v>1.5015931779198493</v>
      </c>
      <c r="BL27" s="1">
        <v>1.5942267473533911</v>
      </c>
      <c r="BM27" s="1">
        <v>1.7325294470796053</v>
      </c>
      <c r="BN27" s="1">
        <v>1.8135861342909463</v>
      </c>
      <c r="BO27" s="1">
        <v>1.7971465976171395</v>
      </c>
      <c r="BP27" s="1">
        <v>1.5990810416630006</v>
      </c>
      <c r="BQ27" s="1">
        <v>1.8001017645191384</v>
      </c>
      <c r="BR27" s="1">
        <v>1.7151264489915228</v>
      </c>
      <c r="BS27" s="1">
        <v>1.2060031674240292</v>
      </c>
      <c r="BT27" s="1">
        <v>0.81676793127846081</v>
      </c>
      <c r="BU27" s="1">
        <v>0.6700580495259354</v>
      </c>
      <c r="BV27" s="1">
        <v>0.74332431516957009</v>
      </c>
      <c r="BW27" s="1">
        <v>0.64444900632313917</v>
      </c>
      <c r="BX27" s="1">
        <v>0.8753956508040881</v>
      </c>
      <c r="BY27" s="1">
        <v>0.96943597483466082</v>
      </c>
      <c r="BZ27" s="1">
        <v>0.87444292505146071</v>
      </c>
      <c r="CA27" s="1">
        <v>0.71894210567634098</v>
      </c>
      <c r="CB27" s="1">
        <v>0.3613788919351606</v>
      </c>
      <c r="CC27" s="1">
        <v>0.33819544455377293</v>
      </c>
      <c r="CD27" s="1">
        <v>0.32001391854271111</v>
      </c>
      <c r="CE27" s="1">
        <v>0.30356299236947426</v>
      </c>
      <c r="CF27" s="1">
        <v>0.31164108380990085</v>
      </c>
      <c r="CG27" s="1">
        <v>0.25324529961802766</v>
      </c>
      <c r="CH27" s="1">
        <v>0.50319224534638818</v>
      </c>
      <c r="CI27" s="1">
        <v>0.2987511539039287</v>
      </c>
      <c r="CJ27" s="1">
        <v>0.39753015378823964</v>
      </c>
      <c r="CK27" s="1">
        <v>0.5652818641682622</v>
      </c>
      <c r="CL27" s="1">
        <v>0.38115338786092123</v>
      </c>
      <c r="CM27" s="1">
        <v>0.4008523032156952</v>
      </c>
      <c r="CN27" s="1">
        <v>0.17105189374894114</v>
      </c>
      <c r="CO27" s="1">
        <v>-5.5942095971145411E-2</v>
      </c>
      <c r="CP27" s="1">
        <v>0.1247911078273114</v>
      </c>
      <c r="CQ27" s="1">
        <v>9.3412311641970058E-2</v>
      </c>
      <c r="CR27" s="1">
        <v>4.4376795242028422E-2</v>
      </c>
      <c r="CS27" s="1">
        <v>-0.12816254574728625</v>
      </c>
      <c r="CT27" s="1">
        <v>-0.22956022385701602</v>
      </c>
      <c r="CU27" s="1">
        <v>-0.29265140914819288</v>
      </c>
      <c r="CV27" s="1">
        <v>-0.21090246066796758</v>
      </c>
      <c r="CW27" s="1">
        <v>-0.24300533193759555</v>
      </c>
      <c r="CX27" s="1">
        <v>-0.24886008812693228</v>
      </c>
      <c r="CY27" s="1">
        <v>-0.25483621766762332</v>
      </c>
      <c r="CZ27" s="1">
        <v>-0.25913911390856581</v>
      </c>
      <c r="DA27" s="1">
        <v>-0.26107031554193805</v>
      </c>
      <c r="DB27" s="1">
        <v>-0.11806254758222734</v>
      </c>
      <c r="DC27" s="1">
        <v>-0.10483805650614531</v>
      </c>
      <c r="DD27" s="1">
        <v>-7.1817380811578513E-2</v>
      </c>
      <c r="DE27" s="1">
        <v>-0.15714296528544269</v>
      </c>
      <c r="DF27" s="1">
        <v>-0.17982317340146214</v>
      </c>
      <c r="DG27" s="1">
        <v>-0.24706632065171474</v>
      </c>
      <c r="DH27" s="1">
        <v>-0.26590685304007367</v>
      </c>
      <c r="DI27" s="1">
        <v>-0.23999524207209855</v>
      </c>
      <c r="DJ27" s="1">
        <v>-0.20520560028571211</v>
      </c>
      <c r="DK27" s="1">
        <v>-0.16137610361720633</v>
      </c>
      <c r="DL27" s="1">
        <v>-0.27596244342510479</v>
      </c>
      <c r="DM27" s="1">
        <v>-0.27017286742973323</v>
      </c>
      <c r="DN27" s="1">
        <v>-0.32336985420100117</v>
      </c>
      <c r="DO27" s="1">
        <v>-0.20631423258110537</v>
      </c>
      <c r="DP27" s="1">
        <v>-0.30172650412441449</v>
      </c>
      <c r="DQ27" s="1">
        <v>-0.26777167984142181</v>
      </c>
      <c r="DR27" s="1">
        <v>-0.25310972290469536</v>
      </c>
      <c r="DS27" s="1">
        <v>-0.21434817246684812</v>
      </c>
      <c r="DT27" s="1">
        <v>-0.15248184946111398</v>
      </c>
      <c r="DU27" s="1">
        <v>-0.1056189436725804</v>
      </c>
      <c r="DV27" s="1">
        <v>4.036722934321979E-2</v>
      </c>
      <c r="DW27" s="1">
        <v>9.913887130429222E-2</v>
      </c>
      <c r="DX27" s="1">
        <v>0.14929816689694309</v>
      </c>
      <c r="DY27" s="1">
        <v>-9.1816681258581445E-2</v>
      </c>
      <c r="DZ27" s="1">
        <v>3.737971065523582E-2</v>
      </c>
      <c r="EA27" s="1">
        <v>0.11078201811151689</v>
      </c>
      <c r="EB27" s="1">
        <v>0.15403676648825226</v>
      </c>
      <c r="EC27" s="1">
        <v>0.19784229407073739</v>
      </c>
      <c r="ED27" s="1">
        <v>0.33116268243837621</v>
      </c>
      <c r="EE27" s="1">
        <v>0.60962751726956044</v>
      </c>
      <c r="EF27" s="1">
        <v>0.71207883290914986</v>
      </c>
      <c r="EG27" s="1">
        <v>0.61568427301397355</v>
      </c>
    </row>
    <row r="28" spans="1:138" ht="16" customHeight="1">
      <c r="A28" s="37"/>
      <c r="B28" s="37"/>
      <c r="C28" s="18">
        <v>964</v>
      </c>
      <c r="D28" s="37">
        <v>-0.25797044854899692</v>
      </c>
      <c r="E28" s="37">
        <v>-0.16112801491469886</v>
      </c>
      <c r="F28" s="37">
        <v>-0.21787139567421066</v>
      </c>
      <c r="G28" s="37">
        <v>-0.18366066469648712</v>
      </c>
      <c r="H28" s="37">
        <v>-9.8675263660616852E-2</v>
      </c>
      <c r="I28" s="37">
        <v>-0.22041281045663608</v>
      </c>
      <c r="J28" s="37">
        <v>-0.30070002236167348</v>
      </c>
      <c r="K28" s="37">
        <v>-8.6114708087176139E-2</v>
      </c>
      <c r="L28" s="37">
        <v>-7.0624206743896356E-2</v>
      </c>
      <c r="M28" s="37">
        <v>-0.12780090578768821</v>
      </c>
      <c r="N28" s="37">
        <v>0.17303576920220354</v>
      </c>
      <c r="O28" s="37">
        <v>-0.12957279434290647</v>
      </c>
      <c r="P28" s="37">
        <v>-0.18479247477642924</v>
      </c>
      <c r="Q28" s="37">
        <v>-1.4374052855687491E-2</v>
      </c>
      <c r="R28" s="37">
        <v>-3.8356402614247997E-2</v>
      </c>
      <c r="S28" s="37">
        <v>0.24223306608102502</v>
      </c>
      <c r="T28" s="37">
        <v>-4.4842175160137998E-3</v>
      </c>
      <c r="U28" s="37">
        <v>0.1089110339227537</v>
      </c>
      <c r="V28" s="37">
        <v>-7.8713259921656453E-2</v>
      </c>
      <c r="W28" s="37">
        <v>0.13376107792651237</v>
      </c>
      <c r="X28" s="37">
        <v>3.3305647999937626E-2</v>
      </c>
      <c r="Y28" s="37">
        <v>0.71132051019309617</v>
      </c>
      <c r="Z28" s="37">
        <v>0.68698328604822589</v>
      </c>
      <c r="AA28" s="37">
        <v>1.2278613571450525</v>
      </c>
      <c r="AB28" s="37">
        <v>1.3555757110192466</v>
      </c>
      <c r="AC28" s="37">
        <v>0.90378142255921512</v>
      </c>
      <c r="AD28" s="37">
        <v>0.71183155218070326</v>
      </c>
      <c r="AE28" s="37">
        <v>0.6357633582911808</v>
      </c>
      <c r="AF28" s="37">
        <v>0.98116726572153024</v>
      </c>
      <c r="AG28" s="37">
        <v>0.86570492691075551</v>
      </c>
      <c r="AH28" s="37">
        <v>0.28506551534392877</v>
      </c>
      <c r="AI28" s="37">
        <v>0.44350555946246328</v>
      </c>
      <c r="AJ28" s="37">
        <v>7.1456455745137371E-2</v>
      </c>
      <c r="AK28" s="37">
        <v>0.20725127001779331</v>
      </c>
      <c r="AL28" s="37">
        <v>0.45524450175391529</v>
      </c>
      <c r="AM28" s="37">
        <v>0.35913689420973216</v>
      </c>
      <c r="AN28" s="37">
        <v>0.57420570859622466</v>
      </c>
      <c r="AO28" s="37">
        <v>0.71908293296853731</v>
      </c>
      <c r="AP28" s="37">
        <v>0.15197374718181522</v>
      </c>
      <c r="AQ28" s="37">
        <v>8.4606392674834163E-2</v>
      </c>
      <c r="AR28" s="37">
        <v>6.1637457539053919E-2</v>
      </c>
      <c r="AS28" s="37">
        <v>-0.38650548905199134</v>
      </c>
      <c r="AT28" s="37">
        <v>-0.27367655325241869</v>
      </c>
      <c r="AU28" s="37">
        <v>-0.90548984170516034</v>
      </c>
      <c r="AV28" s="37">
        <v>-0.92767761461289389</v>
      </c>
      <c r="AW28" s="37">
        <v>-0.93550012227591317</v>
      </c>
      <c r="AX28" s="37">
        <v>-0.92804060423535628</v>
      </c>
      <c r="AY28" s="37">
        <v>-0.90842697005876405</v>
      </c>
      <c r="AZ28" s="37">
        <v>-0.85317545441132203</v>
      </c>
      <c r="BA28" s="37">
        <v>-0.86219174833153422</v>
      </c>
      <c r="BB28" s="37">
        <v>-0.92171980956434618</v>
      </c>
      <c r="BC28" s="37">
        <v>-0.92857198442068256</v>
      </c>
      <c r="BD28" s="37">
        <v>-0.91914990370708749</v>
      </c>
      <c r="BE28" s="37">
        <v>-0.90426955712360046</v>
      </c>
      <c r="BF28" s="37">
        <v>-0.89765055949031813</v>
      </c>
      <c r="BG28" s="37">
        <v>-0.9226934857354081</v>
      </c>
      <c r="BH28" s="37">
        <v>-0.87905902137207959</v>
      </c>
      <c r="BI28" s="37">
        <v>-0.8538496822094177</v>
      </c>
      <c r="BJ28" s="37">
        <v>-0.87042560249655421</v>
      </c>
      <c r="BK28" s="37">
        <v>-0.89101994889761904</v>
      </c>
      <c r="BL28" s="37">
        <v>-0.88032493444283444</v>
      </c>
      <c r="BM28" s="37">
        <v>-0.88821663082627678</v>
      </c>
      <c r="BN28" s="37">
        <v>-0.89310446623559758</v>
      </c>
      <c r="BO28" s="37">
        <v>-0.8958700770871052</v>
      </c>
      <c r="BP28" s="37">
        <v>-0.90982019209473186</v>
      </c>
      <c r="BQ28" s="37">
        <v>-0.88106347180422584</v>
      </c>
      <c r="BR28" s="37">
        <v>-0.88617360115308275</v>
      </c>
      <c r="BS28" s="37">
        <v>-0.90314574548612658</v>
      </c>
      <c r="BT28" s="37">
        <v>-0.90316611342021713</v>
      </c>
      <c r="BU28" s="37">
        <v>-0.90534140867958013</v>
      </c>
      <c r="BV28" s="37">
        <v>-0.92150334737986217</v>
      </c>
      <c r="BW28" s="37">
        <v>-0.91212774158885435</v>
      </c>
      <c r="BX28" s="37">
        <v>-0.91339413712754469</v>
      </c>
      <c r="BY28" s="37">
        <v>-0.90427499257721866</v>
      </c>
      <c r="BZ28" s="37">
        <v>-0.87507919073496421</v>
      </c>
      <c r="CA28" s="37">
        <v>-0.88904426363987588</v>
      </c>
      <c r="CB28" s="37">
        <v>-0.88882401813111866</v>
      </c>
      <c r="CC28" s="37">
        <v>-0.90009026717164431</v>
      </c>
      <c r="CD28" s="37">
        <v>-0.92095335582043125</v>
      </c>
      <c r="CE28" s="37">
        <v>-0.92116864952548383</v>
      </c>
      <c r="CF28" s="37">
        <v>-0.91187120429111135</v>
      </c>
      <c r="CG28" s="37">
        <v>-0.91345050691835139</v>
      </c>
      <c r="CH28" s="37">
        <v>-0.91593291784992115</v>
      </c>
      <c r="CI28" s="37">
        <v>-0.92428004841955236</v>
      </c>
      <c r="CJ28" s="37">
        <v>-0.89440053149899923</v>
      </c>
      <c r="CK28" s="37">
        <v>-0.85817222694777584</v>
      </c>
      <c r="CL28" s="37">
        <v>-0.86508420121873808</v>
      </c>
      <c r="CM28" s="37">
        <v>-0.88190430426008759</v>
      </c>
      <c r="CN28" s="37">
        <v>-0.90763119226210176</v>
      </c>
      <c r="CO28" s="37">
        <v>-0.94743600234487291</v>
      </c>
      <c r="CP28" s="37">
        <v>-0.91747815215254869</v>
      </c>
      <c r="CQ28" s="37">
        <v>-0.89553105009114664</v>
      </c>
      <c r="CR28" s="37">
        <v>-0.9225764881429418</v>
      </c>
      <c r="CS28" s="37">
        <v>-0.93004344483837553</v>
      </c>
      <c r="CT28" s="37">
        <v>-0.94021273896151203</v>
      </c>
      <c r="CU28" s="37">
        <v>-0.93582795048396938</v>
      </c>
      <c r="CV28" s="37">
        <v>-0.92808194139619227</v>
      </c>
      <c r="CW28" s="37">
        <v>-0.9383827338093762</v>
      </c>
      <c r="CX28" s="37">
        <v>-0.94066511570654343</v>
      </c>
      <c r="CY28" s="37">
        <v>-0.94003381955375842</v>
      </c>
      <c r="CZ28" s="37">
        <v>-0.93268784860473697</v>
      </c>
      <c r="DA28" s="37">
        <v>-0.94553419641693492</v>
      </c>
      <c r="DB28" s="37">
        <v>-0.94432140624683281</v>
      </c>
      <c r="DC28" s="37">
        <v>-0.92979407087835064</v>
      </c>
      <c r="DD28" s="37">
        <v>-0.93331456910083621</v>
      </c>
      <c r="DE28" s="37">
        <v>-0.94321434290116346</v>
      </c>
      <c r="DF28" s="37">
        <v>-0.94243462828458147</v>
      </c>
      <c r="DG28" s="37">
        <v>-0.95292299333718877</v>
      </c>
      <c r="DH28" s="37">
        <v>-0.95967515675105486</v>
      </c>
      <c r="DI28" s="37">
        <v>-0.95744276726045185</v>
      </c>
      <c r="DJ28" s="37">
        <v>-0.96549663060175739</v>
      </c>
      <c r="DK28" s="37">
        <v>-0.96420703098457472</v>
      </c>
      <c r="DL28" s="37">
        <v>-0.97079060121619909</v>
      </c>
      <c r="DM28" s="37">
        <v>-0.97021566200420595</v>
      </c>
      <c r="DN28" s="37">
        <v>-0.97156708872460629</v>
      </c>
      <c r="DO28" s="37">
        <v>-0.95287902060884522</v>
      </c>
      <c r="DP28" s="37">
        <v>-0.95364727058060805</v>
      </c>
      <c r="DQ28" s="37">
        <v>-0.96110722687846295</v>
      </c>
      <c r="DR28" s="37">
        <v>-0.95986939195028287</v>
      </c>
      <c r="DS28" s="37">
        <v>-0.94535200893411298</v>
      </c>
      <c r="DT28" s="37">
        <v>-0.9276760093079357</v>
      </c>
      <c r="DU28" s="37">
        <v>-0.91341065594053328</v>
      </c>
      <c r="DV28" s="37">
        <v>-0.88021369450874243</v>
      </c>
      <c r="DW28" s="37">
        <v>-0.88110219481178675</v>
      </c>
      <c r="DX28" s="37">
        <v>-0.79784037121692086</v>
      </c>
      <c r="DY28" s="37">
        <v>-0.89268129068271973</v>
      </c>
      <c r="DZ28" s="37">
        <v>-0.92026948218228211</v>
      </c>
      <c r="EA28" s="37">
        <v>-0.90378057284915081</v>
      </c>
      <c r="EB28" s="37">
        <v>-0.89524527558622702</v>
      </c>
      <c r="EC28" s="37">
        <v>-0.87619766753898132</v>
      </c>
      <c r="ED28" s="37">
        <v>-0.86982992296912964</v>
      </c>
      <c r="EE28" s="37">
        <v>-0.85638627024932956</v>
      </c>
      <c r="EF28" s="37">
        <v>-0.84846092455539146</v>
      </c>
      <c r="EG28" s="37">
        <v>-0.85415663897018224</v>
      </c>
    </row>
    <row r="29" spans="1:138" s="1" customFormat="1" ht="16" customHeight="1">
      <c r="C29" s="6" t="s">
        <v>147</v>
      </c>
      <c r="D29" s="36">
        <v>-1.744677053939037E-2</v>
      </c>
      <c r="E29" s="36">
        <v>2.893123339404724E-3</v>
      </c>
      <c r="F29" s="36">
        <v>2.6944635852046869E-2</v>
      </c>
      <c r="G29" s="36">
        <v>2.0210365301730041E-2</v>
      </c>
      <c r="H29" s="36">
        <v>5.269909680859941E-2</v>
      </c>
      <c r="I29" s="36">
        <v>8.8857766197530053E-2</v>
      </c>
      <c r="J29" s="36">
        <v>7.9869318529145472E-2</v>
      </c>
      <c r="K29" s="36">
        <v>9.3738646464063713E-2</v>
      </c>
      <c r="L29" s="36">
        <v>3.7937714394164157E-2</v>
      </c>
      <c r="M29" s="36">
        <v>3.8844812525307137E-2</v>
      </c>
      <c r="N29" s="36">
        <v>6.3142951706360639E-2</v>
      </c>
      <c r="O29" s="36">
        <v>7.6952085951054405E-2</v>
      </c>
      <c r="P29" s="36">
        <v>8.3257197491512391E-2</v>
      </c>
      <c r="Q29" s="36">
        <v>0.11295275081672609</v>
      </c>
      <c r="R29" s="36">
        <v>0.1088204283509331</v>
      </c>
      <c r="S29" s="36">
        <v>0.13551706985268061</v>
      </c>
      <c r="T29" s="36">
        <v>0.12167508804368481</v>
      </c>
      <c r="U29" s="36">
        <v>7.7088976461827885E-2</v>
      </c>
      <c r="V29" s="36">
        <v>-1.7059521199481731E-3</v>
      </c>
      <c r="W29" s="36">
        <v>-5.9866792867339091E-2</v>
      </c>
      <c r="X29" s="36">
        <v>-5.9140260213613523E-2</v>
      </c>
      <c r="Y29" s="36">
        <v>-1.7185893241652209E-2</v>
      </c>
      <c r="Z29" s="36">
        <v>-4.4409529547694393E-2</v>
      </c>
      <c r="AA29" s="36">
        <v>-4.2407561826578573E-2</v>
      </c>
      <c r="AB29" s="36">
        <v>-6.481575250614946E-2</v>
      </c>
      <c r="AC29" s="36">
        <v>-3.4768870774049443E-2</v>
      </c>
      <c r="AD29" s="36">
        <v>2.7817794451217011E-3</v>
      </c>
      <c r="AE29" s="36">
        <v>-4.0202844765013457E-2</v>
      </c>
      <c r="AF29" s="36">
        <v>-2.23053204826642E-2</v>
      </c>
      <c r="AG29" s="36">
        <v>-7.4152570234460313E-3</v>
      </c>
      <c r="AH29" s="36">
        <v>2.8334274381314421E-2</v>
      </c>
      <c r="AI29" s="36">
        <v>3.7953941892352683E-2</v>
      </c>
      <c r="AJ29" s="36">
        <v>4.9110131735873752E-2</v>
      </c>
      <c r="AK29" s="36">
        <v>6.3123886850196875E-2</v>
      </c>
      <c r="AL29" s="36">
        <v>5.7454515782098918E-2</v>
      </c>
      <c r="AM29" s="36">
        <v>5.8917118987427568E-2</v>
      </c>
      <c r="AN29" s="36">
        <v>8.0938283596681648E-2</v>
      </c>
      <c r="AO29" s="36">
        <v>0.11500697453770201</v>
      </c>
      <c r="AP29" s="36">
        <v>0.1219665320054517</v>
      </c>
      <c r="AQ29" s="36">
        <v>0.12886130991117531</v>
      </c>
      <c r="AR29" s="36">
        <v>0.14799139743631429</v>
      </c>
      <c r="AS29" s="36">
        <v>0.18780698843660251</v>
      </c>
      <c r="AT29" s="36">
        <v>0.19148751365039929</v>
      </c>
      <c r="AU29" s="36">
        <v>0.20945675046088999</v>
      </c>
      <c r="AV29" s="36">
        <v>0.18617324550329581</v>
      </c>
      <c r="AW29" s="36">
        <v>0.23209180697664691</v>
      </c>
      <c r="AX29" s="36">
        <v>0.205162036556817</v>
      </c>
      <c r="AY29" s="36">
        <v>0.21453132863303209</v>
      </c>
      <c r="AZ29" s="36">
        <v>0.2660241129922889</v>
      </c>
      <c r="BA29" s="36">
        <v>0.23271631642995261</v>
      </c>
      <c r="BB29" s="36">
        <v>0.2445155679795841</v>
      </c>
      <c r="BC29" s="36">
        <v>0.21433638745422809</v>
      </c>
      <c r="BD29" s="36">
        <v>0.2388215063710388</v>
      </c>
      <c r="BE29" s="36">
        <v>0.23447943849994909</v>
      </c>
      <c r="BF29" s="36">
        <v>0.25935658802508499</v>
      </c>
      <c r="BG29" s="36">
        <v>0.26008869763716319</v>
      </c>
      <c r="BH29" s="36">
        <v>0.2535114114609236</v>
      </c>
      <c r="BI29" s="36">
        <v>0.10826483627727621</v>
      </c>
      <c r="BJ29" s="36">
        <v>0.11793469710078749</v>
      </c>
      <c r="BK29" s="36">
        <v>9.9625988810205346E-2</v>
      </c>
      <c r="BL29" s="36">
        <v>0.12254260303831389</v>
      </c>
      <c r="BM29" s="36">
        <v>0.17302993558174001</v>
      </c>
      <c r="BN29" s="36">
        <v>0.20112905370185399</v>
      </c>
      <c r="BO29" s="36">
        <v>0.237450116940952</v>
      </c>
      <c r="BP29" s="36">
        <v>0.18334151222801379</v>
      </c>
      <c r="BQ29" s="36">
        <v>0.209244230248715</v>
      </c>
      <c r="BR29" s="36">
        <v>0.21967690051673561</v>
      </c>
      <c r="BS29" s="36">
        <v>0.1962676978767699</v>
      </c>
      <c r="BT29" s="36">
        <v>0.21987619627534569</v>
      </c>
      <c r="BU29" s="36">
        <v>0.27805738326883361</v>
      </c>
      <c r="BV29" s="36">
        <v>0.29269729646247922</v>
      </c>
      <c r="BW29" s="36">
        <v>0.34857881761669129</v>
      </c>
      <c r="BX29" s="36">
        <v>0.2909305384219143</v>
      </c>
      <c r="BY29" s="36">
        <v>0.26793739709811137</v>
      </c>
      <c r="BZ29" s="36">
        <v>7.628473289061688E-2</v>
      </c>
      <c r="CA29" s="36">
        <v>0.2099851314449144</v>
      </c>
      <c r="CB29" s="36">
        <v>0.20447092205281339</v>
      </c>
      <c r="CC29" s="36">
        <v>0.27699361006036599</v>
      </c>
      <c r="CD29" s="36">
        <v>0.38680488733361829</v>
      </c>
      <c r="CE29" s="36">
        <v>0.37874965946081551</v>
      </c>
      <c r="CF29" s="36">
        <v>0.37042015435709108</v>
      </c>
      <c r="CG29" s="36">
        <v>0.37378086910184649</v>
      </c>
      <c r="CH29" s="36">
        <v>0.49692143719092191</v>
      </c>
      <c r="CI29" s="36">
        <v>0.603191980394987</v>
      </c>
      <c r="CJ29" s="36">
        <v>0.64675173719730239</v>
      </c>
      <c r="CK29" s="36">
        <v>0.73315421285472704</v>
      </c>
      <c r="CL29" s="36">
        <v>0.7842487445659152</v>
      </c>
      <c r="CM29" s="36">
        <v>0.90348131155309508</v>
      </c>
      <c r="CN29" s="36">
        <v>0.8487139113221478</v>
      </c>
      <c r="CO29" s="36">
        <v>0.92166881344527685</v>
      </c>
      <c r="CP29" s="36">
        <v>0.86588067898046694</v>
      </c>
      <c r="CQ29" s="36">
        <v>0.89197293519067467</v>
      </c>
      <c r="CR29" s="36">
        <v>0.83090579105751727</v>
      </c>
      <c r="CS29" s="36">
        <v>0.83658814745105547</v>
      </c>
      <c r="CT29" s="36">
        <v>0.88358984642415717</v>
      </c>
      <c r="CU29" s="36">
        <v>0.9672059526983301</v>
      </c>
      <c r="CV29" s="36">
        <v>0.90752297284093331</v>
      </c>
      <c r="CW29" s="36">
        <v>0.90512335385454468</v>
      </c>
      <c r="CX29" s="36">
        <v>0.90957440110152876</v>
      </c>
      <c r="CY29" s="36">
        <v>0.78685723504233995</v>
      </c>
      <c r="CZ29" s="36">
        <v>0.80992516787144164</v>
      </c>
      <c r="DA29" s="36">
        <v>0.58282101623526672</v>
      </c>
      <c r="DB29" s="36">
        <v>0.60132527488651344</v>
      </c>
      <c r="DC29" s="36">
        <v>0.61147422419279152</v>
      </c>
      <c r="DD29" s="36">
        <v>0.42243966588262949</v>
      </c>
      <c r="DE29" s="36">
        <v>0.37121637307647259</v>
      </c>
      <c r="DF29" s="36">
        <v>0.5616938276257708</v>
      </c>
      <c r="DG29" s="36">
        <v>0.48182332962932128</v>
      </c>
      <c r="DH29" s="36">
        <v>0.59552577817978314</v>
      </c>
      <c r="DI29" s="36">
        <v>0.62027043996328524</v>
      </c>
      <c r="DJ29" s="36">
        <v>0.65789923395288952</v>
      </c>
      <c r="DK29" s="36">
        <v>0.62743885630809859</v>
      </c>
      <c r="DL29" s="36">
        <v>0.72866394865424411</v>
      </c>
      <c r="DM29" s="36">
        <v>0.76340716304992284</v>
      </c>
      <c r="DN29" s="36">
        <v>0.78721129009524526</v>
      </c>
      <c r="DO29" s="36">
        <v>0.73314419395664854</v>
      </c>
      <c r="DP29" s="36">
        <v>0.7036411650845571</v>
      </c>
      <c r="DQ29" s="36">
        <v>0.666521339911188</v>
      </c>
      <c r="DR29" s="36">
        <v>0.80941825308633253</v>
      </c>
      <c r="DS29" s="36">
        <v>0.86027510799998974</v>
      </c>
      <c r="DT29" s="36">
        <v>0.85599059714061299</v>
      </c>
      <c r="DU29" s="36">
        <v>0.9645125910761998</v>
      </c>
      <c r="DV29" s="36">
        <v>1.097429448381251</v>
      </c>
      <c r="DW29" s="36">
        <v>1.1079601605760621</v>
      </c>
      <c r="DX29" s="36">
        <v>1.1868319851241951</v>
      </c>
      <c r="DY29" s="36">
        <v>1.370768618416941</v>
      </c>
      <c r="DZ29" s="36">
        <v>1.2834475238077689</v>
      </c>
      <c r="EA29" s="36">
        <v>1.290507264949454</v>
      </c>
      <c r="EB29" s="36">
        <v>1.2860233033025421</v>
      </c>
      <c r="EC29" s="36">
        <v>1.346509430724685</v>
      </c>
      <c r="ED29" s="36">
        <v>1.2884273650883471</v>
      </c>
      <c r="EE29" s="36">
        <v>1.366498188226261</v>
      </c>
      <c r="EF29" s="36">
        <v>1.416341311511776</v>
      </c>
      <c r="EG29" s="36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2:EI30"/>
  <sheetViews>
    <sheetView topLeftCell="DX1" zoomScaleNormal="83" workbookViewId="0">
      <selection activeCell="EJ23" sqref="EJ23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  <col min="139" max="139" width="9.5" style="21" customWidth="1"/>
  </cols>
  <sheetData>
    <row r="12" spans="1:139" ht="16" customHeight="1">
      <c r="A12" s="50" t="s">
        <v>142</v>
      </c>
      <c r="B12" s="51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</row>
    <row r="13" spans="1:139" ht="18" customHeight="1">
      <c r="A13" s="6" t="s">
        <v>144</v>
      </c>
      <c r="B13" s="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  <c r="EG13" s="24" t="s">
        <v>253</v>
      </c>
      <c r="EH13" s="24" t="s">
        <v>254</v>
      </c>
      <c r="EI13" s="24" t="s">
        <v>255</v>
      </c>
    </row>
    <row r="14" spans="1:139" ht="16" customHeight="1">
      <c r="A14" s="6">
        <v>10</v>
      </c>
      <c r="B14" s="6">
        <v>96</v>
      </c>
      <c r="C14" s="2">
        <v>1.99761353430765E-2</v>
      </c>
      <c r="D14" s="9">
        <v>-1.241444576345477E-2</v>
      </c>
      <c r="E14" s="9">
        <v>-1.267442472875915E-2</v>
      </c>
      <c r="F14" s="9">
        <v>8.6411838243725426E-3</v>
      </c>
      <c r="G14" s="9">
        <v>-8.7066431372726447E-3</v>
      </c>
      <c r="H14" s="9">
        <v>1.159498307061458E-2</v>
      </c>
      <c r="I14" s="9">
        <v>-6.9406790489957258E-3</v>
      </c>
      <c r="J14" s="9">
        <v>8.3166754960945048E-3</v>
      </c>
      <c r="K14" s="9">
        <v>2.013751481640159E-3</v>
      </c>
      <c r="L14" s="2">
        <v>-2.5370282319994691E-2</v>
      </c>
      <c r="M14" s="2">
        <v>-6.2014112493445741E-3</v>
      </c>
      <c r="N14" s="2">
        <v>1.9976135343076479E-2</v>
      </c>
      <c r="O14" s="1">
        <v>2.0145240580313539E-2</v>
      </c>
      <c r="P14" s="1">
        <v>8.2538069516774467E-4</v>
      </c>
      <c r="Q14" s="1">
        <v>-1.624172945937765E-2</v>
      </c>
      <c r="R14" s="1">
        <v>2.0017741321816929E-2</v>
      </c>
      <c r="S14" s="1">
        <v>3.485265725675394E-2</v>
      </c>
      <c r="T14" s="1">
        <v>-2.5118914044452781E-3</v>
      </c>
      <c r="U14" s="1">
        <v>-5.6784412401378742E-3</v>
      </c>
      <c r="V14" s="1">
        <v>1.3373919126368259E-2</v>
      </c>
      <c r="W14" s="1">
        <v>-6.2233286928306542E-4</v>
      </c>
      <c r="X14" s="1">
        <v>7.3985909087512958E-2</v>
      </c>
      <c r="Y14" s="1">
        <v>-2.1808715411842601E-2</v>
      </c>
      <c r="Z14" s="1">
        <v>1.669413628000075E-2</v>
      </c>
      <c r="AA14" s="1">
        <v>-1.514502587412973E-2</v>
      </c>
      <c r="AB14" s="1">
        <v>1.8947661345912831E-2</v>
      </c>
      <c r="AC14" s="1">
        <v>3.4485960036685671E-3</v>
      </c>
      <c r="AD14" s="1">
        <v>-5.8971958752145476E-3</v>
      </c>
      <c r="AE14" s="1">
        <v>1.127810165537897E-2</v>
      </c>
      <c r="AF14" s="1">
        <v>-6.8373084968362252E-3</v>
      </c>
      <c r="AG14" s="1">
        <v>-1.269744095331257E-2</v>
      </c>
      <c r="AH14" s="1">
        <v>1.41524402722179E-2</v>
      </c>
      <c r="AI14" s="1">
        <v>1.244516117998237E-3</v>
      </c>
      <c r="AJ14" s="1">
        <v>-7.9266115556533914E-3</v>
      </c>
      <c r="AK14" s="1">
        <v>-2.2365576131748111E-2</v>
      </c>
      <c r="AL14" s="1">
        <v>-5.3951526164237448E-3</v>
      </c>
      <c r="AM14" s="1">
        <v>2.6090654058135741E-2</v>
      </c>
      <c r="AN14" s="1">
        <v>-2.2197838196545649E-2</v>
      </c>
      <c r="AO14" s="1">
        <v>1.164982562414792E-2</v>
      </c>
      <c r="AP14" s="1">
        <v>-1.514993050430462E-2</v>
      </c>
      <c r="AQ14" s="1">
        <v>3.8138394514946011E-4</v>
      </c>
      <c r="AR14" s="1">
        <v>5.4141448143767822E-3</v>
      </c>
      <c r="AS14" s="1">
        <v>5.6424990988596536E-3</v>
      </c>
      <c r="AT14" s="1">
        <v>-5.7230721093412054E-3</v>
      </c>
      <c r="AU14" s="1">
        <v>2.9950720938610518E-3</v>
      </c>
      <c r="AV14" s="1">
        <v>-6.1160462220638256E-3</v>
      </c>
      <c r="AW14" s="1">
        <v>-1.0353479971079891E-2</v>
      </c>
      <c r="AX14" s="1">
        <v>-3.1641595382545899E-2</v>
      </c>
      <c r="AY14" s="1">
        <v>1.6739359354975121E-2</v>
      </c>
      <c r="AZ14" s="1">
        <v>-7.5502251998443848E-4</v>
      </c>
      <c r="BA14" s="1">
        <v>-2.252858011592317E-2</v>
      </c>
      <c r="BB14" s="1">
        <v>-7.3336079839027707E-3</v>
      </c>
      <c r="BC14" s="1">
        <v>5.5205804212899862E-3</v>
      </c>
      <c r="BD14" s="1">
        <v>-1.4892474446278191E-2</v>
      </c>
      <c r="BE14" s="1">
        <v>-7.2234869543061908E-3</v>
      </c>
      <c r="BF14" s="1">
        <v>2.0331568846910831E-2</v>
      </c>
      <c r="BG14" s="1">
        <v>2.4860564704657761E-2</v>
      </c>
      <c r="BH14" s="1">
        <v>4.3570809386821542E-2</v>
      </c>
      <c r="BI14" s="1">
        <v>-3.5486502839327458E-2</v>
      </c>
      <c r="BJ14" s="1">
        <v>-3.3969130163444737E-2</v>
      </c>
      <c r="BK14" s="1">
        <v>9.87623651324376E-3</v>
      </c>
      <c r="BL14" s="1">
        <v>-1.615993467411141E-2</v>
      </c>
      <c r="BM14" s="1">
        <v>2.1054351965437939E-3</v>
      </c>
      <c r="BN14" s="1">
        <v>-1.938164899902873E-3</v>
      </c>
      <c r="BO14" s="1">
        <v>-2.7521251769714868E-2</v>
      </c>
      <c r="BP14" s="1">
        <v>1.105297642793945E-2</v>
      </c>
      <c r="BQ14" s="1">
        <v>-8.7344206875263428E-3</v>
      </c>
      <c r="BR14" s="1">
        <v>-1.9992442499976091E-2</v>
      </c>
      <c r="BS14" s="1">
        <v>-1.67441708449018E-2</v>
      </c>
      <c r="BT14" s="1">
        <v>-3.6242420829063857E-2</v>
      </c>
      <c r="BU14" s="1">
        <v>-1.276216599721698E-2</v>
      </c>
      <c r="BV14" s="1">
        <v>3.379859361590612E-2</v>
      </c>
      <c r="BW14" s="1">
        <v>1.434724988185582E-2</v>
      </c>
      <c r="BX14" s="1">
        <v>1.2412668502801529E-3</v>
      </c>
      <c r="BY14" s="1">
        <v>-2.0681524764085999E-2</v>
      </c>
      <c r="BZ14" s="1">
        <v>-3.4702631474526867E-2</v>
      </c>
      <c r="CA14" s="1">
        <v>-1.404236100614079E-3</v>
      </c>
      <c r="CB14" s="1">
        <v>3.7098284208948729E-4</v>
      </c>
      <c r="CC14" s="1">
        <v>1.740747240438326E-2</v>
      </c>
      <c r="CD14" s="1">
        <v>-2.3644332091182871E-2</v>
      </c>
      <c r="CE14" s="1">
        <v>3.347675247463032E-2</v>
      </c>
      <c r="CF14" s="1">
        <v>-1.325599096403442E-2</v>
      </c>
      <c r="CG14" s="1">
        <v>-5.3236209726227326E-3</v>
      </c>
      <c r="CH14" s="1">
        <v>1.8739664208731278E-2</v>
      </c>
      <c r="CI14" s="1">
        <v>-5.4205336517551411E-3</v>
      </c>
      <c r="CJ14" s="1">
        <v>4.3885990298122854E-3</v>
      </c>
      <c r="CK14" s="1">
        <v>1.134328034748561E-2</v>
      </c>
      <c r="CL14" s="1">
        <v>-4.4513225548644259E-2</v>
      </c>
      <c r="CM14" s="1">
        <v>-2.6454785811398068E-2</v>
      </c>
      <c r="CN14" s="1">
        <v>-2.1863562342183989E-2</v>
      </c>
      <c r="CO14" s="1">
        <v>3.7082213930271002E-2</v>
      </c>
      <c r="CP14" s="1">
        <v>-2.237334469207275E-2</v>
      </c>
      <c r="CQ14" s="1">
        <v>1.329736524557748E-2</v>
      </c>
      <c r="CR14" s="1">
        <v>-2.8294593565022161E-2</v>
      </c>
      <c r="CS14" s="1">
        <v>-2.1508495122306268E-2</v>
      </c>
      <c r="CT14" s="1">
        <v>-7.6713440009946732E-3</v>
      </c>
      <c r="CU14" s="1">
        <v>1.773850330075305E-2</v>
      </c>
      <c r="CV14" s="1">
        <v>-2.708977343856599E-2</v>
      </c>
      <c r="CW14" s="1">
        <v>-6.9554992527296657E-3</v>
      </c>
      <c r="CX14" s="1">
        <v>-3.3101941522572791E-3</v>
      </c>
      <c r="CY14" s="1">
        <v>3.2902420557171948E-3</v>
      </c>
      <c r="CZ14" s="1">
        <v>-1.114833866243309E-3</v>
      </c>
      <c r="DA14" s="1">
        <v>-2.935774898298083E-3</v>
      </c>
      <c r="DB14" s="1">
        <v>-6.0374280087833257E-3</v>
      </c>
      <c r="DC14" s="1">
        <v>5.7180441387053429E-2</v>
      </c>
      <c r="DD14" s="1">
        <v>-2.8979196334997279E-2</v>
      </c>
      <c r="DE14" s="1">
        <v>-1.6218256365488719E-2</v>
      </c>
      <c r="DF14" s="1">
        <v>5.256462474599613E-3</v>
      </c>
      <c r="DG14" s="1">
        <v>-7.2644718732507163E-3</v>
      </c>
      <c r="DH14" s="1">
        <v>-5.4769257871851926E-3</v>
      </c>
      <c r="DI14" s="1">
        <v>-1.7446498485149259E-2</v>
      </c>
      <c r="DJ14" s="1">
        <v>2.4417493618953762E-2</v>
      </c>
      <c r="DK14" s="1">
        <v>-4.0675027560344926E-3</v>
      </c>
      <c r="DL14" s="1">
        <v>-5.8466782421956638E-3</v>
      </c>
      <c r="DM14" s="1">
        <v>-3.8207555177546738E-2</v>
      </c>
      <c r="DN14" s="1">
        <v>1.0068129757273021E-2</v>
      </c>
      <c r="DO14" s="1">
        <v>-1.3548570801038939E-2</v>
      </c>
      <c r="DP14" s="1">
        <v>2.3899224069503559E-2</v>
      </c>
      <c r="DQ14" s="1">
        <v>1.1965150690639409E-2</v>
      </c>
      <c r="DR14" s="1">
        <v>-6.2789819078905972E-3</v>
      </c>
      <c r="DS14" s="1">
        <v>-1.1785772186726001E-3</v>
      </c>
      <c r="DT14" s="1">
        <v>5.0030753173111987E-2</v>
      </c>
      <c r="DU14" s="1">
        <v>3.1813717466188149E-2</v>
      </c>
      <c r="DV14" s="1">
        <v>-6.7854008623842816E-3</v>
      </c>
      <c r="DW14" s="1">
        <v>1.441182876969979E-2</v>
      </c>
      <c r="DX14" s="1">
        <v>-2.1905944047506669E-2</v>
      </c>
      <c r="DY14" s="1">
        <v>-1.160818527904816E-2</v>
      </c>
      <c r="DZ14" s="1">
        <v>9.4590730964377069E-3</v>
      </c>
      <c r="EA14" s="1">
        <v>-1.075825464675538E-2</v>
      </c>
      <c r="EB14" s="1">
        <v>5.9846779233783953E-4</v>
      </c>
      <c r="EC14" s="1">
        <v>-1.061907134666361E-2</v>
      </c>
      <c r="ED14" s="1">
        <v>-1.41341924182032E-2</v>
      </c>
      <c r="EE14" s="1">
        <v>1.021098418169146E-2</v>
      </c>
      <c r="EF14" s="1">
        <v>1.886514000702123E-2</v>
      </c>
      <c r="EG14" s="47">
        <f t="shared" ref="EG14:EG21" si="0">AVERAGE(C14:EF14)</f>
        <v>-9.9526648175462542E-4</v>
      </c>
      <c r="EH14" s="49">
        <f t="shared" ref="EH14:EH27" si="1">STDEV(C14:EF14)</f>
        <v>1.9775932529956235E-2</v>
      </c>
      <c r="EI14" s="47">
        <f t="shared" ref="EI14:EI21" si="2">EG14/EH14</f>
        <v>-5.0327158036518035E-2</v>
      </c>
    </row>
    <row r="15" spans="1:139" ht="16" customHeight="1">
      <c r="A15" s="6">
        <v>20</v>
      </c>
      <c r="B15" s="6">
        <v>48</v>
      </c>
      <c r="C15" s="2">
        <v>5.9099920037642271E-2</v>
      </c>
      <c r="D15" s="9">
        <v>1.33828644882332E-2</v>
      </c>
      <c r="E15" s="9">
        <v>1.9241928716006579E-5</v>
      </c>
      <c r="F15" s="9">
        <v>-3.5371096699931777E-2</v>
      </c>
      <c r="G15" s="9">
        <v>-2.5850466636481859E-2</v>
      </c>
      <c r="H15" s="9">
        <v>6.1024546178665836E-3</v>
      </c>
      <c r="I15" s="9">
        <v>-3.05035528237773E-3</v>
      </c>
      <c r="J15" s="9">
        <v>3.0716548416629571E-2</v>
      </c>
      <c r="K15" s="9">
        <v>-9.4412648165837013E-3</v>
      </c>
      <c r="L15" s="2">
        <v>-7.4417783867752246E-2</v>
      </c>
      <c r="M15" s="2">
        <v>9.2012443171974184E-3</v>
      </c>
      <c r="N15" s="2">
        <v>5.9099920037642271E-2</v>
      </c>
      <c r="O15" s="1">
        <v>3.7450114238704257E-2</v>
      </c>
      <c r="P15" s="1">
        <v>5.4349388559173399E-3</v>
      </c>
      <c r="Q15" s="1">
        <v>-3.1962277677346292E-3</v>
      </c>
      <c r="R15" s="1">
        <v>5.7206098236241107E-2</v>
      </c>
      <c r="S15" s="1">
        <v>6.2122405451453637E-2</v>
      </c>
      <c r="T15" s="1">
        <v>3.5007097547255991E-3</v>
      </c>
      <c r="U15" s="1">
        <v>-2.9784483384606968E-2</v>
      </c>
      <c r="V15" s="1">
        <v>2.9643697652021919E-2</v>
      </c>
      <c r="W15" s="1">
        <v>-1.505350446702358E-3</v>
      </c>
      <c r="X15" s="1">
        <v>7.815337840306863E-2</v>
      </c>
      <c r="Y15" s="1">
        <v>-1.0273485142944591E-2</v>
      </c>
      <c r="Z15" s="1">
        <v>3.0009435153327629E-2</v>
      </c>
      <c r="AA15" s="1">
        <v>-2.05870331371945E-2</v>
      </c>
      <c r="AB15" s="1">
        <v>4.4869315657350348E-3</v>
      </c>
      <c r="AC15" s="1">
        <v>1.354678127421477E-2</v>
      </c>
      <c r="AD15" s="1">
        <v>-3.4034186607266398E-2</v>
      </c>
      <c r="AE15" s="1">
        <v>3.5860456370054368E-2</v>
      </c>
      <c r="AF15" s="1">
        <v>1.444232343495611E-3</v>
      </c>
      <c r="AG15" s="1">
        <v>-1.232086360118234E-2</v>
      </c>
      <c r="AH15" s="1">
        <v>1.401533729693063E-2</v>
      </c>
      <c r="AI15" s="1">
        <v>1.5905682460434979E-2</v>
      </c>
      <c r="AJ15" s="1">
        <v>-2.3751696157517719E-3</v>
      </c>
      <c r="AK15" s="1">
        <v>-4.3414315718320389E-3</v>
      </c>
      <c r="AL15" s="1">
        <v>1.1535027269756739E-2</v>
      </c>
      <c r="AM15" s="1">
        <v>4.1727785917196898E-2</v>
      </c>
      <c r="AN15" s="1">
        <v>-1.826373462975046E-2</v>
      </c>
      <c r="AO15" s="1">
        <v>1.1763198673368351E-3</v>
      </c>
      <c r="AP15" s="1">
        <v>-1.4526287334801611E-2</v>
      </c>
      <c r="AQ15" s="1">
        <v>2.9084724648578749E-2</v>
      </c>
      <c r="AR15" s="1">
        <v>-1.2303732806882119E-3</v>
      </c>
      <c r="AS15" s="1">
        <v>1.8946462239107589E-2</v>
      </c>
      <c r="AT15" s="1">
        <v>-2.2160497166488911E-2</v>
      </c>
      <c r="AU15" s="1">
        <v>2.929077898259003E-2</v>
      </c>
      <c r="AV15" s="1">
        <v>-4.0858745314125604E-3</v>
      </c>
      <c r="AW15" s="1">
        <v>-9.0899555318740832E-4</v>
      </c>
      <c r="AX15" s="1">
        <v>-2.9924601763543189E-3</v>
      </c>
      <c r="AY15" s="1">
        <v>6.1848849191754547E-2</v>
      </c>
      <c r="AZ15" s="1">
        <v>-1.2258941399793111E-2</v>
      </c>
      <c r="BA15" s="1">
        <v>-1.7775795667615751E-2</v>
      </c>
      <c r="BB15" s="1">
        <v>3.6342754286962792E-3</v>
      </c>
      <c r="BC15" s="1">
        <v>2.576185662762772E-2</v>
      </c>
      <c r="BD15" s="1">
        <v>2.5204040871295921E-3</v>
      </c>
      <c r="BE15" s="1">
        <v>1.1580299881305061E-2</v>
      </c>
      <c r="BF15" s="1">
        <v>3.1248585034197709E-2</v>
      </c>
      <c r="BG15" s="1">
        <v>3.5089478351204538E-2</v>
      </c>
      <c r="BH15" s="1">
        <v>4.5523207891099149E-2</v>
      </c>
      <c r="BI15" s="1">
        <v>-4.3094963179205761E-2</v>
      </c>
      <c r="BJ15" s="1">
        <v>-2.2608188769012251E-2</v>
      </c>
      <c r="BK15" s="1">
        <v>1.980030853024814E-2</v>
      </c>
      <c r="BL15" s="1">
        <v>-1.2587412548097161E-2</v>
      </c>
      <c r="BM15" s="1">
        <v>1.2032651770604081E-2</v>
      </c>
      <c r="BN15" s="1">
        <v>-3.2217817586952337E-2</v>
      </c>
      <c r="BO15" s="1">
        <v>-2.940747660138774E-2</v>
      </c>
      <c r="BP15" s="1">
        <v>2.7534415674899199E-2</v>
      </c>
      <c r="BQ15" s="1">
        <v>-4.1443489677139081E-3</v>
      </c>
      <c r="BR15" s="1">
        <v>-3.2008719646029173E-2</v>
      </c>
      <c r="BS15" s="1">
        <v>-2.5021968481915229E-2</v>
      </c>
      <c r="BT15" s="1">
        <v>-3.4204445151394293E-2</v>
      </c>
      <c r="BU15" s="1">
        <v>-1.244384450849529E-2</v>
      </c>
      <c r="BV15" s="1">
        <v>2.2255292894076139E-2</v>
      </c>
      <c r="BW15" s="1">
        <v>6.2024165426607172E-3</v>
      </c>
      <c r="BX15" s="1">
        <v>-1.7054130007670509E-3</v>
      </c>
      <c r="BY15" s="1">
        <v>-3.8582502361835941E-2</v>
      </c>
      <c r="BZ15" s="1">
        <v>-4.0214336171006747E-2</v>
      </c>
      <c r="CA15" s="1">
        <v>-9.2842782950935225E-3</v>
      </c>
      <c r="CB15" s="1">
        <v>3.9132962888158908E-2</v>
      </c>
      <c r="CC15" s="1">
        <v>2.001707365818051E-2</v>
      </c>
      <c r="CD15" s="1">
        <v>-5.465788619730523E-2</v>
      </c>
      <c r="CE15" s="1">
        <v>2.689540320416716E-3</v>
      </c>
      <c r="CF15" s="1">
        <v>-1.547461332938441E-2</v>
      </c>
      <c r="CG15" s="1">
        <v>2.65534079709344E-2</v>
      </c>
      <c r="CH15" s="1">
        <v>7.633116314284108E-3</v>
      </c>
      <c r="CI15" s="1">
        <v>1.9169952038312909E-2</v>
      </c>
      <c r="CJ15" s="1">
        <v>1.361185261213255E-2</v>
      </c>
      <c r="CK15" s="1">
        <v>2.587792608157128E-2</v>
      </c>
      <c r="CL15" s="1">
        <v>-5.7172133220274528E-2</v>
      </c>
      <c r="CM15" s="1">
        <v>-2.7221631179140549E-2</v>
      </c>
      <c r="CN15" s="1">
        <v>-5.6515944490395598E-2</v>
      </c>
      <c r="CO15" s="1">
        <v>5.4212244849059538E-2</v>
      </c>
      <c r="CP15" s="1">
        <v>-4.179698971096367E-2</v>
      </c>
      <c r="CQ15" s="1">
        <v>-5.2172630345618393E-3</v>
      </c>
      <c r="CR15" s="1">
        <v>-5.9162745585238159E-2</v>
      </c>
      <c r="CS15" s="1">
        <v>-3.1928398674128083E-2</v>
      </c>
      <c r="CT15" s="1">
        <v>-2.9459592407075481E-2</v>
      </c>
      <c r="CU15" s="1">
        <v>2.354378027266639E-2</v>
      </c>
      <c r="CV15" s="1">
        <v>-4.7696349673433107E-2</v>
      </c>
      <c r="CW15" s="1">
        <v>-2.578707764439387E-2</v>
      </c>
      <c r="CX15" s="1">
        <v>-1.6181399896879261E-2</v>
      </c>
      <c r="CY15" s="1">
        <v>1.0233520589083981E-2</v>
      </c>
      <c r="CZ15" s="1">
        <v>-1.5581483681410819E-3</v>
      </c>
      <c r="DA15" s="1">
        <v>9.8965640635211745E-3</v>
      </c>
      <c r="DB15" s="1">
        <v>-2.3807415099837879E-2</v>
      </c>
      <c r="DC15" s="1">
        <v>5.0592103889966857E-2</v>
      </c>
      <c r="DD15" s="1">
        <v>-3.6860635546345027E-2</v>
      </c>
      <c r="DE15" s="1">
        <v>-2.9290651704142131E-2</v>
      </c>
      <c r="DF15" s="1">
        <v>-1.5226212396937611E-2</v>
      </c>
      <c r="DG15" s="1">
        <v>-8.8978790738911614E-3</v>
      </c>
      <c r="DH15" s="1">
        <v>1.6895502199396919E-2</v>
      </c>
      <c r="DI15" s="1">
        <v>-1.534515682504399E-2</v>
      </c>
      <c r="DJ15" s="1">
        <v>3.4852366394063902E-2</v>
      </c>
      <c r="DK15" s="1">
        <v>1.428095380831188E-2</v>
      </c>
      <c r="DL15" s="1">
        <v>-1.2833223861956631E-2</v>
      </c>
      <c r="DM15" s="1">
        <v>-4.376113371903656E-2</v>
      </c>
      <c r="DN15" s="1">
        <v>-3.8099185180643651E-3</v>
      </c>
      <c r="DO15" s="1">
        <v>-2.21660315440073E-2</v>
      </c>
      <c r="DP15" s="1">
        <v>4.9344205444862947E-2</v>
      </c>
      <c r="DQ15" s="1">
        <v>3.1418494682943068E-2</v>
      </c>
      <c r="DR15" s="1">
        <v>-2.3856080717473299E-3</v>
      </c>
      <c r="DS15" s="1">
        <v>-3.8315991594510758E-3</v>
      </c>
      <c r="DT15" s="1">
        <v>4.8540377641177343E-2</v>
      </c>
      <c r="DU15" s="1">
        <v>3.6060524809860148E-2</v>
      </c>
      <c r="DV15" s="1">
        <v>1.439560728096344E-2</v>
      </c>
      <c r="DW15" s="1">
        <v>4.5440647856938667E-2</v>
      </c>
      <c r="DX15" s="1">
        <v>-3.284123066923459E-2</v>
      </c>
      <c r="DY15" s="1">
        <v>-1.175293097224144E-2</v>
      </c>
      <c r="DZ15" s="1">
        <v>-6.2856381590410508E-3</v>
      </c>
      <c r="EA15" s="1">
        <v>-1.122519189810622E-2</v>
      </c>
      <c r="EB15" s="1">
        <v>-1.5973430386467331E-2</v>
      </c>
      <c r="EC15" s="1">
        <v>-1.28266976677909E-2</v>
      </c>
      <c r="ED15" s="1">
        <v>3.0781052443009942E-3</v>
      </c>
      <c r="EE15" s="1">
        <v>1.049503272151594E-2</v>
      </c>
      <c r="EF15" s="1">
        <v>1.85466471317397E-3</v>
      </c>
      <c r="EG15" s="47">
        <f t="shared" si="0"/>
        <v>1.0133390283889685E-3</v>
      </c>
      <c r="EH15" s="49">
        <f t="shared" si="1"/>
        <v>2.921863918471744E-2</v>
      </c>
      <c r="EI15" s="47">
        <f t="shared" si="2"/>
        <v>3.4681253359635816E-2</v>
      </c>
    </row>
    <row r="16" spans="1:139" ht="16" customHeight="1">
      <c r="A16" s="6">
        <v>50</v>
      </c>
      <c r="B16" s="6">
        <v>19</v>
      </c>
      <c r="C16" s="2">
        <v>5.5126982158774263E-2</v>
      </c>
      <c r="D16" s="9">
        <v>1.8633367154851969E-2</v>
      </c>
      <c r="E16" s="9">
        <v>3.1515380760318117E-2</v>
      </c>
      <c r="F16" s="9">
        <v>3.0562855573110091E-3</v>
      </c>
      <c r="G16" s="9">
        <v>2.8210865064189631E-2</v>
      </c>
      <c r="H16" s="9">
        <v>-1.9804588530280949E-2</v>
      </c>
      <c r="I16" s="9">
        <v>2.759333947230012E-3</v>
      </c>
      <c r="J16" s="9">
        <v>3.4453585240302162E-2</v>
      </c>
      <c r="K16" s="9">
        <v>1.366898655994922E-2</v>
      </c>
      <c r="L16" s="2">
        <v>2.0853653683814869E-2</v>
      </c>
      <c r="M16" s="2">
        <v>2.8127919038169549E-2</v>
      </c>
      <c r="N16" s="2">
        <v>5.5126982158774263E-2</v>
      </c>
      <c r="O16" s="1">
        <v>3.1101542029105789E-3</v>
      </c>
      <c r="P16" s="1">
        <v>-1.115539080154635E-2</v>
      </c>
      <c r="Q16" s="1">
        <v>-8.3134464770415872E-3</v>
      </c>
      <c r="R16" s="1">
        <v>6.0946750836904109E-2</v>
      </c>
      <c r="S16" s="1">
        <v>8.4489708486203657E-2</v>
      </c>
      <c r="T16" s="1">
        <v>-6.1800602273633654E-3</v>
      </c>
      <c r="U16" s="1">
        <v>-4.8001156308657589E-2</v>
      </c>
      <c r="V16" s="1">
        <v>3.2938039331730402E-2</v>
      </c>
      <c r="W16" s="1">
        <v>-3.1415243376682188E-2</v>
      </c>
      <c r="X16" s="1">
        <v>0.10778384127621329</v>
      </c>
      <c r="Y16" s="1">
        <v>-1.250389700856561E-2</v>
      </c>
      <c r="Z16" s="1">
        <v>4.6802632758346008E-2</v>
      </c>
      <c r="AA16" s="1">
        <v>-3.9087383638132883E-2</v>
      </c>
      <c r="AB16" s="1">
        <v>-1.4336958528631561E-2</v>
      </c>
      <c r="AC16" s="1">
        <v>4.0075664677565237E-2</v>
      </c>
      <c r="AD16" s="1">
        <v>-2.86849924212377E-2</v>
      </c>
      <c r="AE16" s="1">
        <v>8.7693913820228758E-2</v>
      </c>
      <c r="AF16" s="1">
        <v>2.2645649475473911E-2</v>
      </c>
      <c r="AG16" s="1">
        <v>1.2120892047797869E-2</v>
      </c>
      <c r="AH16" s="1">
        <v>2.818345056047452E-2</v>
      </c>
      <c r="AI16" s="1">
        <v>-3.1885713844666617E-2</v>
      </c>
      <c r="AJ16" s="1">
        <v>2.679672862939815E-2</v>
      </c>
      <c r="AK16" s="1">
        <v>4.7311984458224161E-3</v>
      </c>
      <c r="AL16" s="1">
        <v>-1.5067340052737389E-2</v>
      </c>
      <c r="AM16" s="1">
        <v>7.8117847748361183E-2</v>
      </c>
      <c r="AN16" s="1">
        <v>6.1724333713014598E-3</v>
      </c>
      <c r="AO16" s="1">
        <v>4.3394984256604437E-2</v>
      </c>
      <c r="AP16" s="1">
        <v>-9.5609377708894827E-2</v>
      </c>
      <c r="AQ16" s="1">
        <v>4.2696521020254168E-2</v>
      </c>
      <c r="AR16" s="1">
        <v>-1.0677678498535129E-2</v>
      </c>
      <c r="AS16" s="1">
        <v>3.965455448254239E-2</v>
      </c>
      <c r="AT16" s="1">
        <v>-9.2711584584600534E-2</v>
      </c>
      <c r="AU16" s="1">
        <v>1.7838715383209448E-2</v>
      </c>
      <c r="AV16" s="1">
        <v>-3.3013089263373242E-2</v>
      </c>
      <c r="AW16" s="1">
        <v>2.3984100336502522E-2</v>
      </c>
      <c r="AX16" s="1">
        <v>-2.1447352756528471E-2</v>
      </c>
      <c r="AY16" s="1">
        <v>6.3084296029910558E-2</v>
      </c>
      <c r="AZ16" s="1">
        <v>-3.9911233581360783E-2</v>
      </c>
      <c r="BA16" s="1">
        <v>2.6862056842674779E-2</v>
      </c>
      <c r="BB16" s="1">
        <v>-3.1399148706047507E-2</v>
      </c>
      <c r="BC16" s="1">
        <v>-3.4242092534620537E-2</v>
      </c>
      <c r="BD16" s="1">
        <v>2.4820634659028319E-2</v>
      </c>
      <c r="BE16" s="1">
        <v>6.0726053673326057E-2</v>
      </c>
      <c r="BF16" s="1">
        <v>5.8640357043078607E-2</v>
      </c>
      <c r="BG16" s="1">
        <v>-1.5799090688632671E-3</v>
      </c>
      <c r="BH16" s="1">
        <v>5.8518417877865991E-2</v>
      </c>
      <c r="BI16" s="1">
        <v>-5.6034072936313642E-2</v>
      </c>
      <c r="BJ16" s="1">
        <v>1.9262795912130939E-2</v>
      </c>
      <c r="BK16" s="1">
        <v>3.5954231168080879E-2</v>
      </c>
      <c r="BL16" s="1">
        <v>-5.1124163436910841E-3</v>
      </c>
      <c r="BM16" s="1">
        <v>3.68850810664242E-2</v>
      </c>
      <c r="BN16" s="1">
        <v>-5.2546238842350657E-2</v>
      </c>
      <c r="BO16" s="1">
        <v>-9.0554104909239028E-2</v>
      </c>
      <c r="BP16" s="1">
        <v>3.263364756923362E-2</v>
      </c>
      <c r="BQ16" s="1">
        <v>-1.6095778122087599E-2</v>
      </c>
      <c r="BR16" s="1">
        <v>-7.3605548377195434E-2</v>
      </c>
      <c r="BS16" s="1">
        <v>-3.8368720460050847E-2</v>
      </c>
      <c r="BT16" s="1">
        <v>-8.2648065194407885E-2</v>
      </c>
      <c r="BU16" s="1">
        <v>-3.1727548662488497E-4</v>
      </c>
      <c r="BV16" s="1">
        <v>5.1160488715903674E-3</v>
      </c>
      <c r="BW16" s="1">
        <v>1.0354538757985569E-3</v>
      </c>
      <c r="BX16" s="1">
        <v>-1.0339985715780479E-2</v>
      </c>
      <c r="BY16" s="1">
        <v>-9.1942671886975774E-2</v>
      </c>
      <c r="BZ16" s="1">
        <v>7.5039342885279692E-3</v>
      </c>
      <c r="CA16" s="1">
        <v>-0.10454808717042111</v>
      </c>
      <c r="CB16" s="1">
        <v>2.297153990076586E-2</v>
      </c>
      <c r="CC16" s="1">
        <v>1.9230830970653069E-2</v>
      </c>
      <c r="CD16" s="1">
        <v>-0.12164390021384761</v>
      </c>
      <c r="CE16" s="1">
        <v>-5.8177266692508743E-2</v>
      </c>
      <c r="CF16" s="1">
        <v>8.9580281169695554E-3</v>
      </c>
      <c r="CG16" s="1">
        <v>4.8274847273906657E-2</v>
      </c>
      <c r="CH16" s="1">
        <v>2.2033272850758939E-2</v>
      </c>
      <c r="CI16" s="1">
        <v>3.3501404690987037E-2</v>
      </c>
      <c r="CJ16" s="1">
        <v>3.5407105834469828E-2</v>
      </c>
      <c r="CK16" s="1">
        <v>-4.9619091133849713E-2</v>
      </c>
      <c r="CL16" s="1">
        <v>-7.2691469016584603E-3</v>
      </c>
      <c r="CM16" s="1">
        <v>-4.446227018285874E-2</v>
      </c>
      <c r="CN16" s="1">
        <v>-5.4047078740008747E-2</v>
      </c>
      <c r="CO16" s="1">
        <v>6.970453652430425E-2</v>
      </c>
      <c r="CP16" s="1">
        <v>-3.6459946007677907E-2</v>
      </c>
      <c r="CQ16" s="1">
        <v>1.7178217810311439E-2</v>
      </c>
      <c r="CR16" s="1">
        <v>-0.1122408854826191</v>
      </c>
      <c r="CS16" s="1">
        <v>-2.3562643169144779E-2</v>
      </c>
      <c r="CT16" s="1">
        <v>-3.7454059284418313E-2</v>
      </c>
      <c r="CU16" s="1">
        <v>-3.541658177650842E-3</v>
      </c>
      <c r="CV16" s="1">
        <v>-2.9183436091283679E-2</v>
      </c>
      <c r="CW16" s="1">
        <v>-1.9703640906521169E-2</v>
      </c>
      <c r="CX16" s="1">
        <v>-4.7814046929572078E-2</v>
      </c>
      <c r="CY16" s="1">
        <v>1.5913387468729241E-2</v>
      </c>
      <c r="CZ16" s="1">
        <v>-2.1553043034903491E-2</v>
      </c>
      <c r="DA16" s="1">
        <v>7.5425593771648536E-2</v>
      </c>
      <c r="DB16" s="1">
        <v>-2.5242264369055609E-2</v>
      </c>
      <c r="DC16" s="1">
        <v>4.906079342879191E-2</v>
      </c>
      <c r="DD16" s="1">
        <v>-8.9405337977630159E-2</v>
      </c>
      <c r="DE16" s="1">
        <v>-5.3224526132983341E-4</v>
      </c>
      <c r="DF16" s="1">
        <v>-3.4649648512779449E-2</v>
      </c>
      <c r="DG16" s="1">
        <v>-2.6511745087031309E-2</v>
      </c>
      <c r="DH16" s="1">
        <v>1.204978608389594E-2</v>
      </c>
      <c r="DI16" s="1">
        <v>0.1055876440294964</v>
      </c>
      <c r="DJ16" s="1">
        <v>9.7112788981983222E-2</v>
      </c>
      <c r="DK16" s="1">
        <v>-3.0025695944981491E-3</v>
      </c>
      <c r="DL16" s="1">
        <v>-5.2897355396839173E-2</v>
      </c>
      <c r="DM16" s="1">
        <v>-7.4777101140300825E-2</v>
      </c>
      <c r="DN16" s="1">
        <v>2.7163573445824641E-2</v>
      </c>
      <c r="DO16" s="1">
        <v>-3.6295418378622501E-3</v>
      </c>
      <c r="DP16" s="1">
        <v>0.1104069418158183</v>
      </c>
      <c r="DQ16" s="1">
        <v>3.3367171941620907E-2</v>
      </c>
      <c r="DR16" s="1">
        <v>-8.7058901183478341E-3</v>
      </c>
      <c r="DS16" s="1">
        <v>7.7876306678010786E-3</v>
      </c>
      <c r="DT16" s="1">
        <v>3.4060791354710913E-2</v>
      </c>
      <c r="DU16" s="1">
        <v>2.5961831478549871E-2</v>
      </c>
      <c r="DV16" s="1">
        <v>3.8295452871170053E-2</v>
      </c>
      <c r="DW16" s="1">
        <v>5.1946893717014338E-2</v>
      </c>
      <c r="DX16" s="1">
        <v>-6.1365473530640598E-2</v>
      </c>
      <c r="DY16" s="1">
        <v>-6.422778862146851E-4</v>
      </c>
      <c r="DZ16" s="1">
        <v>2.545732535291385E-2</v>
      </c>
      <c r="EA16" s="1">
        <v>-6.4767382875098034E-3</v>
      </c>
      <c r="EB16" s="1">
        <v>-1.3896027314530711E-2</v>
      </c>
      <c r="EC16" s="1">
        <v>1.0738644428297431E-2</v>
      </c>
      <c r="ED16" s="1">
        <v>3.7032878006649401E-2</v>
      </c>
      <c r="EE16" s="1">
        <v>2.4106957012832182E-2</v>
      </c>
      <c r="EF16" s="1">
        <v>9.1367922375485688E-3</v>
      </c>
      <c r="EG16" s="47">
        <f t="shared" si="0"/>
        <v>2.112088513365847E-3</v>
      </c>
      <c r="EH16" s="25">
        <f t="shared" si="1"/>
        <v>4.6716248312475291E-2</v>
      </c>
      <c r="EI16" s="47">
        <f t="shared" si="2"/>
        <v>4.5211004514714562E-2</v>
      </c>
    </row>
    <row r="17" spans="1:139" ht="16" customHeight="1">
      <c r="A17" s="6">
        <v>100</v>
      </c>
      <c r="B17" s="6">
        <v>10</v>
      </c>
      <c r="C17" s="2">
        <v>6.6842489650082784E-2</v>
      </c>
      <c r="D17" s="9">
        <v>6.9547578149268555E-2</v>
      </c>
      <c r="E17" s="9">
        <v>1.220354668358169E-2</v>
      </c>
      <c r="F17" s="9">
        <v>3.9505103760149519E-2</v>
      </c>
      <c r="G17" s="9">
        <v>7.8202469115584455E-2</v>
      </c>
      <c r="H17" s="9">
        <v>-6.4958271134507695E-2</v>
      </c>
      <c r="I17" s="9">
        <v>-5.5750921599050443E-3</v>
      </c>
      <c r="J17" s="9">
        <v>-2.5583949245044919E-3</v>
      </c>
      <c r="K17" s="9">
        <v>-2.6456606695034E-2</v>
      </c>
      <c r="L17" s="2">
        <v>-1.0510142243402749E-3</v>
      </c>
      <c r="M17" s="2">
        <v>4.23314282882453E-2</v>
      </c>
      <c r="N17" s="2">
        <v>6.6842489650082784E-2</v>
      </c>
      <c r="O17" s="1">
        <v>4.1113024698958348E-2</v>
      </c>
      <c r="P17" s="1">
        <v>3.2730815587386178E-2</v>
      </c>
      <c r="Q17" s="1">
        <v>1.556333280269633E-2</v>
      </c>
      <c r="R17" s="1">
        <v>8.5990083680555857E-2</v>
      </c>
      <c r="S17" s="1">
        <v>-5.6554642468817543E-2</v>
      </c>
      <c r="T17" s="1">
        <v>2.5660546417519591E-2</v>
      </c>
      <c r="U17" s="1">
        <v>-7.0512933897678515E-2</v>
      </c>
      <c r="V17" s="1">
        <v>2.9430751823493528E-2</v>
      </c>
      <c r="W17" s="1">
        <v>-6.9780294809439342E-3</v>
      </c>
      <c r="X17" s="1">
        <v>0.13590122000637661</v>
      </c>
      <c r="Y17" s="1">
        <v>-2.236467827032633E-2</v>
      </c>
      <c r="Z17" s="1">
        <v>6.6866903373027295E-2</v>
      </c>
      <c r="AA17" s="1">
        <v>-2.5641304856967081E-2</v>
      </c>
      <c r="AB17" s="1">
        <v>2.6738190755654562E-2</v>
      </c>
      <c r="AC17" s="1">
        <v>1.53920143113229E-2</v>
      </c>
      <c r="AD17" s="1">
        <v>-5.606088203979763E-2</v>
      </c>
      <c r="AE17" s="1">
        <v>0.15141303577277759</v>
      </c>
      <c r="AF17" s="1">
        <v>1.739983994117596E-2</v>
      </c>
      <c r="AG17" s="1">
        <v>-1.433257621227594E-2</v>
      </c>
      <c r="AH17" s="1">
        <v>3.2545118945934252E-2</v>
      </c>
      <c r="AI17" s="1">
        <v>-6.56795079424424E-2</v>
      </c>
      <c r="AJ17" s="1">
        <v>2.8758521024387879E-2</v>
      </c>
      <c r="AK17" s="1">
        <v>4.2620202755664797E-2</v>
      </c>
      <c r="AL17" s="1">
        <v>-8.2518197661511028E-2</v>
      </c>
      <c r="AM17" s="1">
        <v>8.6567395278421069E-2</v>
      </c>
      <c r="AN17" s="1">
        <v>6.0271273471674033E-2</v>
      </c>
      <c r="AO17" s="1">
        <v>-1.273634638778069E-2</v>
      </c>
      <c r="AP17" s="1">
        <v>-0.1427344023822637</v>
      </c>
      <c r="AQ17" s="1">
        <v>8.6789024440708282E-2</v>
      </c>
      <c r="AR17" s="1">
        <v>-7.3032356745514268E-2</v>
      </c>
      <c r="AS17" s="1">
        <v>6.7011853990172386E-3</v>
      </c>
      <c r="AT17" s="1">
        <v>-6.6712978744556117E-2</v>
      </c>
      <c r="AU17" s="1">
        <v>-5.1344639924905358E-2</v>
      </c>
      <c r="AV17" s="1">
        <v>-5.2635578551003627E-2</v>
      </c>
      <c r="AW17" s="1">
        <v>-6.2793170221476874E-2</v>
      </c>
      <c r="AX17" s="1">
        <v>7.132261233091336E-2</v>
      </c>
      <c r="AY17" s="1">
        <v>0.1355452191753603</v>
      </c>
      <c r="AZ17" s="1">
        <v>-0.12565918461822331</v>
      </c>
      <c r="BA17" s="1">
        <v>7.1559952367283464E-2</v>
      </c>
      <c r="BB17" s="1">
        <v>-0.13479137958590989</v>
      </c>
      <c r="BC17" s="1">
        <v>-6.658374814047352E-2</v>
      </c>
      <c r="BD17" s="1">
        <v>-1.2824438195221031E-2</v>
      </c>
      <c r="BE17" s="1">
        <v>3.816332102787736E-2</v>
      </c>
      <c r="BF17" s="1">
        <v>6.4107022352342058E-2</v>
      </c>
      <c r="BG17" s="1">
        <v>7.1449291004147236E-2</v>
      </c>
      <c r="BH17" s="1">
        <v>8.8398365359812214E-2</v>
      </c>
      <c r="BI17" s="1">
        <v>-6.8619857008219931E-2</v>
      </c>
      <c r="BJ17" s="1">
        <v>1.7250547585697908E-2</v>
      </c>
      <c r="BK17" s="1">
        <v>3.3721257710662228E-2</v>
      </c>
      <c r="BL17" s="1">
        <v>-1.810518214032081E-3</v>
      </c>
      <c r="BM17" s="1">
        <v>5.0925052560340127E-2</v>
      </c>
      <c r="BN17" s="1">
        <v>-1.359579392239744E-2</v>
      </c>
      <c r="BO17" s="1">
        <v>-9.4559363255062451E-2</v>
      </c>
      <c r="BP17" s="1">
        <v>4.7356248416652078E-2</v>
      </c>
      <c r="BQ17" s="1">
        <v>-9.1085952139770589E-3</v>
      </c>
      <c r="BR17" s="1">
        <v>-8.458894771907538E-2</v>
      </c>
      <c r="BS17" s="1">
        <v>-6.0303924588496843E-2</v>
      </c>
      <c r="BT17" s="1">
        <v>-2.7611525658003091E-2</v>
      </c>
      <c r="BU17" s="1">
        <v>-3.6377632076962423E-2</v>
      </c>
      <c r="BV17" s="1">
        <v>-6.2665207525240477E-2</v>
      </c>
      <c r="BW17" s="1">
        <v>8.406542285710833E-2</v>
      </c>
      <c r="BX17" s="1">
        <v>9.7156207904064845E-3</v>
      </c>
      <c r="BY17" s="1">
        <v>-9.9304508852450263E-2</v>
      </c>
      <c r="BZ17" s="1">
        <v>3.4028495441740858E-2</v>
      </c>
      <c r="CA17" s="1">
        <v>-0.14459019901549941</v>
      </c>
      <c r="CB17" s="1">
        <v>2.5368070306290638E-3</v>
      </c>
      <c r="CC17" s="1">
        <v>-2.3553183469548891E-2</v>
      </c>
      <c r="CD17" s="1">
        <v>-1.8719998805068031E-2</v>
      </c>
      <c r="CE17" s="1">
        <v>-0.11919022552004049</v>
      </c>
      <c r="CF17" s="1">
        <v>-1.2060318436678621E-2</v>
      </c>
      <c r="CG17" s="1">
        <v>9.6763269476421068E-2</v>
      </c>
      <c r="CH17" s="1">
        <v>-4.175171478076152E-2</v>
      </c>
      <c r="CI17" s="1">
        <v>-6.8627972153092076E-2</v>
      </c>
      <c r="CJ17" s="1">
        <v>1.9852062399044759E-2</v>
      </c>
      <c r="CK17" s="1">
        <v>-5.6000634227780392E-2</v>
      </c>
      <c r="CL17" s="1">
        <v>0.11843768870360211</v>
      </c>
      <c r="CM17" s="1">
        <v>-5.040054526643023E-2</v>
      </c>
      <c r="CN17" s="1">
        <v>-0.17797860684989791</v>
      </c>
      <c r="CO17" s="1">
        <v>8.1898037486622402E-2</v>
      </c>
      <c r="CP17" s="1">
        <v>-6.823429507480705E-2</v>
      </c>
      <c r="CQ17" s="1">
        <v>-8.7039361662898662E-3</v>
      </c>
      <c r="CR17" s="1">
        <v>-7.9315609043847074E-2</v>
      </c>
      <c r="CS17" s="1">
        <v>-1.1856101142411439E-2</v>
      </c>
      <c r="CT17" s="1">
        <v>-2.7883118706940008E-2</v>
      </c>
      <c r="CU17" s="1">
        <v>6.2625404085869821E-2</v>
      </c>
      <c r="CV17" s="1">
        <v>-4.1617660315888177E-2</v>
      </c>
      <c r="CW17" s="1">
        <v>-1.0470073166160851E-2</v>
      </c>
      <c r="CX17" s="1">
        <v>-1.938672552461447E-2</v>
      </c>
      <c r="CY17" s="1">
        <v>2.1525587346526098E-2</v>
      </c>
      <c r="CZ17" s="1">
        <v>2.3293605204085101E-3</v>
      </c>
      <c r="DA17" s="1">
        <v>0.14027938829481651</v>
      </c>
      <c r="DB17" s="1">
        <v>-5.5916148420276673E-2</v>
      </c>
      <c r="DC17" s="1">
        <v>6.4413551088929655E-2</v>
      </c>
      <c r="DD17" s="1">
        <v>-9.9453967030196266E-2</v>
      </c>
      <c r="DE17" s="1">
        <v>-2.372907848208208E-2</v>
      </c>
      <c r="DF17" s="1">
        <v>-3.7658349973359803E-2</v>
      </c>
      <c r="DG17" s="1">
        <v>-5.6861479709170423E-2</v>
      </c>
      <c r="DH17" s="1">
        <v>4.542935838448213E-2</v>
      </c>
      <c r="DI17" s="1">
        <v>3.3526802364523073E-2</v>
      </c>
      <c r="DJ17" s="1">
        <v>4.5698604563294581E-2</v>
      </c>
      <c r="DK17" s="1">
        <v>-3.74657319773085E-2</v>
      </c>
      <c r="DL17" s="1">
        <v>-1.880923885511325E-2</v>
      </c>
      <c r="DM17" s="1">
        <v>-9.9177262492576024E-2</v>
      </c>
      <c r="DN17" s="1">
        <v>3.4656477441229842E-2</v>
      </c>
      <c r="DO17" s="1">
        <v>-3.779239971892432E-2</v>
      </c>
      <c r="DP17" s="1">
        <v>8.1642421154431058E-2</v>
      </c>
      <c r="DQ17" s="1">
        <v>3.3337523411749591E-3</v>
      </c>
      <c r="DR17" s="1">
        <v>6.6105753287352444E-3</v>
      </c>
      <c r="DS17" s="1">
        <v>1.7544096485436821E-2</v>
      </c>
      <c r="DT17" s="1">
        <v>-3.9950926581246091E-3</v>
      </c>
      <c r="DU17" s="1">
        <v>4.5069117925233777E-2</v>
      </c>
      <c r="DV17" s="1">
        <v>2.621669974500818E-2</v>
      </c>
      <c r="DW17" s="1">
        <v>5.8936556659170608E-2</v>
      </c>
      <c r="DX17" s="1">
        <v>-8.873068265589662E-2</v>
      </c>
      <c r="DY17" s="1">
        <v>5.4215833557113062E-2</v>
      </c>
      <c r="DZ17" s="1">
        <v>6.0895871634327359E-2</v>
      </c>
      <c r="EA17" s="1">
        <v>-3.4276197591587292E-3</v>
      </c>
      <c r="EB17" s="1">
        <v>4.6209002033232888E-2</v>
      </c>
      <c r="EC17" s="1">
        <v>1.710414131763249E-2</v>
      </c>
      <c r="ED17" s="1">
        <v>8.3327649004843227E-2</v>
      </c>
      <c r="EE17" s="1">
        <v>3.341569853797819E-2</v>
      </c>
      <c r="EF17" s="1">
        <v>7.3892058994157114E-3</v>
      </c>
      <c r="EG17" s="47">
        <f t="shared" si="0"/>
        <v>6.5988684086554575E-4</v>
      </c>
      <c r="EH17" s="25">
        <f t="shared" si="1"/>
        <v>6.3892723406309873E-2</v>
      </c>
      <c r="EI17" s="47">
        <f t="shared" si="2"/>
        <v>1.0328043722117769E-2</v>
      </c>
    </row>
    <row r="18" spans="1:139" ht="16" customHeight="1">
      <c r="A18" s="6">
        <v>107</v>
      </c>
      <c r="B18" s="6">
        <v>9</v>
      </c>
      <c r="C18" s="2">
        <v>4.467463327290154E-2</v>
      </c>
      <c r="D18" s="9">
        <v>7.3315452879455609E-2</v>
      </c>
      <c r="E18" s="9">
        <v>4.3253309439355639E-3</v>
      </c>
      <c r="F18" s="9">
        <v>-2.2317515170411022E-2</v>
      </c>
      <c r="G18" s="9">
        <v>8.1990193753066404E-2</v>
      </c>
      <c r="H18" s="9">
        <v>-5.4254626493417557E-2</v>
      </c>
      <c r="I18" s="9">
        <v>-2.6819032026068342E-2</v>
      </c>
      <c r="J18" s="9">
        <v>5.0890819313643837E-3</v>
      </c>
      <c r="K18" s="9">
        <v>-6.2993877990114439E-2</v>
      </c>
      <c r="L18" s="2">
        <v>1.9907212084724301E-2</v>
      </c>
      <c r="M18" s="2">
        <v>6.3290494893927879E-2</v>
      </c>
      <c r="N18" s="2">
        <v>4.467463327290154E-2</v>
      </c>
      <c r="O18" s="1">
        <v>2.6084284333540431E-2</v>
      </c>
      <c r="P18" s="1">
        <v>2.4365434615880931E-2</v>
      </c>
      <c r="Q18" s="1">
        <v>6.2416257820356574E-3</v>
      </c>
      <c r="R18" s="1">
        <v>9.576707126672547E-2</v>
      </c>
      <c r="S18" s="1">
        <v>-5.1186661335793041E-2</v>
      </c>
      <c r="T18" s="1">
        <v>1.0747845883067351E-2</v>
      </c>
      <c r="U18" s="1">
        <v>-9.026661013759002E-2</v>
      </c>
      <c r="V18" s="1">
        <v>3.820139307518032E-2</v>
      </c>
      <c r="W18" s="1">
        <v>-2.9775840374796909E-3</v>
      </c>
      <c r="X18" s="1">
        <v>0.11953448329573391</v>
      </c>
      <c r="Y18" s="1">
        <v>-3.268824181868997E-2</v>
      </c>
      <c r="Z18" s="1">
        <v>7.9580174886594995E-2</v>
      </c>
      <c r="AA18" s="1">
        <v>2.0507786116549569E-2</v>
      </c>
      <c r="AB18" s="1">
        <v>2.620773697755956E-2</v>
      </c>
      <c r="AC18" s="1">
        <v>3.6258623994600961E-2</v>
      </c>
      <c r="AD18" s="1">
        <v>-5.2483987019442242E-2</v>
      </c>
      <c r="AE18" s="1">
        <v>0.1662872404716059</v>
      </c>
      <c r="AF18" s="1">
        <v>7.6785158446953279E-3</v>
      </c>
      <c r="AG18" s="1">
        <v>-1.5639465434319311E-3</v>
      </c>
      <c r="AH18" s="1">
        <v>3.1473363259082857E-2</v>
      </c>
      <c r="AI18" s="1">
        <v>-6.8286729010030731E-2</v>
      </c>
      <c r="AJ18" s="1">
        <v>2.178802527006166E-2</v>
      </c>
      <c r="AK18" s="1">
        <v>4.2068969330071218E-2</v>
      </c>
      <c r="AL18" s="1">
        <v>-8.7187980351250347E-2</v>
      </c>
      <c r="AM18" s="1">
        <v>5.4769115786927669E-2</v>
      </c>
      <c r="AN18" s="1">
        <v>6.8247365029288201E-2</v>
      </c>
      <c r="AO18" s="1">
        <v>2.805755719544382E-3</v>
      </c>
      <c r="AP18" s="1">
        <v>-0.15621967913633361</v>
      </c>
      <c r="AQ18" s="1">
        <v>7.5475062000735074E-2</v>
      </c>
      <c r="AR18" s="1">
        <v>-7.3247653003767316E-2</v>
      </c>
      <c r="AS18" s="1">
        <v>1.0790861191004201E-2</v>
      </c>
      <c r="AT18" s="1">
        <v>-8.2690447438917916E-2</v>
      </c>
      <c r="AU18" s="1">
        <v>-5.2132890767556561E-2</v>
      </c>
      <c r="AV18" s="1">
        <v>-4.5732250025440041E-2</v>
      </c>
      <c r="AW18" s="1">
        <v>-4.3690573926988933E-2</v>
      </c>
      <c r="AX18" s="1">
        <v>9.8853617850076694E-2</v>
      </c>
      <c r="AY18" s="1">
        <v>0.13491975384157151</v>
      </c>
      <c r="AZ18" s="1">
        <v>-0.1313569128998337</v>
      </c>
      <c r="BA18" s="1">
        <v>6.919382471227481E-2</v>
      </c>
      <c r="BB18" s="1">
        <v>-0.1284171790983247</v>
      </c>
      <c r="BC18" s="1">
        <v>-7.6482772966948859E-2</v>
      </c>
      <c r="BD18" s="1">
        <v>1.19841621550355E-2</v>
      </c>
      <c r="BE18" s="1">
        <v>3.4483010307921988E-2</v>
      </c>
      <c r="BF18" s="1">
        <v>7.5691455323516899E-2</v>
      </c>
      <c r="BG18" s="1">
        <v>0.1080279711266539</v>
      </c>
      <c r="BH18" s="1">
        <v>7.4403650470210025E-2</v>
      </c>
      <c r="BI18" s="1">
        <v>-4.987681022094459E-2</v>
      </c>
      <c r="BJ18" s="1">
        <v>1.8779530404174429E-2</v>
      </c>
      <c r="BK18" s="1">
        <v>4.2252615176388023E-2</v>
      </c>
      <c r="BL18" s="1">
        <v>5.1769012040383394E-3</v>
      </c>
      <c r="BM18" s="1">
        <v>4.7694340355854313E-2</v>
      </c>
      <c r="BN18" s="1">
        <v>-1.219630292900298E-2</v>
      </c>
      <c r="BO18" s="1">
        <v>-8.2426800698087305E-2</v>
      </c>
      <c r="BP18" s="1">
        <v>5.9012503534148393E-2</v>
      </c>
      <c r="BQ18" s="1">
        <v>-1.9630753120001392E-3</v>
      </c>
      <c r="BR18" s="1">
        <v>-0.1005881531736591</v>
      </c>
      <c r="BS18" s="1">
        <v>-4.8679245915754357E-2</v>
      </c>
      <c r="BT18" s="1">
        <v>-3.3970011854593828E-2</v>
      </c>
      <c r="BU18" s="1">
        <v>-3.8645432808201562E-2</v>
      </c>
      <c r="BV18" s="1">
        <v>-7.9965904961775539E-2</v>
      </c>
      <c r="BW18" s="1">
        <v>9.5122554198017184E-2</v>
      </c>
      <c r="BX18" s="1">
        <v>1.8802411820479939E-2</v>
      </c>
      <c r="BY18" s="1">
        <v>-0.1026756073360135</v>
      </c>
      <c r="BZ18" s="1">
        <v>-5.9631270827454341E-3</v>
      </c>
      <c r="CA18" s="1">
        <v>-0.166496508439609</v>
      </c>
      <c r="CB18" s="1">
        <v>1.454768657601112E-2</v>
      </c>
      <c r="CC18" s="1">
        <v>-2.9211584376522881E-2</v>
      </c>
      <c r="CD18" s="1">
        <v>-2.2761200659623539E-2</v>
      </c>
      <c r="CE18" s="1">
        <v>-9.4507522303248825E-2</v>
      </c>
      <c r="CF18" s="1">
        <v>-1.8594557375851351E-2</v>
      </c>
      <c r="CG18" s="1">
        <v>0.1064780169875105</v>
      </c>
      <c r="CH18" s="1">
        <v>-7.6175820723704074E-2</v>
      </c>
      <c r="CI18" s="1">
        <v>-6.0170161498863381E-2</v>
      </c>
      <c r="CJ18" s="1">
        <v>5.4434000107634627E-2</v>
      </c>
      <c r="CK18" s="1">
        <v>-7.1737979955843717E-2</v>
      </c>
      <c r="CL18" s="1">
        <v>6.6336934059110952E-2</v>
      </c>
      <c r="CM18" s="1">
        <v>-7.2844734497468422E-2</v>
      </c>
      <c r="CN18" s="1">
        <v>-0.19363647625869329</v>
      </c>
      <c r="CO18" s="1">
        <v>7.5142553413798843E-2</v>
      </c>
      <c r="CP18" s="1">
        <v>-3.9243235360434267E-2</v>
      </c>
      <c r="CQ18" s="1">
        <v>-2.1604836981958839E-2</v>
      </c>
      <c r="CR18" s="1">
        <v>-7.5916769759873368E-2</v>
      </c>
      <c r="CS18" s="1">
        <v>-2.164092447695859E-3</v>
      </c>
      <c r="CT18" s="1">
        <v>-5.4524350992788302E-2</v>
      </c>
      <c r="CU18" s="1">
        <v>8.1316229421553268E-2</v>
      </c>
      <c r="CV18" s="1">
        <v>-5.1712324882648888E-2</v>
      </c>
      <c r="CW18" s="1">
        <v>-7.8340178372584505E-3</v>
      </c>
      <c r="CX18" s="1">
        <v>-1.7781464692262518E-2</v>
      </c>
      <c r="CY18" s="1">
        <v>2.3312294098751019E-2</v>
      </c>
      <c r="CZ18" s="1">
        <v>2.73162415634505E-3</v>
      </c>
      <c r="DA18" s="1">
        <v>0.165776606861404</v>
      </c>
      <c r="DB18" s="1">
        <v>-5.5565328694349818E-2</v>
      </c>
      <c r="DC18" s="1">
        <v>3.9375679691534833E-2</v>
      </c>
      <c r="DD18" s="1">
        <v>-8.4115771200224038E-2</v>
      </c>
      <c r="DE18" s="1">
        <v>-2.0444983521800918E-2</v>
      </c>
      <c r="DF18" s="1">
        <v>-3.8097391830805023E-2</v>
      </c>
      <c r="DG18" s="1">
        <v>-2.1342233769680578E-2</v>
      </c>
      <c r="DH18" s="1">
        <v>4.19165526744186E-2</v>
      </c>
      <c r="DI18" s="1">
        <v>5.5323004985865558E-2</v>
      </c>
      <c r="DJ18" s="1">
        <v>4.3364011355476587E-2</v>
      </c>
      <c r="DK18" s="1">
        <v>-3.168050286309608E-2</v>
      </c>
      <c r="DL18" s="1">
        <v>-2.6834821142482309E-2</v>
      </c>
      <c r="DM18" s="1">
        <v>-0.113450866136934</v>
      </c>
      <c r="DN18" s="1">
        <v>5.0072672336127583E-2</v>
      </c>
      <c r="DO18" s="1">
        <v>-4.5762873558762893E-2</v>
      </c>
      <c r="DP18" s="1">
        <v>8.0502538806721008E-2</v>
      </c>
      <c r="DQ18" s="1">
        <v>1.179393733686972E-2</v>
      </c>
      <c r="DR18" s="1">
        <v>6.0234646025910162E-3</v>
      </c>
      <c r="DS18" s="1">
        <v>2.7002609473682129E-2</v>
      </c>
      <c r="DT18" s="1">
        <v>-1.8188697594179671E-2</v>
      </c>
      <c r="DU18" s="1">
        <v>9.5864937459560817E-2</v>
      </c>
      <c r="DV18" s="1">
        <v>1.5717756825458899E-2</v>
      </c>
      <c r="DW18" s="1">
        <v>7.1406329148548858E-2</v>
      </c>
      <c r="DX18" s="1">
        <v>-9.6762420139283128E-2</v>
      </c>
      <c r="DY18" s="1">
        <v>6.6842447016338014E-2</v>
      </c>
      <c r="DZ18" s="1">
        <v>5.8797072044992717E-2</v>
      </c>
      <c r="EA18" s="1">
        <v>-5.5139525731411716E-3</v>
      </c>
      <c r="EB18" s="1">
        <v>6.4568280119641913E-2</v>
      </c>
      <c r="EC18" s="1">
        <v>3.6425179749762553E-2</v>
      </c>
      <c r="ED18" s="1">
        <v>8.5230074478399698E-2</v>
      </c>
      <c r="EE18" s="1">
        <v>4.074798364097381E-2</v>
      </c>
      <c r="EF18" s="1">
        <v>-1.0628315694647811E-3</v>
      </c>
      <c r="EG18" s="47">
        <f t="shared" si="0"/>
        <v>1.0590194771869104E-3</v>
      </c>
      <c r="EH18" s="25">
        <f t="shared" si="1"/>
        <v>6.6963996860209957E-2</v>
      </c>
      <c r="EI18" s="47">
        <f t="shared" si="2"/>
        <v>1.5814759077144937E-2</v>
      </c>
    </row>
    <row r="19" spans="1:139" ht="16" customHeight="1">
      <c r="A19" s="6">
        <v>120</v>
      </c>
      <c r="B19" s="6">
        <v>8</v>
      </c>
      <c r="C19" s="2">
        <v>3.7740370201682062E-2</v>
      </c>
      <c r="D19" s="9">
        <v>7.4693454088851419E-2</v>
      </c>
      <c r="E19" s="9">
        <v>6.0723422819614188E-2</v>
      </c>
      <c r="F19" s="9">
        <v>-5.5420907105597356E-3</v>
      </c>
      <c r="G19" s="9">
        <v>8.06379617738614E-2</v>
      </c>
      <c r="H19" s="9">
        <v>-3.9234659693145123E-2</v>
      </c>
      <c r="I19" s="9">
        <v>-2.3814069030060891E-2</v>
      </c>
      <c r="J19" s="9">
        <v>1.042413897048722E-2</v>
      </c>
      <c r="K19" s="9">
        <v>-5.8138251500402957E-2</v>
      </c>
      <c r="L19" s="2">
        <v>1.4782190187267169E-2</v>
      </c>
      <c r="M19" s="2">
        <v>0.1039005526308146</v>
      </c>
      <c r="N19" s="2">
        <v>3.7740370201682062E-2</v>
      </c>
      <c r="O19" s="1">
        <v>2.5638581153353959E-2</v>
      </c>
      <c r="P19" s="1">
        <v>2.7495798194834751E-2</v>
      </c>
      <c r="Q19" s="1">
        <v>1.9708408536647751E-2</v>
      </c>
      <c r="R19" s="1">
        <v>0.1046951905956897</v>
      </c>
      <c r="S19" s="1">
        <v>-3.405113688138036E-2</v>
      </c>
      <c r="T19" s="1">
        <v>1.417938884440764E-2</v>
      </c>
      <c r="U19" s="1">
        <v>-8.4805631855589286E-2</v>
      </c>
      <c r="V19" s="1">
        <v>5.2543463449575917E-2</v>
      </c>
      <c r="W19" s="1">
        <v>-2.2467830198991822E-3</v>
      </c>
      <c r="X19" s="1">
        <v>0.14805421867231541</v>
      </c>
      <c r="Y19" s="1">
        <v>-4.2227299541017282E-2</v>
      </c>
      <c r="Z19" s="1">
        <v>8.9852871342527715E-2</v>
      </c>
      <c r="AA19" s="1">
        <v>1.6625747999598619E-2</v>
      </c>
      <c r="AB19" s="1">
        <v>3.9195285597463367E-2</v>
      </c>
      <c r="AC19" s="1">
        <v>4.9506804053179393E-2</v>
      </c>
      <c r="AD19" s="1">
        <v>-3.8625335552069977E-2</v>
      </c>
      <c r="AE19" s="1">
        <v>0.17978708293150669</v>
      </c>
      <c r="AF19" s="1">
        <v>1.956656550821281E-2</v>
      </c>
      <c r="AG19" s="1">
        <v>-7.7101904448318923E-3</v>
      </c>
      <c r="AH19" s="1">
        <v>3.8207036260095417E-2</v>
      </c>
      <c r="AI19" s="1">
        <v>-7.721079331933367E-2</v>
      </c>
      <c r="AJ19" s="1">
        <v>2.654533321745868E-2</v>
      </c>
      <c r="AK19" s="1">
        <v>5.263981169476234E-2</v>
      </c>
      <c r="AL19" s="1">
        <v>-8.4598057799227938E-2</v>
      </c>
      <c r="AM19" s="1">
        <v>5.6614096788112668E-2</v>
      </c>
      <c r="AN19" s="1">
        <v>4.1899122265364491E-2</v>
      </c>
      <c r="AO19" s="1">
        <v>6.0241212645789008E-3</v>
      </c>
      <c r="AP19" s="1">
        <v>-0.17980301220632339</v>
      </c>
      <c r="AQ19" s="1">
        <v>7.4530493832756742E-2</v>
      </c>
      <c r="AR19" s="1">
        <v>-7.6683319681552883E-2</v>
      </c>
      <c r="AS19" s="1">
        <v>1.116630775891206E-4</v>
      </c>
      <c r="AT19" s="1">
        <v>-0.1116047375590233</v>
      </c>
      <c r="AU19" s="1">
        <v>-7.6604408908895916E-2</v>
      </c>
      <c r="AV19" s="1">
        <v>-6.6300671279652668E-2</v>
      </c>
      <c r="AW19" s="1">
        <v>-5.2468826420350528E-2</v>
      </c>
      <c r="AX19" s="1">
        <v>0.10909536291553421</v>
      </c>
      <c r="AY19" s="1">
        <v>0.12941912397065189</v>
      </c>
      <c r="AZ19" s="1">
        <v>-0.14754995253439859</v>
      </c>
      <c r="BA19" s="1">
        <v>6.5495607975822712E-2</v>
      </c>
      <c r="BB19" s="1">
        <v>-0.14012957697753001</v>
      </c>
      <c r="BC19" s="1">
        <v>-0.1074830178264303</v>
      </c>
      <c r="BD19" s="1">
        <v>1.9470987874980691E-2</v>
      </c>
      <c r="BE19" s="1">
        <v>3.178465805681123E-2</v>
      </c>
      <c r="BF19" s="1">
        <v>8.8660548980211557E-2</v>
      </c>
      <c r="BG19" s="1">
        <v>0.1188303742993314</v>
      </c>
      <c r="BH19" s="1">
        <v>6.87187326484196E-2</v>
      </c>
      <c r="BI19" s="1">
        <v>-4.0502134054461132E-2</v>
      </c>
      <c r="BJ19" s="1">
        <v>9.3489581347075967E-3</v>
      </c>
      <c r="BK19" s="1">
        <v>5.6589448225166969E-2</v>
      </c>
      <c r="BL19" s="1">
        <v>1.453337316750654E-2</v>
      </c>
      <c r="BM19" s="1">
        <v>3.4392164007261083E-2</v>
      </c>
      <c r="BN19" s="1">
        <v>2.923098082148072E-3</v>
      </c>
      <c r="BO19" s="1">
        <v>-8.9541872633424779E-2</v>
      </c>
      <c r="BP19" s="1">
        <v>7.093739987844519E-2</v>
      </c>
      <c r="BQ19" s="1">
        <v>5.9569330987485E-3</v>
      </c>
      <c r="BR19" s="1">
        <v>-7.952646026557339E-2</v>
      </c>
      <c r="BS19" s="1">
        <v>-9.1357776791999606E-2</v>
      </c>
      <c r="BT19" s="1">
        <v>-4.0199781449209673E-2</v>
      </c>
      <c r="BU19" s="1">
        <v>-1.0525500896306449E-2</v>
      </c>
      <c r="BV19" s="1">
        <v>-8.7372068838653269E-2</v>
      </c>
      <c r="BW19" s="1">
        <v>0.1213367134455923</v>
      </c>
      <c r="BX19" s="1">
        <v>1.4156234833603809E-2</v>
      </c>
      <c r="BY19" s="1">
        <v>-7.8627099728274336E-2</v>
      </c>
      <c r="BZ19" s="1">
        <v>-2.9241779927453939E-2</v>
      </c>
      <c r="CA19" s="1">
        <v>-0.16574530567258261</v>
      </c>
      <c r="CB19" s="1">
        <v>1.3032616512742319E-2</v>
      </c>
      <c r="CC19" s="1">
        <v>-1.538383515124272E-2</v>
      </c>
      <c r="CD19" s="1">
        <v>-3.3773541339025832E-2</v>
      </c>
      <c r="CE19" s="1">
        <v>-4.5480323216057973E-2</v>
      </c>
      <c r="CF19" s="1">
        <v>-2.512157467545879E-2</v>
      </c>
      <c r="CG19" s="1">
        <v>8.3766493651705298E-2</v>
      </c>
      <c r="CH19" s="1">
        <v>-0.14331833351014039</v>
      </c>
      <c r="CI19" s="1">
        <v>-5.762066199121324E-2</v>
      </c>
      <c r="CJ19" s="1">
        <v>4.795466298443174E-2</v>
      </c>
      <c r="CK19" s="1">
        <v>-9.065045530484736E-2</v>
      </c>
      <c r="CL19" s="1">
        <v>0.1066035265735519</v>
      </c>
      <c r="CM19" s="1">
        <v>-0.1100519142914691</v>
      </c>
      <c r="CN19" s="1">
        <v>-0.1247425946251596</v>
      </c>
      <c r="CO19" s="1">
        <v>0.1069001389062522</v>
      </c>
      <c r="CP19" s="1">
        <v>-4.1582977986827113E-2</v>
      </c>
      <c r="CQ19" s="1">
        <v>-1.5378497186591769E-2</v>
      </c>
      <c r="CR19" s="1">
        <v>-9.566937077439272E-2</v>
      </c>
      <c r="CS19" s="1">
        <v>-6.9241996405883114E-3</v>
      </c>
      <c r="CT19" s="1">
        <v>-4.659824684232796E-2</v>
      </c>
      <c r="CU19" s="1">
        <v>9.6722204257940952E-2</v>
      </c>
      <c r="CV19" s="1">
        <v>-9.5877325462448634E-3</v>
      </c>
      <c r="CW19" s="1">
        <v>-3.2305608468508611E-3</v>
      </c>
      <c r="CX19" s="1">
        <v>-2.976753819094129E-2</v>
      </c>
      <c r="CY19" s="1">
        <v>3.142978080748219E-2</v>
      </c>
      <c r="CZ19" s="1">
        <v>1.370218207230735E-2</v>
      </c>
      <c r="DA19" s="1">
        <v>0.1203699716570098</v>
      </c>
      <c r="DB19" s="1">
        <v>-3.4817210907922627E-2</v>
      </c>
      <c r="DC19" s="1">
        <v>5.7824966928164523E-2</v>
      </c>
      <c r="DD19" s="1">
        <v>-0.12486183561002</v>
      </c>
      <c r="DE19" s="1">
        <v>-1.4203307335652679E-2</v>
      </c>
      <c r="DF19" s="1">
        <v>-7.4282503450786214E-2</v>
      </c>
      <c r="DG19" s="1">
        <v>-6.1893419441833714E-4</v>
      </c>
      <c r="DH19" s="1">
        <v>1.94923083185762E-2</v>
      </c>
      <c r="DI19" s="1">
        <v>5.2422018087692701E-2</v>
      </c>
      <c r="DJ19" s="1">
        <v>4.6146096985095718E-2</v>
      </c>
      <c r="DK19" s="1">
        <v>-3.2261038729291522E-2</v>
      </c>
      <c r="DL19" s="1">
        <v>-2.3197464542285981E-2</v>
      </c>
      <c r="DM19" s="1">
        <v>-0.16085834629900789</v>
      </c>
      <c r="DN19" s="1">
        <v>5.0042610660052847E-2</v>
      </c>
      <c r="DO19" s="1">
        <v>-4.9517431815998603E-2</v>
      </c>
      <c r="DP19" s="1">
        <v>0.1190146756140969</v>
      </c>
      <c r="DQ19" s="1">
        <v>2.031609641746229E-4</v>
      </c>
      <c r="DR19" s="1">
        <v>5.2606806109739539E-3</v>
      </c>
      <c r="DS19" s="1">
        <v>2.4462506242815221E-2</v>
      </c>
      <c r="DT19" s="1">
        <v>-1.817895038694467E-2</v>
      </c>
      <c r="DU19" s="1">
        <v>8.1956763853021419E-2</v>
      </c>
      <c r="DV19" s="1">
        <v>1.6918926927959529E-2</v>
      </c>
      <c r="DW19" s="1">
        <v>5.0306431722440259E-3</v>
      </c>
      <c r="DX19" s="1">
        <v>-0.1179473637867956</v>
      </c>
      <c r="DY19" s="1">
        <v>0.13584938388203829</v>
      </c>
      <c r="DZ19" s="1">
        <v>2.2482261307989901E-2</v>
      </c>
      <c r="EA19" s="1">
        <v>2.1537867689219049E-2</v>
      </c>
      <c r="EB19" s="1">
        <v>7.6981164026896393E-2</v>
      </c>
      <c r="EC19" s="1">
        <v>3.6200675615958147E-2</v>
      </c>
      <c r="ED19" s="1">
        <v>9.222417150120496E-2</v>
      </c>
      <c r="EE19" s="1">
        <v>5.42440159512457E-2</v>
      </c>
      <c r="EF19" s="1">
        <v>-8.8157197202438781E-3</v>
      </c>
      <c r="EG19" s="47">
        <f t="shared" si="0"/>
        <v>2.0938483105501266E-3</v>
      </c>
      <c r="EH19" s="25">
        <f t="shared" si="1"/>
        <v>7.2622439688732179E-2</v>
      </c>
      <c r="EI19" s="47">
        <f t="shared" si="2"/>
        <v>2.8831974242735335E-2</v>
      </c>
    </row>
    <row r="20" spans="1:139" ht="16" customHeight="1">
      <c r="A20" s="6">
        <v>137</v>
      </c>
      <c r="B20" s="6">
        <v>7</v>
      </c>
      <c r="C20" s="2">
        <v>2.3960674486270692E-2</v>
      </c>
      <c r="D20" s="9">
        <v>6.1287232983924793E-2</v>
      </c>
      <c r="E20" s="9">
        <v>5.5594147239545283E-2</v>
      </c>
      <c r="F20" s="9">
        <v>-1.14999244670397E-2</v>
      </c>
      <c r="G20" s="9">
        <v>4.8971528561626232E-2</v>
      </c>
      <c r="H20" s="9">
        <v>-4.0075449606622758E-2</v>
      </c>
      <c r="I20" s="9">
        <v>-2.7390522873052232E-2</v>
      </c>
      <c r="J20" s="9">
        <v>2.4389222850369239E-2</v>
      </c>
      <c r="K20" s="9">
        <v>-4.615186219874251E-2</v>
      </c>
      <c r="L20" s="2">
        <v>1.506733104636389E-2</v>
      </c>
      <c r="M20" s="2">
        <v>0.1283906327214723</v>
      </c>
      <c r="N20" s="2">
        <v>2.3960674486270692E-2</v>
      </c>
      <c r="O20" s="1">
        <v>3.4758582863527787E-2</v>
      </c>
      <c r="P20" s="1">
        <v>3.1700692201443607E-2</v>
      </c>
      <c r="Q20" s="1">
        <v>1.9791604713925819E-2</v>
      </c>
      <c r="R20" s="1">
        <v>0.12896538918886569</v>
      </c>
      <c r="S20" s="1">
        <v>-2.4595339755953918E-2</v>
      </c>
      <c r="T20" s="1">
        <v>4.0120103674474633E-2</v>
      </c>
      <c r="U20" s="1">
        <v>-0.1006073838320041</v>
      </c>
      <c r="V20" s="1">
        <v>4.1412199809776118E-2</v>
      </c>
      <c r="W20" s="1">
        <v>-8.1212312432069611E-3</v>
      </c>
      <c r="X20" s="1">
        <v>0.18072645439629759</v>
      </c>
      <c r="Y20" s="1">
        <v>-4.4362895089673421E-2</v>
      </c>
      <c r="Z20" s="1">
        <v>8.2807327963469526E-2</v>
      </c>
      <c r="AA20" s="1">
        <v>3.3828013893931669E-2</v>
      </c>
      <c r="AB20" s="1">
        <v>5.3881384661112711E-2</v>
      </c>
      <c r="AC20" s="1">
        <v>2.1962223864729562E-2</v>
      </c>
      <c r="AD20" s="1">
        <v>-3.0580864107465029E-2</v>
      </c>
      <c r="AE20" s="1">
        <v>0.22143325063006061</v>
      </c>
      <c r="AF20" s="1">
        <v>3.6399607976309957E-2</v>
      </c>
      <c r="AG20" s="1">
        <v>-2.490255396592422E-2</v>
      </c>
      <c r="AH20" s="1">
        <v>5.2607917733405049E-2</v>
      </c>
      <c r="AI20" s="1">
        <v>-9.5983926914967932E-2</v>
      </c>
      <c r="AJ20" s="1">
        <v>1.4247364954399849E-2</v>
      </c>
      <c r="AK20" s="1">
        <v>5.6876455969141877E-2</v>
      </c>
      <c r="AL20" s="1">
        <v>-7.9623296534556257E-2</v>
      </c>
      <c r="AM20" s="1">
        <v>3.8443071714319883E-2</v>
      </c>
      <c r="AN20" s="1">
        <v>3.9287490224591021E-2</v>
      </c>
      <c r="AO20" s="1">
        <v>-1.3294927245054629E-2</v>
      </c>
      <c r="AP20" s="1">
        <v>-0.20436725056350641</v>
      </c>
      <c r="AQ20" s="1">
        <v>9.9442797217865295E-2</v>
      </c>
      <c r="AR20" s="1">
        <v>-9.0023913560731125E-2</v>
      </c>
      <c r="AS20" s="1">
        <v>-4.1149090084040177E-2</v>
      </c>
      <c r="AT20" s="1">
        <v>-0.13695074376658281</v>
      </c>
      <c r="AU20" s="1">
        <v>-9.1024948285798157E-2</v>
      </c>
      <c r="AV20" s="1">
        <v>-7.2189443122022301E-2</v>
      </c>
      <c r="AW20" s="1">
        <v>-7.7722217552742921E-3</v>
      </c>
      <c r="AX20" s="1">
        <v>0.1420785197341686</v>
      </c>
      <c r="AY20" s="1">
        <v>0.15774765149768361</v>
      </c>
      <c r="AZ20" s="1">
        <v>-0.1557839217719808</v>
      </c>
      <c r="BA20" s="1">
        <v>5.0601459518757969E-2</v>
      </c>
      <c r="BB20" s="1">
        <v>-0.16638052847604939</v>
      </c>
      <c r="BC20" s="1">
        <v>-0.11268292951702601</v>
      </c>
      <c r="BD20" s="1">
        <v>4.0525692958434278E-2</v>
      </c>
      <c r="BE20" s="1">
        <v>3.8400125932390429E-2</v>
      </c>
      <c r="BF20" s="1">
        <v>0.1087791916402505</v>
      </c>
      <c r="BG20" s="1">
        <v>0.1408434061458877</v>
      </c>
      <c r="BH20" s="1">
        <v>6.5799634562474479E-2</v>
      </c>
      <c r="BI20" s="1">
        <v>-1.2794985990191351E-2</v>
      </c>
      <c r="BJ20" s="1">
        <v>-1.769287832848826E-3</v>
      </c>
      <c r="BK20" s="1">
        <v>3.7871017404474169E-2</v>
      </c>
      <c r="BL20" s="1">
        <v>2.365660834431025E-2</v>
      </c>
      <c r="BM20" s="1">
        <v>5.669191464152247E-2</v>
      </c>
      <c r="BN20" s="1">
        <v>3.595585931004186E-2</v>
      </c>
      <c r="BO20" s="1">
        <v>-0.1197403415124265</v>
      </c>
      <c r="BP20" s="1">
        <v>8.1283018227542969E-2</v>
      </c>
      <c r="BQ20" s="1">
        <v>2.079249681008195E-2</v>
      </c>
      <c r="BR20" s="1">
        <v>-8.5531122567200094E-2</v>
      </c>
      <c r="BS20" s="1">
        <v>-0.1101922047708558</v>
      </c>
      <c r="BT20" s="1">
        <v>2.1062157442338879E-2</v>
      </c>
      <c r="BU20" s="1">
        <v>2.123599112262518E-2</v>
      </c>
      <c r="BV20" s="1">
        <v>-9.5579849772512576E-2</v>
      </c>
      <c r="BW20" s="1">
        <v>0.11044165093533689</v>
      </c>
      <c r="BX20" s="1">
        <v>7.3082334900555993E-3</v>
      </c>
      <c r="BY20" s="1">
        <v>-0.1260464537093039</v>
      </c>
      <c r="BZ20" s="1">
        <v>-2.7112526961990652E-2</v>
      </c>
      <c r="CA20" s="1">
        <v>-0.17016029411542191</v>
      </c>
      <c r="CB20" s="1">
        <v>3.549619540401816E-2</v>
      </c>
      <c r="CC20" s="1">
        <v>-2.4938054894467751E-2</v>
      </c>
      <c r="CD20" s="1">
        <v>-8.5963881097028516E-2</v>
      </c>
      <c r="CE20" s="1">
        <v>-4.6587905155565497E-2</v>
      </c>
      <c r="CF20" s="1">
        <v>-6.7205860480398366E-2</v>
      </c>
      <c r="CG20" s="1">
        <v>9.5321622001787232E-2</v>
      </c>
      <c r="CH20" s="1">
        <v>-0.1861895954957864</v>
      </c>
      <c r="CI20" s="1">
        <v>-6.0535736905777723E-2</v>
      </c>
      <c r="CJ20" s="1">
        <v>6.2092342814432967E-2</v>
      </c>
      <c r="CK20" s="1">
        <v>-0.1106715280863519</v>
      </c>
      <c r="CL20" s="1">
        <v>5.3403037312273367E-2</v>
      </c>
      <c r="CM20" s="1">
        <v>-0.1365537863063605</v>
      </c>
      <c r="CN20" s="1">
        <v>-0.14580951538572909</v>
      </c>
      <c r="CO20" s="1">
        <v>0.12032401256867729</v>
      </c>
      <c r="CP20" s="1">
        <v>-3.1798703809171547E-2</v>
      </c>
      <c r="CQ20" s="1">
        <v>-5.5724051579595937E-2</v>
      </c>
      <c r="CR20" s="1">
        <v>-0.12074417029840739</v>
      </c>
      <c r="CS20" s="1">
        <v>-4.0845715368856457E-2</v>
      </c>
      <c r="CT20" s="1">
        <v>-6.0288134633943641E-2</v>
      </c>
      <c r="CU20" s="1">
        <v>9.6138579977096544E-2</v>
      </c>
      <c r="CV20" s="1">
        <v>-5.6808047635861329E-3</v>
      </c>
      <c r="CW20" s="1">
        <v>1.3739428485733181E-2</v>
      </c>
      <c r="CX20" s="1">
        <v>-9.688310135658032E-3</v>
      </c>
      <c r="CY20" s="1">
        <v>5.1904249086463516E-3</v>
      </c>
      <c r="CZ20" s="1">
        <v>-2.5900999044747391E-2</v>
      </c>
      <c r="DA20" s="1">
        <v>0.1206220044068903</v>
      </c>
      <c r="DB20" s="1">
        <v>-4.6942583799582917E-2</v>
      </c>
      <c r="DC20" s="1">
        <v>6.4491756249383331E-2</v>
      </c>
      <c r="DD20" s="1">
        <v>-0.12599340058920311</v>
      </c>
      <c r="DE20" s="1">
        <v>-2.353858981206396E-2</v>
      </c>
      <c r="DF20" s="1">
        <v>-8.6359851520640796E-2</v>
      </c>
      <c r="DG20" s="1">
        <v>-3.9412418610088804E-3</v>
      </c>
      <c r="DH20" s="1">
        <v>5.1818376505426136E-3</v>
      </c>
      <c r="DI20" s="1">
        <v>5.8885758090210037E-2</v>
      </c>
      <c r="DJ20" s="1">
        <v>5.7994612167286491E-2</v>
      </c>
      <c r="DK20" s="1">
        <v>-7.306739233403714E-2</v>
      </c>
      <c r="DL20" s="1">
        <v>4.9961148747365569E-4</v>
      </c>
      <c r="DM20" s="1">
        <v>-0.18644366649035071</v>
      </c>
      <c r="DN20" s="1">
        <v>9.6947539555629056E-2</v>
      </c>
      <c r="DO20" s="1">
        <v>-5.6900851893120288E-2</v>
      </c>
      <c r="DP20" s="1">
        <v>0.15282102458845279</v>
      </c>
      <c r="DQ20" s="1">
        <v>5.8171498438915198E-3</v>
      </c>
      <c r="DR20" s="1">
        <v>6.7562772104483693E-2</v>
      </c>
      <c r="DS20" s="1">
        <v>5.3815680510546873E-2</v>
      </c>
      <c r="DT20" s="1">
        <v>5.8385283512957589E-3</v>
      </c>
      <c r="DU20" s="1">
        <v>0.1570343791460026</v>
      </c>
      <c r="DV20" s="1">
        <v>-1.849687267462401E-2</v>
      </c>
      <c r="DW20" s="1">
        <v>-3.3493026490381758E-2</v>
      </c>
      <c r="DX20" s="1">
        <v>-0.11616710745166189</v>
      </c>
      <c r="DY20" s="1">
        <v>0.13321646825060909</v>
      </c>
      <c r="DZ20" s="1">
        <v>6.5625421641408749E-2</v>
      </c>
      <c r="EA20" s="1">
        <v>2.0377141354694438E-2</v>
      </c>
      <c r="EB20" s="1">
        <v>7.4414152518056262E-2</v>
      </c>
      <c r="EC20" s="1">
        <v>5.493489954938701E-2</v>
      </c>
      <c r="ED20" s="1">
        <v>9.4619797461862831E-2</v>
      </c>
      <c r="EE20" s="1">
        <v>7.4482350649423198E-2</v>
      </c>
      <c r="EF20" s="1">
        <v>-4.0050567961217427E-2</v>
      </c>
      <c r="EG20" s="47">
        <f t="shared" si="0"/>
        <v>1.6217342873635287E-3</v>
      </c>
      <c r="EH20" s="25">
        <f t="shared" si="1"/>
        <v>8.4147088636200698E-2</v>
      </c>
      <c r="EI20" s="47">
        <f t="shared" si="2"/>
        <v>1.9272613154507245E-2</v>
      </c>
    </row>
    <row r="21" spans="1:139" ht="16" customHeight="1">
      <c r="A21" s="6">
        <v>160</v>
      </c>
      <c r="B21" s="6">
        <v>6</v>
      </c>
      <c r="C21" s="2">
        <v>1.7692424960681141E-2</v>
      </c>
      <c r="D21" s="9">
        <v>7.1963452626881488E-2</v>
      </c>
      <c r="E21" s="9">
        <v>-1.0531128209599351E-2</v>
      </c>
      <c r="F21" s="9">
        <v>2.0877774024983881E-2</v>
      </c>
      <c r="G21" s="9">
        <v>4.73006292069581E-2</v>
      </c>
      <c r="H21" s="9">
        <v>-3.8041753556040058E-3</v>
      </c>
      <c r="I21" s="9">
        <v>-4.4756829534366223E-2</v>
      </c>
      <c r="J21" s="9">
        <v>3.7236508284402788E-2</v>
      </c>
      <c r="K21" s="9">
        <v>-5.7542163226471731E-2</v>
      </c>
      <c r="L21" s="2">
        <v>1.1611325085464639E-2</v>
      </c>
      <c r="M21" s="2">
        <v>0.14526480032150421</v>
      </c>
      <c r="N21" s="2">
        <v>1.7692424960681141E-2</v>
      </c>
      <c r="O21" s="1">
        <v>3.0936635438098929E-3</v>
      </c>
      <c r="P21" s="1">
        <v>3.9079689555044983E-2</v>
      </c>
      <c r="Q21" s="1">
        <v>-1.6605400287061169E-2</v>
      </c>
      <c r="R21" s="1">
        <v>0.10413609425245179</v>
      </c>
      <c r="S21" s="1">
        <v>-0.1046128926463617</v>
      </c>
      <c r="T21" s="1">
        <v>5.1582065569468601E-2</v>
      </c>
      <c r="U21" s="1">
        <v>-8.5624574103402282E-2</v>
      </c>
      <c r="V21" s="1">
        <v>5.0393950543172888E-2</v>
      </c>
      <c r="W21" s="1">
        <v>-2.0429764671936971E-2</v>
      </c>
      <c r="X21" s="1">
        <v>0.16047300391205219</v>
      </c>
      <c r="Y21" s="1">
        <v>-6.7513736487818762E-2</v>
      </c>
      <c r="Z21" s="1">
        <v>3.2419359930404713E-2</v>
      </c>
      <c r="AA21" s="1">
        <v>4.7221445887346059E-2</v>
      </c>
      <c r="AB21" s="1">
        <v>-5.6882654837774379E-3</v>
      </c>
      <c r="AC21" s="1">
        <v>2.613275894454857E-2</v>
      </c>
      <c r="AD21" s="1">
        <v>-2.8325063786582751E-2</v>
      </c>
      <c r="AE21" s="1">
        <v>0.20667272285077659</v>
      </c>
      <c r="AF21" s="1">
        <v>5.5669542792707118E-2</v>
      </c>
      <c r="AG21" s="1">
        <v>-2.982157409211731E-2</v>
      </c>
      <c r="AH21" s="1">
        <v>7.6897627760456583E-2</v>
      </c>
      <c r="AI21" s="1">
        <v>-9.9579091574747508E-2</v>
      </c>
      <c r="AJ21" s="1">
        <v>3.102766636902652E-2</v>
      </c>
      <c r="AK21" s="1">
        <v>4.0834448047313059E-2</v>
      </c>
      <c r="AL21" s="1">
        <v>-9.382185977629727E-2</v>
      </c>
      <c r="AM21" s="1">
        <v>3.7895655482297057E-2</v>
      </c>
      <c r="AN21" s="1">
        <v>8.6147091168409268E-2</v>
      </c>
      <c r="AO21" s="1">
        <v>-4.6038748026865778E-2</v>
      </c>
      <c r="AP21" s="1">
        <v>-0.22949203590729211</v>
      </c>
      <c r="AQ21" s="1">
        <v>0.1124543865937923</v>
      </c>
      <c r="AR21" s="1">
        <v>-0.118499120676512</v>
      </c>
      <c r="AS21" s="1">
        <v>1.8089021393741932E-2</v>
      </c>
      <c r="AT21" s="1">
        <v>-0.1326350126409287</v>
      </c>
      <c r="AU21" s="1">
        <v>-0.11179086395989719</v>
      </c>
      <c r="AV21" s="1">
        <v>-7.1165225453643954E-2</v>
      </c>
      <c r="AW21" s="1">
        <v>-1.2025722375764139E-2</v>
      </c>
      <c r="AX21" s="1">
        <v>0.15097481128708831</v>
      </c>
      <c r="AY21" s="1">
        <v>0.19332598996550779</v>
      </c>
      <c r="AZ21" s="1">
        <v>-0.17020049886997479</v>
      </c>
      <c r="BA21" s="1">
        <v>7.9203864611694055E-2</v>
      </c>
      <c r="BB21" s="1">
        <v>-0.2176955513926028</v>
      </c>
      <c r="BC21" s="1">
        <v>-8.1294511843913134E-2</v>
      </c>
      <c r="BD21" s="1">
        <v>2.847177778830878E-2</v>
      </c>
      <c r="BE21" s="1">
        <v>2.14459229967487E-2</v>
      </c>
      <c r="BF21" s="1">
        <v>0.15024443376590249</v>
      </c>
      <c r="BG21" s="1">
        <v>0.15020698900031221</v>
      </c>
      <c r="BH21" s="1">
        <v>4.02011794787277E-2</v>
      </c>
      <c r="BI21" s="1">
        <v>4.1443319753193861E-2</v>
      </c>
      <c r="BJ21" s="1">
        <v>6.3383655408726633E-2</v>
      </c>
      <c r="BK21" s="1">
        <v>2.9523394840345399E-2</v>
      </c>
      <c r="BL21" s="1">
        <v>1.9341644808257501E-2</v>
      </c>
      <c r="BM21" s="1">
        <v>4.1659350458692318E-2</v>
      </c>
      <c r="BN21" s="1">
        <v>2.1328503776242971E-2</v>
      </c>
      <c r="BO21" s="1">
        <v>-8.0890091350708779E-2</v>
      </c>
      <c r="BP21" s="1">
        <v>8.3758520692882421E-2</v>
      </c>
      <c r="BQ21" s="1">
        <v>-8.3269358716410655E-3</v>
      </c>
      <c r="BR21" s="1">
        <v>-9.7667400782902591E-2</v>
      </c>
      <c r="BS21" s="1">
        <v>-0.15524022851436231</v>
      </c>
      <c r="BT21" s="1">
        <v>3.0765179830743911E-2</v>
      </c>
      <c r="BU21" s="1">
        <v>2.343108448165104E-2</v>
      </c>
      <c r="BV21" s="1">
        <v>-5.6091716963844407E-2</v>
      </c>
      <c r="BW21" s="1">
        <v>9.9546381965718495E-2</v>
      </c>
      <c r="BX21" s="1">
        <v>4.4549506977087067E-2</v>
      </c>
      <c r="BY21" s="1">
        <v>-0.1163284713656494</v>
      </c>
      <c r="BZ21" s="1">
        <v>-2.310483093308793E-2</v>
      </c>
      <c r="CA21" s="1">
        <v>-0.17878928981650111</v>
      </c>
      <c r="CB21" s="1">
        <v>-2.4349598591866001E-2</v>
      </c>
      <c r="CC21" s="1">
        <v>-5.6222321102269039E-2</v>
      </c>
      <c r="CD21" s="1">
        <v>1.9163567976186031E-2</v>
      </c>
      <c r="CE21" s="1">
        <v>3.056742005888461E-2</v>
      </c>
      <c r="CF21" s="1">
        <v>-6.7547602785704833E-2</v>
      </c>
      <c r="CG21" s="1">
        <v>0.1741226920151987</v>
      </c>
      <c r="CH21" s="1">
        <v>-0.1881544269366964</v>
      </c>
      <c r="CI21" s="1">
        <v>5.376431995506066E-2</v>
      </c>
      <c r="CJ21" s="1">
        <v>8.1877313293500148E-2</v>
      </c>
      <c r="CK21" s="1">
        <v>-9.000173112692042E-2</v>
      </c>
      <c r="CL21" s="1">
        <v>5.2893301742407209E-3</v>
      </c>
      <c r="CM21" s="1">
        <v>-0.14531233589658549</v>
      </c>
      <c r="CN21" s="1">
        <v>-0.15110161930948121</v>
      </c>
      <c r="CO21" s="1">
        <v>0.1168892646014482</v>
      </c>
      <c r="CP21" s="1">
        <v>-3.3103622758534082E-2</v>
      </c>
      <c r="CQ21" s="1">
        <v>-7.4217049355894765E-2</v>
      </c>
      <c r="CR21" s="1">
        <v>-0.17989270978680211</v>
      </c>
      <c r="CS21" s="1">
        <v>-7.4243581547428078E-2</v>
      </c>
      <c r="CT21" s="1">
        <v>-5.9981579750882988E-2</v>
      </c>
      <c r="CU21" s="1">
        <v>0.1057185886781748</v>
      </c>
      <c r="CV21" s="1">
        <v>-6.0442326921917207E-2</v>
      </c>
      <c r="CW21" s="1">
        <v>7.5724346105588251E-3</v>
      </c>
      <c r="CX21" s="1">
        <v>1.4551638632049779E-2</v>
      </c>
      <c r="CY21" s="1">
        <v>-4.4257754679909028E-3</v>
      </c>
      <c r="CZ21" s="1">
        <v>-5.1714820394933837E-2</v>
      </c>
      <c r="DA21" s="1">
        <v>0.13546731658424621</v>
      </c>
      <c r="DB21" s="1">
        <v>2.6428067383571782E-2</v>
      </c>
      <c r="DC21" s="1">
        <v>4.6063233971605173E-2</v>
      </c>
      <c r="DD21" s="1">
        <v>-0.15390271193853691</v>
      </c>
      <c r="DE21" s="1">
        <v>-4.176428240721107E-2</v>
      </c>
      <c r="DF21" s="1">
        <v>-7.0504362766651799E-2</v>
      </c>
      <c r="DG21" s="1">
        <v>-2.601273029525402E-2</v>
      </c>
      <c r="DH21" s="1">
        <v>1.607408450499186E-2</v>
      </c>
      <c r="DI21" s="1">
        <v>3.2965495027125077E-2</v>
      </c>
      <c r="DJ21" s="1">
        <v>5.134896737611843E-2</v>
      </c>
      <c r="DK21" s="1">
        <v>-0.1406418240425843</v>
      </c>
      <c r="DL21" s="1">
        <v>7.3561906638761262E-3</v>
      </c>
      <c r="DM21" s="1">
        <v>-0.1141760139213682</v>
      </c>
      <c r="DN21" s="1">
        <v>0.13812908597561449</v>
      </c>
      <c r="DO21" s="1">
        <v>-7.4567653607087919E-2</v>
      </c>
      <c r="DP21" s="1">
        <v>9.9523793528896065E-2</v>
      </c>
      <c r="DQ21" s="1">
        <v>-3.0147451471675408E-3</v>
      </c>
      <c r="DR21" s="1">
        <v>7.0782978420802375E-2</v>
      </c>
      <c r="DS21" s="1">
        <v>2.9355735104957491E-2</v>
      </c>
      <c r="DT21" s="1">
        <v>-1.922877551616748E-2</v>
      </c>
      <c r="DU21" s="1">
        <v>0.13894736088685319</v>
      </c>
      <c r="DV21" s="1">
        <v>3.961433338468457E-2</v>
      </c>
      <c r="DW21" s="1">
        <v>-3.402816941431068E-2</v>
      </c>
      <c r="DX21" s="1">
        <v>-0.1259336459148058</v>
      </c>
      <c r="DY21" s="1">
        <v>0.1692584931831114</v>
      </c>
      <c r="DZ21" s="1">
        <v>7.4256150012998332E-2</v>
      </c>
      <c r="EA21" s="1">
        <v>2.5503690737221089E-2</v>
      </c>
      <c r="EB21" s="1">
        <v>3.8239871299825097E-2</v>
      </c>
      <c r="EC21" s="1">
        <v>8.0672039602072976E-2</v>
      </c>
      <c r="ED21" s="1">
        <v>0.1181725124509676</v>
      </c>
      <c r="EE21" s="1">
        <v>4.5303163392129413E-2</v>
      </c>
      <c r="EF21" s="1">
        <v>-3.9264104122564078E-2</v>
      </c>
      <c r="EG21" s="47">
        <f t="shared" si="0"/>
        <v>1.3131439002487047E-3</v>
      </c>
      <c r="EH21" s="25">
        <f t="shared" si="1"/>
        <v>8.9652594095728372E-2</v>
      </c>
      <c r="EI21" s="47">
        <f t="shared" si="2"/>
        <v>1.4647026262804718E-2</v>
      </c>
    </row>
    <row r="22" spans="1:139" ht="16" customHeight="1">
      <c r="A22" s="6">
        <v>192</v>
      </c>
      <c r="B22" s="6">
        <v>5</v>
      </c>
      <c r="C22" s="2">
        <v>3.6241182215047199E-2</v>
      </c>
      <c r="D22" s="9">
        <v>6.5137114394218334E-2</v>
      </c>
      <c r="E22" s="9">
        <v>-9.6236882919538431E-3</v>
      </c>
      <c r="F22" s="9">
        <v>4.9351449900307168E-2</v>
      </c>
      <c r="G22" s="9">
        <v>6.1676796815543271E-2</v>
      </c>
      <c r="H22" s="9">
        <v>8.6017332945696919E-3</v>
      </c>
      <c r="I22" s="9">
        <v>-1.3358198168729189E-3</v>
      </c>
      <c r="J22" s="9">
        <v>1.698454435210171E-2</v>
      </c>
      <c r="K22" s="9">
        <v>-5.0564506958074677E-2</v>
      </c>
      <c r="L22" s="2">
        <v>6.3429920147260677E-2</v>
      </c>
      <c r="M22" s="2">
        <v>0.12733010103007031</v>
      </c>
      <c r="N22" s="2">
        <v>3.6241182215047199E-2</v>
      </c>
      <c r="O22" s="1">
        <v>-3.264066058364757E-3</v>
      </c>
      <c r="P22" s="1">
        <v>4.0080666188708203E-2</v>
      </c>
      <c r="Q22" s="1">
        <v>-4.9896762079015791E-2</v>
      </c>
      <c r="R22" s="1">
        <v>0.13098711660440451</v>
      </c>
      <c r="S22" s="1">
        <v>-0.16704018328503081</v>
      </c>
      <c r="T22" s="1">
        <v>0.1028302260113837</v>
      </c>
      <c r="U22" s="1">
        <v>-6.2373706809566859E-2</v>
      </c>
      <c r="V22" s="1">
        <v>4.7704615245402072E-2</v>
      </c>
      <c r="W22" s="1">
        <v>-1.8644473713697051E-2</v>
      </c>
      <c r="X22" s="1">
        <v>0.1855178152277541</v>
      </c>
      <c r="Y22" s="1">
        <v>-8.4834679478348315E-2</v>
      </c>
      <c r="Z22" s="1">
        <v>5.244657367838057E-2</v>
      </c>
      <c r="AA22" s="1">
        <v>9.0367058317683532E-2</v>
      </c>
      <c r="AB22" s="1">
        <v>-1.9403380252949489E-2</v>
      </c>
      <c r="AC22" s="1">
        <v>1.9486928335608049E-2</v>
      </c>
      <c r="AD22" s="1">
        <v>3.537359085634482E-3</v>
      </c>
      <c r="AE22" s="1">
        <v>0.22955767568198121</v>
      </c>
      <c r="AF22" s="1">
        <v>6.4059670360905901E-2</v>
      </c>
      <c r="AG22" s="1">
        <v>-1.3293524302927771E-2</v>
      </c>
      <c r="AH22" s="1">
        <v>5.8348439475485937E-2</v>
      </c>
      <c r="AI22" s="1">
        <v>-0.14862549379730131</v>
      </c>
      <c r="AJ22" s="1">
        <v>4.2812542959062762E-2</v>
      </c>
      <c r="AK22" s="1">
        <v>3.457196555208365E-3</v>
      </c>
      <c r="AL22" s="1">
        <v>-0.1112514103140181</v>
      </c>
      <c r="AM22" s="1">
        <v>4.6411545765701882E-2</v>
      </c>
      <c r="AN22" s="1">
        <v>7.4185726877475211E-2</v>
      </c>
      <c r="AO22" s="1">
        <v>-5.1335512699278732E-2</v>
      </c>
      <c r="AP22" s="1">
        <v>-0.23349639176909651</v>
      </c>
      <c r="AQ22" s="1">
        <v>0.1132235048561195</v>
      </c>
      <c r="AR22" s="1">
        <v>-0.1297109116983968</v>
      </c>
      <c r="AS22" s="1">
        <v>3.3458167538896341E-2</v>
      </c>
      <c r="AT22" s="1">
        <v>-0.12657409150635279</v>
      </c>
      <c r="AU22" s="1">
        <v>-0.12534744941911721</v>
      </c>
      <c r="AV22" s="1">
        <v>-7.0287215089624905E-2</v>
      </c>
      <c r="AW22" s="1">
        <v>4.1239122507369047E-3</v>
      </c>
      <c r="AX22" s="1">
        <v>0.31378779343645358</v>
      </c>
      <c r="AY22" s="1">
        <v>0.25521646485694882</v>
      </c>
      <c r="AZ22" s="1">
        <v>-4.9113580639886217E-2</v>
      </c>
      <c r="BA22" s="1">
        <v>3.4048123627964458E-2</v>
      </c>
      <c r="BB22" s="1">
        <v>-0.1451795750212963</v>
      </c>
      <c r="BC22" s="1">
        <v>-5.1379037839306523E-2</v>
      </c>
      <c r="BD22" s="1">
        <v>5.1391964091958328E-2</v>
      </c>
      <c r="BE22" s="1">
        <v>2.0936559004197681E-2</v>
      </c>
      <c r="BF22" s="1">
        <v>9.5210283826231479E-2</v>
      </c>
      <c r="BG22" s="1">
        <v>0.19641385262716551</v>
      </c>
      <c r="BH22" s="1">
        <v>8.1165953673165814E-2</v>
      </c>
      <c r="BI22" s="1">
        <v>3.4671725760279853E-2</v>
      </c>
      <c r="BJ22" s="1">
        <v>5.6350307831599611E-2</v>
      </c>
      <c r="BK22" s="1">
        <v>3.702982973057567E-2</v>
      </c>
      <c r="BL22" s="1">
        <v>5.3311723760195537E-2</v>
      </c>
      <c r="BM22" s="1">
        <v>2.9663609772978109E-2</v>
      </c>
      <c r="BN22" s="1">
        <v>-5.8429121729908504E-3</v>
      </c>
      <c r="BO22" s="1">
        <v>-7.0809858919396257E-2</v>
      </c>
      <c r="BP22" s="1">
        <v>7.7342999173091037E-2</v>
      </c>
      <c r="BQ22" s="1">
        <v>-3.0347224020341412E-2</v>
      </c>
      <c r="BR22" s="1">
        <v>-0.18751365401659159</v>
      </c>
      <c r="BS22" s="1">
        <v>-0.176443643369779</v>
      </c>
      <c r="BT22" s="1">
        <v>-8.0753231729098957E-2</v>
      </c>
      <c r="BU22" s="1">
        <v>4.3870490408661193E-2</v>
      </c>
      <c r="BV22" s="1">
        <v>-5.671653173541235E-2</v>
      </c>
      <c r="BW22" s="1">
        <v>0.14044013745207459</v>
      </c>
      <c r="BX22" s="1">
        <v>5.014425835436509E-2</v>
      </c>
      <c r="BY22" s="1">
        <v>-4.8233631860601638E-2</v>
      </c>
      <c r="BZ22" s="1">
        <v>-8.295841783011379E-2</v>
      </c>
      <c r="CA22" s="1">
        <v>-0.20801352911213511</v>
      </c>
      <c r="CB22" s="1">
        <v>-1.702938654237025E-2</v>
      </c>
      <c r="CC22" s="1">
        <v>-1.3586599838654061E-2</v>
      </c>
      <c r="CD22" s="1">
        <v>-1.2462691447525549E-2</v>
      </c>
      <c r="CE22" s="1">
        <v>6.1969321679984949E-3</v>
      </c>
      <c r="CF22" s="1">
        <v>-4.4521161248054303E-2</v>
      </c>
      <c r="CG22" s="1">
        <v>0.19943976315294451</v>
      </c>
      <c r="CH22" s="1">
        <v>-0.1360046208829058</v>
      </c>
      <c r="CI22" s="1">
        <v>7.6056910199763933E-2</v>
      </c>
      <c r="CJ22" s="1">
        <v>0.1200344120842784</v>
      </c>
      <c r="CK22" s="1">
        <v>-0.11763279222888109</v>
      </c>
      <c r="CL22" s="1">
        <v>1.4262655783137229E-2</v>
      </c>
      <c r="CM22" s="1">
        <v>-0.1640432820356871</v>
      </c>
      <c r="CN22" s="1">
        <v>-0.19383768638416221</v>
      </c>
      <c r="CO22" s="1">
        <v>0.1914429221207313</v>
      </c>
      <c r="CP22" s="1">
        <v>-2.7897443327013619E-2</v>
      </c>
      <c r="CQ22" s="1">
        <v>-4.4846318152669457E-2</v>
      </c>
      <c r="CR22" s="1">
        <v>-0.1652079419758935</v>
      </c>
      <c r="CS22" s="1">
        <v>-0.1163034205689657</v>
      </c>
      <c r="CT22" s="1">
        <v>-8.188983389075169E-2</v>
      </c>
      <c r="CU22" s="1">
        <v>0.11557094979404881</v>
      </c>
      <c r="CV22" s="1">
        <v>-4.0683020373885548E-2</v>
      </c>
      <c r="CW22" s="1">
        <v>-7.7342106045772104E-3</v>
      </c>
      <c r="CX22" s="1">
        <v>-7.9560804135528351E-3</v>
      </c>
      <c r="CY22" s="1">
        <v>-5.7744301896615613E-3</v>
      </c>
      <c r="CZ22" s="1">
        <v>-2.6066994082528938E-3</v>
      </c>
      <c r="DA22" s="1">
        <v>0.19353366222469989</v>
      </c>
      <c r="DB22" s="1">
        <v>1.499481742138044E-2</v>
      </c>
      <c r="DC22" s="1">
        <v>3.6887935121197979E-2</v>
      </c>
      <c r="DD22" s="1">
        <v>-9.192758268676765E-2</v>
      </c>
      <c r="DE22" s="1">
        <v>-2.690872494609994E-2</v>
      </c>
      <c r="DF22" s="1">
        <v>-8.1986158435035719E-2</v>
      </c>
      <c r="DG22" s="1">
        <v>-2.502283123351148E-2</v>
      </c>
      <c r="DH22" s="1">
        <v>3.5297442940697497E-2</v>
      </c>
      <c r="DI22" s="1">
        <v>4.5775557881029452E-2</v>
      </c>
      <c r="DJ22" s="1">
        <v>5.5145703950935779E-2</v>
      </c>
      <c r="DK22" s="1">
        <v>-0.13663614917502309</v>
      </c>
      <c r="DL22" s="1">
        <v>7.996237132724987E-3</v>
      </c>
      <c r="DM22" s="1">
        <v>-7.2889845275992363E-2</v>
      </c>
      <c r="DN22" s="1">
        <v>0.17299794037652669</v>
      </c>
      <c r="DO22" s="1">
        <v>-0.12021416467324909</v>
      </c>
      <c r="DP22" s="1">
        <v>4.8626826714102678E-2</v>
      </c>
      <c r="DQ22" s="1">
        <v>2.002375015152515E-2</v>
      </c>
      <c r="DR22" s="1">
        <v>5.189724866762619E-2</v>
      </c>
      <c r="DS22" s="1">
        <v>7.8745216185630948E-2</v>
      </c>
      <c r="DT22" s="1">
        <v>5.5294279843725307E-2</v>
      </c>
      <c r="DU22" s="1">
        <v>0.1632259225338028</v>
      </c>
      <c r="DV22" s="1">
        <v>5.6491246843842532E-2</v>
      </c>
      <c r="DW22" s="1">
        <v>4.5635084794271343E-2</v>
      </c>
      <c r="DX22" s="1">
        <v>-0.20979311992337429</v>
      </c>
      <c r="DY22" s="1">
        <v>0.14225805434618721</v>
      </c>
      <c r="DZ22" s="1">
        <v>7.0757415729596373E-2</v>
      </c>
      <c r="EA22" s="1">
        <v>3.8940807171396613E-2</v>
      </c>
      <c r="EB22" s="1">
        <v>3.7958519914219002E-2</v>
      </c>
      <c r="EC22" s="1">
        <v>0.1113004516767927</v>
      </c>
      <c r="ED22" s="1">
        <v>0.20918918363990061</v>
      </c>
      <c r="EE22" s="1">
        <v>6.3649083120409955E-2</v>
      </c>
      <c r="EF22" s="1">
        <v>-5.6302641001281177E-2</v>
      </c>
      <c r="EG22" s="49">
        <f t="shared" ref="EG22:EG27" si="3">AVERAGE(C22:EF22)</f>
        <v>8.703782417783518E-3</v>
      </c>
      <c r="EH22" s="25">
        <f t="shared" si="1"/>
        <v>0.10154390832257011</v>
      </c>
      <c r="EI22" s="47">
        <f t="shared" ref="EI22:EI27" si="4">EG22/EH22</f>
        <v>8.5714471321456251E-2</v>
      </c>
    </row>
    <row r="23" spans="1:139" ht="16" customHeight="1">
      <c r="A23" s="6">
        <v>241</v>
      </c>
      <c r="B23" s="6">
        <v>4</v>
      </c>
      <c r="C23" s="2">
        <v>-8.8942128545151655E-3</v>
      </c>
      <c r="D23" s="9">
        <v>6.3789445191514166E-2</v>
      </c>
      <c r="E23" s="9">
        <v>-8.1404331340310318E-3</v>
      </c>
      <c r="F23" s="9">
        <v>-4.208017532224563E-2</v>
      </c>
      <c r="G23" s="9">
        <v>-8.0289697334504986E-3</v>
      </c>
      <c r="H23" s="9">
        <v>-5.3597608786755593E-3</v>
      </c>
      <c r="I23" s="9">
        <v>4.7386625301213819E-3</v>
      </c>
      <c r="J23" s="9">
        <v>3.2827197940010697E-2</v>
      </c>
      <c r="K23" s="9">
        <v>-9.7382714686606517E-2</v>
      </c>
      <c r="L23" s="2">
        <v>2.8435826506391499E-2</v>
      </c>
      <c r="M23" s="2">
        <v>0.1028248497207863</v>
      </c>
      <c r="N23" s="2">
        <v>-8.8942128545151655E-3</v>
      </c>
      <c r="O23" s="1">
        <v>-2.8039666932561991E-2</v>
      </c>
      <c r="P23" s="1">
        <v>6.7793937542805785E-2</v>
      </c>
      <c r="Q23" s="1">
        <v>-8.6397780143105521E-2</v>
      </c>
      <c r="R23" s="1">
        <v>0.16719545353724111</v>
      </c>
      <c r="S23" s="1">
        <v>-0.14098783672312451</v>
      </c>
      <c r="T23" s="1">
        <v>7.2281527660750744E-2</v>
      </c>
      <c r="U23" s="1">
        <v>-0.13636927544544061</v>
      </c>
      <c r="V23" s="1">
        <v>7.4071928035404022E-2</v>
      </c>
      <c r="W23" s="1">
        <v>-9.2551402894924806E-3</v>
      </c>
      <c r="X23" s="1">
        <v>0.28865686792863032</v>
      </c>
      <c r="Y23" s="1">
        <v>-7.1816243271271979E-2</v>
      </c>
      <c r="Z23" s="1">
        <v>2.9881732618155469E-2</v>
      </c>
      <c r="AA23" s="1">
        <v>0.1223978537472535</v>
      </c>
      <c r="AB23" s="1">
        <v>-6.3743631480498164E-2</v>
      </c>
      <c r="AC23" s="1">
        <v>3.5232884762289268E-3</v>
      </c>
      <c r="AD23" s="1">
        <v>-3.6530576682455101E-2</v>
      </c>
      <c r="AE23" s="1">
        <v>0.2331797994583471</v>
      </c>
      <c r="AF23" s="1">
        <v>4.3819395164948163E-2</v>
      </c>
      <c r="AG23" s="1">
        <v>-9.4013740223424132E-3</v>
      </c>
      <c r="AH23" s="1">
        <v>0.20229573047898439</v>
      </c>
      <c r="AI23" s="1">
        <v>-0.1152108234895588</v>
      </c>
      <c r="AJ23" s="1">
        <v>3.770089316481702E-2</v>
      </c>
      <c r="AK23" s="1">
        <v>4.5148669603883647E-2</v>
      </c>
      <c r="AL23" s="1">
        <v>-0.13228591731827691</v>
      </c>
      <c r="AM23" s="1">
        <v>6.2181981851172602E-2</v>
      </c>
      <c r="AN23" s="1">
        <v>0.1143061471259729</v>
      </c>
      <c r="AO23" s="1">
        <v>-6.5147865704382552E-2</v>
      </c>
      <c r="AP23" s="1">
        <v>-5.4732591188276482E-2</v>
      </c>
      <c r="AQ23" s="1">
        <v>5.7926085782358923E-2</v>
      </c>
      <c r="AR23" s="1">
        <v>-0.1236571010887875</v>
      </c>
      <c r="AS23" s="1">
        <v>7.5385781064667673E-2</v>
      </c>
      <c r="AT23" s="1">
        <v>-0.16741242725876521</v>
      </c>
      <c r="AU23" s="1">
        <v>-0.1161513099094621</v>
      </c>
      <c r="AV23" s="1">
        <v>-3.639484442684604E-2</v>
      </c>
      <c r="AW23" s="1">
        <v>-2.4105832564624629E-2</v>
      </c>
      <c r="AX23" s="1">
        <v>0.39952935500749248</v>
      </c>
      <c r="AY23" s="1">
        <v>0.27935826362030369</v>
      </c>
      <c r="AZ23" s="1">
        <v>-5.7207148657743782E-2</v>
      </c>
      <c r="BA23" s="1">
        <v>-0.1077541465872137</v>
      </c>
      <c r="BB23" s="1">
        <v>-0.19190753675560721</v>
      </c>
      <c r="BC23" s="1">
        <v>-2.482323652577827E-2</v>
      </c>
      <c r="BD23" s="1">
        <v>9.0580084029404498E-2</v>
      </c>
      <c r="BE23" s="1">
        <v>1.9858018191394142E-2</v>
      </c>
      <c r="BF23" s="1">
        <v>0.11285352868644311</v>
      </c>
      <c r="BG23" s="1">
        <v>0.23814807021626749</v>
      </c>
      <c r="BH23" s="1">
        <v>8.1030378614429355E-2</v>
      </c>
      <c r="BI23" s="1">
        <v>3.6270501116267492E-2</v>
      </c>
      <c r="BJ23" s="1">
        <v>9.587665372015737E-2</v>
      </c>
      <c r="BK23" s="1">
        <v>2.348038372310023E-2</v>
      </c>
      <c r="BL23" s="1">
        <v>7.2002189085830032E-2</v>
      </c>
      <c r="BM23" s="1">
        <v>4.0791234094216963E-2</v>
      </c>
      <c r="BN23" s="1">
        <v>-3.6308092749192188E-2</v>
      </c>
      <c r="BO23" s="1">
        <v>-5.133101907992995E-2</v>
      </c>
      <c r="BP23" s="1">
        <v>9.2476969387268446E-2</v>
      </c>
      <c r="BQ23" s="1">
        <v>-6.2296810504077267E-2</v>
      </c>
      <c r="BR23" s="1">
        <v>-0.1936907634309486</v>
      </c>
      <c r="BS23" s="1">
        <v>-0.20003186451148219</v>
      </c>
      <c r="BT23" s="1">
        <v>-0.1182955416695483</v>
      </c>
      <c r="BU23" s="1">
        <v>3.4033261192978073E-2</v>
      </c>
      <c r="BV23" s="1">
        <v>-7.2876563674849987E-2</v>
      </c>
      <c r="BW23" s="1">
        <v>0.1196146257949684</v>
      </c>
      <c r="BX23" s="1">
        <v>3.086854958392524E-2</v>
      </c>
      <c r="BY23" s="1">
        <v>-2.4509003309916792E-2</v>
      </c>
      <c r="BZ23" s="1">
        <v>-0.21324471006087151</v>
      </c>
      <c r="CA23" s="1">
        <v>-7.9033801864990899E-2</v>
      </c>
      <c r="CB23" s="1">
        <v>-2.539873086361941E-2</v>
      </c>
      <c r="CC23" s="1">
        <v>-4.9554049403471252E-2</v>
      </c>
      <c r="CD23" s="1">
        <v>4.8551875375338047E-2</v>
      </c>
      <c r="CE23" s="1">
        <v>7.1478401328281177E-2</v>
      </c>
      <c r="CF23" s="1">
        <v>-6.1736911982068918E-2</v>
      </c>
      <c r="CG23" s="1">
        <v>0.26065350472940713</v>
      </c>
      <c r="CH23" s="1">
        <v>-0.2082658903783495</v>
      </c>
      <c r="CI23" s="1">
        <v>5.6834965621983598E-2</v>
      </c>
      <c r="CJ23" s="1">
        <v>0.18337824874843131</v>
      </c>
      <c r="CK23" s="1">
        <v>-9.4028156401444934E-2</v>
      </c>
      <c r="CL23" s="1">
        <v>-0.1181612536223953</v>
      </c>
      <c r="CM23" s="1">
        <v>-0.25732808353197661</v>
      </c>
      <c r="CN23" s="1">
        <v>-0.32000939091353159</v>
      </c>
      <c r="CO23" s="1">
        <v>0.2457887290222609</v>
      </c>
      <c r="CP23" s="1">
        <v>-2.8760600776323388E-2</v>
      </c>
      <c r="CQ23" s="1">
        <v>-4.695085522727311E-2</v>
      </c>
      <c r="CR23" s="1">
        <v>-0.2160758025906859</v>
      </c>
      <c r="CS23" s="1">
        <v>-0.17429407039338779</v>
      </c>
      <c r="CT23" s="1">
        <v>-4.1679160807936773E-2</v>
      </c>
      <c r="CU23" s="1">
        <v>6.912522989624148E-2</v>
      </c>
      <c r="CV23" s="1">
        <v>-4.963979739468069E-2</v>
      </c>
      <c r="CW23" s="1">
        <v>-6.9898493569896039E-3</v>
      </c>
      <c r="CX23" s="1">
        <v>-3.7170258964758868E-2</v>
      </c>
      <c r="CY23" s="1">
        <v>0.1025792344058063</v>
      </c>
      <c r="CZ23" s="1">
        <v>3.7913620135345161E-2</v>
      </c>
      <c r="DA23" s="1">
        <v>0.2004958002896978</v>
      </c>
      <c r="DB23" s="1">
        <v>4.2840667705693197E-3</v>
      </c>
      <c r="DC23" s="1">
        <v>3.2285947636814367E-2</v>
      </c>
      <c r="DD23" s="1">
        <v>-7.2893035825343372E-2</v>
      </c>
      <c r="DE23" s="1">
        <v>-2.8388241943244779E-2</v>
      </c>
      <c r="DF23" s="1">
        <v>-6.9327673772644316E-2</v>
      </c>
      <c r="DG23" s="1">
        <v>-3.690729463379798E-2</v>
      </c>
      <c r="DH23" s="1">
        <v>6.0875549432095992E-2</v>
      </c>
      <c r="DI23" s="1">
        <v>3.5502557016556767E-2</v>
      </c>
      <c r="DJ23" s="1">
        <v>8.082335148228123E-2</v>
      </c>
      <c r="DK23" s="1">
        <v>-0.14846548284456301</v>
      </c>
      <c r="DL23" s="1">
        <v>-3.9540160125796808E-2</v>
      </c>
      <c r="DM23" s="1">
        <v>-4.4283898176852077E-2</v>
      </c>
      <c r="DN23" s="1">
        <v>0.20325249428656819</v>
      </c>
      <c r="DO23" s="1">
        <v>-0.15041780470428379</v>
      </c>
      <c r="DP23" s="1">
        <v>8.8246528719099895E-2</v>
      </c>
      <c r="DQ23" s="1">
        <v>7.4556555977627684E-2</v>
      </c>
      <c r="DR23" s="1">
        <v>7.9645162438274408E-2</v>
      </c>
      <c r="DS23" s="1">
        <v>0.1176620898423739</v>
      </c>
      <c r="DT23" s="1">
        <v>7.5092148277318971E-2</v>
      </c>
      <c r="DU23" s="1">
        <v>0.1471976675311753</v>
      </c>
      <c r="DV23" s="1">
        <v>9.3309325028470474E-2</v>
      </c>
      <c r="DW23" s="1">
        <v>2.769886539781205E-2</v>
      </c>
      <c r="DX23" s="1">
        <v>-0.21589913173957009</v>
      </c>
      <c r="DY23" s="1">
        <v>2.2285375672382951E-2</v>
      </c>
      <c r="DZ23" s="1">
        <v>0.1088683178275494</v>
      </c>
      <c r="EA23" s="1">
        <v>0.10719545443942841</v>
      </c>
      <c r="EB23" s="1">
        <v>7.1553736878541885E-2</v>
      </c>
      <c r="EC23" s="1">
        <v>0.15422658957004659</v>
      </c>
      <c r="ED23" s="1">
        <v>0.2289419890203919</v>
      </c>
      <c r="EE23" s="1">
        <v>5.8960111396198583E-2</v>
      </c>
      <c r="EF23" s="1">
        <v>7.0681188589302169E-3</v>
      </c>
      <c r="EG23" s="49">
        <f t="shared" si="3"/>
        <v>9.5639566499085196E-3</v>
      </c>
      <c r="EH23" s="25">
        <f t="shared" si="1"/>
        <v>0.11985773861751446</v>
      </c>
      <c r="EI23" s="47">
        <f t="shared" si="4"/>
        <v>7.9794235734987964E-2</v>
      </c>
    </row>
    <row r="24" spans="1:139" ht="16" customHeight="1">
      <c r="A24" s="6">
        <v>321</v>
      </c>
      <c r="B24" s="6">
        <v>3</v>
      </c>
      <c r="C24" s="2">
        <v>-0.13322237415329011</v>
      </c>
      <c r="D24" s="9">
        <v>5.6652027646489807E-2</v>
      </c>
      <c r="E24" s="9">
        <v>1.21072734612669E-2</v>
      </c>
      <c r="F24" s="9">
        <v>-3.8256845567066128E-2</v>
      </c>
      <c r="G24" s="9">
        <v>-7.5045984791187709E-2</v>
      </c>
      <c r="H24" s="9">
        <v>-5.5389194555666996E-3</v>
      </c>
      <c r="I24" s="9">
        <v>1.28462759206515E-2</v>
      </c>
      <c r="J24" s="9">
        <v>2.5325564399920241E-2</v>
      </c>
      <c r="K24" s="9">
        <v>-1.43180640088901E-3</v>
      </c>
      <c r="L24" s="2">
        <v>-3.3346279863019128E-2</v>
      </c>
      <c r="M24" s="2">
        <v>0.16647797821953561</v>
      </c>
      <c r="N24" s="2">
        <v>-0.13322237415329011</v>
      </c>
      <c r="O24" s="1">
        <v>6.2332183711424367E-3</v>
      </c>
      <c r="P24" s="1">
        <v>6.7580016092408809E-2</v>
      </c>
      <c r="Q24" s="1">
        <v>-0.21540460696813621</v>
      </c>
      <c r="R24" s="1">
        <v>0.19088396499194701</v>
      </c>
      <c r="S24" s="1">
        <v>-0.14284789420523589</v>
      </c>
      <c r="T24" s="1">
        <v>6.4720967533494711E-2</v>
      </c>
      <c r="U24" s="1">
        <v>-0.23511948543933531</v>
      </c>
      <c r="V24" s="1">
        <v>6.1879452887822782E-2</v>
      </c>
      <c r="W24" s="1">
        <v>-4.1973952873635131E-2</v>
      </c>
      <c r="X24" s="1">
        <v>0.36147440434709088</v>
      </c>
      <c r="Y24" s="1">
        <v>-4.2848301607637529E-3</v>
      </c>
      <c r="Z24" s="1">
        <v>6.9335336913129736E-2</v>
      </c>
      <c r="AA24" s="1">
        <v>1.8334690577177251E-2</v>
      </c>
      <c r="AB24" s="1">
        <v>-0.13264174141438809</v>
      </c>
      <c r="AC24" s="1">
        <v>-3.5834724211347757E-2</v>
      </c>
      <c r="AD24" s="1">
        <v>-0.1027822932021258</v>
      </c>
      <c r="AE24" s="1">
        <v>0.25421917226003582</v>
      </c>
      <c r="AF24" s="1">
        <v>6.5189269041108222E-3</v>
      </c>
      <c r="AG24" s="1">
        <v>6.2154517581927693E-2</v>
      </c>
      <c r="AH24" s="1">
        <v>0.2855611112526697</v>
      </c>
      <c r="AI24" s="1">
        <v>-7.7449278056246837E-2</v>
      </c>
      <c r="AJ24" s="1">
        <v>0.11800118247255641</v>
      </c>
      <c r="AK24" s="1">
        <v>7.3616658161499621E-2</v>
      </c>
      <c r="AL24" s="1">
        <v>-2.7358794420676201E-2</v>
      </c>
      <c r="AM24" s="1">
        <v>9.1785107140904765E-2</v>
      </c>
      <c r="AN24" s="1">
        <v>0.12795363542848179</v>
      </c>
      <c r="AO24" s="1">
        <v>-0.13810082852340641</v>
      </c>
      <c r="AP24" s="1">
        <v>-4.0829858081642439E-2</v>
      </c>
      <c r="AQ24" s="1">
        <v>2.1066606756176848E-2</v>
      </c>
      <c r="AR24" s="1">
        <v>-0.18824704615527479</v>
      </c>
      <c r="AS24" s="1">
        <v>4.3633745979059207E-3</v>
      </c>
      <c r="AT24" s="1">
        <v>-0.28619575826983151</v>
      </c>
      <c r="AU24" s="1">
        <v>-7.8077497441585722E-2</v>
      </c>
      <c r="AV24" s="1">
        <v>-4.6922579093745573E-2</v>
      </c>
      <c r="AW24" s="1">
        <v>-3.8953145335307353E-2</v>
      </c>
      <c r="AX24" s="1">
        <v>0.22980767834924989</v>
      </c>
      <c r="AY24" s="1">
        <v>0.19742299568137159</v>
      </c>
      <c r="AZ24" s="1">
        <v>-2.3947139021743748E-2</v>
      </c>
      <c r="BA24" s="1">
        <v>-0.21722336516054161</v>
      </c>
      <c r="BB24" s="1">
        <v>-0.30376601376337642</v>
      </c>
      <c r="BC24" s="1">
        <v>-8.7022191818197842E-2</v>
      </c>
      <c r="BD24" s="1">
        <v>6.5077707770726329E-2</v>
      </c>
      <c r="BE24" s="1">
        <v>7.3684391704853025E-2</v>
      </c>
      <c r="BF24" s="1">
        <v>-5.8962980809811993E-2</v>
      </c>
      <c r="BG24" s="1">
        <v>0.24089469313775899</v>
      </c>
      <c r="BH24" s="1">
        <v>4.5648386094487868E-2</v>
      </c>
      <c r="BI24" s="1">
        <v>6.4452680397801623E-2</v>
      </c>
      <c r="BJ24" s="1">
        <v>2.2808920004799119E-2</v>
      </c>
      <c r="BK24" s="1">
        <v>3.2605737274214598E-2</v>
      </c>
      <c r="BL24" s="1">
        <v>8.8438775177784756E-2</v>
      </c>
      <c r="BM24" s="1">
        <v>-3.2985662210107097E-2</v>
      </c>
      <c r="BN24" s="1">
        <v>-8.2604700907317058E-2</v>
      </c>
      <c r="BO24" s="1">
        <v>-1.48590668545529E-2</v>
      </c>
      <c r="BP24" s="1">
        <v>0.1013800923889836</v>
      </c>
      <c r="BQ24" s="1">
        <v>-6.8370007765955865E-2</v>
      </c>
      <c r="BR24" s="1">
        <v>-0.17933019448405199</v>
      </c>
      <c r="BS24" s="1">
        <v>-0.28649213419973918</v>
      </c>
      <c r="BT24" s="1">
        <v>-7.6951237678552456E-2</v>
      </c>
      <c r="BU24" s="1">
        <v>-1.1051810904071001E-2</v>
      </c>
      <c r="BV24" s="1">
        <v>-9.1923595319856388E-2</v>
      </c>
      <c r="BW24" s="1">
        <v>0.14943426648951219</v>
      </c>
      <c r="BX24" s="1">
        <v>-1.010745322712618E-2</v>
      </c>
      <c r="BY24" s="1">
        <v>0.1061427128980808</v>
      </c>
      <c r="BZ24" s="1">
        <v>-0.27161884679002801</v>
      </c>
      <c r="CA24" s="1">
        <v>1.777465366567333E-2</v>
      </c>
      <c r="CB24" s="1">
        <v>-1.255392639416068E-2</v>
      </c>
      <c r="CC24" s="1">
        <v>-9.5797727716001202E-2</v>
      </c>
      <c r="CD24" s="1">
        <v>-1.7768764578223899E-2</v>
      </c>
      <c r="CE24" s="1">
        <v>7.9741020636068839E-3</v>
      </c>
      <c r="CF24" s="1">
        <v>-5.4920514840064452E-2</v>
      </c>
      <c r="CG24" s="1">
        <v>0.17740357405993509</v>
      </c>
      <c r="CH24" s="1">
        <v>-0.22748447038974651</v>
      </c>
      <c r="CI24" s="1">
        <v>6.8703076127890603E-2</v>
      </c>
      <c r="CJ24" s="1">
        <v>0.18685584023974461</v>
      </c>
      <c r="CK24" s="1">
        <v>-0.1369682740634689</v>
      </c>
      <c r="CL24" s="1">
        <v>-0.15004016813696799</v>
      </c>
      <c r="CM24" s="1">
        <v>-0.1642898332821584</v>
      </c>
      <c r="CN24" s="1">
        <v>-0.30356659774446609</v>
      </c>
      <c r="CO24" s="1">
        <v>0.30692225721514899</v>
      </c>
      <c r="CP24" s="1">
        <v>-7.8437851044161733E-2</v>
      </c>
      <c r="CQ24" s="1">
        <v>-2.6581763615726301E-2</v>
      </c>
      <c r="CR24" s="1">
        <v>-0.23561263428350601</v>
      </c>
      <c r="CS24" s="1">
        <v>-0.23069020681160149</v>
      </c>
      <c r="CT24" s="1">
        <v>-3.6907530874136529E-3</v>
      </c>
      <c r="CU24" s="1">
        <v>3.3551080827803378E-2</v>
      </c>
      <c r="CV24" s="1">
        <v>-6.4262342202421871E-2</v>
      </c>
      <c r="CW24" s="1">
        <v>-1.0340374284403309E-2</v>
      </c>
      <c r="CX24" s="1">
        <v>3.5829163561467273E-2</v>
      </c>
      <c r="CY24" s="1">
        <v>0.16549851389076289</v>
      </c>
      <c r="CZ24" s="1">
        <v>-0.10257846732055211</v>
      </c>
      <c r="DA24" s="1">
        <v>0.1708343360251374</v>
      </c>
      <c r="DB24" s="1">
        <v>9.7339679472457918E-4</v>
      </c>
      <c r="DC24" s="1">
        <v>4.1760139024320353E-2</v>
      </c>
      <c r="DD24" s="1">
        <v>-0.14961234019091391</v>
      </c>
      <c r="DE24" s="1">
        <v>-1.4323032763943699E-2</v>
      </c>
      <c r="DF24" s="1">
        <v>-9.5756240660351932E-2</v>
      </c>
      <c r="DG24" s="1">
        <v>-4.2089975573861488E-2</v>
      </c>
      <c r="DH24" s="1">
        <v>2.2899041377225739E-2</v>
      </c>
      <c r="DI24" s="1">
        <v>1.869623341522238E-2</v>
      </c>
      <c r="DJ24" s="1">
        <v>6.6775954734636489E-2</v>
      </c>
      <c r="DK24" s="1">
        <v>-0.1308316190192918</v>
      </c>
      <c r="DL24" s="1">
        <v>-7.8112008184638704E-2</v>
      </c>
      <c r="DM24" s="1">
        <v>1.4735178976103439E-2</v>
      </c>
      <c r="DN24" s="1">
        <v>0.2403082924577998</v>
      </c>
      <c r="DO24" s="1">
        <v>-0.18362622721767291</v>
      </c>
      <c r="DP24" s="1">
        <v>5.1818121010569429E-2</v>
      </c>
      <c r="DQ24" s="1">
        <v>8.7665872700955466E-2</v>
      </c>
      <c r="DR24" s="1">
        <v>0.14590430327008211</v>
      </c>
      <c r="DS24" s="1">
        <v>0.1230467605715428</v>
      </c>
      <c r="DT24" s="1">
        <v>9.3810850375833477E-2</v>
      </c>
      <c r="DU24" s="1">
        <v>0.18549347773467401</v>
      </c>
      <c r="DV24" s="1">
        <v>0.12932483976599249</v>
      </c>
      <c r="DW24" s="1">
        <v>0.36633494063353228</v>
      </c>
      <c r="DX24" s="1">
        <v>-0.2271064010909383</v>
      </c>
      <c r="DY24" s="1">
        <v>-6.507191955831973E-2</v>
      </c>
      <c r="DZ24" s="1">
        <v>0.2208771642668744</v>
      </c>
      <c r="EA24" s="1">
        <v>0.1663139641732107</v>
      </c>
      <c r="EB24" s="1">
        <v>7.3233155840504327E-2</v>
      </c>
      <c r="EC24" s="1">
        <v>0.1855569780243124</v>
      </c>
      <c r="ED24" s="1">
        <v>0.35323643289785822</v>
      </c>
      <c r="EE24" s="1">
        <v>3.0642909157400779E-2</v>
      </c>
      <c r="EF24" s="1">
        <v>5.196358101067191E-3</v>
      </c>
      <c r="EG24" s="47">
        <f t="shared" si="3"/>
        <v>2.9882218736013758E-3</v>
      </c>
      <c r="EH24" s="25">
        <f t="shared" si="1"/>
        <v>0.14039484316568954</v>
      </c>
      <c r="EI24" s="47">
        <f t="shared" si="4"/>
        <v>2.1284413346113938E-2</v>
      </c>
    </row>
    <row r="25" spans="1:139" ht="16" customHeight="1">
      <c r="A25" s="6">
        <v>482</v>
      </c>
      <c r="B25" s="6">
        <v>2</v>
      </c>
      <c r="C25" s="2">
        <v>-0.14698994176607941</v>
      </c>
      <c r="D25" s="9">
        <v>6.2865426609970354E-2</v>
      </c>
      <c r="E25" s="9">
        <v>0.1246835434311085</v>
      </c>
      <c r="F25" s="9">
        <v>1.973413824199952E-3</v>
      </c>
      <c r="G25" s="9">
        <v>-5.9471376173122759E-3</v>
      </c>
      <c r="H25" s="9">
        <v>-3.3764077358192077E-2</v>
      </c>
      <c r="I25" s="9">
        <v>3.8814160117334129E-2</v>
      </c>
      <c r="J25" s="9">
        <v>7.5024393155689872E-2</v>
      </c>
      <c r="K25" s="9">
        <v>8.6338883142387732E-2</v>
      </c>
      <c r="L25" s="2">
        <v>-2.9625732856547932E-2</v>
      </c>
      <c r="M25" s="2">
        <v>0.34149409323463292</v>
      </c>
      <c r="N25" s="2">
        <v>-0.14698994176607941</v>
      </c>
      <c r="O25" s="1">
        <v>-3.4838584552046819E-3</v>
      </c>
      <c r="P25" s="1">
        <v>0.13393146247370749</v>
      </c>
      <c r="Q25" s="1">
        <v>-1.8623521702302671E-2</v>
      </c>
      <c r="R25" s="1">
        <v>0.19676481476406579</v>
      </c>
      <c r="S25" s="1">
        <v>-3.6850075182711571E-2</v>
      </c>
      <c r="T25" s="1">
        <v>4.7535122286707747E-2</v>
      </c>
      <c r="U25" s="1">
        <v>-0.21938422133904911</v>
      </c>
      <c r="V25" s="1">
        <v>-1.9885760356179689E-2</v>
      </c>
      <c r="W25" s="1">
        <v>-6.7468182034814722E-2</v>
      </c>
      <c r="X25" s="1">
        <v>0.49146157178960959</v>
      </c>
      <c r="Y25" s="1">
        <v>-2.9681484193923809E-2</v>
      </c>
      <c r="Z25" s="1">
        <v>9.2175229485540161E-2</v>
      </c>
      <c r="AA25" s="1">
        <v>6.8521766044026558E-2</v>
      </c>
      <c r="AB25" s="1">
        <v>-0.27235092180885367</v>
      </c>
      <c r="AC25" s="1">
        <v>-5.848025393803935E-2</v>
      </c>
      <c r="AD25" s="1">
        <v>-0.16334800913728709</v>
      </c>
      <c r="AE25" s="1">
        <v>5.5320837576846783E-2</v>
      </c>
      <c r="AF25" s="1">
        <v>-0.17794022762673251</v>
      </c>
      <c r="AG25" s="1">
        <v>3.845550811295749E-2</v>
      </c>
      <c r="AH25" s="1">
        <v>-2.3127356335870469E-2</v>
      </c>
      <c r="AI25" s="1">
        <v>-0.23660797478414869</v>
      </c>
      <c r="AJ25" s="1">
        <v>0.1130123659699082</v>
      </c>
      <c r="AK25" s="1">
        <v>5.5132579823061918E-2</v>
      </c>
      <c r="AL25" s="1">
        <v>6.452424812663049E-2</v>
      </c>
      <c r="AM25" s="1">
        <v>0.13324202440206451</v>
      </c>
      <c r="AN25" s="1">
        <v>7.2826434368978815E-2</v>
      </c>
      <c r="AO25" s="1">
        <v>-0.23691434038861481</v>
      </c>
      <c r="AP25" s="1">
        <v>-1.64695930525602E-2</v>
      </c>
      <c r="AQ25" s="1">
        <v>-1.6638358718140879E-2</v>
      </c>
      <c r="AR25" s="1">
        <v>-0.30046013382589881</v>
      </c>
      <c r="AS25" s="1">
        <v>3.3013928956202802E-2</v>
      </c>
      <c r="AT25" s="1">
        <v>-0.45370158966797342</v>
      </c>
      <c r="AU25" s="1">
        <v>-7.6494371123221494E-2</v>
      </c>
      <c r="AV25" s="1">
        <v>-8.4743166241211212E-2</v>
      </c>
      <c r="AW25" s="1">
        <v>9.3862145124803953E-4</v>
      </c>
      <c r="AX25" s="1">
        <v>0.17674537423997</v>
      </c>
      <c r="AY25" s="1">
        <v>0.2460555516180494</v>
      </c>
      <c r="AZ25" s="1">
        <v>-0.1110301634861801</v>
      </c>
      <c r="BA25" s="1">
        <v>-0.1832020417426391</v>
      </c>
      <c r="BB25" s="1">
        <v>-0.40524586008301461</v>
      </c>
      <c r="BC25" s="1">
        <v>-5.9107015117425832E-3</v>
      </c>
      <c r="BD25" s="1">
        <v>0.11721718596735051</v>
      </c>
      <c r="BE25" s="1">
        <v>2.999990537081226E-2</v>
      </c>
      <c r="BF25" s="1">
        <v>-8.8177203486276987E-2</v>
      </c>
      <c r="BG25" s="1">
        <v>0.34214631123237182</v>
      </c>
      <c r="BH25" s="1">
        <v>1.0733163716968251E-2</v>
      </c>
      <c r="BI25" s="1">
        <v>-6.3487099514559164E-2</v>
      </c>
      <c r="BJ25" s="1">
        <v>-6.6121967723876879E-2</v>
      </c>
      <c r="BK25" s="1">
        <v>6.150480480546025E-2</v>
      </c>
      <c r="BL25" s="1">
        <v>3.4203678842742807E-2</v>
      </c>
      <c r="BM25" s="1">
        <v>-4.3152934538381288E-2</v>
      </c>
      <c r="BN25" s="1">
        <v>3.1554621758417403E-2</v>
      </c>
      <c r="BO25" s="1">
        <v>-0.120415752809881</v>
      </c>
      <c r="BP25" s="1">
        <v>0.23812667707717919</v>
      </c>
      <c r="BQ25" s="1">
        <v>-9.8592994283409813E-2</v>
      </c>
      <c r="BR25" s="1">
        <v>-0.11178811882311381</v>
      </c>
      <c r="BS25" s="1">
        <v>-7.2957301442264769E-2</v>
      </c>
      <c r="BT25" s="1">
        <v>-5.6370476348197231E-2</v>
      </c>
      <c r="BU25" s="1">
        <v>-6.5712672929283927E-2</v>
      </c>
      <c r="BV25" s="1">
        <v>-0.1356380968456507</v>
      </c>
      <c r="BW25" s="1">
        <v>0.1059570107021531</v>
      </c>
      <c r="BX25" s="1">
        <v>3.7031157905434597E-2</v>
      </c>
      <c r="BY25" s="1">
        <v>0.1257963645618978</v>
      </c>
      <c r="BZ25" s="1">
        <v>-0.1456187825720919</v>
      </c>
      <c r="CA25" s="1">
        <v>8.8784866468085283E-3</v>
      </c>
      <c r="CB25" s="1">
        <v>4.8822092587112093E-2</v>
      </c>
      <c r="CC25" s="1">
        <v>-7.1481145255788872E-2</v>
      </c>
      <c r="CD25" s="1">
        <v>-4.6451404267232863E-2</v>
      </c>
      <c r="CE25" s="1">
        <v>3.6894685474466248E-2</v>
      </c>
      <c r="CF25" s="1">
        <v>-1.8675930365256721E-3</v>
      </c>
      <c r="CG25" s="1">
        <v>-0.15471744003366361</v>
      </c>
      <c r="CH25" s="1">
        <v>-0.31184301114797391</v>
      </c>
      <c r="CI25" s="1">
        <v>6.103868180852709E-2</v>
      </c>
      <c r="CJ25" s="1">
        <v>0.2534979976440761</v>
      </c>
      <c r="CK25" s="1">
        <v>-0.12733322946633219</v>
      </c>
      <c r="CL25" s="1">
        <v>-6.7318029018373388E-2</v>
      </c>
      <c r="CM25" s="1">
        <v>-0.19234009197406621</v>
      </c>
      <c r="CN25" s="1">
        <v>-0.24087757371703741</v>
      </c>
      <c r="CO25" s="1">
        <v>0.35901501505444988</v>
      </c>
      <c r="CP25" s="1">
        <v>9.5310728283015608E-3</v>
      </c>
      <c r="CQ25" s="1">
        <v>-0.2031047397522632</v>
      </c>
      <c r="CR25" s="1">
        <v>-0.1985249432921522</v>
      </c>
      <c r="CS25" s="1">
        <v>-0.29830616312016311</v>
      </c>
      <c r="CT25" s="1">
        <v>4.3354147892798511E-2</v>
      </c>
      <c r="CU25" s="1">
        <v>7.9682321182127286E-2</v>
      </c>
      <c r="CV25" s="1">
        <v>-8.0934493601977672E-2</v>
      </c>
      <c r="CW25" s="1">
        <v>-9.7600511500144788E-3</v>
      </c>
      <c r="CX25" s="1">
        <v>2.6728745937081359E-2</v>
      </c>
      <c r="CY25" s="1">
        <v>0.27205189351108761</v>
      </c>
      <c r="CZ25" s="1">
        <v>-7.2911849879403717E-2</v>
      </c>
      <c r="DA25" s="1">
        <v>0.31964632887734512</v>
      </c>
      <c r="DB25" s="1">
        <v>7.7332823809869153E-2</v>
      </c>
      <c r="DC25" s="1">
        <v>2.014636764381339E-2</v>
      </c>
      <c r="DD25" s="1">
        <v>-0.23648923997272131</v>
      </c>
      <c r="DE25" s="1">
        <v>-1.893225848243341E-2</v>
      </c>
      <c r="DF25" s="1">
        <v>-9.0994182551770691E-2</v>
      </c>
      <c r="DG25" s="1">
        <v>-2.4388767529644001E-2</v>
      </c>
      <c r="DH25" s="1">
        <v>3.9242565248920093E-2</v>
      </c>
      <c r="DI25" s="1">
        <v>-9.9357762896371993E-2</v>
      </c>
      <c r="DJ25" s="1">
        <v>4.9205763574684577E-2</v>
      </c>
      <c r="DK25" s="1">
        <v>-0.12935116170192179</v>
      </c>
      <c r="DL25" s="1">
        <v>-0.15424147292976251</v>
      </c>
      <c r="DM25" s="1">
        <v>4.3457459967733543E-2</v>
      </c>
      <c r="DN25" s="1">
        <v>0.28374590059615129</v>
      </c>
      <c r="DO25" s="1">
        <v>-0.19636558111097061</v>
      </c>
      <c r="DP25" s="1">
        <v>-0.1104489068864726</v>
      </c>
      <c r="DQ25" s="1">
        <v>1.955960086649991E-2</v>
      </c>
      <c r="DR25" s="1">
        <v>0.25414875318498059</v>
      </c>
      <c r="DS25" s="1">
        <v>0.23432591073424491</v>
      </c>
      <c r="DT25" s="1">
        <v>5.3999457857305297E-2</v>
      </c>
      <c r="DU25" s="1">
        <v>0.3827542701947288</v>
      </c>
      <c r="DV25" s="1">
        <v>0.12517403576675901</v>
      </c>
      <c r="DW25" s="1">
        <v>0.60260967086253714</v>
      </c>
      <c r="DX25" s="1">
        <v>-0.32634886660716439</v>
      </c>
      <c r="DY25" s="1">
        <v>-9.0199799753749865E-2</v>
      </c>
      <c r="DZ25" s="1">
        <v>0.18638599953794491</v>
      </c>
      <c r="EA25" s="1">
        <v>0.2137281065243028</v>
      </c>
      <c r="EB25" s="1">
        <v>5.452477338000386E-2</v>
      </c>
      <c r="EC25" s="1">
        <v>-6.6350164931382308E-2</v>
      </c>
      <c r="ED25" s="1">
        <v>0.43702790685684001</v>
      </c>
      <c r="EE25" s="1">
        <v>8.1659023077043494E-2</v>
      </c>
      <c r="EF25" s="1">
        <v>-8.9547328856411021E-3</v>
      </c>
      <c r="EG25" s="47">
        <f t="shared" si="3"/>
        <v>2.1172017888339023E-3</v>
      </c>
      <c r="EH25" s="25">
        <f t="shared" si="1"/>
        <v>0.1717389865241799</v>
      </c>
      <c r="EI25" s="47">
        <f t="shared" si="4"/>
        <v>1.2328020746388951E-2</v>
      </c>
    </row>
    <row r="26" spans="1:139" ht="16" customHeight="1">
      <c r="A26" s="6">
        <v>964</v>
      </c>
      <c r="B26" s="6">
        <v>1</v>
      </c>
      <c r="C26" s="2">
        <v>-0.25797044854899692</v>
      </c>
      <c r="D26" s="9">
        <v>0.13051021141264149</v>
      </c>
      <c r="E26" s="9">
        <v>-6.7642479148641327E-2</v>
      </c>
      <c r="F26" s="9">
        <v>4.3740544443089099E-2</v>
      </c>
      <c r="G26" s="9">
        <v>0.1041054832966892</v>
      </c>
      <c r="H26" s="9">
        <v>-0.135065134560093</v>
      </c>
      <c r="I26" s="9">
        <v>-0.1029868281340858</v>
      </c>
      <c r="J26" s="9">
        <v>0.30685731608228289</v>
      </c>
      <c r="K26" s="9">
        <v>1.6950159369407362E-2</v>
      </c>
      <c r="L26" s="2">
        <v>-6.1521614247635047E-2</v>
      </c>
      <c r="M26" s="2">
        <v>0.34491743569348587</v>
      </c>
      <c r="N26" s="2">
        <v>-0.25797044854899692</v>
      </c>
      <c r="O26" s="1">
        <v>-6.3439745534880049E-2</v>
      </c>
      <c r="P26" s="1">
        <v>0.2090491275506865</v>
      </c>
      <c r="Q26" s="1">
        <v>-2.4332100659530551E-2</v>
      </c>
      <c r="R26" s="1">
        <v>0.29178114371900488</v>
      </c>
      <c r="S26" s="1">
        <v>-0.19860788634082829</v>
      </c>
      <c r="T26" s="1">
        <v>0.1139060308575183</v>
      </c>
      <c r="U26" s="1">
        <v>-0.16919688604837169</v>
      </c>
      <c r="V26" s="1">
        <v>0.23062780414065279</v>
      </c>
      <c r="W26" s="1">
        <v>-8.8603703092624608E-2</v>
      </c>
      <c r="X26" s="1">
        <v>0.65616099506038839</v>
      </c>
      <c r="Y26" s="1">
        <v>-1.4221312723076109E-2</v>
      </c>
      <c r="Z26" s="1">
        <v>0.32061851209198322</v>
      </c>
      <c r="AA26" s="1">
        <v>5.7325988201463597E-2</v>
      </c>
      <c r="AB26" s="1">
        <v>-0.1917978209516103</v>
      </c>
      <c r="AC26" s="1">
        <v>-0.1008255822354215</v>
      </c>
      <c r="AD26" s="1">
        <v>-4.4436728481034887E-2</v>
      </c>
      <c r="AE26" s="1">
        <v>0.21115762599743021</v>
      </c>
      <c r="AF26" s="1">
        <v>-5.8279954857180599E-2</v>
      </c>
      <c r="AG26" s="1">
        <v>-0.31121717222897222</v>
      </c>
      <c r="AH26" s="1">
        <v>0.12329335915307819</v>
      </c>
      <c r="AI26" s="1">
        <v>-0.25773998671392068</v>
      </c>
      <c r="AJ26" s="1">
        <v>0.12673852823838599</v>
      </c>
      <c r="AK26" s="1">
        <v>0.20541973149671389</v>
      </c>
      <c r="AL26" s="1">
        <v>-6.6042240618913561E-2</v>
      </c>
      <c r="AM26" s="1">
        <v>0.15823925853439799</v>
      </c>
      <c r="AN26" s="1">
        <v>9.2031952102057182E-2</v>
      </c>
      <c r="AO26" s="1">
        <v>-0.32989053344123997</v>
      </c>
      <c r="AP26" s="1">
        <v>-5.8479939036621582E-2</v>
      </c>
      <c r="AQ26" s="1">
        <v>-2.117720796309782E-2</v>
      </c>
      <c r="AR26" s="1">
        <v>-0.42212427925242041</v>
      </c>
      <c r="AS26" s="1">
        <v>0.183911891281998</v>
      </c>
      <c r="AT26" s="1">
        <v>-0.86987869010969054</v>
      </c>
      <c r="AU26" s="1">
        <v>-0.23476601148540341</v>
      </c>
      <c r="AV26" s="1">
        <v>-0.10816163793753809</v>
      </c>
      <c r="AW26" s="1">
        <v>0.115651661735961</v>
      </c>
      <c r="AX26" s="1">
        <v>0.27256529836273458</v>
      </c>
      <c r="AY26" s="1">
        <v>0.60336013434193259</v>
      </c>
      <c r="AZ26" s="1">
        <v>-6.1408628128643672E-2</v>
      </c>
      <c r="BA26" s="1">
        <v>-0.43196296674616053</v>
      </c>
      <c r="BB26" s="1">
        <v>-8.7533957418880509E-2</v>
      </c>
      <c r="BC26" s="1">
        <v>0.13191015650060051</v>
      </c>
      <c r="BD26" s="1">
        <v>0.18404859444541519</v>
      </c>
      <c r="BE26" s="1">
        <v>6.9142035014173903E-2</v>
      </c>
      <c r="BF26" s="1">
        <v>-0.24468063645859359</v>
      </c>
      <c r="BG26" s="1">
        <v>0.5644345082483434</v>
      </c>
      <c r="BH26" s="1">
        <v>0.2084433204416129</v>
      </c>
      <c r="BI26" s="1">
        <v>-0.1134169294854903</v>
      </c>
      <c r="BJ26" s="1">
        <v>-0.15893839213504521</v>
      </c>
      <c r="BK26" s="1">
        <v>9.8137359513046862E-2</v>
      </c>
      <c r="BL26" s="1">
        <v>-6.5942695303330578E-2</v>
      </c>
      <c r="BM26" s="1">
        <v>-4.3725962506324538E-2</v>
      </c>
      <c r="BN26" s="1">
        <v>-2.587208982559517E-2</v>
      </c>
      <c r="BO26" s="1">
        <v>-0.13396836007740079</v>
      </c>
      <c r="BP26" s="1">
        <v>0.31888203089448042</v>
      </c>
      <c r="BQ26" s="1">
        <v>-4.2965180053393587E-2</v>
      </c>
      <c r="BR26" s="1">
        <v>-0.1491055195014056</v>
      </c>
      <c r="BS26" s="1">
        <v>-2.1029467618904901E-4</v>
      </c>
      <c r="BT26" s="1">
        <v>-2.2464194469471292E-2</v>
      </c>
      <c r="BU26" s="1">
        <v>-0.17073926914434859</v>
      </c>
      <c r="BV26" s="1">
        <v>0.1194395617909764</v>
      </c>
      <c r="BW26" s="1">
        <v>-1.4411778661303439E-2</v>
      </c>
      <c r="BX26" s="1">
        <v>0.1052947715994218</v>
      </c>
      <c r="BY26" s="1">
        <v>0.30499660045266519</v>
      </c>
      <c r="BZ26" s="1">
        <v>-0.1117914059881167</v>
      </c>
      <c r="CA26" s="1">
        <v>1.9849853282249701E-3</v>
      </c>
      <c r="CB26" s="1">
        <v>-0.10133707704792649</v>
      </c>
      <c r="CC26" s="1">
        <v>-0.20881938183769941</v>
      </c>
      <c r="CD26" s="1">
        <v>-2.723628653526444E-3</v>
      </c>
      <c r="CE26" s="1">
        <v>0.1179409610314633</v>
      </c>
      <c r="CF26" s="1">
        <v>-1.7920392699530691E-2</v>
      </c>
      <c r="CG26" s="1">
        <v>-2.868198117842187E-2</v>
      </c>
      <c r="CH26" s="1">
        <v>-9.929130827604607E-2</v>
      </c>
      <c r="CI26" s="1">
        <v>0.39460559993633798</v>
      </c>
      <c r="CJ26" s="1">
        <v>0.34307279255747541</v>
      </c>
      <c r="CK26" s="1">
        <v>-4.8734984144587101E-2</v>
      </c>
      <c r="CL26" s="1">
        <v>-0.1246711148234006</v>
      </c>
      <c r="CM26" s="1">
        <v>-0.2178478041966381</v>
      </c>
      <c r="CN26" s="1">
        <v>-0.43093346182100339</v>
      </c>
      <c r="CO26" s="1">
        <v>0.56993097041206708</v>
      </c>
      <c r="CP26" s="1">
        <v>0.26595504867963188</v>
      </c>
      <c r="CQ26" s="1">
        <v>-0.25888494213248697</v>
      </c>
      <c r="CR26" s="1">
        <v>-9.6443012159142125E-2</v>
      </c>
      <c r="CS26" s="1">
        <v>-0.1453658502715254</v>
      </c>
      <c r="CT26" s="1">
        <v>7.3339845334607801E-2</v>
      </c>
      <c r="CU26" s="1">
        <v>0.12070689881647199</v>
      </c>
      <c r="CV26" s="1">
        <v>-0.14322956727642391</v>
      </c>
      <c r="CW26" s="1">
        <v>-3.7041271680349083E-2</v>
      </c>
      <c r="CX26" s="1">
        <v>1.0639544684418269E-2</v>
      </c>
      <c r="CY26" s="1">
        <v>0.1225018984760425</v>
      </c>
      <c r="CZ26" s="1">
        <v>-0.19084738113276281</v>
      </c>
      <c r="DA26" s="1">
        <v>2.2267002234760171E-2</v>
      </c>
      <c r="DB26" s="1">
        <v>0.2609141932155164</v>
      </c>
      <c r="DC26" s="1">
        <v>-5.0145312034620082E-2</v>
      </c>
      <c r="DD26" s="1">
        <v>-0.1484548223928675</v>
      </c>
      <c r="DE26" s="1">
        <v>1.3730837264502469E-2</v>
      </c>
      <c r="DF26" s="1">
        <v>-0.18219920657262251</v>
      </c>
      <c r="DG26" s="1">
        <v>-0.1434280531519001</v>
      </c>
      <c r="DH26" s="1">
        <v>5.5360152966282473E-2</v>
      </c>
      <c r="DI26" s="1">
        <v>-0.18924781577306721</v>
      </c>
      <c r="DJ26" s="1">
        <v>3.737604876491897E-2</v>
      </c>
      <c r="DK26" s="1">
        <v>-0.18393473390785489</v>
      </c>
      <c r="DL26" s="1">
        <v>1.9683363435467179E-2</v>
      </c>
      <c r="DM26" s="1">
        <v>-4.5373737049018342E-2</v>
      </c>
      <c r="DN26" s="1">
        <v>0.65726889289504342</v>
      </c>
      <c r="DO26" s="1">
        <v>-1.630377767375317E-2</v>
      </c>
      <c r="DP26" s="1">
        <v>-0.16093887870891879</v>
      </c>
      <c r="DQ26" s="1">
        <v>3.1826862134820832E-2</v>
      </c>
      <c r="DR26" s="1">
        <v>0.36175337782533951</v>
      </c>
      <c r="DS26" s="1">
        <v>0.32345195644732933</v>
      </c>
      <c r="DT26" s="1">
        <v>0.19724234283669809</v>
      </c>
      <c r="DU26" s="1">
        <v>0.38338391163920083</v>
      </c>
      <c r="DV26" s="1">
        <v>-7.417377966542054E-3</v>
      </c>
      <c r="DW26" s="1">
        <v>0.70028057677821498</v>
      </c>
      <c r="DX26" s="1">
        <v>-0.46913876938092769</v>
      </c>
      <c r="DY26" s="1">
        <v>-0.25706786519394043</v>
      </c>
      <c r="DZ26" s="1">
        <v>0.20680800507063851</v>
      </c>
      <c r="EA26" s="1">
        <v>8.8706589881714135E-2</v>
      </c>
      <c r="EB26" s="1">
        <v>0.18183053942282479</v>
      </c>
      <c r="EC26" s="1">
        <v>5.1434770599791783E-2</v>
      </c>
      <c r="ED26" s="1">
        <v>0.1032775967138115</v>
      </c>
      <c r="EE26" s="1">
        <v>5.5185153311576918E-2</v>
      </c>
      <c r="EF26" s="1">
        <v>-3.758578042052714E-2</v>
      </c>
      <c r="EG26" s="49">
        <f t="shared" si="3"/>
        <v>1.7586462147174353E-2</v>
      </c>
      <c r="EH26" s="25">
        <f t="shared" si="1"/>
        <v>0.23528849898580417</v>
      </c>
      <c r="EI26" s="47">
        <f t="shared" si="4"/>
        <v>7.4744248966607627E-2</v>
      </c>
    </row>
    <row r="27" spans="1:139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  <c r="EG27" s="26">
        <f t="shared" si="3"/>
        <v>7.3485376145559517E-3</v>
      </c>
      <c r="EH27" s="26">
        <f t="shared" si="1"/>
        <v>4.2276369775976368E-2</v>
      </c>
      <c r="EI27" s="26">
        <f t="shared" si="4"/>
        <v>0.17382139605401439</v>
      </c>
    </row>
    <row r="28" spans="1:139" ht="16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3"/>
    </row>
    <row r="30" spans="1:139" ht="16" customHeight="1">
      <c r="A30" s="22"/>
      <c r="B30" s="22"/>
      <c r="C30" s="22"/>
      <c r="D30" s="4"/>
      <c r="E30" s="4"/>
      <c r="F30" s="4"/>
      <c r="G30" s="4"/>
      <c r="H30" s="4"/>
      <c r="I30" s="4"/>
      <c r="J30" s="4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</sheetData>
  <mergeCells count="1">
    <mergeCell ref="A12:B1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G33"/>
  <sheetViews>
    <sheetView zoomScale="82" zoomScaleNormal="71" workbookViewId="0">
      <selection activeCell="G33" sqref="G33"/>
    </sheetView>
  </sheetViews>
  <sheetFormatPr baseColWidth="10" defaultColWidth="8.83203125" defaultRowHeight="15"/>
  <cols>
    <col min="1" max="1" width="16.6640625" style="21" customWidth="1"/>
    <col min="3" max="3" width="10.1640625" style="21" customWidth="1"/>
    <col min="4" max="4" width="11.6640625" style="21" customWidth="1"/>
    <col min="5" max="5" width="9.1640625" style="21" customWidth="1"/>
    <col min="6" max="6" width="8.6640625" style="21" customWidth="1"/>
    <col min="7" max="7" width="9.33203125" style="21" customWidth="1"/>
    <col min="8" max="8" width="9.6640625" style="21" customWidth="1"/>
    <col min="9" max="9" width="9" style="21" customWidth="1"/>
    <col min="10" max="136" width="10.6640625" style="21" customWidth="1"/>
  </cols>
  <sheetData>
    <row r="1" spans="1:137" ht="16" customHeight="1">
      <c r="A1" s="13" t="s">
        <v>236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7" ht="16" customHeight="1">
      <c r="A2" s="29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135</v>
      </c>
    </row>
    <row r="3" spans="1:137" ht="16" customHeight="1">
      <c r="A3" s="29"/>
      <c r="B3" s="25" t="s">
        <v>136</v>
      </c>
      <c r="C3" s="30">
        <v>-2.8421104727028079E-2</v>
      </c>
      <c r="D3" s="30">
        <v>-3.208685313736968E-3</v>
      </c>
      <c r="E3" s="30">
        <v>-4.5759688901152902E-2</v>
      </c>
      <c r="F3" s="30">
        <v>-6.2181712981082209E-2</v>
      </c>
      <c r="G3" s="30">
        <v>-5.9567677599250919E-2</v>
      </c>
      <c r="H3" s="30">
        <v>-1.0649054962210049E-2</v>
      </c>
      <c r="I3" s="30">
        <v>-1.2760090112012221E-2</v>
      </c>
      <c r="J3" s="30">
        <v>-4.7600297468212593E-2</v>
      </c>
      <c r="K3" s="30">
        <v>-3.1071014688411759E-2</v>
      </c>
      <c r="L3" s="30">
        <v>-2.8040118872059011E-2</v>
      </c>
      <c r="M3" s="30">
        <v>-9.0825358275516809E-3</v>
      </c>
      <c r="N3" s="30">
        <v>-4.5141758400028507E-2</v>
      </c>
      <c r="O3" s="30">
        <v>-4.4270345992493187E-2</v>
      </c>
      <c r="P3" s="30">
        <v>-3.1684381036210657E-2</v>
      </c>
      <c r="Q3" s="30">
        <v>-5.5433013198764709E-2</v>
      </c>
      <c r="R3" s="30">
        <v>-2.7109949698370769E-2</v>
      </c>
      <c r="S3" s="30">
        <v>-1.6227495678406239E-2</v>
      </c>
      <c r="T3" s="30">
        <v>-2.74668876836252E-3</v>
      </c>
      <c r="U3" s="30">
        <v>-2.037061400083346E-2</v>
      </c>
      <c r="V3" s="30">
        <v>3.766180674277577E-3</v>
      </c>
      <c r="W3" s="30">
        <v>-1.4262473329693571E-2</v>
      </c>
      <c r="X3" s="30">
        <v>-9.1735799598149578E-2</v>
      </c>
      <c r="Y3" s="30">
        <v>-3.1277664631821453E-2</v>
      </c>
      <c r="Z3" s="30">
        <v>1.311693819413791E-2</v>
      </c>
      <c r="AA3" s="30">
        <v>-9.563686783649987E-3</v>
      </c>
      <c r="AB3" s="30">
        <v>-6.3454765548039589E-3</v>
      </c>
      <c r="AC3" s="30">
        <v>9.0571962108722519E-4</v>
      </c>
      <c r="AD3" s="30">
        <v>-2.5965432198374501E-2</v>
      </c>
      <c r="AE3" s="30">
        <v>-9.6560945003596813E-3</v>
      </c>
      <c r="AF3" s="30">
        <v>3.0675596150326521E-3</v>
      </c>
      <c r="AG3" s="30">
        <v>-3.2383393857567819E-2</v>
      </c>
      <c r="AH3" s="30">
        <v>-7.4773786196781636E-3</v>
      </c>
      <c r="AI3" s="30">
        <v>-1.9157841267026701E-3</v>
      </c>
      <c r="AJ3" s="30">
        <v>-9.5868529908732826E-3</v>
      </c>
      <c r="AK3" s="30">
        <v>-1.2509583798462591E-2</v>
      </c>
      <c r="AL3" s="30">
        <v>-3.2067834700604307E-2</v>
      </c>
      <c r="AM3" s="30">
        <v>-2.3857075122378169E-2</v>
      </c>
      <c r="AN3" s="30">
        <v>-5.5529021076396907E-2</v>
      </c>
      <c r="AO3" s="30">
        <v>-5.4187593089638872E-2</v>
      </c>
      <c r="AP3" s="30">
        <v>-2.0805825997175689E-2</v>
      </c>
      <c r="AQ3" s="30">
        <v>-5.4464581053930053E-2</v>
      </c>
      <c r="AR3" s="30">
        <v>-7.9251422099666322E-3</v>
      </c>
      <c r="AS3" s="30">
        <v>-8.0704945759022553E-2</v>
      </c>
      <c r="AT3" s="30">
        <v>-3.328658775348309E-3</v>
      </c>
      <c r="AU3" s="30">
        <v>-1.673037286716203E-2</v>
      </c>
      <c r="AV3" s="30">
        <v>-4.0662307095684212E-2</v>
      </c>
      <c r="AW3" s="30">
        <v>-1.334959003324303E-2</v>
      </c>
      <c r="AX3" s="30">
        <v>4.1132674754426791E-4</v>
      </c>
      <c r="AY3" s="30">
        <v>-1.5450972886281691E-2</v>
      </c>
      <c r="AZ3" s="30">
        <v>-3.4346740119606443E-2</v>
      </c>
      <c r="BA3" s="30">
        <v>-1.172194731248649E-2</v>
      </c>
      <c r="BB3" s="30">
        <v>-8.6451379632099118E-3</v>
      </c>
      <c r="BC3" s="30">
        <v>9.3133168808856109E-2</v>
      </c>
      <c r="BD3" s="30">
        <v>2.1270749367482099E-2</v>
      </c>
      <c r="BE3" s="30">
        <v>4.1896161475669588E-3</v>
      </c>
      <c r="BF3" s="30">
        <v>8.7493562675177813E-2</v>
      </c>
      <c r="BG3" s="30">
        <v>-8.6101779527626363E-3</v>
      </c>
      <c r="BH3" s="30">
        <v>-2.1536216700937989E-2</v>
      </c>
      <c r="BI3" s="30">
        <v>7.6523316715502762E-2</v>
      </c>
      <c r="BJ3" s="30">
        <v>0.1105314383779499</v>
      </c>
      <c r="BK3" s="30">
        <v>4.3903811589380011E-2</v>
      </c>
      <c r="BL3" s="30">
        <v>-5.7341143531256843E-3</v>
      </c>
      <c r="BM3" s="30">
        <v>8.5239265989366125E-2</v>
      </c>
      <c r="BN3" s="30">
        <v>-2.7413590832266299E-2</v>
      </c>
      <c r="BO3" s="30">
        <v>-2.6194248952995901E-2</v>
      </c>
      <c r="BP3" s="30">
        <v>-5.0536531526184283E-3</v>
      </c>
      <c r="BQ3" s="30">
        <v>-1.5635983929226511E-2</v>
      </c>
      <c r="BR3" s="30">
        <v>-2.8605950694547541E-3</v>
      </c>
      <c r="BS3" s="30">
        <v>-2.2503841216196401E-2</v>
      </c>
      <c r="BT3" s="30">
        <v>-2.8888225833718351E-2</v>
      </c>
      <c r="BU3" s="30">
        <v>4.6852266700261853E-4</v>
      </c>
      <c r="BV3" s="30">
        <v>-1.434301187800616E-2</v>
      </c>
      <c r="BW3" s="30">
        <v>-2.476540620532651E-3</v>
      </c>
      <c r="BX3" s="30">
        <v>-3.3669345441934952E-3</v>
      </c>
      <c r="BY3" s="30">
        <v>9.878153251198861E-3</v>
      </c>
      <c r="BZ3" s="30">
        <v>5.9334882536814217E-2</v>
      </c>
      <c r="CA3" s="30">
        <v>-1.6962408602272262E-2</v>
      </c>
      <c r="CB3" s="30">
        <v>1.5768732669022449E-2</v>
      </c>
      <c r="CC3" s="30">
        <v>-4.5796910393069067E-2</v>
      </c>
      <c r="CD3" s="30">
        <v>-1.6834237307913519E-2</v>
      </c>
      <c r="CE3" s="30">
        <v>-2.8685122363867881E-2</v>
      </c>
      <c r="CF3" s="30">
        <v>-6.1571374856701562E-2</v>
      </c>
      <c r="CG3" s="30">
        <v>-9.3795888365886398E-3</v>
      </c>
      <c r="CH3" s="30">
        <v>-2.7363970600978789E-2</v>
      </c>
      <c r="CI3" s="30">
        <v>-5.6179208511147891E-3</v>
      </c>
      <c r="CJ3" s="30">
        <v>-1.8410730271478559E-2</v>
      </c>
      <c r="CK3" s="30">
        <v>-6.0048442412961353E-2</v>
      </c>
      <c r="CL3" s="30">
        <v>5.1031673893922727E-2</v>
      </c>
      <c r="CM3" s="30">
        <v>-3.1853466568491057E-2</v>
      </c>
      <c r="CN3" s="30">
        <v>-3.4014778206449461E-3</v>
      </c>
      <c r="CO3" s="30">
        <v>-5.9588482604922052E-3</v>
      </c>
      <c r="CP3" s="30">
        <v>-5.2511427801071153E-2</v>
      </c>
      <c r="CQ3" s="30">
        <v>-1.81922829211262E-2</v>
      </c>
      <c r="CR3" s="30">
        <v>-1.3835788420544949E-2</v>
      </c>
      <c r="CS3" s="30">
        <v>6.6811103890358353E-2</v>
      </c>
      <c r="CT3" s="30">
        <v>-4.3738322901373791E-2</v>
      </c>
      <c r="CU3" s="30">
        <v>-2.7281598360886401E-2</v>
      </c>
      <c r="CV3" s="30">
        <v>-1.4720715071893559E-2</v>
      </c>
      <c r="CW3" s="30">
        <v>-9.6698956514705437E-3</v>
      </c>
      <c r="CX3" s="30">
        <v>-5.6823075813148147E-2</v>
      </c>
      <c r="CY3" s="30">
        <v>-7.71432646033405E-3</v>
      </c>
      <c r="CZ3" s="30">
        <v>-1.360085913032304E-2</v>
      </c>
      <c r="DA3" s="30">
        <v>-1.983200582931768E-2</v>
      </c>
      <c r="DB3" s="30">
        <v>-2.8697643425269939E-2</v>
      </c>
      <c r="DC3" s="30">
        <v>-4.2602948643396192E-2</v>
      </c>
      <c r="DD3" s="30">
        <v>-3.7717335072620199E-2</v>
      </c>
      <c r="DE3" s="30">
        <v>-1.8655422969598889E-2</v>
      </c>
      <c r="DF3" s="30">
        <v>4.4044419885649562E-2</v>
      </c>
      <c r="DG3" s="30">
        <v>2.4808363511006081E-2</v>
      </c>
      <c r="DH3" s="30">
        <v>-9.0166159090774526E-3</v>
      </c>
      <c r="DI3" s="30">
        <v>4.1737322123146237E-3</v>
      </c>
      <c r="DJ3" s="30">
        <v>-2.1302416984057548E-2</v>
      </c>
      <c r="DK3" s="30">
        <v>-3.5212077756554078E-2</v>
      </c>
      <c r="DL3" s="30">
        <v>-2.5285552316213971E-2</v>
      </c>
      <c r="DM3" s="30">
        <v>-1.8070447111021359E-2</v>
      </c>
      <c r="DN3" s="30">
        <v>-2.445959145376856E-2</v>
      </c>
      <c r="DO3" s="30">
        <v>-2.2975005725779631E-2</v>
      </c>
      <c r="DP3" s="30">
        <v>-2.2725345387276379E-2</v>
      </c>
      <c r="DQ3" s="30">
        <v>-3.4792527601013153E-2</v>
      </c>
      <c r="DR3" s="30">
        <v>-1.4517742632896411E-2</v>
      </c>
      <c r="DS3" s="30">
        <v>3.9697576627326217E-2</v>
      </c>
      <c r="DT3" s="30">
        <v>-2.552860479851593E-2</v>
      </c>
      <c r="DU3" s="30">
        <v>-1.396552243236936E-2</v>
      </c>
      <c r="DV3" s="30">
        <v>-1.1635769288527879E-2</v>
      </c>
      <c r="DW3" s="30">
        <v>-1.9578166886271411E-2</v>
      </c>
      <c r="DX3" s="30">
        <v>-1.672923296838821E-2</v>
      </c>
      <c r="DY3" s="30">
        <v>-1.3926629463653891E-2</v>
      </c>
      <c r="DZ3" s="30">
        <v>-6.4078276717765906E-2</v>
      </c>
      <c r="EA3" s="30">
        <v>-1.117408238719104E-2</v>
      </c>
      <c r="EB3" s="30">
        <v>-3.2139420854206367E-2</v>
      </c>
      <c r="EC3" s="30">
        <v>-6.5260958854404501E-3</v>
      </c>
      <c r="ED3" s="30">
        <v>-3.3025344707347623E-2</v>
      </c>
      <c r="EE3" s="30">
        <v>-4.2642098369574E-2</v>
      </c>
      <c r="EF3" s="30">
        <v>4.6335983637172957E-2</v>
      </c>
    </row>
    <row r="4" spans="1:137" ht="16" customHeight="1">
      <c r="A4" s="29"/>
      <c r="B4" s="25" t="s">
        <v>137</v>
      </c>
      <c r="C4" s="30">
        <v>3.2149527084856369E-2</v>
      </c>
      <c r="D4" s="30">
        <v>3.105823310338086E-2</v>
      </c>
      <c r="E4" s="30">
        <v>2.1920012492185049E-2</v>
      </c>
      <c r="F4" s="30">
        <v>2.691981605032728E-2</v>
      </c>
      <c r="G4" s="30">
        <v>3.5273391801589921E-2</v>
      </c>
      <c r="H4" s="30">
        <v>7.2960052853962912E-2</v>
      </c>
      <c r="I4" s="30">
        <v>8.370043064766719E-2</v>
      </c>
      <c r="J4" s="30">
        <v>5.495260713794909E-2</v>
      </c>
      <c r="K4" s="30">
        <v>6.5819170342395678E-2</v>
      </c>
      <c r="L4" s="30">
        <v>4.1291150417782981E-2</v>
      </c>
      <c r="M4" s="30">
        <v>3.1112425393556051E-2</v>
      </c>
      <c r="N4" s="30">
        <v>1.5944504229597981E-2</v>
      </c>
      <c r="O4" s="30">
        <v>2.8902999389272929E-3</v>
      </c>
      <c r="P4" s="30">
        <v>-2.0143455102547021E-2</v>
      </c>
      <c r="Q4" s="30">
        <v>4.4313997804930469E-3</v>
      </c>
      <c r="R4" s="30">
        <v>-3.224181865720778E-2</v>
      </c>
      <c r="S4" s="30">
        <v>-1.46021568898697E-2</v>
      </c>
      <c r="T4" s="30">
        <v>4.4119439715052987E-3</v>
      </c>
      <c r="U4" s="30">
        <v>-1.292089384418894E-2</v>
      </c>
      <c r="V4" s="30">
        <v>-5.8865342492954789E-3</v>
      </c>
      <c r="W4" s="30">
        <v>2.54736714700604E-2</v>
      </c>
      <c r="X4" s="30">
        <v>-5.2639646135125258E-3</v>
      </c>
      <c r="Y4" s="30">
        <v>-1.6245666614879931E-2</v>
      </c>
      <c r="Z4" s="30">
        <v>-3.9122599829060356E-3</v>
      </c>
      <c r="AA4" s="30">
        <v>1.0350439256341919E-2</v>
      </c>
      <c r="AB4" s="30">
        <v>4.3275859692831327E-2</v>
      </c>
      <c r="AC4" s="30">
        <v>2.8867700583139332E-2</v>
      </c>
      <c r="AD4" s="30">
        <v>4.1043584630013029E-2</v>
      </c>
      <c r="AE4" s="30">
        <v>2.3302438782104511E-2</v>
      </c>
      <c r="AF4" s="30">
        <v>2.9358021178190408E-2</v>
      </c>
      <c r="AG4" s="30">
        <v>1.6663025097451951E-2</v>
      </c>
      <c r="AH4" s="30">
        <v>1.526857378577275E-2</v>
      </c>
      <c r="AI4" s="30">
        <v>1.4681378114002689E-2</v>
      </c>
      <c r="AJ4" s="30">
        <v>3.3443265762379722E-3</v>
      </c>
      <c r="AK4" s="30">
        <v>1.899701826950519E-2</v>
      </c>
      <c r="AL4" s="30">
        <v>2.4881633411433471E-2</v>
      </c>
      <c r="AM4" s="30">
        <v>1.378765224315145E-2</v>
      </c>
      <c r="AN4" s="30">
        <v>4.0164410358838913E-3</v>
      </c>
      <c r="AO4" s="30">
        <v>1.185301211492496E-2</v>
      </c>
      <c r="AP4" s="30">
        <v>-2.400252940240577E-2</v>
      </c>
      <c r="AQ4" s="30">
        <v>-8.6616031918082519E-3</v>
      </c>
      <c r="AR4" s="30">
        <v>-4.9291308205635737E-2</v>
      </c>
      <c r="AS4" s="30">
        <v>-4.6612021224546857E-2</v>
      </c>
      <c r="AT4" s="30">
        <v>-1.366930300035602E-2</v>
      </c>
      <c r="AU4" s="30">
        <v>-7.1382331643124273E-3</v>
      </c>
      <c r="AV4" s="30">
        <v>-1.2807856371098341E-2</v>
      </c>
      <c r="AW4" s="30">
        <v>1.0745088545015611E-2</v>
      </c>
      <c r="AX4" s="30">
        <v>-1.1321088629540599E-3</v>
      </c>
      <c r="AY4" s="30">
        <v>1.6647319343567529E-2</v>
      </c>
      <c r="AZ4" s="30">
        <v>1.8617873365772891E-2</v>
      </c>
      <c r="BA4" s="30">
        <v>2.3323984711130591E-2</v>
      </c>
      <c r="BB4" s="30">
        <v>8.2449341885643904E-3</v>
      </c>
      <c r="BC4" s="30">
        <v>8.8282725652130169E-3</v>
      </c>
      <c r="BD4" s="30">
        <v>1.8147155672696359E-2</v>
      </c>
      <c r="BE4" s="30">
        <v>6.1555981266258868E-3</v>
      </c>
      <c r="BF4" s="30">
        <v>-1.229064455734249E-2</v>
      </c>
      <c r="BG4" s="30">
        <v>-5.9310580541937002E-3</v>
      </c>
      <c r="BH4" s="30">
        <v>-4.2727280286792013E-3</v>
      </c>
      <c r="BI4" s="30">
        <v>1.4160548000307071E-2</v>
      </c>
      <c r="BJ4" s="30">
        <v>8.3678246380819027E-3</v>
      </c>
      <c r="BK4" s="30">
        <v>-1.8798857360029252E-2</v>
      </c>
      <c r="BL4" s="30">
        <v>-5.8491424170947449E-3</v>
      </c>
      <c r="BM4" s="30">
        <v>-1.3166786480675159E-2</v>
      </c>
      <c r="BN4" s="30">
        <v>1.388555131204235E-2</v>
      </c>
      <c r="BO4" s="30">
        <v>1.6162147350699579E-2</v>
      </c>
      <c r="BP4" s="30">
        <v>3.9650518321837379E-2</v>
      </c>
      <c r="BQ4" s="30">
        <v>3.1389726178375613E-2</v>
      </c>
      <c r="BR4" s="30">
        <v>4.0897547442941981E-2</v>
      </c>
      <c r="BS4" s="30">
        <v>1.367635426070231E-2</v>
      </c>
      <c r="BT4" s="30">
        <v>1.6915816793389899E-2</v>
      </c>
      <c r="BU4" s="30">
        <v>1.7996776268584352E-2</v>
      </c>
      <c r="BV4" s="30">
        <v>1.69136245347128E-2</v>
      </c>
      <c r="BW4" s="30">
        <v>5.4921253193510999E-3</v>
      </c>
      <c r="BX4" s="30">
        <v>1.170878101820127E-2</v>
      </c>
      <c r="BY4" s="30">
        <v>1.249350926070799E-2</v>
      </c>
      <c r="BZ4" s="30">
        <v>1.7018808576172651E-2</v>
      </c>
      <c r="CA4" s="30">
        <v>1.4260342294680669E-2</v>
      </c>
      <c r="CB4" s="30">
        <v>5.0213231193390407E-3</v>
      </c>
      <c r="CC4" s="30">
        <v>-1.868269587538764E-3</v>
      </c>
      <c r="CD4" s="30">
        <v>2.045841222857829E-2</v>
      </c>
      <c r="CE4" s="30">
        <v>2.0683321016735281E-2</v>
      </c>
      <c r="CF4" s="30">
        <v>-9.5815188786293436E-3</v>
      </c>
      <c r="CG4" s="30">
        <v>-2.8466592549503771E-2</v>
      </c>
      <c r="CH4" s="30">
        <v>-3.2564910892747849E-3</v>
      </c>
      <c r="CI4" s="30">
        <v>1.9169051095262791E-3</v>
      </c>
      <c r="CJ4" s="30">
        <v>1.1528987188833519E-2</v>
      </c>
      <c r="CK4" s="30">
        <v>1.006828635293071E-2</v>
      </c>
      <c r="CL4" s="30">
        <v>1.2952232423862351E-2</v>
      </c>
      <c r="CM4" s="30">
        <v>4.3310723839016961E-3</v>
      </c>
      <c r="CN4" s="30">
        <v>-2.9342906660342599E-3</v>
      </c>
      <c r="CO4" s="30">
        <v>-7.4118525748900349E-3</v>
      </c>
      <c r="CP4" s="30">
        <v>-8.4165338484879088E-3</v>
      </c>
      <c r="CQ4" s="30">
        <v>2.6063257135203318E-4</v>
      </c>
      <c r="CR4" s="30">
        <v>-4.5614667611052406E-3</v>
      </c>
      <c r="CS4" s="30">
        <v>-1.5033045218345869E-2</v>
      </c>
      <c r="CT4" s="30">
        <v>-6.4041876456897373E-3</v>
      </c>
      <c r="CU4" s="30">
        <v>-5.2180227541617002E-3</v>
      </c>
      <c r="CV4" s="30">
        <v>1.476681113641032E-2</v>
      </c>
      <c r="CW4" s="30">
        <v>7.9096072335034275E-3</v>
      </c>
      <c r="CX4" s="30">
        <v>9.1865944707425796E-3</v>
      </c>
      <c r="CY4" s="30">
        <v>7.9215283147466183E-3</v>
      </c>
      <c r="CZ4" s="30">
        <v>2.591144793400731E-2</v>
      </c>
      <c r="DA4" s="30">
        <v>-3.3181029063199328E-2</v>
      </c>
      <c r="DB4" s="30">
        <v>1.0437975848499559E-2</v>
      </c>
      <c r="DC4" s="30">
        <v>3.6289702048972229E-2</v>
      </c>
      <c r="DD4" s="30">
        <v>-2.733366229117298E-2</v>
      </c>
      <c r="DE4" s="30">
        <v>5.3204379349536573E-5</v>
      </c>
      <c r="DF4" s="30">
        <v>1.193428879192393E-2</v>
      </c>
      <c r="DG4" s="30">
        <v>-6.8727258376211778E-3</v>
      </c>
      <c r="DH4" s="30">
        <v>3.881353748085382E-3</v>
      </c>
      <c r="DI4" s="30">
        <v>8.9454077666745666E-3</v>
      </c>
      <c r="DJ4" s="30">
        <v>1.4739475713264789E-2</v>
      </c>
      <c r="DK4" s="30">
        <v>-9.5534372883526401E-3</v>
      </c>
      <c r="DL4" s="30">
        <v>4.5369163136782471E-2</v>
      </c>
      <c r="DM4" s="30">
        <v>5.2420327587513388E-2</v>
      </c>
      <c r="DN4" s="30">
        <v>4.6322268325848508E-2</v>
      </c>
      <c r="DO4" s="30">
        <v>3.8793460338852753E-2</v>
      </c>
      <c r="DP4" s="30">
        <v>3.1593983972767588E-2</v>
      </c>
      <c r="DQ4" s="30">
        <v>2.797446011579121E-2</v>
      </c>
      <c r="DR4" s="30">
        <v>4.167004625571382E-2</v>
      </c>
      <c r="DS4" s="30">
        <v>3.9311670857282079E-2</v>
      </c>
      <c r="DT4" s="30">
        <v>4.1756820117327051E-2</v>
      </c>
      <c r="DU4" s="30">
        <v>4.0857076088111163E-2</v>
      </c>
      <c r="DV4" s="30">
        <v>2.9541589437123771E-2</v>
      </c>
      <c r="DW4" s="30">
        <v>4.8580647466298171E-2</v>
      </c>
      <c r="DX4" s="30">
        <v>2.1294874454294649E-2</v>
      </c>
      <c r="DY4" s="30">
        <v>2.2110302181442752E-2</v>
      </c>
      <c r="DZ4" s="30">
        <v>1.8187961118967151E-2</v>
      </c>
      <c r="EA4" s="30">
        <v>1.8972921510954831E-2</v>
      </c>
      <c r="EB4" s="30">
        <v>1.2440641938269241E-2</v>
      </c>
      <c r="EC4" s="30">
        <v>1.9440548145298161E-2</v>
      </c>
      <c r="ED4" s="30">
        <v>1.7895222088173131E-2</v>
      </c>
      <c r="EE4" s="30">
        <v>1.9741134860367049E-2</v>
      </c>
      <c r="EF4" s="30">
        <v>1.6674021797905329E-2</v>
      </c>
    </row>
    <row r="5" spans="1:137" ht="16" customHeight="1">
      <c r="A5" s="29"/>
      <c r="B5" s="25" t="s">
        <v>138</v>
      </c>
      <c r="C5" s="30">
        <v>3.2149527084856369E-2</v>
      </c>
      <c r="D5" s="30">
        <v>3.105823310338086E-2</v>
      </c>
      <c r="E5" s="30">
        <v>2.1920012492185049E-2</v>
      </c>
      <c r="F5" s="30">
        <v>2.691981605032728E-2</v>
      </c>
      <c r="G5" s="30">
        <v>3.5273391801589921E-2</v>
      </c>
      <c r="H5" s="30">
        <v>7.2960052853962912E-2</v>
      </c>
      <c r="I5" s="30">
        <v>8.370043064766719E-2</v>
      </c>
      <c r="J5" s="30">
        <v>5.495260713794909E-2</v>
      </c>
      <c r="K5" s="30">
        <v>6.5819170342395678E-2</v>
      </c>
      <c r="L5" s="30">
        <v>4.1291150417782981E-2</v>
      </c>
      <c r="M5" s="30">
        <v>3.1112425393556051E-2</v>
      </c>
      <c r="N5" s="30">
        <v>1.5944504229597981E-2</v>
      </c>
      <c r="O5" s="30">
        <v>2.8902999389272929E-3</v>
      </c>
      <c r="P5" s="30">
        <v>-2.0143455102547021E-2</v>
      </c>
      <c r="Q5" s="30">
        <v>4.4313997804930469E-3</v>
      </c>
      <c r="R5" s="30">
        <v>-3.224181865720778E-2</v>
      </c>
      <c r="S5" s="30">
        <v>-1.46021568898697E-2</v>
      </c>
      <c r="T5" s="30">
        <v>4.4119439715052987E-3</v>
      </c>
      <c r="U5" s="30">
        <v>-1.292089384418894E-2</v>
      </c>
      <c r="V5" s="30">
        <v>-5.8865342492954789E-3</v>
      </c>
      <c r="W5" s="30">
        <v>2.54736714700604E-2</v>
      </c>
      <c r="X5" s="30">
        <v>-5.2639646135125258E-3</v>
      </c>
      <c r="Y5" s="30">
        <v>-1.6245666614879931E-2</v>
      </c>
      <c r="Z5" s="30">
        <v>-3.9122599829060356E-3</v>
      </c>
      <c r="AA5" s="30">
        <v>1.0350439256341919E-2</v>
      </c>
      <c r="AB5" s="30">
        <v>4.3275859692831327E-2</v>
      </c>
      <c r="AC5" s="30">
        <v>2.8867700583139332E-2</v>
      </c>
      <c r="AD5" s="30">
        <v>4.1043584630013029E-2</v>
      </c>
      <c r="AE5" s="30">
        <v>2.3302438782104511E-2</v>
      </c>
      <c r="AF5" s="30">
        <v>2.9358021178190408E-2</v>
      </c>
      <c r="AG5" s="30">
        <v>1.6663025097451951E-2</v>
      </c>
      <c r="AH5" s="30">
        <v>1.526857378577275E-2</v>
      </c>
      <c r="AI5" s="30">
        <v>1.4681378114002689E-2</v>
      </c>
      <c r="AJ5" s="30">
        <v>3.3443265762379722E-3</v>
      </c>
      <c r="AK5" s="30">
        <v>1.899701826950519E-2</v>
      </c>
      <c r="AL5" s="30">
        <v>2.4881633411433471E-2</v>
      </c>
      <c r="AM5" s="30">
        <v>1.378765224315145E-2</v>
      </c>
      <c r="AN5" s="30">
        <v>4.0164410358838913E-3</v>
      </c>
      <c r="AO5" s="30">
        <v>1.185301211492496E-2</v>
      </c>
      <c r="AP5" s="30">
        <v>-2.400252940240577E-2</v>
      </c>
      <c r="AQ5" s="30">
        <v>-8.6616031918082519E-3</v>
      </c>
      <c r="AR5" s="30">
        <v>-4.9291308205635737E-2</v>
      </c>
      <c r="AS5" s="30">
        <v>-4.6612021224546857E-2</v>
      </c>
      <c r="AT5" s="30">
        <v>-1.366930300035602E-2</v>
      </c>
      <c r="AU5" s="30">
        <v>-7.1382331643124273E-3</v>
      </c>
      <c r="AV5" s="30">
        <v>-1.2807856371098341E-2</v>
      </c>
      <c r="AW5" s="30">
        <v>1.0745088545015611E-2</v>
      </c>
      <c r="AX5" s="30">
        <v>-1.1321088629540599E-3</v>
      </c>
      <c r="AY5" s="30">
        <v>1.6647319343567529E-2</v>
      </c>
      <c r="AZ5" s="30">
        <v>1.8617873365772891E-2</v>
      </c>
      <c r="BA5" s="30">
        <v>2.3323984711130591E-2</v>
      </c>
      <c r="BB5" s="30">
        <v>8.2449341885643904E-3</v>
      </c>
      <c r="BC5" s="30">
        <v>8.8282725652130169E-3</v>
      </c>
      <c r="BD5" s="30">
        <v>1.8147155672696359E-2</v>
      </c>
      <c r="BE5" s="30">
        <v>6.1555981266258868E-3</v>
      </c>
      <c r="BF5" s="30">
        <v>-1.229064455734249E-2</v>
      </c>
      <c r="BG5" s="30">
        <v>-5.9310580541937002E-3</v>
      </c>
      <c r="BH5" s="30">
        <v>-4.2727280286792013E-3</v>
      </c>
      <c r="BI5" s="30">
        <v>1.4160548000307071E-2</v>
      </c>
      <c r="BJ5" s="30">
        <v>8.3678246380819027E-3</v>
      </c>
      <c r="BK5" s="30">
        <v>-1.8798857360029252E-2</v>
      </c>
      <c r="BL5" s="30">
        <v>-5.8491424170947449E-3</v>
      </c>
      <c r="BM5" s="30">
        <v>-1.3166786480675159E-2</v>
      </c>
      <c r="BN5" s="30">
        <v>1.388555131204235E-2</v>
      </c>
      <c r="BO5" s="30">
        <v>1.6162147350699579E-2</v>
      </c>
      <c r="BP5" s="30">
        <v>3.9650518321837379E-2</v>
      </c>
      <c r="BQ5" s="30">
        <v>3.1389726178375613E-2</v>
      </c>
      <c r="BR5" s="30">
        <v>4.0897547442941981E-2</v>
      </c>
      <c r="BS5" s="30">
        <v>1.367635426070231E-2</v>
      </c>
      <c r="BT5" s="30">
        <v>1.6915816793389899E-2</v>
      </c>
      <c r="BU5" s="30">
        <v>1.7996776268584352E-2</v>
      </c>
      <c r="BV5" s="30">
        <v>1.69136245347128E-2</v>
      </c>
      <c r="BW5" s="30">
        <v>5.4921253193510999E-3</v>
      </c>
      <c r="BX5" s="30">
        <v>1.170878101820127E-2</v>
      </c>
      <c r="BY5" s="30">
        <v>1.249350926070799E-2</v>
      </c>
      <c r="BZ5" s="30">
        <v>1.7018808576172651E-2</v>
      </c>
      <c r="CA5" s="30">
        <v>1.4260342294680669E-2</v>
      </c>
      <c r="CB5" s="30">
        <v>5.0213231193390407E-3</v>
      </c>
      <c r="CC5" s="30">
        <v>-1.868269587538764E-3</v>
      </c>
      <c r="CD5" s="30">
        <v>2.045841222857829E-2</v>
      </c>
      <c r="CE5" s="30">
        <v>2.0683321016735281E-2</v>
      </c>
      <c r="CF5" s="30">
        <v>-9.5815188786293436E-3</v>
      </c>
      <c r="CG5" s="30">
        <v>-2.8466592549503771E-2</v>
      </c>
      <c r="CH5" s="30">
        <v>-3.2564910892747849E-3</v>
      </c>
      <c r="CI5" s="30">
        <v>1.9169051095262791E-3</v>
      </c>
      <c r="CJ5" s="30">
        <v>1.1528987188833519E-2</v>
      </c>
      <c r="CK5" s="30">
        <v>1.006828635293071E-2</v>
      </c>
      <c r="CL5" s="30">
        <v>1.2952232423862351E-2</v>
      </c>
      <c r="CM5" s="30">
        <v>4.3310723839016961E-3</v>
      </c>
      <c r="CN5" s="30">
        <v>-2.9342906660342599E-3</v>
      </c>
      <c r="CO5" s="30">
        <v>-7.4118525748900349E-3</v>
      </c>
      <c r="CP5" s="30">
        <v>-8.4165338484879088E-3</v>
      </c>
      <c r="CQ5" s="30">
        <v>2.6063257135203318E-4</v>
      </c>
      <c r="CR5" s="30">
        <v>-4.5614667611052406E-3</v>
      </c>
      <c r="CS5" s="30">
        <v>-1.5033045218345869E-2</v>
      </c>
      <c r="CT5" s="30">
        <v>-6.4041876456897373E-3</v>
      </c>
      <c r="CU5" s="30">
        <v>-5.2180227541617002E-3</v>
      </c>
      <c r="CV5" s="30">
        <v>1.476681113641032E-2</v>
      </c>
      <c r="CW5" s="30">
        <v>7.9096072335034275E-3</v>
      </c>
      <c r="CX5" s="30">
        <v>9.1865944707425796E-3</v>
      </c>
      <c r="CY5" s="30">
        <v>7.9215283147466183E-3</v>
      </c>
      <c r="CZ5" s="30">
        <v>2.591144793400731E-2</v>
      </c>
      <c r="DA5" s="30">
        <v>-3.3181029063199328E-2</v>
      </c>
      <c r="DB5" s="30">
        <v>1.0437975848499559E-2</v>
      </c>
      <c r="DC5" s="30">
        <v>3.6289702048972229E-2</v>
      </c>
      <c r="DD5" s="30">
        <v>-2.733366229117298E-2</v>
      </c>
      <c r="DE5" s="30">
        <v>5.3204379349536573E-5</v>
      </c>
      <c r="DF5" s="30">
        <v>1.193428879192393E-2</v>
      </c>
      <c r="DG5" s="30">
        <v>-6.8727258376211778E-3</v>
      </c>
      <c r="DH5" s="30">
        <v>3.881353748085382E-3</v>
      </c>
      <c r="DI5" s="30">
        <v>8.9454077666745666E-3</v>
      </c>
      <c r="DJ5" s="30">
        <v>1.4739475713264789E-2</v>
      </c>
      <c r="DK5" s="30">
        <v>-9.5534372883526401E-3</v>
      </c>
      <c r="DL5" s="30">
        <v>4.5369163136782471E-2</v>
      </c>
      <c r="DM5" s="30">
        <v>5.2420327587513388E-2</v>
      </c>
      <c r="DN5" s="30">
        <v>4.6322268325848508E-2</v>
      </c>
      <c r="DO5" s="30">
        <v>3.8793460338852753E-2</v>
      </c>
      <c r="DP5" s="30">
        <v>3.1593983972767588E-2</v>
      </c>
      <c r="DQ5" s="30">
        <v>2.797446011579121E-2</v>
      </c>
      <c r="DR5" s="30">
        <v>4.167004625571382E-2</v>
      </c>
      <c r="DS5" s="30">
        <v>3.9311670857282079E-2</v>
      </c>
      <c r="DT5" s="30">
        <v>4.1756820117327051E-2</v>
      </c>
      <c r="DU5" s="30">
        <v>4.0857076088111163E-2</v>
      </c>
      <c r="DV5" s="30">
        <v>2.9541589437123771E-2</v>
      </c>
      <c r="DW5" s="30">
        <v>4.8580647466298171E-2</v>
      </c>
      <c r="DX5" s="30">
        <v>2.1294874454294649E-2</v>
      </c>
      <c r="DY5" s="30">
        <v>2.2110302181442752E-2</v>
      </c>
      <c r="DZ5" s="30">
        <v>1.8187961118967151E-2</v>
      </c>
      <c r="EA5" s="30">
        <v>1.8972921510954831E-2</v>
      </c>
      <c r="EB5" s="30">
        <v>1.2440641938269241E-2</v>
      </c>
      <c r="EC5" s="30">
        <v>1.9440548145298161E-2</v>
      </c>
      <c r="ED5" s="30">
        <v>1.7895222088173131E-2</v>
      </c>
      <c r="EE5" s="30">
        <v>1.9741134860367049E-2</v>
      </c>
      <c r="EF5" s="30">
        <v>1.6674021797905329E-2</v>
      </c>
    </row>
    <row r="6" spans="1:137" ht="16" customHeight="1">
      <c r="A6" s="29"/>
      <c r="B6" s="25" t="s">
        <v>139</v>
      </c>
      <c r="C6" s="30">
        <v>2.8280704390300108E-2</v>
      </c>
      <c r="D6" s="30">
        <v>4.5024379406202811E-2</v>
      </c>
      <c r="E6" s="30">
        <v>2.280546154566029E-2</v>
      </c>
      <c r="F6" s="30">
        <v>3.0473304732819891E-2</v>
      </c>
      <c r="G6" s="30">
        <v>2.5801966428159521E-2</v>
      </c>
      <c r="H6" s="30">
        <v>2.6407937107940899E-2</v>
      </c>
      <c r="I6" s="30">
        <v>3.8669716350454943E-2</v>
      </c>
      <c r="J6" s="30">
        <v>3.6013740919409433E-2</v>
      </c>
      <c r="K6" s="30">
        <v>3.9669623528856057E-2</v>
      </c>
      <c r="L6" s="30">
        <v>2.3215573984984521E-2</v>
      </c>
      <c r="M6" s="30">
        <v>1.443988111013441E-2</v>
      </c>
      <c r="N6" s="30">
        <v>2.0245466042714239E-2</v>
      </c>
      <c r="O6" s="30">
        <v>1.6677705064860882E-2</v>
      </c>
      <c r="P6" s="30">
        <v>1.5979593695735188E-2</v>
      </c>
      <c r="Q6" s="30">
        <v>1.7689819464201791E-2</v>
      </c>
      <c r="R6" s="30">
        <v>8.9443821713221256E-3</v>
      </c>
      <c r="S6" s="30">
        <v>2.792923199543073E-2</v>
      </c>
      <c r="T6" s="30">
        <v>1.209786800858016E-2</v>
      </c>
      <c r="U6" s="30">
        <v>1.6471196206096831E-2</v>
      </c>
      <c r="V6" s="30">
        <v>1.4996151179327261E-2</v>
      </c>
      <c r="W6" s="30">
        <v>1.3040458454964571E-2</v>
      </c>
      <c r="X6" s="30">
        <v>1.8810073915180608E-2</v>
      </c>
      <c r="Y6" s="30">
        <v>1.158288054556257E-3</v>
      </c>
      <c r="Z6" s="30">
        <v>8.0285515287233655E-3</v>
      </c>
      <c r="AA6" s="30">
        <v>5.5331159975171573E-3</v>
      </c>
      <c r="AB6" s="30">
        <v>5.573420018015249E-3</v>
      </c>
      <c r="AC6" s="30">
        <v>1.5292132549204871E-2</v>
      </c>
      <c r="AD6" s="30">
        <v>1.3483450542514789E-2</v>
      </c>
      <c r="AE6" s="30">
        <v>1.510214991618563E-2</v>
      </c>
      <c r="AF6" s="30">
        <v>8.3251923757372403E-3</v>
      </c>
      <c r="AG6" s="30">
        <v>2.0406204578778019E-2</v>
      </c>
      <c r="AH6" s="30">
        <v>4.2947612703153337E-2</v>
      </c>
      <c r="AI6" s="30">
        <v>1.323410067682834E-2</v>
      </c>
      <c r="AJ6" s="30">
        <v>1.075877099074184E-2</v>
      </c>
      <c r="AK6" s="30">
        <v>7.1831978536905398E-3</v>
      </c>
      <c r="AL6" s="30">
        <v>1.450761294280168E-2</v>
      </c>
      <c r="AM6" s="30">
        <v>1.7219896365006749E-2</v>
      </c>
      <c r="AN6" s="30">
        <v>1.6130185149697621E-2</v>
      </c>
      <c r="AO6" s="30">
        <v>2.732854240220621E-3</v>
      </c>
      <c r="AP6" s="30">
        <v>1.081133870521986E-2</v>
      </c>
      <c r="AQ6" s="30">
        <v>1.426900216662433E-2</v>
      </c>
      <c r="AR6" s="30">
        <v>1.667197357403552E-2</v>
      </c>
      <c r="AS6" s="30">
        <v>1.090389377080783E-2</v>
      </c>
      <c r="AT6" s="30">
        <v>1.935260392944748E-2</v>
      </c>
      <c r="AU6" s="30">
        <v>3.3369060224650617E-2</v>
      </c>
      <c r="AV6" s="30">
        <v>3.3609502156027621E-2</v>
      </c>
      <c r="AW6" s="30">
        <v>3.6213351831718532E-2</v>
      </c>
      <c r="AX6" s="30">
        <v>1.075540870992654E-2</v>
      </c>
      <c r="AY6" s="30">
        <v>2.228162631166182E-2</v>
      </c>
      <c r="AZ6" s="30">
        <v>2.9838240938399079E-2</v>
      </c>
      <c r="BA6" s="30">
        <v>9.2262385039285858E-3</v>
      </c>
      <c r="BB6" s="30">
        <v>2.0435759456122079E-2</v>
      </c>
      <c r="BC6" s="30">
        <v>2.0621794196915101E-2</v>
      </c>
      <c r="BD6" s="30">
        <v>2.420526434008009E-2</v>
      </c>
      <c r="BE6" s="30">
        <v>1.577829935459233E-2</v>
      </c>
      <c r="BF6" s="30">
        <v>1.458734424161524E-2</v>
      </c>
      <c r="BG6" s="30">
        <v>2.052339978280324E-2</v>
      </c>
      <c r="BH6" s="30">
        <v>2.2897761270398449E-2</v>
      </c>
      <c r="BI6" s="30">
        <v>2.458736290064131E-2</v>
      </c>
      <c r="BJ6" s="30">
        <v>1.8443814847197159E-2</v>
      </c>
      <c r="BK6" s="30">
        <v>1.9702031446763722E-2</v>
      </c>
      <c r="BL6" s="30">
        <v>4.5770525666685904E-3</v>
      </c>
      <c r="BM6" s="30">
        <v>7.2036967440205167E-4</v>
      </c>
      <c r="BN6" s="30">
        <v>6.8383365665755534E-3</v>
      </c>
      <c r="BO6" s="30">
        <v>8.4956029922433427E-3</v>
      </c>
      <c r="BP6" s="30">
        <v>6.8676054900509154E-3</v>
      </c>
      <c r="BQ6" s="30">
        <v>1.2148289618567591E-2</v>
      </c>
      <c r="BR6" s="30">
        <v>1.272996590241009E-2</v>
      </c>
      <c r="BS6" s="30">
        <v>1.5897603947235609E-2</v>
      </c>
      <c r="BT6" s="30">
        <v>1.535717099537764E-2</v>
      </c>
      <c r="BU6" s="30">
        <v>1.653479654924242E-2</v>
      </c>
      <c r="BV6" s="30">
        <v>1.7159038106958641E-2</v>
      </c>
      <c r="BW6" s="30">
        <v>1.314773306418953E-2</v>
      </c>
      <c r="BX6" s="30">
        <v>2.939109635761903E-2</v>
      </c>
      <c r="BY6" s="30">
        <v>2.9697604085524441E-2</v>
      </c>
      <c r="BZ6" s="30">
        <v>2.316941921911005E-2</v>
      </c>
      <c r="CA6" s="30">
        <v>2.1585326316878831E-2</v>
      </c>
      <c r="CB6" s="30">
        <v>3.6279979095123968E-2</v>
      </c>
      <c r="CC6" s="30">
        <v>2.24714142327703E-3</v>
      </c>
      <c r="CD6" s="30">
        <v>1.1431404503374249E-2</v>
      </c>
      <c r="CE6" s="30">
        <v>9.7325277895349595E-3</v>
      </c>
      <c r="CF6" s="30">
        <v>1.2918742683982029E-2</v>
      </c>
      <c r="CG6" s="30">
        <v>1.679152234501648E-2</v>
      </c>
      <c r="CH6" s="30">
        <v>2.6978401746142321E-2</v>
      </c>
      <c r="CI6" s="30">
        <v>1.9743050223818691E-2</v>
      </c>
      <c r="CJ6" s="30">
        <v>3.6282558564842249E-2</v>
      </c>
      <c r="CK6" s="30">
        <v>3.7565589418902638E-2</v>
      </c>
      <c r="CL6" s="30">
        <v>2.740697958967192E-2</v>
      </c>
      <c r="CM6" s="30">
        <v>2.325233325484765E-2</v>
      </c>
      <c r="CN6" s="30">
        <v>7.2236254921702048E-3</v>
      </c>
      <c r="CO6" s="30">
        <v>8.6283922206096923E-3</v>
      </c>
      <c r="CP6" s="30">
        <v>8.2387791199042704E-3</v>
      </c>
      <c r="CQ6" s="30">
        <v>9.0960544024770631E-3</v>
      </c>
      <c r="CR6" s="30">
        <v>-1.9608093339342981E-2</v>
      </c>
      <c r="CS6" s="30">
        <v>8.0383363695047411E-3</v>
      </c>
      <c r="CT6" s="30">
        <v>3.14043458231934E-3</v>
      </c>
      <c r="CU6" s="30">
        <v>-7.3210795615850158E-3</v>
      </c>
      <c r="CV6" s="30">
        <v>-2.3633032702838948E-3</v>
      </c>
      <c r="CW6" s="30">
        <v>1.023429987799437E-2</v>
      </c>
      <c r="CX6" s="30">
        <v>2.8585785078917941E-2</v>
      </c>
      <c r="CY6" s="30">
        <v>3.109417214844766E-2</v>
      </c>
      <c r="CZ6" s="30">
        <v>3.1553415263575198E-2</v>
      </c>
      <c r="DA6" s="30">
        <v>4.2270886728509323E-2</v>
      </c>
      <c r="DB6" s="30">
        <v>3.9805308014501918E-2</v>
      </c>
      <c r="DC6" s="30">
        <v>1.557560219775511E-2</v>
      </c>
      <c r="DD6" s="30">
        <v>3.4946221058153717E-2</v>
      </c>
      <c r="DE6" s="30">
        <v>8.3616852855228976E-2</v>
      </c>
      <c r="DF6" s="30">
        <v>7.2050125510547611E-2</v>
      </c>
      <c r="DG6" s="30">
        <v>4.0272677130846493E-2</v>
      </c>
      <c r="DH6" s="30">
        <v>2.0352821268463939E-2</v>
      </c>
      <c r="DI6" s="30">
        <v>1.228975335635323E-2</v>
      </c>
      <c r="DJ6" s="30">
        <v>3.3017883957847508E-2</v>
      </c>
      <c r="DK6" s="30">
        <v>4.1169359348369053E-3</v>
      </c>
      <c r="DL6" s="30">
        <v>3.2895248691254468E-3</v>
      </c>
      <c r="DM6" s="30">
        <v>1.6270140785815131E-2</v>
      </c>
      <c r="DN6" s="30">
        <v>1.9067256637630769E-2</v>
      </c>
      <c r="DO6" s="30">
        <v>4.3813887986982297E-2</v>
      </c>
      <c r="DP6" s="30">
        <v>4.2895956818593893E-2</v>
      </c>
      <c r="DQ6" s="30">
        <v>3.9102398189050869E-2</v>
      </c>
      <c r="DR6" s="30">
        <v>3.5268576901428733E-2</v>
      </c>
      <c r="DS6" s="30">
        <v>4.1220381049105567E-2</v>
      </c>
      <c r="DT6" s="30">
        <v>4.4856574666399682E-2</v>
      </c>
      <c r="DU6" s="30">
        <v>3.8425398498108519E-2</v>
      </c>
      <c r="DV6" s="30">
        <v>4.2252549163176681E-2</v>
      </c>
      <c r="DW6" s="30">
        <v>4.3956924811984613E-2</v>
      </c>
      <c r="DX6" s="30">
        <v>5.1589606010046578E-2</v>
      </c>
      <c r="DY6" s="30">
        <v>5.2634911428860967E-2</v>
      </c>
      <c r="DZ6" s="30">
        <v>5.2838321136823047E-2</v>
      </c>
      <c r="EA6" s="30">
        <v>4.6836472657296901E-2</v>
      </c>
      <c r="EB6" s="30">
        <v>4.6645625379892482E-2</v>
      </c>
      <c r="EC6" s="30">
        <v>5.3388726772712801E-2</v>
      </c>
      <c r="ED6" s="30">
        <v>1.5378748008182411E-2</v>
      </c>
      <c r="EE6" s="30">
        <v>2.0959300625386042E-2</v>
      </c>
      <c r="EF6" s="30">
        <v>2.3158289217307421E-2</v>
      </c>
      <c r="EG6" s="4"/>
    </row>
    <row r="7" spans="1:137" ht="16" customHeight="1">
      <c r="A7" s="4"/>
      <c r="B7" s="25" t="s">
        <v>140</v>
      </c>
      <c r="C7" s="30">
        <v>7.4353344920649912E-3</v>
      </c>
      <c r="D7" s="30">
        <v>-2.875530068057508E-2</v>
      </c>
      <c r="E7" s="30">
        <v>2.625497867669729E-5</v>
      </c>
      <c r="F7" s="30">
        <v>8.1230332968671316E-3</v>
      </c>
      <c r="G7" s="30">
        <v>1.9214540442550889E-3</v>
      </c>
      <c r="H7" s="30">
        <v>1.6301272049747701E-2</v>
      </c>
      <c r="I7" s="30">
        <v>-1.480155196575862E-2</v>
      </c>
      <c r="J7" s="30">
        <v>5.0232192907431993E-3</v>
      </c>
      <c r="K7" s="30">
        <v>-2.0936214975503121E-2</v>
      </c>
      <c r="L7" s="30">
        <v>1.2283281425310341E-2</v>
      </c>
      <c r="M7" s="30">
        <v>-4.2762316054741227E-2</v>
      </c>
      <c r="N7" s="30">
        <v>-2.5475367443900412E-2</v>
      </c>
      <c r="O7" s="30">
        <v>-2.5329165903842241E-2</v>
      </c>
      <c r="P7" s="30">
        <v>-9.2756308486722488E-3</v>
      </c>
      <c r="Q7" s="30">
        <v>2.9479018409818959E-2</v>
      </c>
      <c r="R7" s="30">
        <v>-1.2899916393192721E-2</v>
      </c>
      <c r="S7" s="30">
        <v>5.5302829808812218E-3</v>
      </c>
      <c r="T7" s="30">
        <v>-4.972007095610944E-2</v>
      </c>
      <c r="U7" s="30">
        <v>4.1650928252120932E-2</v>
      </c>
      <c r="V7" s="30">
        <v>-2.406089484220705E-2</v>
      </c>
      <c r="W7" s="30">
        <v>-1.9445980940141869E-2</v>
      </c>
      <c r="X7" s="30">
        <v>4.1013326566466468E-3</v>
      </c>
      <c r="Y7" s="30">
        <v>3.1114671232387051E-2</v>
      </c>
      <c r="Z7" s="30">
        <v>-4.1235056326330968E-2</v>
      </c>
      <c r="AA7" s="30">
        <v>2.7015095628730008E-2</v>
      </c>
      <c r="AB7" s="30">
        <v>5.2994812282613378E-3</v>
      </c>
      <c r="AC7" s="30">
        <v>3.0553440597628979E-2</v>
      </c>
      <c r="AD7" s="30">
        <v>-8.6666010613358178E-3</v>
      </c>
      <c r="AE7" s="30">
        <v>4.9092226186769963E-3</v>
      </c>
      <c r="AF7" s="30">
        <v>-1.7946305269344501E-2</v>
      </c>
      <c r="AG7" s="30">
        <v>3.3899837834784549E-2</v>
      </c>
      <c r="AH7" s="30">
        <v>-6.1240908137658598E-3</v>
      </c>
      <c r="AI7" s="30">
        <v>1.8774453302671981E-2</v>
      </c>
      <c r="AJ7" s="30">
        <v>2.938275775808824E-2</v>
      </c>
      <c r="AK7" s="30">
        <v>-3.368656900130175E-2</v>
      </c>
      <c r="AL7" s="30">
        <v>-3.2280316607107153E-2</v>
      </c>
      <c r="AM7" s="30">
        <v>3.2138735356312871E-3</v>
      </c>
      <c r="AN7" s="30">
        <v>0.11408471417581161</v>
      </c>
      <c r="AO7" s="30">
        <v>2.7994180019419529E-2</v>
      </c>
      <c r="AP7" s="30">
        <v>2.9917062101934871E-2</v>
      </c>
      <c r="AQ7" s="30">
        <v>-4.1139472151922561E-2</v>
      </c>
      <c r="AR7" s="30">
        <v>-8.7443991551450283E-4</v>
      </c>
      <c r="AS7" s="30">
        <v>1.502608283696439E-2</v>
      </c>
      <c r="AT7" s="30">
        <v>-1.5190474934199231E-2</v>
      </c>
      <c r="AU7" s="30">
        <v>-3.8575340693890993E-2</v>
      </c>
      <c r="AV7" s="30">
        <v>1.531241271810335E-2</v>
      </c>
      <c r="AW7" s="30">
        <v>3.5025743999815222E-2</v>
      </c>
      <c r="AX7" s="30">
        <v>3.590173364689983E-3</v>
      </c>
      <c r="AY7" s="30">
        <v>-3.065631299094055E-2</v>
      </c>
      <c r="AZ7" s="30">
        <v>-2.9025724989795482E-3</v>
      </c>
      <c r="BA7" s="30">
        <v>5.6352578453261514E-3</v>
      </c>
      <c r="BB7" s="30">
        <v>-3.4053290330317877E-2</v>
      </c>
      <c r="BC7" s="30">
        <v>-1.3759947850461611E-2</v>
      </c>
      <c r="BD7" s="30">
        <v>-2.2573769580000971E-2</v>
      </c>
      <c r="BE7" s="30">
        <v>5.5568102709927314E-3</v>
      </c>
      <c r="BF7" s="30">
        <v>9.3798251039498865E-3</v>
      </c>
      <c r="BG7" s="30">
        <v>-1.60466931531477E-2</v>
      </c>
      <c r="BH7" s="30">
        <v>5.8929576271515877E-2</v>
      </c>
      <c r="BI7" s="30">
        <v>-2.823597838973416E-2</v>
      </c>
      <c r="BJ7" s="30">
        <v>-3.7545426088099339E-3</v>
      </c>
      <c r="BK7" s="30">
        <v>1.12947175469627E-2</v>
      </c>
      <c r="BL7" s="30">
        <v>-4.6188342024757433E-2</v>
      </c>
      <c r="BM7" s="30">
        <v>-2.044314799513371E-2</v>
      </c>
      <c r="BN7" s="30">
        <v>-1.792646745728519E-2</v>
      </c>
      <c r="BO7" s="30">
        <v>1.158253890261654E-2</v>
      </c>
      <c r="BP7" s="30">
        <v>-2.8645742093634549E-3</v>
      </c>
      <c r="BQ7" s="30">
        <v>-9.2485502185910728E-2</v>
      </c>
      <c r="BR7" s="30">
        <v>-8.0970017756655851E-3</v>
      </c>
      <c r="BS7" s="30">
        <v>-1.1301579823575729E-2</v>
      </c>
      <c r="BT7" s="30">
        <v>1.4912762440003859E-2</v>
      </c>
      <c r="BU7" s="30">
        <v>1.6618493226359519E-2</v>
      </c>
      <c r="BV7" s="30">
        <v>1.6276276334500898E-2</v>
      </c>
      <c r="BW7" s="30">
        <v>-4.4854207433119388E-2</v>
      </c>
      <c r="BX7" s="30">
        <v>1.9136159961214861E-2</v>
      </c>
      <c r="BY7" s="30">
        <v>-2.107664624880163E-2</v>
      </c>
      <c r="BZ7" s="30">
        <v>-2.3497155431378629E-2</v>
      </c>
      <c r="CA7" s="30">
        <v>-4.1401721265350293E-2</v>
      </c>
      <c r="CB7" s="30">
        <v>-4.2780938699972879E-3</v>
      </c>
      <c r="CC7" s="30">
        <v>2.2498145722948681E-2</v>
      </c>
      <c r="CD7" s="30">
        <v>-1.1710732511261991E-2</v>
      </c>
      <c r="CE7" s="30">
        <v>5.8979172864941969E-2</v>
      </c>
      <c r="CF7" s="30">
        <v>-1.9429796609135502E-2</v>
      </c>
      <c r="CG7" s="30">
        <v>1.8692101182787961E-2</v>
      </c>
      <c r="CH7" s="30">
        <v>-5.8114522995312574E-3</v>
      </c>
      <c r="CI7" s="30">
        <v>-4.1834283948482813E-2</v>
      </c>
      <c r="CJ7" s="30">
        <v>-1.2841469113402511E-2</v>
      </c>
      <c r="CK7" s="30">
        <v>1.3618815078573061E-2</v>
      </c>
      <c r="CL7" s="30">
        <v>-3.5360868995728541E-3</v>
      </c>
      <c r="CM7" s="30">
        <v>-4.2807171723793259E-2</v>
      </c>
      <c r="CN7" s="30">
        <v>2.064292964608282E-2</v>
      </c>
      <c r="CO7" s="30">
        <v>-4.1396506261787688E-2</v>
      </c>
      <c r="CP7" s="30">
        <v>4.3251404098826073E-2</v>
      </c>
      <c r="CQ7" s="30">
        <v>-2.546857644765994E-2</v>
      </c>
      <c r="CR7" s="30">
        <v>-9.7805463431371586E-3</v>
      </c>
      <c r="CS7" s="30">
        <v>-3.6398624987035312E-2</v>
      </c>
      <c r="CT7" s="30">
        <v>-4.7913536663523437E-2</v>
      </c>
      <c r="CU7" s="30">
        <v>-1.8724998041787351E-2</v>
      </c>
      <c r="CV7" s="30">
        <v>1.36718807374523E-2</v>
      </c>
      <c r="CW7" s="30">
        <v>-5.8236048899234158E-2</v>
      </c>
      <c r="CX7" s="30">
        <v>5.9009893373537403E-2</v>
      </c>
      <c r="CY7" s="30">
        <v>3.1124682354760212E-2</v>
      </c>
      <c r="CZ7" s="30">
        <v>-3.696200527749352E-2</v>
      </c>
      <c r="DA7" s="30">
        <v>2.6875190968902112E-2</v>
      </c>
      <c r="DB7" s="30">
        <v>4.9460523373424121E-3</v>
      </c>
      <c r="DC7" s="30">
        <v>1.327321928751905E-2</v>
      </c>
      <c r="DD7" s="30">
        <v>1.811079241602016E-2</v>
      </c>
      <c r="DE7" s="30">
        <v>-5.0468456418839023E-3</v>
      </c>
      <c r="DF7" s="30">
        <v>5.1712811986852174E-3</v>
      </c>
      <c r="DG7" s="30">
        <v>-8.5517408256228482E-3</v>
      </c>
      <c r="DH7" s="30">
        <v>-3.9740828521319348E-3</v>
      </c>
      <c r="DI7" s="30">
        <v>3.5094373735543492E-2</v>
      </c>
      <c r="DJ7" s="30">
        <v>4.2093320963441858E-2</v>
      </c>
      <c r="DK7" s="30">
        <v>4.1605226339579797E-2</v>
      </c>
      <c r="DL7" s="30">
        <v>3.7424470213210513E-2</v>
      </c>
      <c r="DM7" s="30">
        <v>6.4227276481688533E-3</v>
      </c>
      <c r="DN7" s="30">
        <v>5.0342978659012168E-2</v>
      </c>
      <c r="DO7" s="30">
        <v>3.4076576882112013E-2</v>
      </c>
      <c r="DP7" s="30">
        <v>-1.8457856987143272E-2</v>
      </c>
      <c r="DQ7" s="30">
        <v>-3.2019899650875462E-2</v>
      </c>
      <c r="DR7" s="30">
        <v>-1.421425426399614E-2</v>
      </c>
      <c r="DS7" s="30">
        <v>-1.884113695410098E-2</v>
      </c>
      <c r="DT7" s="30">
        <v>5.2764154374947123E-2</v>
      </c>
      <c r="DU7" s="30">
        <v>3.7587698497860852E-2</v>
      </c>
      <c r="DV7" s="30">
        <v>5.5246083188534377E-2</v>
      </c>
      <c r="DW7" s="30">
        <v>1.054102283846642E-2</v>
      </c>
      <c r="DX7" s="30">
        <v>-2.1472143975396211E-2</v>
      </c>
      <c r="DY7" s="30">
        <v>-2.3409169727012881E-2</v>
      </c>
      <c r="DZ7" s="30">
        <v>-3.7468140597677113E-2</v>
      </c>
      <c r="EA7" s="30">
        <v>1.5257175400854689E-2</v>
      </c>
      <c r="EB7" s="30">
        <v>1.732424109392391E-3</v>
      </c>
      <c r="EC7" s="30">
        <v>1.877110794649945E-3</v>
      </c>
      <c r="ED7" s="30">
        <v>-1.036048693426336E-2</v>
      </c>
      <c r="EE7" s="30">
        <v>-2.0699837142126348E-3</v>
      </c>
      <c r="EF7" s="30">
        <v>-1.0624359083820879E-3</v>
      </c>
    </row>
    <row r="8" spans="1:137" ht="16" customHeight="1">
      <c r="A8" s="4"/>
    </row>
    <row r="9" spans="1:137" ht="16" customHeight="1">
      <c r="A9" s="43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4"/>
    </row>
    <row r="10" spans="1:137" ht="17" customHeight="1">
      <c r="A10" s="29"/>
      <c r="B10" s="6" t="s">
        <v>1</v>
      </c>
      <c r="C10" s="40" t="s">
        <v>2</v>
      </c>
      <c r="D10" s="40" t="s">
        <v>3</v>
      </c>
      <c r="E10" s="40" t="s">
        <v>4</v>
      </c>
      <c r="F10" s="40" t="s">
        <v>5</v>
      </c>
      <c r="G10" s="40" t="s">
        <v>6</v>
      </c>
      <c r="H10" s="40" t="s">
        <v>7</v>
      </c>
      <c r="I10" s="40" t="s">
        <v>8</v>
      </c>
      <c r="J10" s="40" t="s">
        <v>9</v>
      </c>
      <c r="K10" s="40" t="s">
        <v>10</v>
      </c>
      <c r="L10" s="40" t="s">
        <v>11</v>
      </c>
      <c r="M10" s="40" t="s">
        <v>12</v>
      </c>
      <c r="N10" s="40" t="s">
        <v>13</v>
      </c>
      <c r="O10" s="40" t="s">
        <v>14</v>
      </c>
      <c r="P10" s="40" t="s">
        <v>15</v>
      </c>
      <c r="Q10" s="40" t="s">
        <v>16</v>
      </c>
      <c r="R10" s="40" t="s">
        <v>17</v>
      </c>
      <c r="S10" s="40" t="s">
        <v>18</v>
      </c>
      <c r="T10" s="40" t="s">
        <v>19</v>
      </c>
      <c r="U10" s="40" t="s">
        <v>20</v>
      </c>
      <c r="V10" s="40" t="s">
        <v>21</v>
      </c>
      <c r="W10" s="40" t="s">
        <v>22</v>
      </c>
      <c r="X10" s="40" t="s">
        <v>23</v>
      </c>
      <c r="Y10" s="40" t="s">
        <v>24</v>
      </c>
      <c r="Z10" s="40" t="s">
        <v>25</v>
      </c>
      <c r="AA10" s="40" t="s">
        <v>26</v>
      </c>
      <c r="AB10" s="40" t="s">
        <v>27</v>
      </c>
      <c r="AC10" s="40" t="s">
        <v>28</v>
      </c>
      <c r="AD10" s="40" t="s">
        <v>29</v>
      </c>
      <c r="AE10" s="40" t="s">
        <v>30</v>
      </c>
      <c r="AF10" s="40" t="s">
        <v>31</v>
      </c>
      <c r="AG10" s="40" t="s">
        <v>32</v>
      </c>
      <c r="AH10" s="40" t="s">
        <v>33</v>
      </c>
      <c r="AI10" s="40" t="s">
        <v>34</v>
      </c>
      <c r="AJ10" s="40" t="s">
        <v>35</v>
      </c>
      <c r="AK10" s="40" t="s">
        <v>36</v>
      </c>
      <c r="AL10" s="40" t="s">
        <v>37</v>
      </c>
      <c r="AM10" s="40" t="s">
        <v>38</v>
      </c>
      <c r="AN10" s="40" t="s">
        <v>39</v>
      </c>
      <c r="AO10" s="40" t="s">
        <v>40</v>
      </c>
      <c r="AP10" s="40" t="s">
        <v>41</v>
      </c>
      <c r="AQ10" s="40" t="s">
        <v>42</v>
      </c>
      <c r="AR10" s="40" t="s">
        <v>43</v>
      </c>
      <c r="AS10" s="40" t="s">
        <v>44</v>
      </c>
      <c r="AT10" s="40" t="s">
        <v>45</v>
      </c>
      <c r="AU10" s="40" t="s">
        <v>46</v>
      </c>
      <c r="AV10" s="40" t="s">
        <v>47</v>
      </c>
      <c r="AW10" s="40" t="s">
        <v>48</v>
      </c>
      <c r="AX10" s="40" t="s">
        <v>49</v>
      </c>
      <c r="AY10" s="40" t="s">
        <v>50</v>
      </c>
      <c r="AZ10" s="40" t="s">
        <v>51</v>
      </c>
      <c r="BA10" s="40" t="s">
        <v>52</v>
      </c>
      <c r="BB10" s="40" t="s">
        <v>53</v>
      </c>
      <c r="BC10" s="40" t="s">
        <v>54</v>
      </c>
      <c r="BD10" s="40" t="s">
        <v>55</v>
      </c>
      <c r="BE10" s="40" t="s">
        <v>56</v>
      </c>
      <c r="BF10" s="40" t="s">
        <v>57</v>
      </c>
      <c r="BG10" s="40" t="s">
        <v>58</v>
      </c>
      <c r="BH10" s="40" t="s">
        <v>59</v>
      </c>
      <c r="BI10" s="40" t="s">
        <v>60</v>
      </c>
      <c r="BJ10" s="40" t="s">
        <v>61</v>
      </c>
      <c r="BK10" s="40" t="s">
        <v>62</v>
      </c>
      <c r="BL10" s="40" t="s">
        <v>63</v>
      </c>
      <c r="BM10" s="40" t="s">
        <v>64</v>
      </c>
      <c r="BN10" s="40" t="s">
        <v>65</v>
      </c>
      <c r="BO10" s="40" t="s">
        <v>66</v>
      </c>
      <c r="BP10" s="40" t="s">
        <v>67</v>
      </c>
      <c r="BQ10" s="40" t="s">
        <v>68</v>
      </c>
      <c r="BR10" s="40" t="s">
        <v>69</v>
      </c>
      <c r="BS10" s="40" t="s">
        <v>70</v>
      </c>
      <c r="BT10" s="40" t="s">
        <v>71</v>
      </c>
      <c r="BU10" s="40" t="s">
        <v>72</v>
      </c>
      <c r="BV10" s="40" t="s">
        <v>73</v>
      </c>
      <c r="BW10" s="40" t="s">
        <v>74</v>
      </c>
      <c r="BX10" s="40" t="s">
        <v>75</v>
      </c>
      <c r="BY10" s="40" t="s">
        <v>76</v>
      </c>
      <c r="BZ10" s="40" t="s">
        <v>77</v>
      </c>
      <c r="CA10" s="40" t="s">
        <v>78</v>
      </c>
      <c r="CB10" s="40" t="s">
        <v>79</v>
      </c>
      <c r="CC10" s="40" t="s">
        <v>80</v>
      </c>
      <c r="CD10" s="40" t="s">
        <v>81</v>
      </c>
      <c r="CE10" s="40" t="s">
        <v>82</v>
      </c>
      <c r="CF10" s="40" t="s">
        <v>83</v>
      </c>
      <c r="CG10" s="40" t="s">
        <v>84</v>
      </c>
      <c r="CH10" s="40" t="s">
        <v>85</v>
      </c>
      <c r="CI10" s="40" t="s">
        <v>86</v>
      </c>
      <c r="CJ10" s="40" t="s">
        <v>87</v>
      </c>
      <c r="CK10" s="40" t="s">
        <v>88</v>
      </c>
      <c r="CL10" s="40" t="s">
        <v>89</v>
      </c>
      <c r="CM10" s="40" t="s">
        <v>90</v>
      </c>
      <c r="CN10" s="40" t="s">
        <v>91</v>
      </c>
      <c r="CO10" s="40" t="s">
        <v>92</v>
      </c>
      <c r="CP10" s="40" t="s">
        <v>93</v>
      </c>
      <c r="CQ10" s="40" t="s">
        <v>94</v>
      </c>
      <c r="CR10" s="40" t="s">
        <v>95</v>
      </c>
      <c r="CS10" s="40" t="s">
        <v>96</v>
      </c>
      <c r="CT10" s="40" t="s">
        <v>97</v>
      </c>
      <c r="CU10" s="40" t="s">
        <v>98</v>
      </c>
      <c r="CV10" s="40" t="s">
        <v>99</v>
      </c>
      <c r="CW10" s="40" t="s">
        <v>100</v>
      </c>
      <c r="CX10" s="40" t="s">
        <v>101</v>
      </c>
      <c r="CY10" s="40" t="s">
        <v>102</v>
      </c>
      <c r="CZ10" s="40" t="s">
        <v>103</v>
      </c>
      <c r="DA10" s="40" t="s">
        <v>104</v>
      </c>
      <c r="DB10" s="40" t="s">
        <v>105</v>
      </c>
      <c r="DC10" s="40" t="s">
        <v>106</v>
      </c>
      <c r="DD10" s="40" t="s">
        <v>107</v>
      </c>
      <c r="DE10" s="40" t="s">
        <v>108</v>
      </c>
      <c r="DF10" s="40" t="s">
        <v>109</v>
      </c>
      <c r="DG10" s="40" t="s">
        <v>110</v>
      </c>
      <c r="DH10" s="40" t="s">
        <v>111</v>
      </c>
      <c r="DI10" s="40" t="s">
        <v>112</v>
      </c>
      <c r="DJ10" s="40" t="s">
        <v>113</v>
      </c>
      <c r="DK10" s="40" t="s">
        <v>114</v>
      </c>
      <c r="DL10" s="40" t="s">
        <v>115</v>
      </c>
      <c r="DM10" s="40" t="s">
        <v>116</v>
      </c>
      <c r="DN10" s="40" t="s">
        <v>117</v>
      </c>
      <c r="DO10" s="40" t="s">
        <v>118</v>
      </c>
      <c r="DP10" s="40" t="s">
        <v>119</v>
      </c>
      <c r="DQ10" s="40" t="s">
        <v>120</v>
      </c>
      <c r="DR10" s="40" t="s">
        <v>121</v>
      </c>
      <c r="DS10" s="40" t="s">
        <v>122</v>
      </c>
      <c r="DT10" s="40" t="s">
        <v>123</v>
      </c>
      <c r="DU10" s="40" t="s">
        <v>124</v>
      </c>
      <c r="DV10" s="40" t="s">
        <v>125</v>
      </c>
      <c r="DW10" s="40" t="s">
        <v>126</v>
      </c>
      <c r="DX10" s="40" t="s">
        <v>127</v>
      </c>
      <c r="DY10" s="40" t="s">
        <v>128</v>
      </c>
      <c r="DZ10" s="40" t="s">
        <v>129</v>
      </c>
      <c r="EA10" s="40" t="s">
        <v>130</v>
      </c>
      <c r="EB10" s="40" t="s">
        <v>131</v>
      </c>
      <c r="EC10" s="40" t="s">
        <v>132</v>
      </c>
      <c r="ED10" s="41" t="s">
        <v>133</v>
      </c>
      <c r="EE10" s="40" t="s">
        <v>134</v>
      </c>
      <c r="EF10" s="40" t="s">
        <v>135</v>
      </c>
      <c r="EG10" s="4"/>
    </row>
    <row r="11" spans="1:137" ht="16" customHeight="1">
      <c r="A11" s="29"/>
      <c r="B11" s="25" t="s">
        <v>136</v>
      </c>
      <c r="C11" s="30">
        <v>0.12061070248141641</v>
      </c>
      <c r="D11" s="30">
        <v>4.5588621500437902E-2</v>
      </c>
      <c r="E11" s="30">
        <v>0.16704505126777161</v>
      </c>
      <c r="F11" s="30">
        <v>-7.3748988286869252E-2</v>
      </c>
      <c r="G11" s="30">
        <v>-3.2506586973684262E-2</v>
      </c>
      <c r="H11" s="30">
        <v>-3.2847118626080897E-2</v>
      </c>
      <c r="I11" s="30">
        <v>-0.12110157860918851</v>
      </c>
      <c r="J11" s="30">
        <v>2.5822337019559341E-3</v>
      </c>
      <c r="K11" s="30">
        <v>7.1968625004836057E-2</v>
      </c>
      <c r="L11" s="30">
        <v>3.4342712304991078E-2</v>
      </c>
      <c r="M11" s="30">
        <v>4.0084602667129349E-2</v>
      </c>
      <c r="N11" s="30">
        <v>4.1563466655895852E-2</v>
      </c>
      <c r="O11" s="30">
        <v>-6.9002801033464468E-3</v>
      </c>
      <c r="P11" s="30">
        <v>3.5779379096689788E-2</v>
      </c>
      <c r="Q11" s="30">
        <v>6.8350636349776644E-2</v>
      </c>
      <c r="R11" s="30">
        <v>-4.5413080669201647E-2</v>
      </c>
      <c r="S11" s="30">
        <v>1.9673980374611249E-2</v>
      </c>
      <c r="T11" s="30">
        <v>-0.10645091888905089</v>
      </c>
      <c r="U11" s="30">
        <v>-3.2053188608652222E-2</v>
      </c>
      <c r="V11" s="30">
        <v>-1.486561554125564E-2</v>
      </c>
      <c r="W11" s="30">
        <v>-9.3405071083985589E-2</v>
      </c>
      <c r="X11" s="30">
        <v>-3.7053875715306342E-2</v>
      </c>
      <c r="Y11" s="30">
        <v>-4.7379645481055749E-2</v>
      </c>
      <c r="Z11" s="30">
        <v>-3.5732975972085197E-2</v>
      </c>
      <c r="AA11" s="30">
        <v>7.4709415434143334E-2</v>
      </c>
      <c r="AB11" s="30">
        <v>-0.1014916742073749</v>
      </c>
      <c r="AC11" s="30">
        <v>-2.958901675079971E-4</v>
      </c>
      <c r="AD11" s="30">
        <v>-6.884879748071672E-2</v>
      </c>
      <c r="AE11" s="30">
        <v>-2.226603217992465E-2</v>
      </c>
      <c r="AF11" s="30">
        <v>4.1625471515908258E-2</v>
      </c>
      <c r="AG11" s="30">
        <v>-8.0508267102041703E-3</v>
      </c>
      <c r="AH11" s="30">
        <v>-3.8264652471021107E-2</v>
      </c>
      <c r="AI11" s="30">
        <v>4.5184246070277309E-2</v>
      </c>
      <c r="AJ11" s="30">
        <v>3.4215625055713628E-2</v>
      </c>
      <c r="AK11" s="30">
        <v>4.4138222564125883E-2</v>
      </c>
      <c r="AL11" s="30">
        <v>-3.5587566867339653E-2</v>
      </c>
      <c r="AM11" s="30">
        <v>-1.307752910282832E-2</v>
      </c>
      <c r="AN11" s="30">
        <v>4.1485640311627048E-3</v>
      </c>
      <c r="AO11" s="30">
        <v>-7.7685069747940566E-2</v>
      </c>
      <c r="AP11" s="30">
        <v>-6.9983938877633423E-3</v>
      </c>
      <c r="AQ11" s="30">
        <v>0.13094783928293391</v>
      </c>
      <c r="AR11" s="30">
        <v>-8.6792708504303165E-2</v>
      </c>
      <c r="AS11" s="30">
        <v>-5.2702983493883533E-2</v>
      </c>
      <c r="AT11" s="30">
        <v>6.5228470856534659E-2</v>
      </c>
      <c r="AU11" s="30">
        <v>-6.5193823066972231E-2</v>
      </c>
      <c r="AV11" s="30">
        <v>8.5695091691641318E-3</v>
      </c>
      <c r="AW11" s="30">
        <v>-4.0024302856775031E-2</v>
      </c>
      <c r="AX11" s="30">
        <v>-3.1442522098695247E-2</v>
      </c>
      <c r="AY11" s="30">
        <v>-4.0051979337830963E-3</v>
      </c>
      <c r="AZ11" s="30">
        <v>-7.87988595399116E-3</v>
      </c>
      <c r="BA11" s="30">
        <v>-6.0724257043419964E-3</v>
      </c>
      <c r="BB11" s="30">
        <v>-1.1000774597969601E-2</v>
      </c>
      <c r="BC11" s="30">
        <v>-2.6379571628000791E-2</v>
      </c>
      <c r="BD11" s="30">
        <v>3.9479545280064407E-2</v>
      </c>
      <c r="BE11" s="30">
        <v>3.1278311810121473E-2</v>
      </c>
      <c r="BF11" s="30">
        <v>-6.0707144594610513E-3</v>
      </c>
      <c r="BG11" s="30">
        <v>-6.0537314950835433E-2</v>
      </c>
      <c r="BH11" s="30">
        <v>-8.5381433803068715E-2</v>
      </c>
      <c r="BI11" s="30">
        <v>6.449315459347095E-2</v>
      </c>
      <c r="BJ11" s="30">
        <v>-6.227610105192051E-3</v>
      </c>
      <c r="BK11" s="30">
        <v>4.6391114420235899E-2</v>
      </c>
      <c r="BL11" s="30">
        <v>-1.156082161362396E-2</v>
      </c>
      <c r="BM11" s="30">
        <v>-4.455844209947097E-2</v>
      </c>
      <c r="BN11" s="30">
        <v>2.7621487445270072E-3</v>
      </c>
      <c r="BO11" s="30">
        <v>8.312142553037161E-3</v>
      </c>
      <c r="BP11" s="30">
        <v>-5.5860348790947041E-2</v>
      </c>
      <c r="BQ11" s="30">
        <v>3.5706629851489133E-2</v>
      </c>
      <c r="BR11" s="30">
        <v>-2.2012848784035179E-2</v>
      </c>
      <c r="BS11" s="30">
        <v>3.9643524500143849E-2</v>
      </c>
      <c r="BT11" s="30">
        <v>-3.5802523819053762E-3</v>
      </c>
      <c r="BU11" s="30">
        <v>8.9809503674597949E-3</v>
      </c>
      <c r="BV11" s="30">
        <v>-8.9428832558806175E-3</v>
      </c>
      <c r="BW11" s="30">
        <v>-7.606401830661523E-2</v>
      </c>
      <c r="BX11" s="30">
        <v>-4.0663010962644373E-2</v>
      </c>
      <c r="BY11" s="30">
        <v>-5.908333642589482E-2</v>
      </c>
      <c r="BZ11" s="30">
        <v>-2.6982576363534839E-2</v>
      </c>
      <c r="CA11" s="30">
        <v>-0.12652495379074219</v>
      </c>
      <c r="CB11" s="30">
        <v>1.2022261026242089E-2</v>
      </c>
      <c r="CC11" s="30">
        <v>-5.0881431189465171E-2</v>
      </c>
      <c r="CD11" s="30">
        <v>2.5276040610712269E-2</v>
      </c>
      <c r="CE11" s="30">
        <v>8.7027483919829188E-2</v>
      </c>
      <c r="CF11" s="30">
        <v>-2.4625967354591039E-2</v>
      </c>
      <c r="CG11" s="30">
        <v>1.874726219553563E-2</v>
      </c>
      <c r="CH11" s="30">
        <v>4.1512479804806227E-2</v>
      </c>
      <c r="CI11" s="30">
        <v>-2.982027623949892E-2</v>
      </c>
      <c r="CJ11" s="30">
        <v>-1.2665490672423049E-2</v>
      </c>
      <c r="CK11" s="30">
        <v>4.7987523977313533E-2</v>
      </c>
      <c r="CL11" s="30">
        <v>-6.6815212175235783E-3</v>
      </c>
      <c r="CM11" s="30">
        <v>2.3373144063608738E-2</v>
      </c>
      <c r="CN11" s="30">
        <v>1.089017138913061E-2</v>
      </c>
      <c r="CO11" s="30">
        <v>0.14646343744112991</v>
      </c>
      <c r="CP11" s="30">
        <v>1.9768544897054329E-2</v>
      </c>
      <c r="CQ11" s="30">
        <v>1.7749235500301951E-2</v>
      </c>
      <c r="CR11" s="30">
        <v>-2.8991521269468159E-2</v>
      </c>
      <c r="CS11" s="30">
        <v>-9.2105433549335754E-3</v>
      </c>
      <c r="CT11" s="30">
        <v>3.684814317680405E-2</v>
      </c>
      <c r="CU11" s="30">
        <v>3.050411561754297E-2</v>
      </c>
      <c r="CV11" s="30">
        <v>4.0383350938434252E-2</v>
      </c>
      <c r="CW11" s="30">
        <v>-9.3859596047043536E-3</v>
      </c>
      <c r="CX11" s="30">
        <v>-7.7248887176943296E-2</v>
      </c>
      <c r="CY11" s="30">
        <v>2.548220655716743E-3</v>
      </c>
      <c r="CZ11" s="30">
        <v>-2.335678888027266E-2</v>
      </c>
      <c r="DA11" s="30">
        <v>-3.5608656768651929E-2</v>
      </c>
      <c r="DB11" s="30">
        <v>4.4999952963004786E-3</v>
      </c>
      <c r="DC11" s="30">
        <v>-4.3417921151317942E-2</v>
      </c>
      <c r="DD11" s="30">
        <v>7.7585487350289431E-2</v>
      </c>
      <c r="DE11" s="30">
        <v>4.5548817954567847E-2</v>
      </c>
      <c r="DF11" s="30">
        <v>-7.3761037440207289E-2</v>
      </c>
      <c r="DG11" s="30">
        <v>-1.383602919096409E-2</v>
      </c>
      <c r="DH11" s="30">
        <v>-1.314658790875837E-2</v>
      </c>
      <c r="DI11" s="30">
        <v>-0.1184441451090506</v>
      </c>
      <c r="DJ11" s="30">
        <v>4.9715760335060859E-2</v>
      </c>
      <c r="DK11" s="30">
        <v>2.8876918213256629E-2</v>
      </c>
      <c r="DL11" s="30">
        <v>-1.318152540995088E-2</v>
      </c>
      <c r="DM11" s="30">
        <v>4.3520520821273612E-2</v>
      </c>
      <c r="DN11" s="30">
        <v>-6.0662478946377781E-2</v>
      </c>
      <c r="DO11" s="30">
        <v>8.2564150197316444E-2</v>
      </c>
      <c r="DP11" s="30">
        <v>-9.6015988315113029E-2</v>
      </c>
      <c r="DQ11" s="30">
        <v>-1.9845471562179029E-2</v>
      </c>
      <c r="DR11" s="30">
        <v>-1.8579633997215111E-2</v>
      </c>
      <c r="DS11" s="30">
        <v>-2.578465931080003E-2</v>
      </c>
      <c r="DT11" s="30">
        <v>-3.759158589343687E-2</v>
      </c>
      <c r="DU11" s="30">
        <v>-4.5291919372196177E-2</v>
      </c>
      <c r="DV11" s="30">
        <v>-2.2458423361422019E-2</v>
      </c>
      <c r="DW11" s="30">
        <v>2.7164709117450531E-4</v>
      </c>
      <c r="DX11" s="30">
        <v>-6.4503989329820932E-2</v>
      </c>
      <c r="DY11" s="30">
        <v>6.0125260418043287E-2</v>
      </c>
      <c r="DZ11" s="30">
        <v>5.824521899381126E-3</v>
      </c>
      <c r="EA11" s="30">
        <v>1.550389496878647E-2</v>
      </c>
      <c r="EB11" s="30">
        <v>3.0904912560126702E-2</v>
      </c>
      <c r="EC11" s="30">
        <v>3.9813074668317322E-2</v>
      </c>
      <c r="ED11" s="30">
        <v>6.0186469707419407E-3</v>
      </c>
      <c r="EE11" s="30">
        <v>-3.9888767217459868E-2</v>
      </c>
      <c r="EF11" s="30">
        <v>-9.608135149364426E-2</v>
      </c>
      <c r="EG11" s="4"/>
    </row>
    <row r="12" spans="1:137" ht="16" customHeight="1">
      <c r="A12" s="29"/>
      <c r="B12" s="25" t="s">
        <v>137</v>
      </c>
      <c r="C12" s="30">
        <v>-0.20935792122733601</v>
      </c>
      <c r="D12" s="30">
        <v>-0.24145620521490571</v>
      </c>
      <c r="E12" s="30">
        <v>0.26636596474473501</v>
      </c>
      <c r="F12" s="30">
        <v>0.33022979398488089</v>
      </c>
      <c r="G12" s="30">
        <v>0.2035863770520018</v>
      </c>
      <c r="H12" s="30">
        <v>0.5537341742626456</v>
      </c>
      <c r="I12" s="30">
        <v>0.66979451114429034</v>
      </c>
      <c r="J12" s="30">
        <v>0.61032590854849456</v>
      </c>
      <c r="K12" s="30">
        <v>0.86207445584452447</v>
      </c>
      <c r="L12" s="30">
        <v>0.37355796404420633</v>
      </c>
      <c r="M12" s="30">
        <v>0.62222012198115262</v>
      </c>
      <c r="N12" s="30">
        <v>0.29351051715390319</v>
      </c>
      <c r="O12" s="30">
        <v>0.35628689631689647</v>
      </c>
      <c r="P12" s="30">
        <v>0.17806893054971379</v>
      </c>
      <c r="Q12" s="30">
        <v>0.1563575197337759</v>
      </c>
      <c r="R12" s="30">
        <v>0.22483040458636899</v>
      </c>
      <c r="S12" s="30">
        <v>0.18264461949126659</v>
      </c>
      <c r="T12" s="30">
        <v>0.15307368282964859</v>
      </c>
      <c r="U12" s="30">
        <v>0.22557713697371559</v>
      </c>
      <c r="V12" s="30">
        <v>-9.1580290119962757E-2</v>
      </c>
      <c r="W12" s="30">
        <v>-4.9495832352311628E-2</v>
      </c>
      <c r="X12" s="30">
        <v>-0.2678950640091351</v>
      </c>
      <c r="Y12" s="30">
        <v>-0.36478829273583491</v>
      </c>
      <c r="Z12" s="30">
        <v>-0.3779060136015861</v>
      </c>
      <c r="AA12" s="30">
        <v>-0.43955484978357701</v>
      </c>
      <c r="AB12" s="30">
        <v>-0.41859416874526367</v>
      </c>
      <c r="AC12" s="30">
        <v>-0.31816515320418409</v>
      </c>
      <c r="AD12" s="30">
        <v>-0.20856536883441179</v>
      </c>
      <c r="AE12" s="30">
        <v>-0.1023649845008438</v>
      </c>
      <c r="AF12" s="30">
        <v>-0.14886860509428651</v>
      </c>
      <c r="AG12" s="30">
        <v>-0.1866902267256208</v>
      </c>
      <c r="AH12" s="30">
        <v>-0.25393275403871191</v>
      </c>
      <c r="AI12" s="30">
        <v>-0.14773922610345119</v>
      </c>
      <c r="AJ12" s="30">
        <v>4.4513506223647151E-2</v>
      </c>
      <c r="AK12" s="30">
        <v>-5.8155621464165322E-2</v>
      </c>
      <c r="AL12" s="30">
        <v>-9.1865237642505163E-2</v>
      </c>
      <c r="AM12" s="30">
        <v>-0.16826269698552301</v>
      </c>
      <c r="AN12" s="30">
        <v>-0.33743700555198552</v>
      </c>
      <c r="AO12" s="30">
        <v>-0.36868152859592562</v>
      </c>
      <c r="AP12" s="30">
        <v>-0.28691959224511548</v>
      </c>
      <c r="AQ12" s="30">
        <v>-0.30523872624318382</v>
      </c>
      <c r="AR12" s="30">
        <v>-0.29331379911690642</v>
      </c>
      <c r="AS12" s="30">
        <v>-0.30267029688624508</v>
      </c>
      <c r="AT12" s="30">
        <v>-0.28045675156766531</v>
      </c>
      <c r="AU12" s="30">
        <v>-0.18262992182905941</v>
      </c>
      <c r="AV12" s="30">
        <v>-0.12130978761687</v>
      </c>
      <c r="AW12" s="30">
        <v>-0.15372123350245639</v>
      </c>
      <c r="AX12" s="30">
        <v>-2.163155956071092E-2</v>
      </c>
      <c r="AY12" s="30">
        <v>0.10122185588554949</v>
      </c>
      <c r="AZ12" s="30">
        <v>0.18954150820982221</v>
      </c>
      <c r="BA12" s="30">
        <v>9.5279708371273503E-2</v>
      </c>
      <c r="BB12" s="30">
        <v>1.1130473143875179E-2</v>
      </c>
      <c r="BC12" s="30">
        <v>0.19620313414919849</v>
      </c>
      <c r="BD12" s="30">
        <v>0.1522471346455414</v>
      </c>
      <c r="BE12" s="30">
        <v>0.20934399551839861</v>
      </c>
      <c r="BF12" s="30">
        <v>0.16752252916389659</v>
      </c>
      <c r="BG12" s="30">
        <v>0.16855713353359719</v>
      </c>
      <c r="BH12" s="30">
        <v>0.23475757737273911</v>
      </c>
      <c r="BI12" s="30">
        <v>0.27598376688340442</v>
      </c>
      <c r="BJ12" s="30">
        <v>0.26154895504900538</v>
      </c>
      <c r="BK12" s="30">
        <v>0.19300560487419521</v>
      </c>
      <c r="BL12" s="30">
        <v>3.2255305302616187E-2</v>
      </c>
      <c r="BM12" s="30">
        <v>8.4649698660638095E-2</v>
      </c>
      <c r="BN12" s="30">
        <v>-1.5702242386539032E-2</v>
      </c>
      <c r="BO12" s="30">
        <v>2.9608765252482721E-2</v>
      </c>
      <c r="BP12" s="30">
        <v>-8.2625544071202886E-2</v>
      </c>
      <c r="BQ12" s="30">
        <v>-7.9330451385874676E-2</v>
      </c>
      <c r="BR12" s="30">
        <v>-0.11353413407979809</v>
      </c>
      <c r="BS12" s="30">
        <v>-0.16045061256945001</v>
      </c>
      <c r="BT12" s="30">
        <v>-2.8989653450827001E-2</v>
      </c>
      <c r="BU12" s="30">
        <v>-3.8417136037107451E-3</v>
      </c>
      <c r="BV12" s="30">
        <v>-0.17414888256791389</v>
      </c>
      <c r="BW12" s="30">
        <v>-5.0655462653666453E-2</v>
      </c>
      <c r="BX12" s="30">
        <v>-9.7462301529207679E-3</v>
      </c>
      <c r="BY12" s="30">
        <v>4.311871752812544E-2</v>
      </c>
      <c r="BZ12" s="30">
        <v>8.3594709945727624E-2</v>
      </c>
      <c r="CA12" s="30">
        <v>5.9758542127211607E-2</v>
      </c>
      <c r="CB12" s="30">
        <v>0.22654684744137221</v>
      </c>
      <c r="CC12" s="30">
        <v>0.16059562442098191</v>
      </c>
      <c r="CD12" s="30">
        <v>0.1247822180786789</v>
      </c>
      <c r="CE12" s="30">
        <v>7.0316847032607876E-2</v>
      </c>
      <c r="CF12" s="30">
        <v>3.7786686365643571E-2</v>
      </c>
      <c r="CG12" s="30">
        <v>0.14783134630066269</v>
      </c>
      <c r="CH12" s="30">
        <v>0.16146329015111541</v>
      </c>
      <c r="CI12" s="30">
        <v>0.19050379057570099</v>
      </c>
      <c r="CJ12" s="30">
        <v>5.7810008272749062E-2</v>
      </c>
      <c r="CK12" s="30">
        <v>0.1815957554070709</v>
      </c>
      <c r="CL12" s="30">
        <v>0.15995890504762161</v>
      </c>
      <c r="CM12" s="30">
        <v>-0.19344889033092799</v>
      </c>
      <c r="CN12" s="30">
        <v>9.2661650400173462E-2</v>
      </c>
      <c r="CO12" s="30">
        <v>0.18420345965444129</v>
      </c>
      <c r="CP12" s="30">
        <v>0.21509937997508449</v>
      </c>
      <c r="CQ12" s="30">
        <v>7.8222160125948112E-2</v>
      </c>
      <c r="CR12" s="30">
        <v>0.23262305351410531</v>
      </c>
      <c r="CS12" s="30">
        <v>0.1246176152094155</v>
      </c>
      <c r="CT12" s="30">
        <v>0.2146340953754568</v>
      </c>
      <c r="CU12" s="30">
        <v>0.29380322799279129</v>
      </c>
      <c r="CV12" s="30">
        <v>0.16458639143631021</v>
      </c>
      <c r="CW12" s="30">
        <v>0.22758953291297229</v>
      </c>
      <c r="CX12" s="30">
        <v>0.30967914222586451</v>
      </c>
      <c r="CY12" s="30">
        <v>0.1008269451540873</v>
      </c>
      <c r="CZ12" s="30">
        <v>0.27399190305797039</v>
      </c>
      <c r="DA12" s="30">
        <v>0.29613632136496731</v>
      </c>
      <c r="DB12" s="30">
        <v>0.44409378278633932</v>
      </c>
      <c r="DC12" s="30">
        <v>0.27739949663700231</v>
      </c>
      <c r="DD12" s="30">
        <v>0.2084619437252104</v>
      </c>
      <c r="DE12" s="30">
        <v>5.006562543628422E-2</v>
      </c>
      <c r="DF12" s="30">
        <v>7.9342540750067247E-2</v>
      </c>
      <c r="DG12" s="30">
        <v>4.1263423131758292E-2</v>
      </c>
      <c r="DH12" s="30">
        <v>-7.4014041769745603E-3</v>
      </c>
      <c r="DI12" s="30">
        <v>9.1903678777207287E-2</v>
      </c>
      <c r="DJ12" s="30">
        <v>0.18881040894549631</v>
      </c>
      <c r="DK12" s="30">
        <v>5.0346204508612824E-3</v>
      </c>
      <c r="DL12" s="30">
        <v>-6.5302735759753747E-2</v>
      </c>
      <c r="DM12" s="30">
        <v>-0.16991943054339001</v>
      </c>
      <c r="DN12" s="30">
        <v>-4.8355536158137598E-2</v>
      </c>
      <c r="DO12" s="30">
        <v>0.3023913444349744</v>
      </c>
      <c r="DP12" s="30">
        <v>0.40249617507699309</v>
      </c>
      <c r="DQ12" s="30">
        <v>0.42337951153233438</v>
      </c>
      <c r="DR12" s="30">
        <v>0.31958732161063053</v>
      </c>
      <c r="DS12" s="30">
        <v>0.27007262221994582</v>
      </c>
      <c r="DT12" s="30">
        <v>0.24555914580250721</v>
      </c>
      <c r="DU12" s="30">
        <v>0.18374521718344591</v>
      </c>
      <c r="DV12" s="30">
        <v>0.16882438454898829</v>
      </c>
      <c r="DW12" s="30">
        <v>0.21735692510693649</v>
      </c>
      <c r="DX12" s="30">
        <v>0.18716202375844659</v>
      </c>
      <c r="DY12" s="30">
        <v>0.12863278460069319</v>
      </c>
      <c r="DZ12" s="30">
        <v>0.1138956216351769</v>
      </c>
      <c r="EA12" s="30">
        <v>6.9887093780084175E-2</v>
      </c>
      <c r="EB12" s="30">
        <v>0.12681710950217981</v>
      </c>
      <c r="EC12" s="30">
        <v>0.1562815300942598</v>
      </c>
      <c r="ED12" s="30">
        <v>0.36668826933924509</v>
      </c>
      <c r="EE12" s="30">
        <v>0.47250079911659248</v>
      </c>
      <c r="EF12" s="30">
        <v>0.72972326297934098</v>
      </c>
      <c r="EG12" s="4"/>
    </row>
    <row r="13" spans="1:137" ht="16" customHeight="1">
      <c r="A13" s="29"/>
      <c r="B13" s="25" t="s">
        <v>138</v>
      </c>
      <c r="C13" s="30">
        <v>0.1415892121840287</v>
      </c>
      <c r="D13" s="30">
        <v>9.2586945061469042E-2</v>
      </c>
      <c r="E13" s="30">
        <v>0.11349879155944111</v>
      </c>
      <c r="F13" s="30">
        <v>-7.3769776575699809E-3</v>
      </c>
      <c r="G13" s="30">
        <v>-0.3186396678242116</v>
      </c>
      <c r="H13" s="30">
        <v>-0.42059898952232572</v>
      </c>
      <c r="I13" s="30">
        <v>-0.61741574929518839</v>
      </c>
      <c r="J13" s="30">
        <v>-0.43362008529973561</v>
      </c>
      <c r="K13" s="30">
        <v>-0.25626772334753112</v>
      </c>
      <c r="L13" s="30">
        <v>-0.2113105027109515</v>
      </c>
      <c r="M13" s="30">
        <v>-0.20647602014875061</v>
      </c>
      <c r="N13" s="30">
        <v>-0.32791237477111829</v>
      </c>
      <c r="O13" s="30">
        <v>1.5729811103918339E-2</v>
      </c>
      <c r="P13" s="30">
        <v>6.8442694647505714E-2</v>
      </c>
      <c r="Q13" s="30">
        <v>5.2648855857004642E-2</v>
      </c>
      <c r="R13" s="30">
        <v>-2.0694613114836578E-2</v>
      </c>
      <c r="S13" s="30">
        <v>2.495928979766664E-2</v>
      </c>
      <c r="T13" s="30">
        <v>-8.6843647181224407E-2</v>
      </c>
      <c r="U13" s="30">
        <v>-0.52458473451682519</v>
      </c>
      <c r="V13" s="30">
        <v>-0.4792143423997316</v>
      </c>
      <c r="W13" s="30">
        <v>-0.36348833368794342</v>
      </c>
      <c r="X13" s="30">
        <v>-0.39764648466092672</v>
      </c>
      <c r="Y13" s="30">
        <v>-0.47562109760818377</v>
      </c>
      <c r="Z13" s="30">
        <v>-0.29400139222215738</v>
      </c>
      <c r="AA13" s="30">
        <v>-0.21990454798605369</v>
      </c>
      <c r="AB13" s="30">
        <v>1.8176812449253021E-2</v>
      </c>
      <c r="AC13" s="30">
        <v>-7.9990063758137941E-2</v>
      </c>
      <c r="AD13" s="30">
        <v>-0.1028929785055152</v>
      </c>
      <c r="AE13" s="30">
        <v>0.14449675324010591</v>
      </c>
      <c r="AF13" s="30">
        <v>9.4619546486641323E-2</v>
      </c>
      <c r="AG13" s="30">
        <v>0.15888808539996641</v>
      </c>
      <c r="AH13" s="30">
        <v>0.1196181721172441</v>
      </c>
      <c r="AI13" s="30">
        <v>0.26749723606904691</v>
      </c>
      <c r="AJ13" s="30">
        <v>0.28042018158602128</v>
      </c>
      <c r="AK13" s="30">
        <v>-3.0700048481476939E-2</v>
      </c>
      <c r="AL13" s="30">
        <v>4.5908625392411313E-2</v>
      </c>
      <c r="AM13" s="30">
        <v>0.17498289674326181</v>
      </c>
      <c r="AN13" s="30">
        <v>0.12715124049161411</v>
      </c>
      <c r="AO13" s="30">
        <v>0.1846750202735136</v>
      </c>
      <c r="AP13" s="30">
        <v>8.4214377141994659E-2</v>
      </c>
      <c r="AQ13" s="30">
        <v>0.195944269725251</v>
      </c>
      <c r="AR13" s="30">
        <v>0.1332335332468598</v>
      </c>
      <c r="AS13" s="30">
        <v>0.16593561585303601</v>
      </c>
      <c r="AT13" s="30">
        <v>2.0797244614353168E-2</v>
      </c>
      <c r="AU13" s="30">
        <v>1.2255111472991581E-2</v>
      </c>
      <c r="AV13" s="30">
        <v>-1.3354263340341489E-2</v>
      </c>
      <c r="AW13" s="30">
        <v>-0.1629162908390954</v>
      </c>
      <c r="AX13" s="30">
        <v>2.1398073174880568E-2</v>
      </c>
      <c r="AY13" s="30">
        <v>-0.31841892204614608</v>
      </c>
      <c r="AZ13" s="30">
        <v>-0.2389402856524428</v>
      </c>
      <c r="BA13" s="30">
        <v>-0.22999540969309759</v>
      </c>
      <c r="BB13" s="30">
        <v>-7.1523535861795301E-2</v>
      </c>
      <c r="BC13" s="30">
        <v>0.19523407189221659</v>
      </c>
      <c r="BD13" s="30">
        <v>0.1343817013556074</v>
      </c>
      <c r="BE13" s="30">
        <v>0.36448653223917399</v>
      </c>
      <c r="BF13" s="30">
        <v>0.44848254478272898</v>
      </c>
      <c r="BG13" s="30">
        <v>0.43221300941381358</v>
      </c>
      <c r="BH13" s="30">
        <v>0.27475197161243958</v>
      </c>
      <c r="BI13" s="30">
        <v>0.27625006164983618</v>
      </c>
      <c r="BJ13" s="30">
        <v>1.55846946017396E-2</v>
      </c>
      <c r="BK13" s="30">
        <v>0.1058051363286677</v>
      </c>
      <c r="BL13" s="30">
        <v>0.12655100249236981</v>
      </c>
      <c r="BM13" s="30">
        <v>0.22848090332571749</v>
      </c>
      <c r="BN13" s="30">
        <v>0.28499472414789501</v>
      </c>
      <c r="BO13" s="30">
        <v>0.10343621031436109</v>
      </c>
      <c r="BP13" s="30">
        <v>0.37735475502544108</v>
      </c>
      <c r="BQ13" s="30">
        <v>0.20037255890381511</v>
      </c>
      <c r="BR13" s="30">
        <v>0.22737663442672029</v>
      </c>
      <c r="BS13" s="30">
        <v>0.28000569960508931</v>
      </c>
      <c r="BT13" s="30">
        <v>0.25048842105416552</v>
      </c>
      <c r="BU13" s="30">
        <v>0.40950603598106478</v>
      </c>
      <c r="BV13" s="30">
        <v>0.27914339825966772</v>
      </c>
      <c r="BW13" s="30">
        <v>0.42338681782856119</v>
      </c>
      <c r="BX13" s="30">
        <v>0.20681397354492859</v>
      </c>
      <c r="BY13" s="30">
        <v>0.16995656458325559</v>
      </c>
      <c r="BZ13" s="30">
        <v>0.25229150973658637</v>
      </c>
      <c r="CA13" s="30">
        <v>0.32026292962452041</v>
      </c>
      <c r="CB13" s="30">
        <v>0.51463583067154539</v>
      </c>
      <c r="CC13" s="30">
        <v>0.18153007409469241</v>
      </c>
      <c r="CD13" s="30">
        <v>0.12003370467929959</v>
      </c>
      <c r="CE13" s="30">
        <v>-2.5943292883541139E-2</v>
      </c>
      <c r="CF13" s="30">
        <v>4.5043615925369367E-2</v>
      </c>
      <c r="CG13" s="30">
        <v>-0.35445425141928649</v>
      </c>
      <c r="CH13" s="30">
        <v>-0.25260244407894528</v>
      </c>
      <c r="CI13" s="30">
        <v>0.14395187079646721</v>
      </c>
      <c r="CJ13" s="30">
        <v>0.27306771173615763</v>
      </c>
      <c r="CK13" s="30">
        <v>1.7040845792885052E-2</v>
      </c>
      <c r="CL13" s="30">
        <v>-0.2428342099250631</v>
      </c>
      <c r="CM13" s="30">
        <v>-6.2585841640853714E-3</v>
      </c>
      <c r="CN13" s="30">
        <v>-0.310075109187538</v>
      </c>
      <c r="CO13" s="30">
        <v>-0.48661942430606081</v>
      </c>
      <c r="CP13" s="30">
        <v>-0.58562675232019856</v>
      </c>
      <c r="CQ13" s="30">
        <v>-0.21352733862147991</v>
      </c>
      <c r="CR13" s="30">
        <v>-0.1651861224943722</v>
      </c>
      <c r="CS13" s="30">
        <v>-0.15856953077819341</v>
      </c>
      <c r="CT13" s="30">
        <v>-0.2953032979629534</v>
      </c>
      <c r="CU13" s="30">
        <v>-0.1254818780087637</v>
      </c>
      <c r="CV13" s="30">
        <v>-4.7694294242323958E-2</v>
      </c>
      <c r="CW13" s="30">
        <v>-6.9955238824078614E-2</v>
      </c>
      <c r="CX13" s="30">
        <v>-9.2457955566808206E-3</v>
      </c>
      <c r="CY13" s="30">
        <v>-2.2135304831282489E-2</v>
      </c>
      <c r="CZ13" s="30">
        <v>5.5799951070273343E-2</v>
      </c>
      <c r="DA13" s="30">
        <v>4.6904914532679559E-3</v>
      </c>
      <c r="DB13" s="30">
        <v>-0.19841703137983821</v>
      </c>
      <c r="DC13" s="30">
        <v>-0.1481577816394834</v>
      </c>
      <c r="DD13" s="30">
        <v>-7.8448866350443819E-2</v>
      </c>
      <c r="DE13" s="30">
        <v>-3.4735830531551833E-2</v>
      </c>
      <c r="DF13" s="30">
        <v>0.23309856186511069</v>
      </c>
      <c r="DG13" s="30">
        <v>0.10547592327494661</v>
      </c>
      <c r="DH13" s="30">
        <v>0.26024560403747621</v>
      </c>
      <c r="DI13" s="30">
        <v>0.24342212166939201</v>
      </c>
      <c r="DJ13" s="30">
        <v>6.1619870633241258E-2</v>
      </c>
      <c r="DK13" s="30">
        <v>8.9139844165813373E-2</v>
      </c>
      <c r="DL13" s="30">
        <v>2.9253193961501531E-2</v>
      </c>
      <c r="DM13" s="30">
        <v>0.14236144307942539</v>
      </c>
      <c r="DN13" s="30">
        <v>0.14615257349174909</v>
      </c>
      <c r="DO13" s="30">
        <v>4.9079225670203321E-2</v>
      </c>
      <c r="DP13" s="30">
        <v>0.40322960152089549</v>
      </c>
      <c r="DQ13" s="30">
        <v>0.46524421937942317</v>
      </c>
      <c r="DR13" s="30">
        <v>0.25491522170831532</v>
      </c>
      <c r="DS13" s="30">
        <v>0.1449016436002509</v>
      </c>
      <c r="DT13" s="30">
        <v>0.1096478687616492</v>
      </c>
      <c r="DU13" s="30">
        <v>0.14664794338699069</v>
      </c>
      <c r="DV13" s="30">
        <v>-0.37515330256173463</v>
      </c>
      <c r="DW13" s="30">
        <v>-0.29741986054930047</v>
      </c>
      <c r="DX13" s="30">
        <v>-0.19544277976532101</v>
      </c>
      <c r="DY13" s="30">
        <v>-8.2428265894752814E-2</v>
      </c>
      <c r="DZ13" s="30">
        <v>5.866183339010559E-2</v>
      </c>
      <c r="EA13" s="30">
        <v>-4.6779077930829367E-2</v>
      </c>
      <c r="EB13" s="30">
        <v>0.1641432425225606</v>
      </c>
      <c r="EC13" s="30">
        <v>-3.8064247233434587E-2</v>
      </c>
      <c r="ED13" s="30">
        <v>5.5317446797800797E-2</v>
      </c>
      <c r="EE13" s="30">
        <v>4.5666052310806213E-2</v>
      </c>
      <c r="EF13" s="30">
        <v>-1.513055182908553E-2</v>
      </c>
      <c r="EG13" s="4"/>
    </row>
    <row r="14" spans="1:137" ht="16" customHeight="1">
      <c r="A14" s="4"/>
      <c r="B14" s="25" t="s">
        <v>139</v>
      </c>
      <c r="C14" s="30">
        <v>-5.5287602367965212E-2</v>
      </c>
      <c r="D14" s="30">
        <v>-0.14445298729163969</v>
      </c>
      <c r="E14" s="30">
        <v>-9.1431301014034599E-2</v>
      </c>
      <c r="F14" s="30">
        <v>0.35495179720125758</v>
      </c>
      <c r="G14" s="30">
        <v>0.21923638181908089</v>
      </c>
      <c r="H14" s="30">
        <v>0.283134197622957</v>
      </c>
      <c r="I14" s="30">
        <v>0.37143266638530409</v>
      </c>
      <c r="J14" s="30">
        <v>0.41062409023091229</v>
      </c>
      <c r="K14" s="30">
        <v>0.40769934121960488</v>
      </c>
      <c r="L14" s="30">
        <v>-7.159674146892725E-3</v>
      </c>
      <c r="M14" s="30">
        <v>-7.3648091051968512E-3</v>
      </c>
      <c r="N14" s="30">
        <v>-5.1515820152121562E-2</v>
      </c>
      <c r="O14" s="30">
        <v>0.2542620970860141</v>
      </c>
      <c r="P14" s="30">
        <v>0.25179107603585099</v>
      </c>
      <c r="Q14" s="30">
        <v>0.2218350215305622</v>
      </c>
      <c r="R14" s="30">
        <v>0.24564422754657189</v>
      </c>
      <c r="S14" s="30">
        <v>0.21802587035960269</v>
      </c>
      <c r="T14" s="30">
        <v>0.22885928116164689</v>
      </c>
      <c r="U14" s="30">
        <v>-3.8365895591860683E-2</v>
      </c>
      <c r="V14" s="30">
        <v>-2.4933565518348022E-4</v>
      </c>
      <c r="W14" s="30">
        <v>-6.9911431364622995E-2</v>
      </c>
      <c r="X14" s="30">
        <v>-6.456449127916436E-2</v>
      </c>
      <c r="Y14" s="30">
        <v>4.1605297186146813E-2</v>
      </c>
      <c r="Z14" s="30">
        <v>-1.9800016442501619E-2</v>
      </c>
      <c r="AA14" s="30">
        <v>-7.2143290991637576E-2</v>
      </c>
      <c r="AB14" s="30">
        <v>-6.8452120608651329E-2</v>
      </c>
      <c r="AC14" s="30">
        <v>3.2607263241921841E-2</v>
      </c>
      <c r="AD14" s="30">
        <v>1.7594645532416991E-2</v>
      </c>
      <c r="AE14" s="30">
        <v>-2.901928616329708E-3</v>
      </c>
      <c r="AF14" s="30">
        <v>-2.248356577507465E-3</v>
      </c>
      <c r="AG14" s="30">
        <v>-5.5811273092355174E-3</v>
      </c>
      <c r="AH14" s="30">
        <v>-6.6841359079102816E-3</v>
      </c>
      <c r="AI14" s="30">
        <v>-1.385499411618335E-3</v>
      </c>
      <c r="AJ14" s="30">
        <v>-8.6481173432073621E-4</v>
      </c>
      <c r="AK14" s="30">
        <v>5.6462115284851337E-2</v>
      </c>
      <c r="AL14" s="30">
        <v>7.8493009558184917E-2</v>
      </c>
      <c r="AM14" s="30">
        <v>-0.11226928615946841</v>
      </c>
      <c r="AN14" s="30">
        <v>-0.22946841655236611</v>
      </c>
      <c r="AO14" s="30">
        <v>-0.13981328564836121</v>
      </c>
      <c r="AP14" s="30">
        <v>-0.1103039313350698</v>
      </c>
      <c r="AQ14" s="30">
        <v>-0.16861413881368431</v>
      </c>
      <c r="AR14" s="30">
        <v>-0.1371830444209835</v>
      </c>
      <c r="AS14" s="30">
        <v>5.211904011802404E-2</v>
      </c>
      <c r="AT14" s="30">
        <v>0.14234804792068309</v>
      </c>
      <c r="AU14" s="30">
        <v>0.15576266032816749</v>
      </c>
      <c r="AV14" s="30">
        <v>0.1449166373776215</v>
      </c>
      <c r="AW14" s="30">
        <v>0.18538208810641141</v>
      </c>
      <c r="AX14" s="30">
        <v>0.1366523480003056</v>
      </c>
      <c r="AY14" s="30">
        <v>0.14596250886375589</v>
      </c>
      <c r="AZ14" s="30">
        <v>0.26503780407394811</v>
      </c>
      <c r="BA14" s="30">
        <v>0.14676561542020911</v>
      </c>
      <c r="BB14" s="30">
        <v>3.3428218400161358E-3</v>
      </c>
      <c r="BC14" s="30">
        <v>-7.0510317488028634E-2</v>
      </c>
      <c r="BD14" s="30">
        <v>-3.5291447065675441E-2</v>
      </c>
      <c r="BE14" s="30">
        <v>3.5257594922360899E-2</v>
      </c>
      <c r="BF14" s="30">
        <v>3.8800415177149161E-2</v>
      </c>
      <c r="BG14" s="30">
        <v>5.35267227270948E-2</v>
      </c>
      <c r="BH14" s="30">
        <v>0.17967627527126151</v>
      </c>
      <c r="BI14" s="30">
        <v>0.15487119135892979</v>
      </c>
      <c r="BJ14" s="30">
        <v>0.1190558145321248</v>
      </c>
      <c r="BK14" s="30">
        <v>0.13032726460855551</v>
      </c>
      <c r="BL14" s="30">
        <v>9.3330537871948963E-2</v>
      </c>
      <c r="BM14" s="30">
        <v>8.0284022008766234E-2</v>
      </c>
      <c r="BN14" s="30">
        <v>0.20761045318620699</v>
      </c>
      <c r="BO14" s="30">
        <v>0.18768666424061561</v>
      </c>
      <c r="BP14" s="30">
        <v>0.1299212136716856</v>
      </c>
      <c r="BQ14" s="30">
        <v>9.8717055186148456E-2</v>
      </c>
      <c r="BR14" s="30">
        <v>4.5233846544491793E-2</v>
      </c>
      <c r="BS14" s="30">
        <v>0.13778382026817171</v>
      </c>
      <c r="BT14" s="30">
        <v>4.6964995030642789E-2</v>
      </c>
      <c r="BU14" s="30">
        <v>7.8535809146009994E-2</v>
      </c>
      <c r="BV14" s="30">
        <v>0.12030054403500839</v>
      </c>
      <c r="BW14" s="30">
        <v>5.9755525305673893E-2</v>
      </c>
      <c r="BX14" s="30">
        <v>6.3549054774741306E-2</v>
      </c>
      <c r="BY14" s="30">
        <v>-6.5045110879808632E-3</v>
      </c>
      <c r="BZ14" s="30">
        <v>-5.1668341542727647E-2</v>
      </c>
      <c r="CA14" s="30">
        <v>-7.9185433944847061E-2</v>
      </c>
      <c r="CB14" s="30">
        <v>-0.1127810804912311</v>
      </c>
      <c r="CC14" s="30">
        <v>-6.7050409232242481E-2</v>
      </c>
      <c r="CD14" s="30">
        <v>-6.6787378150592241E-2</v>
      </c>
      <c r="CE14" s="30">
        <v>-4.6564912298377087E-2</v>
      </c>
      <c r="CF14" s="30">
        <v>-0.11929573414549299</v>
      </c>
      <c r="CG14" s="30">
        <v>-5.3152980450178272E-2</v>
      </c>
      <c r="CH14" s="30">
        <v>-9.2611607894625192E-2</v>
      </c>
      <c r="CI14" s="30">
        <v>-0.1090312706633422</v>
      </c>
      <c r="CJ14" s="30">
        <v>-6.5592489381071956E-2</v>
      </c>
      <c r="CK14" s="30">
        <v>-8.8696832578178758E-2</v>
      </c>
      <c r="CL14" s="30">
        <v>8.9572676996418077E-2</v>
      </c>
      <c r="CM14" s="30">
        <v>6.5466674673977043E-2</v>
      </c>
      <c r="CN14" s="30">
        <v>2.9778259770337628E-2</v>
      </c>
      <c r="CO14" s="30">
        <v>7.2508099539442067E-2</v>
      </c>
      <c r="CP14" s="30">
        <v>-1.303358147527731E-2</v>
      </c>
      <c r="CQ14" s="30">
        <v>9.569522182040463E-3</v>
      </c>
      <c r="CR14" s="30">
        <v>2.47953533363264E-2</v>
      </c>
      <c r="CS14" s="30">
        <v>4.8612117320788267E-2</v>
      </c>
      <c r="CT14" s="30">
        <v>6.0893021537142523E-2</v>
      </c>
      <c r="CU14" s="30">
        <v>3.4381618283240711E-2</v>
      </c>
      <c r="CV14" s="30">
        <v>0.16980040126902121</v>
      </c>
      <c r="CW14" s="30">
        <v>0.20445758339957451</v>
      </c>
      <c r="CX14" s="30">
        <v>0.1166793182346092</v>
      </c>
      <c r="CY14" s="30">
        <v>2.005814356519928E-2</v>
      </c>
      <c r="CZ14" s="30">
        <v>-1.4802745472687891E-3</v>
      </c>
      <c r="DA14" s="30">
        <v>-2.3150114921623641E-2</v>
      </c>
      <c r="DB14" s="30">
        <v>-0.19162965872882659</v>
      </c>
      <c r="DC14" s="30">
        <v>-0.27185177019325968</v>
      </c>
      <c r="DD14" s="30">
        <v>-0.21309613111010051</v>
      </c>
      <c r="DE14" s="30">
        <v>-0.16221912242286801</v>
      </c>
      <c r="DF14" s="30">
        <v>-0.2020125592365708</v>
      </c>
      <c r="DG14" s="30">
        <v>-0.17344116046680241</v>
      </c>
      <c r="DH14" s="30">
        <v>1.012974642923409E-3</v>
      </c>
      <c r="DI14" s="30">
        <v>7.6205462994728718E-2</v>
      </c>
      <c r="DJ14" s="30">
        <v>6.8038263628197981E-2</v>
      </c>
      <c r="DK14" s="30">
        <v>5.8032611963437293E-2</v>
      </c>
      <c r="DL14" s="30">
        <v>9.6719985419295995E-3</v>
      </c>
      <c r="DM14" s="30">
        <v>-0.13040706175590769</v>
      </c>
      <c r="DN14" s="30">
        <v>-0.29058270893517102</v>
      </c>
      <c r="DO14" s="30">
        <v>-0.37804696398510318</v>
      </c>
      <c r="DP14" s="30">
        <v>-0.38659982436733192</v>
      </c>
      <c r="DQ14" s="30">
        <v>-0.38856601893403331</v>
      </c>
      <c r="DR14" s="30">
        <v>-0.2225135809416024</v>
      </c>
      <c r="DS14" s="30">
        <v>-0.1787917296931768</v>
      </c>
      <c r="DT14" s="30">
        <v>-0.15458476004354091</v>
      </c>
      <c r="DU14" s="30">
        <v>-6.1360687164233867E-2</v>
      </c>
      <c r="DV14" s="30">
        <v>2.79779304551812E-2</v>
      </c>
      <c r="DW14" s="30">
        <v>-3.1911652435136412E-2</v>
      </c>
      <c r="DX14" s="30">
        <v>-9.9874593181686566E-2</v>
      </c>
      <c r="DY14" s="30">
        <v>3.4834303206100481E-3</v>
      </c>
      <c r="DZ14" s="30">
        <v>2.8079826854705309E-2</v>
      </c>
      <c r="EA14" s="30">
        <v>-1.7876846775940201E-3</v>
      </c>
      <c r="EB14" s="30">
        <v>-9.0286462263588552E-2</v>
      </c>
      <c r="EC14" s="30">
        <v>-5.335702626953312E-2</v>
      </c>
      <c r="ED14" s="30">
        <v>-6.5240630345267336E-2</v>
      </c>
      <c r="EE14" s="30">
        <v>-4.1521107351409209E-2</v>
      </c>
      <c r="EF14" s="30">
        <v>-3.5067920268846753E-2</v>
      </c>
      <c r="EG14" s="4"/>
    </row>
    <row r="15" spans="1:137" ht="16" customHeight="1">
      <c r="A15" s="4"/>
      <c r="B15" s="25" t="s">
        <v>140</v>
      </c>
      <c r="C15" s="30">
        <v>3.1791852321887817E-2</v>
      </c>
      <c r="D15" s="30">
        <v>-0.124113534659973</v>
      </c>
      <c r="E15" s="30">
        <v>-0.1855275041338216</v>
      </c>
      <c r="F15" s="30">
        <v>-0.51750513151026711</v>
      </c>
      <c r="G15" s="30">
        <v>-0.47668017407719437</v>
      </c>
      <c r="H15" s="30">
        <v>-0.45722757099455158</v>
      </c>
      <c r="I15" s="30">
        <v>-0.52844879570355097</v>
      </c>
      <c r="J15" s="30">
        <v>-0.42896715641499811</v>
      </c>
      <c r="K15" s="30">
        <v>-0.41261833988945718</v>
      </c>
      <c r="L15" s="30">
        <v>-4.1638076480459141E-3</v>
      </c>
      <c r="M15" s="30">
        <v>-2.6791835565263569E-2</v>
      </c>
      <c r="N15" s="30">
        <v>-0.1044832975710908</v>
      </c>
      <c r="O15" s="30">
        <v>4.4211548082371273E-2</v>
      </c>
      <c r="P15" s="30">
        <v>5.8306595935677913E-2</v>
      </c>
      <c r="Q15" s="30">
        <v>-6.8633318730227794E-2</v>
      </c>
      <c r="R15" s="30">
        <v>3.9118300564990882E-2</v>
      </c>
      <c r="S15" s="30">
        <v>1.430917631974769E-2</v>
      </c>
      <c r="T15" s="30">
        <v>4.7434316151017543E-2</v>
      </c>
      <c r="U15" s="30">
        <v>-5.8521476915807114E-3</v>
      </c>
      <c r="V15" s="30">
        <v>-8.4536822785316129E-2</v>
      </c>
      <c r="W15" s="30">
        <v>-0.21030818610927479</v>
      </c>
      <c r="X15" s="30">
        <v>-0.29890892520185208</v>
      </c>
      <c r="Y15" s="30">
        <v>-0.28699682154041978</v>
      </c>
      <c r="Z15" s="30">
        <v>-0.24392935892183371</v>
      </c>
      <c r="AA15" s="30">
        <v>-0.26669381309450008</v>
      </c>
      <c r="AB15" s="30">
        <v>-0.26649480062011849</v>
      </c>
      <c r="AC15" s="30">
        <v>-9.2233352434640453E-2</v>
      </c>
      <c r="AD15" s="30">
        <v>-0.1147951387733117</v>
      </c>
      <c r="AE15" s="30">
        <v>-0.1224079017715</v>
      </c>
      <c r="AF15" s="30">
        <v>-9.5242339474186588E-2</v>
      </c>
      <c r="AG15" s="30">
        <v>-7.8768448683095765E-2</v>
      </c>
      <c r="AH15" s="30">
        <v>-0.10231021540807481</v>
      </c>
      <c r="AI15" s="30">
        <v>-5.7262343839864033E-2</v>
      </c>
      <c r="AJ15" s="30">
        <v>1.375630556441051E-2</v>
      </c>
      <c r="AK15" s="30">
        <v>7.4954773180899756E-2</v>
      </c>
      <c r="AL15" s="30">
        <v>5.8691382352518973E-2</v>
      </c>
      <c r="AM15" s="30">
        <v>5.3574222808861066E-3</v>
      </c>
      <c r="AN15" s="30">
        <v>1.151120887247797E-2</v>
      </c>
      <c r="AO15" s="30">
        <v>4.3992852184543921E-2</v>
      </c>
      <c r="AP15" s="30">
        <v>1.386578512691944E-2</v>
      </c>
      <c r="AQ15" s="30">
        <v>-3.7826594379919122E-2</v>
      </c>
      <c r="AR15" s="30">
        <v>2.0397996471123452E-3</v>
      </c>
      <c r="AS15" s="30">
        <v>0.1357503039005247</v>
      </c>
      <c r="AT15" s="30">
        <v>9.6260025474145652E-2</v>
      </c>
      <c r="AU15" s="30">
        <v>0.1098524283726847</v>
      </c>
      <c r="AV15" s="30">
        <v>5.4049591826809518E-2</v>
      </c>
      <c r="AW15" s="30">
        <v>9.1063555575025282E-2</v>
      </c>
      <c r="AX15" s="30">
        <v>-3.3959984777302832E-3</v>
      </c>
      <c r="AY15" s="30">
        <v>-7.119897332728195E-2</v>
      </c>
      <c r="AZ15" s="30">
        <v>-7.4040978527148166E-2</v>
      </c>
      <c r="BA15" s="30">
        <v>-0.1347483501299408</v>
      </c>
      <c r="BB15" s="30">
        <v>-0.18483968000529249</v>
      </c>
      <c r="BC15" s="30">
        <v>-0.17191627264560791</v>
      </c>
      <c r="BD15" s="30">
        <v>-0.19026124746966269</v>
      </c>
      <c r="BE15" s="30">
        <v>-0.18314878620084191</v>
      </c>
      <c r="BF15" s="30">
        <v>-0.1169061503080033</v>
      </c>
      <c r="BG15" s="30">
        <v>0.12330030316125749</v>
      </c>
      <c r="BH15" s="30">
        <v>0.15359621989951699</v>
      </c>
      <c r="BI15" s="30">
        <v>0.14035134075417011</v>
      </c>
      <c r="BJ15" s="30">
        <v>0.23465690016734941</v>
      </c>
      <c r="BK15" s="30">
        <v>0.2729537543891194</v>
      </c>
      <c r="BL15" s="30">
        <v>0.28953704776009159</v>
      </c>
      <c r="BM15" s="30">
        <v>5.9430813207467729E-2</v>
      </c>
      <c r="BN15" s="30">
        <v>0.12537867289131549</v>
      </c>
      <c r="BO15" s="30">
        <v>9.4402297988768397E-2</v>
      </c>
      <c r="BP15" s="30">
        <v>2.2123087244387041E-2</v>
      </c>
      <c r="BQ15" s="30">
        <v>3.8988347669411047E-2</v>
      </c>
      <c r="BR15" s="30">
        <v>3.9930685000121452E-2</v>
      </c>
      <c r="BS15" s="30">
        <v>4.2655091353802167E-2</v>
      </c>
      <c r="BT15" s="30">
        <v>3.6797176926708558E-2</v>
      </c>
      <c r="BU15" s="30">
        <v>7.6853980936937072E-2</v>
      </c>
      <c r="BV15" s="30">
        <v>8.6874653055629289E-2</v>
      </c>
      <c r="BW15" s="30">
        <v>4.5363248455846543E-2</v>
      </c>
      <c r="BX15" s="30">
        <v>3.359059787487173E-2</v>
      </c>
      <c r="BY15" s="30">
        <v>5.0840617964594763E-2</v>
      </c>
      <c r="BZ15" s="30">
        <v>9.0275438321156073E-2</v>
      </c>
      <c r="CA15" s="30">
        <v>9.5704210681912413E-2</v>
      </c>
      <c r="CB15" s="30">
        <v>0.1004237191891803</v>
      </c>
      <c r="CC15" s="30">
        <v>0.1341684898244323</v>
      </c>
      <c r="CD15" s="30">
        <v>6.9815281522896414E-2</v>
      </c>
      <c r="CE15" s="30">
        <v>5.3519808238351417E-2</v>
      </c>
      <c r="CF15" s="30">
        <v>-0.13786759520854391</v>
      </c>
      <c r="CG15" s="30">
        <v>-0.19353121275137081</v>
      </c>
      <c r="CH15" s="30">
        <v>-0.26226848017204002</v>
      </c>
      <c r="CI15" s="30">
        <v>-0.3621599917846654</v>
      </c>
      <c r="CJ15" s="30">
        <v>-0.17238616741213869</v>
      </c>
      <c r="CK15" s="30">
        <v>-0.24049517149258881</v>
      </c>
      <c r="CL15" s="30">
        <v>-2.9835663042383141E-2</v>
      </c>
      <c r="CM15" s="30">
        <v>4.8473891845623951E-2</v>
      </c>
      <c r="CN15" s="30">
        <v>3.9346739118729157E-2</v>
      </c>
      <c r="CO15" s="30">
        <v>0.1164079590468295</v>
      </c>
      <c r="CP15" s="30">
        <v>2.7954671930253121E-2</v>
      </c>
      <c r="CQ15" s="30">
        <v>0.11747759455583209</v>
      </c>
      <c r="CR15" s="30">
        <v>2.9545899327482559E-2</v>
      </c>
      <c r="CS15" s="30">
        <v>1.0751643579328309E-2</v>
      </c>
      <c r="CT15" s="30">
        <v>5.1099373345264383E-2</v>
      </c>
      <c r="CU15" s="30">
        <v>0.1082341816412679</v>
      </c>
      <c r="CV15" s="30">
        <v>0.10010509493954881</v>
      </c>
      <c r="CW15" s="30">
        <v>8.243585879334471E-2</v>
      </c>
      <c r="CX15" s="30">
        <v>0.14446651107932301</v>
      </c>
      <c r="CY15" s="30">
        <v>1.543497282917974E-2</v>
      </c>
      <c r="CZ15" s="30">
        <v>-6.8435941888257273E-2</v>
      </c>
      <c r="DA15" s="30">
        <v>-4.0885147588147007E-2</v>
      </c>
      <c r="DB15" s="30">
        <v>-9.0240152606780755E-2</v>
      </c>
      <c r="DC15" s="30">
        <v>-7.2910137230503241E-2</v>
      </c>
      <c r="DD15" s="30">
        <v>-7.4101523922137175E-2</v>
      </c>
      <c r="DE15" s="30">
        <v>-3.8176172495442889E-2</v>
      </c>
      <c r="DF15" s="30">
        <v>-8.0366391316806784E-2</v>
      </c>
      <c r="DG15" s="30">
        <v>-8.476282179701658E-2</v>
      </c>
      <c r="DH15" s="30">
        <v>4.5561825761215147E-2</v>
      </c>
      <c r="DI15" s="30">
        <v>1.528392919064096E-2</v>
      </c>
      <c r="DJ15" s="30">
        <v>-8.6368002330220212E-2</v>
      </c>
      <c r="DK15" s="30">
        <v>-8.3284992535386043E-2</v>
      </c>
      <c r="DL15" s="30">
        <v>-0.31070789680062177</v>
      </c>
      <c r="DM15" s="30">
        <v>-0.48915583017430442</v>
      </c>
      <c r="DN15" s="30">
        <v>-0.61713752149518741</v>
      </c>
      <c r="DO15" s="30">
        <v>-0.64241868762619436</v>
      </c>
      <c r="DP15" s="30">
        <v>-0.51612725116185121</v>
      </c>
      <c r="DQ15" s="30">
        <v>-0.53531007584853307</v>
      </c>
      <c r="DR15" s="30">
        <v>-0.2064125755835888</v>
      </c>
      <c r="DS15" s="30">
        <v>-3.676563839448474E-2</v>
      </c>
      <c r="DT15" s="30">
        <v>-2.1176359815958671E-2</v>
      </c>
      <c r="DU15" s="30">
        <v>-0.10998908800017081</v>
      </c>
      <c r="DV15" s="30">
        <v>-8.386624293692993E-2</v>
      </c>
      <c r="DW15" s="30">
        <v>-0.1762242698023504</v>
      </c>
      <c r="DX15" s="30">
        <v>-0.2504373293811597</v>
      </c>
      <c r="DY15" s="30">
        <v>-0.1513928108760241</v>
      </c>
      <c r="DZ15" s="30">
        <v>-0.1158377971666855</v>
      </c>
      <c r="EA15" s="30">
        <v>-5.6648240929698529E-2</v>
      </c>
      <c r="EB15" s="30">
        <v>3.4255181880149747E-2</v>
      </c>
      <c r="EC15" s="30">
        <v>-1.7395651008662891E-2</v>
      </c>
      <c r="ED15" s="30">
        <v>4.0598599233819838E-2</v>
      </c>
      <c r="EE15" s="30">
        <v>4.9896273549653668E-2</v>
      </c>
      <c r="EF15" s="30">
        <v>4.1656706453052278E-2</v>
      </c>
    </row>
    <row r="16" spans="1:137" ht="16" customHeight="1">
      <c r="A16" s="4"/>
    </row>
    <row r="17" spans="1:137" ht="16" customHeight="1">
      <c r="A17" s="44" t="s">
        <v>256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4"/>
    </row>
    <row r="18" spans="1:137" ht="17" customHeight="1">
      <c r="A18" s="29"/>
      <c r="B18" s="6" t="s">
        <v>1</v>
      </c>
      <c r="C18" s="40" t="s">
        <v>2</v>
      </c>
      <c r="D18" s="40" t="s">
        <v>3</v>
      </c>
      <c r="E18" s="40" t="s">
        <v>4</v>
      </c>
      <c r="F18" s="40" t="s">
        <v>5</v>
      </c>
      <c r="G18" s="40" t="s">
        <v>6</v>
      </c>
      <c r="H18" s="40" t="s">
        <v>7</v>
      </c>
      <c r="I18" s="40" t="s">
        <v>8</v>
      </c>
      <c r="J18" s="40" t="s">
        <v>9</v>
      </c>
      <c r="K18" s="40" t="s">
        <v>10</v>
      </c>
      <c r="L18" s="40" t="s">
        <v>11</v>
      </c>
      <c r="M18" s="40" t="s">
        <v>12</v>
      </c>
      <c r="N18" s="40" t="s">
        <v>13</v>
      </c>
      <c r="O18" s="40" t="s">
        <v>14</v>
      </c>
      <c r="P18" s="40" t="s">
        <v>15</v>
      </c>
      <c r="Q18" s="40" t="s">
        <v>16</v>
      </c>
      <c r="R18" s="40" t="s">
        <v>17</v>
      </c>
      <c r="S18" s="40" t="s">
        <v>18</v>
      </c>
      <c r="T18" s="40" t="s">
        <v>19</v>
      </c>
      <c r="U18" s="40" t="s">
        <v>20</v>
      </c>
      <c r="V18" s="40" t="s">
        <v>21</v>
      </c>
      <c r="W18" s="40" t="s">
        <v>22</v>
      </c>
      <c r="X18" s="40" t="s">
        <v>23</v>
      </c>
      <c r="Y18" s="40" t="s">
        <v>24</v>
      </c>
      <c r="Z18" s="40" t="s">
        <v>25</v>
      </c>
      <c r="AA18" s="40" t="s">
        <v>26</v>
      </c>
      <c r="AB18" s="40" t="s">
        <v>27</v>
      </c>
      <c r="AC18" s="40" t="s">
        <v>28</v>
      </c>
      <c r="AD18" s="40" t="s">
        <v>29</v>
      </c>
      <c r="AE18" s="40" t="s">
        <v>30</v>
      </c>
      <c r="AF18" s="40" t="s">
        <v>31</v>
      </c>
      <c r="AG18" s="40" t="s">
        <v>32</v>
      </c>
      <c r="AH18" s="40" t="s">
        <v>33</v>
      </c>
      <c r="AI18" s="40" t="s">
        <v>34</v>
      </c>
      <c r="AJ18" s="40" t="s">
        <v>35</v>
      </c>
      <c r="AK18" s="40" t="s">
        <v>36</v>
      </c>
      <c r="AL18" s="40" t="s">
        <v>37</v>
      </c>
      <c r="AM18" s="40" t="s">
        <v>38</v>
      </c>
      <c r="AN18" s="40" t="s">
        <v>39</v>
      </c>
      <c r="AO18" s="40" t="s">
        <v>40</v>
      </c>
      <c r="AP18" s="40" t="s">
        <v>41</v>
      </c>
      <c r="AQ18" s="40" t="s">
        <v>42</v>
      </c>
      <c r="AR18" s="40" t="s">
        <v>43</v>
      </c>
      <c r="AS18" s="40" t="s">
        <v>44</v>
      </c>
      <c r="AT18" s="40" t="s">
        <v>45</v>
      </c>
      <c r="AU18" s="40" t="s">
        <v>46</v>
      </c>
      <c r="AV18" s="40" t="s">
        <v>47</v>
      </c>
      <c r="AW18" s="40" t="s">
        <v>48</v>
      </c>
      <c r="AX18" s="40" t="s">
        <v>49</v>
      </c>
      <c r="AY18" s="40" t="s">
        <v>50</v>
      </c>
      <c r="AZ18" s="40" t="s">
        <v>51</v>
      </c>
      <c r="BA18" s="40" t="s">
        <v>52</v>
      </c>
      <c r="BB18" s="40" t="s">
        <v>53</v>
      </c>
      <c r="BC18" s="40" t="s">
        <v>54</v>
      </c>
      <c r="BD18" s="40" t="s">
        <v>55</v>
      </c>
      <c r="BE18" s="40" t="s">
        <v>56</v>
      </c>
      <c r="BF18" s="40" t="s">
        <v>57</v>
      </c>
      <c r="BG18" s="40" t="s">
        <v>58</v>
      </c>
      <c r="BH18" s="40" t="s">
        <v>59</v>
      </c>
      <c r="BI18" s="40" t="s">
        <v>60</v>
      </c>
      <c r="BJ18" s="40" t="s">
        <v>61</v>
      </c>
      <c r="BK18" s="40" t="s">
        <v>62</v>
      </c>
      <c r="BL18" s="40" t="s">
        <v>63</v>
      </c>
      <c r="BM18" s="40" t="s">
        <v>64</v>
      </c>
      <c r="BN18" s="40" t="s">
        <v>65</v>
      </c>
      <c r="BO18" s="40" t="s">
        <v>66</v>
      </c>
      <c r="BP18" s="40" t="s">
        <v>67</v>
      </c>
      <c r="BQ18" s="40" t="s">
        <v>68</v>
      </c>
      <c r="BR18" s="40" t="s">
        <v>69</v>
      </c>
      <c r="BS18" s="40" t="s">
        <v>70</v>
      </c>
      <c r="BT18" s="40" t="s">
        <v>71</v>
      </c>
      <c r="BU18" s="40" t="s">
        <v>72</v>
      </c>
      <c r="BV18" s="40" t="s">
        <v>73</v>
      </c>
      <c r="BW18" s="40" t="s">
        <v>74</v>
      </c>
      <c r="BX18" s="40" t="s">
        <v>75</v>
      </c>
      <c r="BY18" s="40" t="s">
        <v>76</v>
      </c>
      <c r="BZ18" s="40" t="s">
        <v>77</v>
      </c>
      <c r="CA18" s="40" t="s">
        <v>78</v>
      </c>
      <c r="CB18" s="40" t="s">
        <v>79</v>
      </c>
      <c r="CC18" s="40" t="s">
        <v>80</v>
      </c>
      <c r="CD18" s="40" t="s">
        <v>81</v>
      </c>
      <c r="CE18" s="40" t="s">
        <v>82</v>
      </c>
      <c r="CF18" s="40" t="s">
        <v>83</v>
      </c>
      <c r="CG18" s="40" t="s">
        <v>84</v>
      </c>
      <c r="CH18" s="40" t="s">
        <v>85</v>
      </c>
      <c r="CI18" s="40" t="s">
        <v>86</v>
      </c>
      <c r="CJ18" s="40" t="s">
        <v>87</v>
      </c>
      <c r="CK18" s="40" t="s">
        <v>88</v>
      </c>
      <c r="CL18" s="40" t="s">
        <v>89</v>
      </c>
      <c r="CM18" s="40" t="s">
        <v>90</v>
      </c>
      <c r="CN18" s="40" t="s">
        <v>91</v>
      </c>
      <c r="CO18" s="40" t="s">
        <v>92</v>
      </c>
      <c r="CP18" s="40" t="s">
        <v>93</v>
      </c>
      <c r="CQ18" s="40" t="s">
        <v>94</v>
      </c>
      <c r="CR18" s="40" t="s">
        <v>95</v>
      </c>
      <c r="CS18" s="40" t="s">
        <v>96</v>
      </c>
      <c r="CT18" s="40" t="s">
        <v>97</v>
      </c>
      <c r="CU18" s="40" t="s">
        <v>98</v>
      </c>
      <c r="CV18" s="40" t="s">
        <v>99</v>
      </c>
      <c r="CW18" s="40" t="s">
        <v>100</v>
      </c>
      <c r="CX18" s="40" t="s">
        <v>101</v>
      </c>
      <c r="CY18" s="40" t="s">
        <v>102</v>
      </c>
      <c r="CZ18" s="40" t="s">
        <v>103</v>
      </c>
      <c r="DA18" s="40" t="s">
        <v>104</v>
      </c>
      <c r="DB18" s="40" t="s">
        <v>105</v>
      </c>
      <c r="DC18" s="40" t="s">
        <v>106</v>
      </c>
      <c r="DD18" s="40" t="s">
        <v>107</v>
      </c>
      <c r="DE18" s="40" t="s">
        <v>108</v>
      </c>
      <c r="DF18" s="40" t="s">
        <v>109</v>
      </c>
      <c r="DG18" s="40" t="s">
        <v>110</v>
      </c>
      <c r="DH18" s="40" t="s">
        <v>111</v>
      </c>
      <c r="DI18" s="40" t="s">
        <v>112</v>
      </c>
      <c r="DJ18" s="40" t="s">
        <v>113</v>
      </c>
      <c r="DK18" s="40" t="s">
        <v>114</v>
      </c>
      <c r="DL18" s="40" t="s">
        <v>115</v>
      </c>
      <c r="DM18" s="40" t="s">
        <v>116</v>
      </c>
      <c r="DN18" s="40" t="s">
        <v>117</v>
      </c>
      <c r="DO18" s="40" t="s">
        <v>118</v>
      </c>
      <c r="DP18" s="40" t="s">
        <v>119</v>
      </c>
      <c r="DQ18" s="40" t="s">
        <v>120</v>
      </c>
      <c r="DR18" s="40" t="s">
        <v>121</v>
      </c>
      <c r="DS18" s="40" t="s">
        <v>122</v>
      </c>
      <c r="DT18" s="40" t="s">
        <v>123</v>
      </c>
      <c r="DU18" s="40" t="s">
        <v>124</v>
      </c>
      <c r="DV18" s="40" t="s">
        <v>125</v>
      </c>
      <c r="DW18" s="40" t="s">
        <v>126</v>
      </c>
      <c r="DX18" s="40" t="s">
        <v>127</v>
      </c>
      <c r="DY18" s="40" t="s">
        <v>128</v>
      </c>
      <c r="DZ18" s="40" t="s">
        <v>129</v>
      </c>
      <c r="EA18" s="40" t="s">
        <v>130</v>
      </c>
      <c r="EB18" s="40" t="s">
        <v>131</v>
      </c>
      <c r="EC18" s="40" t="s">
        <v>132</v>
      </c>
      <c r="ED18" s="41" t="s">
        <v>133</v>
      </c>
      <c r="EE18" s="40" t="s">
        <v>134</v>
      </c>
      <c r="EF18" s="40" t="s">
        <v>135</v>
      </c>
      <c r="EG18" s="4"/>
    </row>
    <row r="19" spans="1:137" ht="16" customHeight="1">
      <c r="A19" s="29"/>
      <c r="B19" s="25" t="s">
        <v>136</v>
      </c>
      <c r="C19" s="30">
        <f t="shared" ref="C19:AH19" si="0">(C3-C11)^2</f>
        <v>2.221047955981497E-2</v>
      </c>
      <c r="D19" s="30">
        <f t="shared" si="0"/>
        <v>2.3811771523167173E-3</v>
      </c>
      <c r="E19" s="30">
        <f t="shared" si="0"/>
        <v>4.5285857438363469E-2</v>
      </c>
      <c r="F19" s="30">
        <f t="shared" si="0"/>
        <v>1.3380185799987074E-4</v>
      </c>
      <c r="G19" s="30">
        <f t="shared" si="0"/>
        <v>7.3230262584513157E-4</v>
      </c>
      <c r="H19" s="30">
        <f t="shared" si="0"/>
        <v>4.927540304252632E-4</v>
      </c>
      <c r="I19" s="30">
        <f t="shared" si="0"/>
        <v>1.1737878129783781E-2</v>
      </c>
      <c r="J19" s="30">
        <f t="shared" si="0"/>
        <v>2.5182864346449357E-3</v>
      </c>
      <c r="K19" s="30">
        <f t="shared" si="0"/>
        <v>1.0617167348114329E-2</v>
      </c>
      <c r="L19" s="30">
        <f t="shared" si="0"/>
        <v>3.8916176256643328E-3</v>
      </c>
      <c r="M19" s="30">
        <f t="shared" si="0"/>
        <v>2.4174075077551451E-3</v>
      </c>
      <c r="N19" s="30">
        <f t="shared" si="0"/>
        <v>7.5177960519984934E-3</v>
      </c>
      <c r="O19" s="30">
        <f t="shared" si="0"/>
        <v>1.396521824559169E-3</v>
      </c>
      <c r="P19" s="30">
        <f t="shared" si="0"/>
        <v>4.5513589312695286E-3</v>
      </c>
      <c r="Q19" s="30">
        <f t="shared" si="0"/>
        <v>1.5322391895556101E-2</v>
      </c>
      <c r="R19" s="30">
        <f t="shared" si="0"/>
        <v>3.3500460333538851E-4</v>
      </c>
      <c r="S19" s="30">
        <f t="shared" si="0"/>
        <v>1.2889159827853881E-3</v>
      </c>
      <c r="T19" s="30">
        <f t="shared" si="0"/>
        <v>1.0754567344924689E-2</v>
      </c>
      <c r="U19" s="30">
        <f t="shared" si="0"/>
        <v>1.364825494672517E-4</v>
      </c>
      <c r="V19" s="30">
        <f t="shared" si="0"/>
        <v>3.4714383021715783E-4</v>
      </c>
      <c r="W19" s="30">
        <f t="shared" si="0"/>
        <v>6.2635507792976669E-3</v>
      </c>
      <c r="X19" s="30">
        <f t="shared" si="0"/>
        <v>2.9901127995290615E-3</v>
      </c>
      <c r="Y19" s="30">
        <f t="shared" si="0"/>
        <v>2.59273787269108E-4</v>
      </c>
      <c r="Z19" s="30">
        <f t="shared" si="0"/>
        <v>2.3863141140473649E-3</v>
      </c>
      <c r="AA19" s="30">
        <f t="shared" si="0"/>
        <v>7.101955757410643E-3</v>
      </c>
      <c r="AB19" s="30">
        <f t="shared" si="0"/>
        <v>9.0527989277420957E-3</v>
      </c>
      <c r="AC19" s="30">
        <f t="shared" si="0"/>
        <v>1.4438660840478549E-6</v>
      </c>
      <c r="AD19" s="30">
        <f t="shared" si="0"/>
        <v>1.8389830179387939E-3</v>
      </c>
      <c r="AE19" s="30">
        <f t="shared" si="0"/>
        <v>1.5901052828251234E-4</v>
      </c>
      <c r="AF19" s="30">
        <f t="shared" si="0"/>
        <v>1.4867125701556844E-3</v>
      </c>
      <c r="AG19" s="30">
        <f t="shared" si="0"/>
        <v>5.9207382398096075E-4</v>
      </c>
      <c r="AH19" s="30">
        <f t="shared" si="0"/>
        <v>9.4785623119758502E-4</v>
      </c>
      <c r="AI19" s="30">
        <f t="shared" ref="AI19:BN19" si="1">(AI3-AI11)^2</f>
        <v>2.218412844556426E-3</v>
      </c>
      <c r="AJ19" s="30">
        <f t="shared" si="1"/>
        <v>1.918657083021728E-3</v>
      </c>
      <c r="AK19" s="30">
        <f t="shared" si="1"/>
        <v>3.2089739656933195E-3</v>
      </c>
      <c r="AL19" s="30">
        <f t="shared" si="1"/>
        <v>1.2388514525551489E-5</v>
      </c>
      <c r="AM19" s="30">
        <f t="shared" si="1"/>
        <v>1.1619861238759299E-4</v>
      </c>
      <c r="AN19" s="30">
        <f t="shared" si="1"/>
        <v>3.5614141642700209E-3</v>
      </c>
      <c r="AO19" s="30">
        <f t="shared" si="1"/>
        <v>5.5213140930743297E-4</v>
      </c>
      <c r="AP19" s="30">
        <f t="shared" si="1"/>
        <v>1.9064518145603108E-4</v>
      </c>
      <c r="AQ19" s="30">
        <f t="shared" si="1"/>
        <v>3.4377765615173916E-2</v>
      </c>
      <c r="AR19" s="30">
        <f t="shared" si="1"/>
        <v>6.2200930131915671E-3</v>
      </c>
      <c r="AS19" s="30">
        <f t="shared" si="1"/>
        <v>7.8410989069826965E-4</v>
      </c>
      <c r="AT19" s="30">
        <f t="shared" si="1"/>
        <v>4.7000800233628062E-3</v>
      </c>
      <c r="AU19" s="30">
        <f t="shared" si="1"/>
        <v>2.3487060052694835E-3</v>
      </c>
      <c r="AV19" s="30">
        <f t="shared" si="1"/>
        <v>2.4237717327357856E-3</v>
      </c>
      <c r="AW19" s="30">
        <f t="shared" si="1"/>
        <v>7.1154030421790269E-4</v>
      </c>
      <c r="AX19" s="30">
        <f t="shared" si="1"/>
        <v>1.0146676863190744E-3</v>
      </c>
      <c r="AY19" s="30">
        <f t="shared" si="1"/>
        <v>1.310057642632442E-4</v>
      </c>
      <c r="AZ19" s="30">
        <f t="shared" si="1"/>
        <v>7.0049436942394713E-4</v>
      </c>
      <c r="BA19" s="30">
        <f t="shared" si="1"/>
        <v>3.1917094400891543E-5</v>
      </c>
      <c r="BB19" s="30">
        <f t="shared" si="1"/>
        <v>5.5490239550219512E-6</v>
      </c>
      <c r="BC19" s="30">
        <f t="shared" si="1"/>
        <v>1.4283295126727531E-2</v>
      </c>
      <c r="BD19" s="30">
        <f t="shared" si="1"/>
        <v>3.3156024858607415E-4</v>
      </c>
      <c r="BE19" s="30">
        <f t="shared" si="1"/>
        <v>7.3379743269849976E-4</v>
      </c>
      <c r="BF19" s="30">
        <f t="shared" si="1"/>
        <v>8.7542739557275057E-3</v>
      </c>
      <c r="BG19" s="30">
        <f t="shared" si="1"/>
        <v>2.6964275568166205E-3</v>
      </c>
      <c r="BH19" s="30">
        <f t="shared" si="1"/>
        <v>4.076211746818206E-3</v>
      </c>
      <c r="BI19" s="30">
        <f t="shared" si="1"/>
        <v>1.4472480068236895E-4</v>
      </c>
      <c r="BJ19" s="30">
        <f t="shared" si="1"/>
        <v>1.3632675402688692E-2</v>
      </c>
      <c r="BK19" s="30">
        <f t="shared" si="1"/>
        <v>6.1866753723837131E-6</v>
      </c>
      <c r="BL19" s="30">
        <f t="shared" si="1"/>
        <v>3.3950517499543318E-5</v>
      </c>
      <c r="BM19" s="30">
        <f t="shared" si="1"/>
        <v>1.6847445025114965E-2</v>
      </c>
      <c r="BN19" s="30">
        <f t="shared" si="1"/>
        <v>9.1057525900644992E-4</v>
      </c>
      <c r="BO19" s="30">
        <f t="shared" ref="BO19:CT19" si="2">(BO3-BO11)^2</f>
        <v>1.1906910547676305E-3</v>
      </c>
      <c r="BP19" s="30">
        <f t="shared" si="2"/>
        <v>2.5813203216857594E-3</v>
      </c>
      <c r="BQ19" s="30">
        <f t="shared" si="2"/>
        <v>2.6360639898357317E-3</v>
      </c>
      <c r="BR19" s="30">
        <f t="shared" si="2"/>
        <v>3.6680882234765963E-4</v>
      </c>
      <c r="BS19" s="30">
        <f t="shared" si="2"/>
        <v>3.8622950654805433E-3</v>
      </c>
      <c r="BT19" s="30">
        <f t="shared" si="2"/>
        <v>6.4049352023767023E-4</v>
      </c>
      <c r="BU19" s="30">
        <f t="shared" si="2"/>
        <v>7.2461425355510643E-5</v>
      </c>
      <c r="BV19" s="30">
        <f t="shared" si="2"/>
        <v>2.916138913549951E-5</v>
      </c>
      <c r="BW19" s="30">
        <f t="shared" si="2"/>
        <v>5.4151168721997016E-3</v>
      </c>
      <c r="BX19" s="30">
        <f t="shared" si="2"/>
        <v>1.3909973162109274E-3</v>
      </c>
      <c r="BY19" s="30">
        <f t="shared" si="2"/>
        <v>4.7556870584838972E-3</v>
      </c>
      <c r="BZ19" s="30">
        <f t="shared" si="2"/>
        <v>7.450703711013449E-3</v>
      </c>
      <c r="CA19" s="30">
        <f t="shared" si="2"/>
        <v>1.2003951308175515E-2</v>
      </c>
      <c r="CB19" s="30">
        <f t="shared" si="2"/>
        <v>1.4036049770157367E-5</v>
      </c>
      <c r="CC19" s="30">
        <f t="shared" si="2"/>
        <v>2.5852351728984472E-5</v>
      </c>
      <c r="CD19" s="30">
        <f t="shared" si="2"/>
        <v>1.7732755063839026E-3</v>
      </c>
      <c r="CE19" s="30">
        <f t="shared" si="2"/>
        <v>1.3389407252965889E-2</v>
      </c>
      <c r="CF19" s="30">
        <f t="shared" si="2"/>
        <v>1.3649631354970043E-3</v>
      </c>
      <c r="CG19" s="30">
        <f t="shared" si="2"/>
        <v>7.9111974898331012E-4</v>
      </c>
      <c r="CH19" s="30">
        <f t="shared" si="2"/>
        <v>4.7439654205005633E-3</v>
      </c>
      <c r="CI19" s="30">
        <f t="shared" si="2"/>
        <v>5.8575400634564641E-4</v>
      </c>
      <c r="CJ19" s="30">
        <f t="shared" si="2"/>
        <v>3.3007778050555506E-5</v>
      </c>
      <c r="CK19" s="30">
        <f t="shared" si="2"/>
        <v>1.1671770033880603E-2</v>
      </c>
      <c r="CL19" s="30">
        <f t="shared" si="2"/>
        <v>3.3308128899718699E-3</v>
      </c>
      <c r="CM19" s="30">
        <f t="shared" si="2"/>
        <v>3.0499785219095586E-3</v>
      </c>
      <c r="CN19" s="30">
        <f t="shared" si="2"/>
        <v>2.0425123713527829E-4</v>
      </c>
      <c r="CO19" s="30">
        <f t="shared" si="2"/>
        <v>2.3232553178506917E-2</v>
      </c>
      <c r="CP19" s="30">
        <f t="shared" si="2"/>
        <v>5.2243944532417656E-3</v>
      </c>
      <c r="CQ19" s="30">
        <f t="shared" si="2"/>
        <v>1.2917927464378589E-3</v>
      </c>
      <c r="CR19" s="30">
        <f t="shared" si="2"/>
        <v>2.2969623818793001E-4</v>
      </c>
      <c r="CS19" s="30">
        <f t="shared" si="2"/>
        <v>5.7792908498876007E-3</v>
      </c>
      <c r="CT19" s="30">
        <f t="shared" si="2"/>
        <v>6.4941785149693091E-3</v>
      </c>
      <c r="CU19" s="30">
        <f t="shared" ref="CU19:DZ19" si="3">(CU3-CU11)^2</f>
        <v>3.3391887399968471E-3</v>
      </c>
      <c r="CV19" s="30">
        <f t="shared" si="3"/>
        <v>3.0364580908705651E-3</v>
      </c>
      <c r="CW19" s="30">
        <f t="shared" si="3"/>
        <v>8.0619678653212115E-8</v>
      </c>
      <c r="CX19" s="30">
        <f t="shared" si="3"/>
        <v>4.1721376986934302E-4</v>
      </c>
      <c r="CY19" s="30">
        <f t="shared" si="3"/>
        <v>1.0531987330916244E-4</v>
      </c>
      <c r="CZ19" s="30">
        <f t="shared" si="3"/>
        <v>9.5178165285952055E-5</v>
      </c>
      <c r="DA19" s="30">
        <f t="shared" si="3"/>
        <v>2.4890271486159625E-4</v>
      </c>
      <c r="DB19" s="30">
        <f t="shared" si="3"/>
        <v>1.1020832166879115E-3</v>
      </c>
      <c r="DC19" s="30">
        <f t="shared" si="3"/>
        <v>6.6418018866826755E-7</v>
      </c>
      <c r="DD19" s="30">
        <f t="shared" si="3"/>
        <v>1.3294740858689031E-2</v>
      </c>
      <c r="DE19" s="30">
        <f t="shared" si="3"/>
        <v>4.1221845526484471E-3</v>
      </c>
      <c r="DF19" s="30">
        <f t="shared" si="3"/>
        <v>1.3878125775754278E-2</v>
      </c>
      <c r="DG19" s="30">
        <f t="shared" si="3"/>
        <v>1.4933890873040853E-3</v>
      </c>
      <c r="DH19" s="30">
        <f t="shared" si="3"/>
        <v>1.7056668718148398E-5</v>
      </c>
      <c r="DI19" s="30">
        <f t="shared" si="3"/>
        <v>1.5035143838797373E-2</v>
      </c>
      <c r="DJ19" s="30">
        <f t="shared" si="3"/>
        <v>5.0435815097297455E-3</v>
      </c>
      <c r="DK19" s="30">
        <f t="shared" si="3"/>
        <v>4.107399404418414E-3</v>
      </c>
      <c r="DL19" s="30">
        <f t="shared" si="3"/>
        <v>1.4650746734754086E-4</v>
      </c>
      <c r="DM19" s="30">
        <f t="shared" si="3"/>
        <v>3.7934473308369877E-3</v>
      </c>
      <c r="DN19" s="30">
        <f t="shared" si="3"/>
        <v>1.3106490628025211E-3</v>
      </c>
      <c r="DO19" s="30">
        <f t="shared" si="3"/>
        <v>1.1138513432959584E-2</v>
      </c>
      <c r="DP19" s="30">
        <f t="shared" si="3"/>
        <v>5.3715183407756538E-3</v>
      </c>
      <c r="DQ19" s="30">
        <f t="shared" si="3"/>
        <v>2.2341448422804765E-4</v>
      </c>
      <c r="DR19" s="30">
        <f t="shared" si="3"/>
        <v>1.649896145552683E-5</v>
      </c>
      <c r="DS19" s="30">
        <f t="shared" si="3"/>
        <v>4.2879232234564321E-3</v>
      </c>
      <c r="DT19" s="30">
        <f t="shared" si="3"/>
        <v>1.4551551289642E-4</v>
      </c>
      <c r="DU19" s="30">
        <f t="shared" si="3"/>
        <v>9.8134314523159105E-4</v>
      </c>
      <c r="DV19" s="30">
        <f t="shared" si="3"/>
        <v>1.1712984118153211E-4</v>
      </c>
      <c r="DW19" s="30">
        <f t="shared" si="3"/>
        <v>3.940151149392073E-4</v>
      </c>
      <c r="DX19" s="30">
        <f t="shared" si="3"/>
        <v>2.2824273453942562E-3</v>
      </c>
      <c r="DY19" s="30">
        <f t="shared" si="3"/>
        <v>5.4836823950510059E-3</v>
      </c>
      <c r="DZ19" s="30">
        <f t="shared" si="3"/>
        <v>4.886401254509413E-3</v>
      </c>
      <c r="EA19" s="30">
        <f t="shared" ref="EA19:EF19" si="4">(EA3-EA11)^2</f>
        <v>7.1171447580604876E-4</v>
      </c>
      <c r="EB19" s="30">
        <f t="shared" si="4"/>
        <v>3.9745879756575937E-3</v>
      </c>
      <c r="EC19" s="30">
        <f t="shared" si="4"/>
        <v>2.1473187276102516E-3</v>
      </c>
      <c r="ED19" s="30">
        <f t="shared" si="4"/>
        <v>1.5244332861587271E-3</v>
      </c>
      <c r="EE19" s="30">
        <f t="shared" si="4"/>
        <v>7.5808324332021306E-6</v>
      </c>
      <c r="EF19" s="30">
        <f t="shared" si="4"/>
        <v>2.0282697345763507E-2</v>
      </c>
      <c r="EG19" s="4"/>
    </row>
    <row r="20" spans="1:137" ht="16" customHeight="1">
      <c r="A20" s="29"/>
      <c r="B20" s="25" t="s">
        <v>137</v>
      </c>
      <c r="C20" s="30">
        <f t="shared" ref="C20:AH20" si="5">(C4-C12)^2</f>
        <v>5.832584759026628E-2</v>
      </c>
      <c r="D20" s="30">
        <f t="shared" si="5"/>
        <v>7.426411909193123E-2</v>
      </c>
      <c r="E20" s="30">
        <f t="shared" si="5"/>
        <v>5.9753823572655927E-2</v>
      </c>
      <c r="F20" s="30">
        <f t="shared" si="5"/>
        <v>9.1996942714659399E-2</v>
      </c>
      <c r="G20" s="30">
        <f t="shared" si="5"/>
        <v>2.8329261003905367E-2</v>
      </c>
      <c r="H20" s="30">
        <f t="shared" si="5"/>
        <v>0.23114375581629076</v>
      </c>
      <c r="I20" s="30">
        <f t="shared" si="5"/>
        <v>0.34350627119318217</v>
      </c>
      <c r="J20" s="30">
        <f t="shared" si="5"/>
        <v>0.30843950391964853</v>
      </c>
      <c r="K20" s="30">
        <f t="shared" si="5"/>
        <v>0.63402247969007663</v>
      </c>
      <c r="L20" s="30">
        <f t="shared" si="5"/>
        <v>0.11040123543745635</v>
      </c>
      <c r="M20" s="30">
        <f t="shared" si="5"/>
        <v>0.34940830896509412</v>
      </c>
      <c r="N20" s="30">
        <f t="shared" si="5"/>
        <v>7.7042891530695573E-2</v>
      </c>
      <c r="O20" s="30">
        <f t="shared" si="5"/>
        <v>0.12488915433153325</v>
      </c>
      <c r="P20" s="30">
        <f t="shared" si="5"/>
        <v>3.9288149825960572E-2</v>
      </c>
      <c r="Q20" s="30">
        <f t="shared" si="5"/>
        <v>2.3081545924059296E-2</v>
      </c>
      <c r="R20" s="30">
        <f t="shared" si="5"/>
        <v>6.6086127963395372E-2</v>
      </c>
      <c r="S20" s="30">
        <f t="shared" si="5"/>
        <v>3.8906290792749987E-2</v>
      </c>
      <c r="T20" s="30">
        <f t="shared" si="5"/>
        <v>2.2100312600326792E-2</v>
      </c>
      <c r="U20" s="30">
        <f t="shared" si="5"/>
        <v>5.6881310704018133E-2</v>
      </c>
      <c r="V20" s="30">
        <f t="shared" si="5"/>
        <v>7.3434197952215218E-3</v>
      </c>
      <c r="W20" s="30">
        <f t="shared" si="5"/>
        <v>5.6204265033726539E-3</v>
      </c>
      <c r="X20" s="30">
        <f t="shared" si="5"/>
        <v>6.8975094369753381E-2</v>
      </c>
      <c r="Y20" s="30">
        <f t="shared" si="5"/>
        <v>0.12148196222329181</v>
      </c>
      <c r="Z20" s="30">
        <f t="shared" si="5"/>
        <v>0.13987132774578995</v>
      </c>
      <c r="AA20" s="30">
        <f t="shared" si="5"/>
        <v>0.20241476910609302</v>
      </c>
      <c r="AB20" s="30">
        <f t="shared" si="5"/>
        <v>0.21332392316940668</v>
      </c>
      <c r="AC20" s="30">
        <f t="shared" si="5"/>
        <v>0.12043180160777378</v>
      </c>
      <c r="AD20" s="30">
        <f t="shared" si="5"/>
        <v>6.2304629649605398E-2</v>
      </c>
      <c r="AE20" s="30">
        <f t="shared" si="5"/>
        <v>1.5792301274575697E-2</v>
      </c>
      <c r="AF20" s="30">
        <f t="shared" si="5"/>
        <v>3.1764730312469167E-2</v>
      </c>
      <c r="AG20" s="30">
        <f t="shared" si="5"/>
        <v>4.1352545027018045E-2</v>
      </c>
      <c r="AH20" s="30">
        <f t="shared" si="5"/>
        <v>7.2469354902465644E-2</v>
      </c>
      <c r="AI20" s="30">
        <f t="shared" ref="AI20:BN20" si="6">(AI4-AI12)^2</f>
        <v>2.6380452674362797E-2</v>
      </c>
      <c r="AJ20" s="30">
        <f t="shared" si="6"/>
        <v>1.6949013528406503E-3</v>
      </c>
      <c r="AK20" s="30">
        <f t="shared" si="6"/>
        <v>5.9525298178735534E-3</v>
      </c>
      <c r="AL20" s="30">
        <f t="shared" si="6"/>
        <v>1.3629831900884974E-2</v>
      </c>
      <c r="AM20" s="30">
        <f t="shared" si="6"/>
        <v>3.3142329654282335E-2</v>
      </c>
      <c r="AN20" s="30">
        <f t="shared" si="6"/>
        <v>0.11659045618673498</v>
      </c>
      <c r="AO20" s="30">
        <f t="shared" si="6"/>
        <v>0.14480653667401799</v>
      </c>
      <c r="AP20" s="30">
        <f t="shared" si="6"/>
        <v>6.9125381933837368E-2</v>
      </c>
      <c r="AQ20" s="30">
        <f t="shared" si="6"/>
        <v>8.7957989917430771E-2</v>
      </c>
      <c r="AR20" s="30">
        <f t="shared" si="6"/>
        <v>5.9546976070541179E-2</v>
      </c>
      <c r="AS20" s="30">
        <f t="shared" si="6"/>
        <v>6.5565840534842254E-2</v>
      </c>
      <c r="AT20" s="30">
        <f t="shared" si="6"/>
        <v>7.1175542713054707E-2</v>
      </c>
      <c r="AU20" s="30">
        <f t="shared" si="6"/>
        <v>3.0797332790404485E-2</v>
      </c>
      <c r="AV20" s="30">
        <f t="shared" si="6"/>
        <v>1.1772669084062161E-2</v>
      </c>
      <c r="AW20" s="30">
        <f t="shared" si="6"/>
        <v>2.7049171087822774E-2</v>
      </c>
      <c r="AX20" s="30">
        <f t="shared" si="6"/>
        <v>4.2022747890976429E-4</v>
      </c>
      <c r="AY20" s="30">
        <f t="shared" si="6"/>
        <v>7.1528522312910431E-3</v>
      </c>
      <c r="AZ20" s="30">
        <f t="shared" si="6"/>
        <v>2.9214888948301911E-2</v>
      </c>
      <c r="BA20" s="30">
        <f t="shared" si="6"/>
        <v>5.1776261674548506E-3</v>
      </c>
      <c r="BB20" s="30">
        <f t="shared" si="6"/>
        <v>8.3263350626160781E-6</v>
      </c>
      <c r="BC20" s="30">
        <f t="shared" si="6"/>
        <v>3.5109338753617714E-2</v>
      </c>
      <c r="BD20" s="30">
        <f t="shared" si="6"/>
        <v>1.7982804360517482E-2</v>
      </c>
      <c r="BE20" s="30">
        <f t="shared" si="6"/>
        <v>4.1285524834636947E-2</v>
      </c>
      <c r="BF20" s="30">
        <f t="shared" si="6"/>
        <v>3.2332777443704511E-2</v>
      </c>
      <c r="BG20" s="30">
        <f t="shared" si="6"/>
        <v>3.044612900357762E-2</v>
      </c>
      <c r="BH20" s="30">
        <f t="shared" si="6"/>
        <v>5.713548690029531E-2</v>
      </c>
      <c r="BI20" s="30">
        <f t="shared" si="6"/>
        <v>6.8551397946306297E-2</v>
      </c>
      <c r="BJ20" s="30">
        <f t="shared" si="6"/>
        <v>6.4100684796153051E-2</v>
      </c>
      <c r="BK20" s="30">
        <f t="shared" si="6"/>
        <v>4.4861130222329022E-2</v>
      </c>
      <c r="BL20" s="30">
        <f t="shared" si="6"/>
        <v>1.4519489360241835E-3</v>
      </c>
      <c r="BM20" s="30">
        <f t="shared" si="6"/>
        <v>9.5680647654007561E-3</v>
      </c>
      <c r="BN20" s="30">
        <f t="shared" si="6"/>
        <v>8.7543753594981205E-4</v>
      </c>
      <c r="BO20" s="30">
        <f t="shared" ref="BO20:CT20" si="7">(BO4-BO12)^2</f>
        <v>1.8081153299655486E-4</v>
      </c>
      <c r="BP20" s="30">
        <f t="shared" si="7"/>
        <v>1.4951435434346674E-2</v>
      </c>
      <c r="BQ20" s="30">
        <f t="shared" si="7"/>
        <v>1.2258957719859112E-2</v>
      </c>
      <c r="BR20" s="30">
        <f t="shared" si="7"/>
        <v>2.3849144257941015E-2</v>
      </c>
      <c r="BS20" s="30">
        <f t="shared" si="7"/>
        <v>3.032020057746897E-2</v>
      </c>
      <c r="BT20" s="30">
        <f t="shared" si="7"/>
        <v>2.1073121983426831E-3</v>
      </c>
      <c r="BU20" s="30">
        <f t="shared" si="7"/>
        <v>4.7691963990233551E-4</v>
      </c>
      <c r="BV20" s="30">
        <f t="shared" si="7"/>
        <v>3.6504881620341267E-2</v>
      </c>
      <c r="BW20" s="30">
        <f t="shared" si="7"/>
        <v>3.1525516351877457E-3</v>
      </c>
      <c r="BX20" s="30">
        <f t="shared" si="7"/>
        <v>4.6031750435297135E-4</v>
      </c>
      <c r="BY20" s="30">
        <f t="shared" si="7"/>
        <v>9.3790338142269412E-4</v>
      </c>
      <c r="BZ20" s="30">
        <f t="shared" si="7"/>
        <v>4.4323506431687126E-3</v>
      </c>
      <c r="CA20" s="30">
        <f t="shared" si="7"/>
        <v>2.0700861880009183E-3</v>
      </c>
      <c r="CB20" s="30">
        <f t="shared" si="7"/>
        <v>4.9073557926151715E-2</v>
      </c>
      <c r="CC20" s="30">
        <f t="shared" si="7"/>
        <v>2.6394516856411841E-2</v>
      </c>
      <c r="CD20" s="30">
        <f t="shared" si="7"/>
        <v>1.0883456467049486E-2</v>
      </c>
      <c r="CE20" s="30">
        <f t="shared" si="7"/>
        <v>2.4634869047683015E-3</v>
      </c>
      <c r="CF20" s="30">
        <f t="shared" si="7"/>
        <v>2.2437468680635642E-3</v>
      </c>
      <c r="CG20" s="30">
        <f t="shared" si="7"/>
        <v>3.108096324281703E-2</v>
      </c>
      <c r="CH20" s="30">
        <f t="shared" si="7"/>
        <v>2.7132606331882001E-2</v>
      </c>
      <c r="CI20" s="30">
        <f t="shared" si="7"/>
        <v>3.5565013369832102E-2</v>
      </c>
      <c r="CJ20" s="30">
        <f t="shared" si="7"/>
        <v>2.1419329125698353E-3</v>
      </c>
      <c r="CK20" s="30">
        <f t="shared" si="7"/>
        <v>2.9421672640119016E-2</v>
      </c>
      <c r="CL20" s="30">
        <f t="shared" si="7"/>
        <v>2.1610961795909135E-2</v>
      </c>
      <c r="CM20" s="30">
        <f t="shared" si="7"/>
        <v>3.9116913651479429E-2</v>
      </c>
      <c r="CN20" s="30">
        <f t="shared" si="7"/>
        <v>9.1385839483338598E-3</v>
      </c>
      <c r="CO20" s="30">
        <f t="shared" si="7"/>
        <v>3.6716427880744126E-2</v>
      </c>
      <c r="CP20" s="30">
        <f t="shared" si="7"/>
        <v>4.9959363732386637E-2</v>
      </c>
      <c r="CQ20" s="30">
        <f t="shared" si="7"/>
        <v>6.0779997786460441E-3</v>
      </c>
      <c r="CR20" s="30">
        <f t="shared" si="7"/>
        <v>5.6256496658181769E-2</v>
      </c>
      <c r="CS20" s="30">
        <f t="shared" si="7"/>
        <v>1.9502306957909915E-2</v>
      </c>
      <c r="CT20" s="30">
        <f t="shared" si="7"/>
        <v>4.8857922560936476E-2</v>
      </c>
      <c r="CU20" s="30">
        <f t="shared" ref="CU20:DZ20" si="8">(CU4-CU12)^2</f>
        <v>8.9413708398272146E-2</v>
      </c>
      <c r="CV20" s="30">
        <f t="shared" si="8"/>
        <v>2.2445906641238151E-2</v>
      </c>
      <c r="CW20" s="30">
        <f t="shared" si="8"/>
        <v>4.8259269746536965E-2</v>
      </c>
      <c r="CX20" s="30">
        <f t="shared" si="8"/>
        <v>9.0295771256364218E-2</v>
      </c>
      <c r="CY20" s="30">
        <f t="shared" si="8"/>
        <v>8.6314164780916473E-3</v>
      </c>
      <c r="CZ20" s="30">
        <f t="shared" si="8"/>
        <v>6.154391221451265E-2</v>
      </c>
      <c r="DA20" s="30">
        <f t="shared" si="8"/>
        <v>0.1084499172930279</v>
      </c>
      <c r="DB20" s="30">
        <f t="shared" si="8"/>
        <v>0.18805735889090897</v>
      </c>
      <c r="DC20" s="30">
        <f t="shared" si="8"/>
        <v>5.813393304628206E-2</v>
      </c>
      <c r="DD20" s="30">
        <f t="shared" si="8"/>
        <v>5.5599567816633499E-2</v>
      </c>
      <c r="DE20" s="30">
        <f t="shared" si="8"/>
        <v>2.5012422599761234E-3</v>
      </c>
      <c r="DF20" s="30">
        <f t="shared" si="8"/>
        <v>4.5438724320525327E-3</v>
      </c>
      <c r="DG20" s="30">
        <f t="shared" si="8"/>
        <v>2.3170888376022923E-3</v>
      </c>
      <c r="DH20" s="30">
        <f t="shared" si="8"/>
        <v>1.2730062639550294E-4</v>
      </c>
      <c r="DI20" s="30">
        <f t="shared" si="8"/>
        <v>6.882074729056992E-3</v>
      </c>
      <c r="DJ20" s="30">
        <f t="shared" si="8"/>
        <v>3.0300689796340003E-2</v>
      </c>
      <c r="DK20" s="30">
        <f t="shared" si="8"/>
        <v>2.1281142860263923E-4</v>
      </c>
      <c r="DL20" s="30">
        <f t="shared" si="8"/>
        <v>1.2248269205365135E-2</v>
      </c>
      <c r="DM20" s="30">
        <f t="shared" si="8"/>
        <v>4.943496804570862E-2</v>
      </c>
      <c r="DN20" s="30">
        <f t="shared" si="8"/>
        <v>8.9638866619078991E-3</v>
      </c>
      <c r="DO20" s="30">
        <f t="shared" si="8"/>
        <v>6.948384449995236E-2</v>
      </c>
      <c r="DP20" s="30">
        <f t="shared" si="8"/>
        <v>0.13756843536591543</v>
      </c>
      <c r="DQ20" s="30">
        <f t="shared" si="8"/>
        <v>0.15634515468571916</v>
      </c>
      <c r="DR20" s="30">
        <f t="shared" si="8"/>
        <v>7.723801194070061E-2</v>
      </c>
      <c r="DS20" s="30">
        <f t="shared" si="8"/>
        <v>5.3250616673801668E-2</v>
      </c>
      <c r="DT20" s="30">
        <f t="shared" si="8"/>
        <v>4.1535387954688238E-2</v>
      </c>
      <c r="DU20" s="30">
        <f t="shared" si="8"/>
        <v>2.0417020865680296E-2</v>
      </c>
      <c r="DV20" s="30">
        <f t="shared" si="8"/>
        <v>1.9399697014173635E-2</v>
      </c>
      <c r="DW20" s="30">
        <f t="shared" si="8"/>
        <v>2.8485431894229831E-2</v>
      </c>
      <c r="DX20" s="30">
        <f t="shared" si="8"/>
        <v>2.7511911218285834E-2</v>
      </c>
      <c r="DY20" s="30">
        <f t="shared" si="8"/>
        <v>1.134703926075952E-2</v>
      </c>
      <c r="DZ20" s="30">
        <f t="shared" si="8"/>
        <v>9.1599562814860536E-3</v>
      </c>
      <c r="EA20" s="30">
        <f t="shared" ref="EA20:EF20" si="9">(EA4-EA12)^2</f>
        <v>2.5922529378505795E-3</v>
      </c>
      <c r="EB20" s="30">
        <f t="shared" si="9"/>
        <v>1.3081976332398286E-2</v>
      </c>
      <c r="EC20" s="30">
        <f t="shared" si="9"/>
        <v>1.8725454340756044E-2</v>
      </c>
      <c r="ED20" s="30">
        <f t="shared" si="9"/>
        <v>0.12165658981068853</v>
      </c>
      <c r="EE20" s="30">
        <f t="shared" si="9"/>
        <v>0.20499131357740999</v>
      </c>
      <c r="EF20" s="30">
        <f t="shared" si="9"/>
        <v>0.50843922034942113</v>
      </c>
      <c r="EG20" s="4"/>
    </row>
    <row r="21" spans="1:137" ht="16" customHeight="1">
      <c r="A21" s="29"/>
      <c r="B21" s="25" t="s">
        <v>138</v>
      </c>
      <c r="C21" s="30">
        <f t="shared" ref="C21:AH21" si="10">(C5-C13)^2</f>
        <v>1.1977044674606002E-2</v>
      </c>
      <c r="D21" s="30">
        <f t="shared" si="10"/>
        <v>3.7857823952213831E-3</v>
      </c>
      <c r="E21" s="30">
        <f t="shared" si="10"/>
        <v>8.3866727754492963E-3</v>
      </c>
      <c r="F21" s="30">
        <f t="shared" si="10"/>
        <v>1.1762700586420611E-3</v>
      </c>
      <c r="G21" s="30">
        <f t="shared" si="10"/>
        <v>0.12525445377369615</v>
      </c>
      <c r="H21" s="30">
        <f t="shared" si="10"/>
        <v>0.24360052831139906</v>
      </c>
      <c r="I21" s="30">
        <f t="shared" si="10"/>
        <v>0.49156389777766263</v>
      </c>
      <c r="J21" s="30">
        <f t="shared" si="10"/>
        <v>0.23870327579580844</v>
      </c>
      <c r="K21" s="30">
        <f t="shared" si="10"/>
        <v>0.10373996708682623</v>
      </c>
      <c r="L21" s="30">
        <f t="shared" si="10"/>
        <v>6.3807595163369507E-2</v>
      </c>
      <c r="M21" s="30">
        <f t="shared" si="10"/>
        <v>5.6448269455209615E-2</v>
      </c>
      <c r="N21" s="30">
        <f t="shared" si="10"/>
        <v>0.11823755323611322</v>
      </c>
      <c r="O21" s="30">
        <f t="shared" si="10"/>
        <v>1.6485304695592975E-4</v>
      </c>
      <c r="P21" s="30">
        <f t="shared" si="10"/>
        <v>7.8475059275387674E-3</v>
      </c>
      <c r="Q21" s="30">
        <f t="shared" si="10"/>
        <v>2.324923070490325E-3</v>
      </c>
      <c r="R21" s="30">
        <f t="shared" si="10"/>
        <v>1.333379558377682E-4</v>
      </c>
      <c r="S21" s="30">
        <f t="shared" si="10"/>
        <v>1.5651080640107801E-3</v>
      </c>
      <c r="T21" s="30">
        <f t="shared" si="10"/>
        <v>8.3275829166341592E-3</v>
      </c>
      <c r="U21" s="30">
        <f t="shared" si="10"/>
        <v>0.26179988585187292</v>
      </c>
      <c r="V21" s="30">
        <f t="shared" si="10"/>
        <v>0.22403921396849608</v>
      </c>
      <c r="W21" s="30">
        <f t="shared" si="10"/>
        <v>0.151291441456535</v>
      </c>
      <c r="X21" s="30">
        <f t="shared" si="10"/>
        <v>0.15396404203875941</v>
      </c>
      <c r="Y21" s="30">
        <f t="shared" si="10"/>
        <v>0.21102578660028368</v>
      </c>
      <c r="Z21" s="30">
        <f t="shared" si="10"/>
        <v>8.4151704643321862E-2</v>
      </c>
      <c r="AA21" s="30">
        <f t="shared" si="10"/>
        <v>5.3017359149995759E-2</v>
      </c>
      <c r="AB21" s="30">
        <f t="shared" si="10"/>
        <v>6.2996217253537582E-4</v>
      </c>
      <c r="AC21" s="30">
        <f t="shared" si="10"/>
        <v>1.1850012857381059E-2</v>
      </c>
      <c r="AD21" s="30">
        <f t="shared" si="10"/>
        <v>2.0717734207267899E-2</v>
      </c>
      <c r="AE21" s="30">
        <f t="shared" si="10"/>
        <v>1.4688061856944927E-2</v>
      </c>
      <c r="AF21" s="30">
        <f t="shared" si="10"/>
        <v>4.2590666855855793E-3</v>
      </c>
      <c r="AG21" s="30">
        <f t="shared" si="10"/>
        <v>2.0227967778053871E-2</v>
      </c>
      <c r="AH21" s="30">
        <f t="shared" si="10"/>
        <v>1.0888838671939408E-2</v>
      </c>
      <c r="AI21" s="30">
        <f t="shared" ref="AI21:BN21" si="11">(AI5-AI13)^2</f>
        <v>6.3915858033545103E-2</v>
      </c>
      <c r="AJ21" s="30">
        <f t="shared" si="11"/>
        <v>7.6771029429402476E-2</v>
      </c>
      <c r="AK21" s="30">
        <f t="shared" si="11"/>
        <v>2.4697984436515734E-3</v>
      </c>
      <c r="AL21" s="30">
        <f t="shared" si="11"/>
        <v>4.4213439176810651E-4</v>
      </c>
      <c r="AM21" s="30">
        <f t="shared" si="11"/>
        <v>2.5983906849450358E-2</v>
      </c>
      <c r="AN21" s="30">
        <f t="shared" si="11"/>
        <v>1.5162178837002899E-2</v>
      </c>
      <c r="AO21" s="30">
        <f t="shared" si="11"/>
        <v>2.986744650396728E-2</v>
      </c>
      <c r="AP21" s="30">
        <f t="shared" si="11"/>
        <v>1.1710898862039496E-2</v>
      </c>
      <c r="AQ21" s="30">
        <f t="shared" si="11"/>
        <v>4.1863563232151804E-2</v>
      </c>
      <c r="AR21" s="30">
        <f t="shared" si="11"/>
        <v>3.3315317747258634E-2</v>
      </c>
      <c r="AS21" s="30">
        <f t="shared" si="11"/>
        <v>4.5176498027263881E-2</v>
      </c>
      <c r="AT21" s="30">
        <f t="shared" si="11"/>
        <v>1.1879429044770154E-3</v>
      </c>
      <c r="AU21" s="30">
        <f t="shared" si="11"/>
        <v>3.7610181622124814E-4</v>
      </c>
      <c r="AV21" s="30">
        <f t="shared" si="11"/>
        <v>2.9856057603748308E-7</v>
      </c>
      <c r="AW21" s="30">
        <f t="shared" si="11"/>
        <v>3.0158274689592132E-2</v>
      </c>
      <c r="AX21" s="30">
        <f t="shared" si="11"/>
        <v>5.0760910265796612E-4</v>
      </c>
      <c r="AY21" s="30">
        <f t="shared" si="11"/>
        <v>0.11226938611902985</v>
      </c>
      <c r="AZ21" s="30">
        <f t="shared" si="11"/>
        <v>6.6336205276852467E-2</v>
      </c>
      <c r="BA21" s="30">
        <f t="shared" si="11"/>
        <v>6.4170715581324908E-2</v>
      </c>
      <c r="BB21" s="30">
        <f t="shared" si="11"/>
        <v>6.3630088141751317E-3</v>
      </c>
      <c r="BC21" s="30">
        <f t="shared" si="11"/>
        <v>3.4747122022739128E-2</v>
      </c>
      <c r="BD21" s="30">
        <f t="shared" si="11"/>
        <v>1.3510469610112734E-2</v>
      </c>
      <c r="BE21" s="30">
        <f t="shared" si="11"/>
        <v>0.1284010583419713</v>
      </c>
      <c r="BF21" s="30">
        <f t="shared" si="11"/>
        <v>0.21231193201462134</v>
      </c>
      <c r="BG21" s="30">
        <f t="shared" si="11"/>
        <v>0.19197022385740969</v>
      </c>
      <c r="BH21" s="30">
        <f t="shared" si="11"/>
        <v>7.7854783009816533E-2</v>
      </c>
      <c r="BI21" s="30">
        <f t="shared" si="11"/>
        <v>6.8690913165046691E-2</v>
      </c>
      <c r="BJ21" s="30">
        <f t="shared" si="11"/>
        <v>5.208321207234466E-5</v>
      </c>
      <c r="BK21" s="30">
        <f t="shared" si="11"/>
        <v>1.5526155243172831E-2</v>
      </c>
      <c r="BL21" s="30">
        <f t="shared" si="11"/>
        <v>1.7529798372047212E-2</v>
      </c>
      <c r="BM21" s="30">
        <f t="shared" si="11"/>
        <v>5.8393605988766563E-2</v>
      </c>
      <c r="BN21" s="30">
        <f t="shared" si="11"/>
        <v>7.3500183595740232E-2</v>
      </c>
      <c r="BO21" s="30">
        <f t="shared" ref="BO21:CT21" si="12">(BO5-BO13)^2</f>
        <v>7.6167620661851537E-3</v>
      </c>
      <c r="BP21" s="30">
        <f t="shared" si="12"/>
        <v>0.11404415148756361</v>
      </c>
      <c r="BQ21" s="30">
        <f t="shared" si="12"/>
        <v>2.8555197755913871E-2</v>
      </c>
      <c r="BR21" s="30">
        <f t="shared" si="12"/>
        <v>3.4774449882303556E-2</v>
      </c>
      <c r="BS21" s="30">
        <f t="shared" si="12"/>
        <v>7.0931320191569766E-2</v>
      </c>
      <c r="BT21" s="30">
        <f t="shared" si="12"/>
        <v>5.4556161461160893E-2</v>
      </c>
      <c r="BU21" s="30">
        <f t="shared" si="12"/>
        <v>0.15327950044061445</v>
      </c>
      <c r="BV21" s="30">
        <f t="shared" si="12"/>
        <v>6.8764454227841068E-2</v>
      </c>
      <c r="BW21" s="30">
        <f t="shared" si="12"/>
        <v>0.17463597402736725</v>
      </c>
      <c r="BX21" s="30">
        <f t="shared" si="12"/>
        <v>3.8066036150891332E-2</v>
      </c>
      <c r="BY21" s="30">
        <f t="shared" si="12"/>
        <v>2.4794613791511683E-2</v>
      </c>
      <c r="BZ21" s="30">
        <f t="shared" si="12"/>
        <v>5.5353243911317337E-2</v>
      </c>
      <c r="CA21" s="30">
        <f t="shared" si="12"/>
        <v>9.3637583452556211E-2</v>
      </c>
      <c r="CB21" s="30">
        <f t="shared" si="12"/>
        <v>0.25970694630767782</v>
      </c>
      <c r="CC21" s="30">
        <f t="shared" si="12"/>
        <v>3.3634952465385788E-2</v>
      </c>
      <c r="CD21" s="30">
        <f t="shared" si="12"/>
        <v>9.9152388666466744E-3</v>
      </c>
      <c r="CE21" s="30">
        <f t="shared" si="12"/>
        <v>2.1740411238054501E-3</v>
      </c>
      <c r="CF21" s="30">
        <f t="shared" si="12"/>
        <v>2.9839053523550308E-3</v>
      </c>
      <c r="CG21" s="30">
        <f t="shared" si="12"/>
        <v>0.10626795373540182</v>
      </c>
      <c r="CH21" s="30">
        <f t="shared" si="12"/>
        <v>6.2173404272326968E-2</v>
      </c>
      <c r="CI21" s="30">
        <f t="shared" si="12"/>
        <v>2.0173931477690487E-2</v>
      </c>
      <c r="CJ21" s="30">
        <f t="shared" si="12"/>
        <v>6.8402504437841086E-2</v>
      </c>
      <c r="CK21" s="30">
        <f t="shared" si="12"/>
        <v>4.8616585143696406E-5</v>
      </c>
      <c r="CL21" s="30">
        <f t="shared" si="12"/>
        <v>6.5426704089520157E-2</v>
      </c>
      <c r="CM21" s="30">
        <f t="shared" si="12"/>
        <v>1.1214082580432539E-4</v>
      </c>
      <c r="CN21" s="30">
        <f t="shared" si="12"/>
        <v>9.4335482402059315E-2</v>
      </c>
      <c r="CO21" s="30">
        <f t="shared" si="12"/>
        <v>0.22963989680448521</v>
      </c>
      <c r="CP21" s="30">
        <f t="shared" si="12"/>
        <v>0.33317163630815988</v>
      </c>
      <c r="CQ21" s="30">
        <f t="shared" si="12"/>
        <v>4.570529662674714E-2</v>
      </c>
      <c r="CR21" s="30">
        <f t="shared" si="12"/>
        <v>2.5800280029430529E-2</v>
      </c>
      <c r="CS21" s="30">
        <f t="shared" si="12"/>
        <v>2.0602722686872323E-2</v>
      </c>
      <c r="CT21" s="30">
        <f t="shared" si="12"/>
        <v>8.346269594210648E-2</v>
      </c>
      <c r="CU21" s="30">
        <f t="shared" ref="CU21:DZ21" si="13">(CU5-CU13)^2</f>
        <v>1.4463394880699863E-2</v>
      </c>
      <c r="CV21" s="30">
        <f t="shared" si="13"/>
        <v>3.901389685133348E-3</v>
      </c>
      <c r="CW21" s="30">
        <f t="shared" si="13"/>
        <v>6.0629342515709488E-3</v>
      </c>
      <c r="CX21" s="30">
        <f t="shared" si="13"/>
        <v>3.3975300212305763E-4</v>
      </c>
      <c r="CY21" s="30">
        <f t="shared" si="13"/>
        <v>9.0341321876823393E-4</v>
      </c>
      <c r="CZ21" s="30">
        <f t="shared" si="13"/>
        <v>8.933226197265845E-4</v>
      </c>
      <c r="DA21" s="30">
        <f t="shared" si="13"/>
        <v>1.4342520662292025E-3</v>
      </c>
      <c r="DB21" s="30">
        <f t="shared" si="13"/>
        <v>4.3620414044349021E-2</v>
      </c>
      <c r="DC21" s="30">
        <f t="shared" si="13"/>
        <v>3.4020874239003102E-2</v>
      </c>
      <c r="DD21" s="30">
        <f t="shared" si="13"/>
        <v>2.6127640860208979E-3</v>
      </c>
      <c r="DE21" s="30">
        <f t="shared" si="13"/>
        <v>1.2102769500319144E-3</v>
      </c>
      <c r="DF21" s="30">
        <f t="shared" si="13"/>
        <v>4.8913635683991118E-2</v>
      </c>
      <c r="DG21" s="30">
        <f t="shared" si="13"/>
        <v>1.2622218957418878E-2</v>
      </c>
      <c r="DH21" s="30">
        <f t="shared" si="13"/>
        <v>6.5722628826441407E-2</v>
      </c>
      <c r="DI21" s="30">
        <f t="shared" si="13"/>
        <v>5.4979329362616805E-2</v>
      </c>
      <c r="DJ21" s="30">
        <f t="shared" si="13"/>
        <v>2.1977714278529556E-3</v>
      </c>
      <c r="DK21" s="30">
        <f t="shared" si="13"/>
        <v>9.7403638041912294E-3</v>
      </c>
      <c r="DL21" s="30">
        <f t="shared" si="13"/>
        <v>2.597244624586054E-4</v>
      </c>
      <c r="DM21" s="30">
        <f t="shared" si="13"/>
        <v>8.0894042559294527E-3</v>
      </c>
      <c r="DN21" s="30">
        <f t="shared" si="13"/>
        <v>9.9660898295168363E-3</v>
      </c>
      <c r="DO21" s="30">
        <f t="shared" si="13"/>
        <v>1.0579696845161324E-4</v>
      </c>
      <c r="DP21" s="30">
        <f t="shared" si="13"/>
        <v>0.13811303223037841</v>
      </c>
      <c r="DQ21" s="30">
        <f t="shared" si="13"/>
        <v>0.19120484236647467</v>
      </c>
      <c r="DR21" s="30">
        <f t="shared" si="13"/>
        <v>4.5473504853810798E-2</v>
      </c>
      <c r="DS21" s="30">
        <f t="shared" si="13"/>
        <v>1.11492423438609E-2</v>
      </c>
      <c r="DT21" s="30">
        <f t="shared" si="13"/>
        <v>4.6091944860257158E-3</v>
      </c>
      <c r="DU21" s="30">
        <f t="shared" si="13"/>
        <v>1.1191707603849138E-2</v>
      </c>
      <c r="DV21" s="30">
        <f t="shared" si="13"/>
        <v>0.16377795560996766</v>
      </c>
      <c r="DW21" s="30">
        <f t="shared" si="13"/>
        <v>0.11971635154705236</v>
      </c>
      <c r="DX21" s="30">
        <f t="shared" si="13"/>
        <v>4.6975210756621685E-2</v>
      </c>
      <c r="DY21" s="30">
        <f t="shared" si="13"/>
        <v>1.0928312215421374E-2</v>
      </c>
      <c r="DZ21" s="30">
        <f t="shared" si="13"/>
        <v>1.6381343366204291E-3</v>
      </c>
      <c r="EA21" s="30">
        <f t="shared" ref="EA21:EF21" si="14">(EA5-EA13)^2</f>
        <v>4.3233254305923893E-3</v>
      </c>
      <c r="EB21" s="30">
        <f t="shared" si="14"/>
        <v>2.3013679024037038E-2</v>
      </c>
      <c r="EC21" s="30">
        <f t="shared" si="14"/>
        <v>3.3068014915499234E-3</v>
      </c>
      <c r="ED21" s="30">
        <f t="shared" si="14"/>
        <v>1.4004229022178674E-3</v>
      </c>
      <c r="EE21" s="30">
        <f t="shared" si="14"/>
        <v>6.7210134481208506E-4</v>
      </c>
      <c r="EF21" s="30">
        <f t="shared" si="14"/>
        <v>1.0115309035946824E-3</v>
      </c>
      <c r="EG21" s="4"/>
    </row>
    <row r="22" spans="1:137" ht="16" customHeight="1">
      <c r="A22" s="4"/>
      <c r="B22" s="25" t="s">
        <v>139</v>
      </c>
      <c r="C22" s="30">
        <f t="shared" ref="C22:AH22" si="15">(C6-C14)^2</f>
        <v>6.9836618944435335E-3</v>
      </c>
      <c r="D22" s="30">
        <f t="shared" si="15"/>
        <v>3.5901672490748666E-2</v>
      </c>
      <c r="E22" s="30">
        <f t="shared" si="15"/>
        <v>1.3050037920120109E-2</v>
      </c>
      <c r="F22" s="30">
        <f t="shared" si="15"/>
        <v>0.10528629207458998</v>
      </c>
      <c r="G22" s="30">
        <f t="shared" si="15"/>
        <v>3.7416873057627524E-2</v>
      </c>
      <c r="H22" s="30">
        <f t="shared" si="15"/>
        <v>6.5908372838023921E-2</v>
      </c>
      <c r="I22" s="30">
        <f t="shared" si="15"/>
        <v>0.1107311809158955</v>
      </c>
      <c r="J22" s="30">
        <f t="shared" si="15"/>
        <v>0.14033291381128618</v>
      </c>
      <c r="K22" s="30">
        <f t="shared" si="15"/>
        <v>0.13544587310353229</v>
      </c>
      <c r="L22" s="30">
        <f t="shared" si="15"/>
        <v>9.226556990731121E-4</v>
      </c>
      <c r="M22" s="30">
        <f t="shared" si="15"/>
        <v>4.7544451538656285E-4</v>
      </c>
      <c r="N22" s="30">
        <f t="shared" si="15"/>
        <v>5.1496821963371306E-3</v>
      </c>
      <c r="O22" s="30">
        <f t="shared" si="15"/>
        <v>5.6446343332061014E-2</v>
      </c>
      <c r="P22" s="30">
        <f t="shared" si="15"/>
        <v>5.5607055203442751E-2</v>
      </c>
      <c r="Q22" s="30">
        <f t="shared" si="15"/>
        <v>4.1675263526715127E-2</v>
      </c>
      <c r="R22" s="30">
        <f t="shared" si="15"/>
        <v>5.6026816800667151E-2</v>
      </c>
      <c r="S22" s="30">
        <f t="shared" si="15"/>
        <v>3.6136731917358771E-2</v>
      </c>
      <c r="T22" s="30">
        <f t="shared" si="15"/>
        <v>4.6985510232114495E-2</v>
      </c>
      <c r="U22" s="30">
        <f t="shared" si="15"/>
        <v>3.007106636857619E-3</v>
      </c>
      <c r="V22" s="30">
        <f t="shared" si="15"/>
        <v>2.3242486882124033E-4</v>
      </c>
      <c r="W22" s="30">
        <f t="shared" si="15"/>
        <v>6.8810160246409952E-3</v>
      </c>
      <c r="X22" s="30">
        <f t="shared" si="15"/>
        <v>6.9513181213460796E-3</v>
      </c>
      <c r="Y22" s="30">
        <f t="shared" si="15"/>
        <v>1.6359605476909699E-3</v>
      </c>
      <c r="Z22" s="30">
        <f t="shared" si="15"/>
        <v>7.7442919532908904E-4</v>
      </c>
      <c r="AA22" s="30">
        <f t="shared" si="15"/>
        <v>6.0336242027448066E-3</v>
      </c>
      <c r="AB22" s="30">
        <f t="shared" si="15"/>
        <v>5.4797806650702646E-3</v>
      </c>
      <c r="AC22" s="30">
        <f t="shared" si="15"/>
        <v>2.9981375090586934E-4</v>
      </c>
      <c r="AD22" s="30">
        <f t="shared" si="15"/>
        <v>1.6901924244996969E-5</v>
      </c>
      <c r="AE22" s="30">
        <f t="shared" si="15"/>
        <v>3.2414684380497959E-4</v>
      </c>
      <c r="AF22" s="30">
        <f t="shared" si="15"/>
        <v>1.1179993746666221E-4</v>
      </c>
      <c r="AG22" s="30">
        <f t="shared" si="15"/>
        <v>6.7534141865776523E-4</v>
      </c>
      <c r="AH22" s="30">
        <f t="shared" si="15"/>
        <v>2.4633104701918154E-3</v>
      </c>
      <c r="AI22" s="30">
        <f t="shared" ref="AI22:BN22" si="16">(AI6-AI14)^2</f>
        <v>2.1373270674611005E-4</v>
      </c>
      <c r="AJ22" s="30">
        <f t="shared" si="16"/>
        <v>1.3510767536637316E-4</v>
      </c>
      <c r="AK22" s="30">
        <f t="shared" si="16"/>
        <v>2.4284117031871636E-3</v>
      </c>
      <c r="AL22" s="30">
        <f t="shared" si="16"/>
        <v>4.0941309800278979E-3</v>
      </c>
      <c r="AM22" s="30">
        <f t="shared" si="16"/>
        <v>1.6767448390856844E-2</v>
      </c>
      <c r="AN22" s="30">
        <f t="shared" si="16"/>
        <v>6.0318673158008936E-2</v>
      </c>
      <c r="AO22" s="30">
        <f t="shared" si="16"/>
        <v>2.0319401997135143E-2</v>
      </c>
      <c r="AP22" s="30">
        <f t="shared" si="16"/>
        <v>1.4668908636932286E-2</v>
      </c>
      <c r="AQ22" s="30">
        <f t="shared" si="16"/>
        <v>3.3446243254823448E-2</v>
      </c>
      <c r="AR22" s="30">
        <f t="shared" si="16"/>
        <v>2.3671366562247626E-2</v>
      </c>
      <c r="AS22" s="30">
        <f t="shared" si="16"/>
        <v>1.6986882884224496E-3</v>
      </c>
      <c r="AT22" s="30">
        <f t="shared" si="16"/>
        <v>1.5127879242601174E-2</v>
      </c>
      <c r="AU22" s="30">
        <f t="shared" si="16"/>
        <v>1.4980193346299608E-2</v>
      </c>
      <c r="AV22" s="30">
        <f t="shared" si="16"/>
        <v>1.2389278351238186E-2</v>
      </c>
      <c r="AW22" s="30">
        <f t="shared" si="16"/>
        <v>2.2251311881788874E-2</v>
      </c>
      <c r="AX22" s="30">
        <f t="shared" si="16"/>
        <v>1.5850039322685392E-2</v>
      </c>
      <c r="AY22" s="30">
        <f t="shared" si="16"/>
        <v>1.5296960708864887E-2</v>
      </c>
      <c r="AZ22" s="30">
        <f t="shared" si="16"/>
        <v>5.5318834499153119E-2</v>
      </c>
      <c r="BA22" s="30">
        <f t="shared" si="16"/>
        <v>1.8917080202518678E-2</v>
      </c>
      <c r="BB22" s="30">
        <f t="shared" si="16"/>
        <v>2.9216851634808954E-4</v>
      </c>
      <c r="BC22" s="30">
        <f t="shared" si="16"/>
        <v>8.3050617801570577E-3</v>
      </c>
      <c r="BD22" s="30">
        <f t="shared" si="16"/>
        <v>3.5398586680997607E-3</v>
      </c>
      <c r="BE22" s="30">
        <f t="shared" si="16"/>
        <v>3.794429558164882E-4</v>
      </c>
      <c r="BF22" s="30">
        <f t="shared" si="16"/>
        <v>5.8627280412919746E-4</v>
      </c>
      <c r="BG22" s="30">
        <f t="shared" si="16"/>
        <v>1.089219325365202E-3</v>
      </c>
      <c r="BH22" s="30">
        <f t="shared" si="16"/>
        <v>2.4579502452318817E-2</v>
      </c>
      <c r="BI22" s="30">
        <f t="shared" si="16"/>
        <v>1.6973875957748741E-2</v>
      </c>
      <c r="BJ22" s="30">
        <f t="shared" si="16"/>
        <v>1.0122774480599879E-2</v>
      </c>
      <c r="BK22" s="30">
        <f t="shared" si="16"/>
        <v>1.2237942212100799E-2</v>
      </c>
      <c r="BL22" s="30">
        <f t="shared" si="16"/>
        <v>7.8771811538346191E-3</v>
      </c>
      <c r="BM22" s="30">
        <f t="shared" si="16"/>
        <v>6.3303747727835756E-3</v>
      </c>
      <c r="BN22" s="30">
        <f t="shared" si="16"/>
        <v>4.0309442811926881E-2</v>
      </c>
      <c r="BO22" s="30">
        <f t="shared" ref="BO22:CT22" si="17">(BO6-BO14)^2</f>
        <v>3.2109436431317903E-2</v>
      </c>
      <c r="BP22" s="30">
        <f t="shared" si="17"/>
        <v>1.5142190486519271E-2</v>
      </c>
      <c r="BQ22" s="30">
        <f t="shared" si="17"/>
        <v>7.4941511718947737E-3</v>
      </c>
      <c r="BR22" s="30">
        <f t="shared" si="17"/>
        <v>1.0565022567946938E-3</v>
      </c>
      <c r="BS22" s="30">
        <f t="shared" si="17"/>
        <v>1.485624972903403E-2</v>
      </c>
      <c r="BT22" s="30">
        <f t="shared" si="17"/>
        <v>9.9905454024428538E-4</v>
      </c>
      <c r="BU22" s="30">
        <f t="shared" si="17"/>
        <v>3.8441255630245314E-3</v>
      </c>
      <c r="BV22" s="30">
        <f t="shared" si="17"/>
        <v>1.0638170245105922E-2</v>
      </c>
      <c r="BW22" s="30">
        <f t="shared" si="17"/>
        <v>2.1722862976253699E-3</v>
      </c>
      <c r="BX22" s="30">
        <f t="shared" si="17"/>
        <v>1.1667661232258545E-3</v>
      </c>
      <c r="BY22" s="30">
        <f t="shared" si="17"/>
        <v>1.3105931430357426E-3</v>
      </c>
      <c r="BZ22" s="30">
        <f t="shared" si="17"/>
        <v>5.6006904358460539E-3</v>
      </c>
      <c r="CA22" s="30">
        <f t="shared" si="17"/>
        <v>1.0154746123726233E-2</v>
      </c>
      <c r="CB22" s="30">
        <f t="shared" si="17"/>
        <v>2.2219199485006898E-2</v>
      </c>
      <c r="CC22" s="30">
        <f t="shared" si="17"/>
        <v>4.8021505268542927E-3</v>
      </c>
      <c r="CD22" s="30">
        <f t="shared" si="17"/>
        <v>6.1181779598684493E-3</v>
      </c>
      <c r="CE22" s="30">
        <f t="shared" si="17"/>
        <v>3.169401760452046E-3</v>
      </c>
      <c r="CF22" s="30">
        <f t="shared" si="17"/>
        <v>1.7480667883291785E-2</v>
      </c>
      <c r="CG22" s="30">
        <f t="shared" si="17"/>
        <v>4.8922334712670056E-3</v>
      </c>
      <c r="CH22" s="30">
        <f t="shared" si="17"/>
        <v>1.4301770405878869E-2</v>
      </c>
      <c r="CI22" s="30">
        <f t="shared" si="17"/>
        <v>1.6582825719949484E-2</v>
      </c>
      <c r="CJ22" s="30">
        <f t="shared" si="17"/>
        <v>1.0378525393982319E-2</v>
      </c>
      <c r="CK22" s="30">
        <f t="shared" si="17"/>
        <v>1.5942199208569065E-2</v>
      </c>
      <c r="CL22" s="30">
        <f t="shared" si="17"/>
        <v>3.8645739340671258E-3</v>
      </c>
      <c r="CM22" s="30">
        <f t="shared" si="17"/>
        <v>1.7820506214508234E-3</v>
      </c>
      <c r="CN22" s="30">
        <f t="shared" si="17"/>
        <v>5.0871152742188494E-4</v>
      </c>
      <c r="CO22" s="30">
        <f t="shared" si="17"/>
        <v>4.0806170071396863E-3</v>
      </c>
      <c r="CP22" s="30">
        <f t="shared" si="17"/>
        <v>4.5251332529143407E-4</v>
      </c>
      <c r="CQ22" s="30">
        <f t="shared" si="17"/>
        <v>2.2417173828469628E-7</v>
      </c>
      <c r="CR22" s="30">
        <f t="shared" si="17"/>
        <v>1.9716660766790142E-3</v>
      </c>
      <c r="CS22" s="30">
        <f t="shared" si="17"/>
        <v>1.6462317006827381E-3</v>
      </c>
      <c r="CT22" s="30">
        <f t="shared" si="17"/>
        <v>3.3353612999744127E-3</v>
      </c>
      <c r="CU22" s="30">
        <f t="shared" ref="CU22:DZ22" si="18">(CU6-CU14)^2</f>
        <v>1.7391150075368323E-3</v>
      </c>
      <c r="CV22" s="30">
        <f t="shared" si="18"/>
        <v>2.9640341160697144E-2</v>
      </c>
      <c r="CW22" s="30">
        <f t="shared" si="18"/>
        <v>3.7722683861904104E-2</v>
      </c>
      <c r="CX22" s="30">
        <f t="shared" si="18"/>
        <v>7.7604705838528742E-3</v>
      </c>
      <c r="CY22" s="30">
        <f t="shared" si="18"/>
        <v>1.2179392689027524E-4</v>
      </c>
      <c r="CZ22" s="30">
        <f t="shared" si="18"/>
        <v>1.0912246625190579E-3</v>
      </c>
      <c r="DA22" s="30">
        <f t="shared" si="18"/>
        <v>4.2799074569067003E-3</v>
      </c>
      <c r="DB22" s="30">
        <f t="shared" si="18"/>
        <v>5.3562143831485567E-2</v>
      </c>
      <c r="DC22" s="30">
        <f t="shared" si="18"/>
        <v>8.2614494399603097E-2</v>
      </c>
      <c r="DD22" s="30">
        <f t="shared" si="18"/>
        <v>6.1525008469160244E-2</v>
      </c>
      <c r="DE22" s="30">
        <f t="shared" si="18"/>
        <v>6.0435326740933104E-2</v>
      </c>
      <c r="DF22" s="30">
        <f t="shared" si="18"/>
        <v>7.5110355170798421E-2</v>
      </c>
      <c r="DG22" s="30">
        <f t="shared" si="18"/>
        <v>4.5673604380714244E-2</v>
      </c>
      <c r="DH22" s="30">
        <f t="shared" si="18"/>
        <v>3.7402966749943144E-4</v>
      </c>
      <c r="DI22" s="30">
        <f t="shared" si="18"/>
        <v>4.0852179385771261E-3</v>
      </c>
      <c r="DJ22" s="30">
        <f t="shared" si="18"/>
        <v>1.2264269922554968E-3</v>
      </c>
      <c r="DK22" s="30">
        <f t="shared" si="18"/>
        <v>2.9069001216209945E-3</v>
      </c>
      <c r="DL22" s="30">
        <f t="shared" si="18"/>
        <v>4.0735970184038124E-5</v>
      </c>
      <c r="DM22" s="30">
        <f t="shared" si="18"/>
        <v>2.1514201745465578E-2</v>
      </c>
      <c r="DN22" s="30">
        <f t="shared" si="18"/>
        <v>9.5883101179237332E-2</v>
      </c>
      <c r="DO22" s="30">
        <f t="shared" si="18"/>
        <v>0.17796657842661379</v>
      </c>
      <c r="DP22" s="30">
        <f t="shared" si="18"/>
        <v>0.18446662605650865</v>
      </c>
      <c r="DQ22" s="30">
        <f t="shared" si="18"/>
        <v>0.18290027500456432</v>
      </c>
      <c r="DR22" s="30">
        <f t="shared" si="18"/>
        <v>6.6451640902209425E-2</v>
      </c>
      <c r="DS22" s="30">
        <f t="shared" si="18"/>
        <v>4.8405328873274325E-2</v>
      </c>
      <c r="DT22" s="30">
        <f t="shared" si="18"/>
        <v>3.9776845990882548E-2</v>
      </c>
      <c r="DU22" s="30">
        <f t="shared" si="18"/>
        <v>9.957262891812332E-3</v>
      </c>
      <c r="DV22" s="30">
        <f t="shared" si="18"/>
        <v>2.0376473925865459E-4</v>
      </c>
      <c r="DW22" s="30">
        <f t="shared" si="18"/>
        <v>5.7560410135023702E-3</v>
      </c>
      <c r="DX22" s="30">
        <f t="shared" si="18"/>
        <v>2.2941403636793017E-2</v>
      </c>
      <c r="DY22" s="30">
        <f t="shared" si="18"/>
        <v>2.4158680951347471E-3</v>
      </c>
      <c r="DZ22" s="30">
        <f t="shared" si="18"/>
        <v>6.129830391176567E-4</v>
      </c>
      <c r="EA22" s="30">
        <f t="shared" ref="EA22:EF22" si="19">(EA6-EA14)^2</f>
        <v>2.3643086765282265E-3</v>
      </c>
      <c r="EB22" s="30">
        <f t="shared" si="19"/>
        <v>1.8750396626401968E-2</v>
      </c>
      <c r="EC22" s="30">
        <f t="shared" si="19"/>
        <v>1.1394655792556156E-2</v>
      </c>
      <c r="ED22" s="30">
        <f t="shared" si="19"/>
        <v>6.4994841660966814E-3</v>
      </c>
      <c r="EE22" s="30">
        <f t="shared" si="19"/>
        <v>3.9038013809467795E-3</v>
      </c>
      <c r="EF22" s="30">
        <f t="shared" si="19"/>
        <v>3.3902914711255103E-3</v>
      </c>
      <c r="EG22" s="4"/>
    </row>
    <row r="23" spans="1:137" ht="16" customHeight="1">
      <c r="A23" s="4"/>
      <c r="B23" s="25" t="s">
        <v>140</v>
      </c>
      <c r="C23" s="30">
        <f t="shared" ref="C23:AH23" si="20">(C7-C15)^2</f>
        <v>5.9323996079447725E-4</v>
      </c>
      <c r="D23" s="30">
        <f t="shared" si="20"/>
        <v>9.0931927876696014E-3</v>
      </c>
      <c r="E23" s="30">
        <f t="shared" si="20"/>
        <v>3.4430197520779048E-2</v>
      </c>
      <c r="F23" s="30">
        <f t="shared" si="20"/>
        <v>0.2762849676385159</v>
      </c>
      <c r="G23" s="30">
        <f t="shared" si="20"/>
        <v>0.22905951844050221</v>
      </c>
      <c r="H23" s="30">
        <f t="shared" si="20"/>
        <v>0.22422956519487261</v>
      </c>
      <c r="I23" s="30">
        <f t="shared" si="20"/>
        <v>0.2638334909994311</v>
      </c>
      <c r="J23" s="30">
        <f t="shared" si="20"/>
        <v>0.18834764620521047</v>
      </c>
      <c r="K23" s="30">
        <f t="shared" si="20"/>
        <v>0.15341488697711031</v>
      </c>
      <c r="L23" s="30">
        <f t="shared" si="20"/>
        <v>2.7050673898691479E-4</v>
      </c>
      <c r="M23" s="30">
        <f t="shared" si="20"/>
        <v>2.5505624706478658E-4</v>
      </c>
      <c r="N23" s="30">
        <f t="shared" si="20"/>
        <v>6.242253022982998E-3</v>
      </c>
      <c r="O23" s="30">
        <f t="shared" si="20"/>
        <v>4.835910901712352E-3</v>
      </c>
      <c r="P23" s="30">
        <f t="shared" si="20"/>
        <v>4.5673573771313368E-3</v>
      </c>
      <c r="Q23" s="30">
        <f t="shared" si="20"/>
        <v>9.6260306990821956E-3</v>
      </c>
      <c r="R23" s="30">
        <f t="shared" si="20"/>
        <v>2.7058948955086598E-3</v>
      </c>
      <c r="S23" s="30">
        <f t="shared" si="20"/>
        <v>7.7068968255194055E-5</v>
      </c>
      <c r="T23" s="30">
        <f t="shared" si="20"/>
        <v>9.4389749341614818E-3</v>
      </c>
      <c r="U23" s="30">
        <f t="shared" si="20"/>
        <v>2.2565422241130856E-3</v>
      </c>
      <c r="V23" s="30">
        <f t="shared" si="20"/>
        <v>3.6573378605801211E-3</v>
      </c>
      <c r="W23" s="30">
        <f t="shared" si="20"/>
        <v>3.6428381362024198E-2</v>
      </c>
      <c r="X23" s="30">
        <f t="shared" si="20"/>
        <v>9.181521636747389E-2</v>
      </c>
      <c r="Y23" s="30">
        <f t="shared" si="20"/>
        <v>0.10119492183414353</v>
      </c>
      <c r="Z23" s="30">
        <f t="shared" si="20"/>
        <v>4.1084980304677235E-2</v>
      </c>
      <c r="AA23" s="30">
        <f t="shared" si="20"/>
        <v>8.6264923063390703E-2</v>
      </c>
      <c r="AB23" s="30">
        <f t="shared" si="20"/>
        <v>7.3872131645476541E-2</v>
      </c>
      <c r="AC23" s="30">
        <f t="shared" si="20"/>
        <v>1.5076596543149369E-2</v>
      </c>
      <c r="AD23" s="30">
        <f t="shared" si="20"/>
        <v>1.1263266516882286E-2</v>
      </c>
      <c r="AE23" s="30">
        <f t="shared" si="20"/>
        <v>1.6209650162983806E-2</v>
      </c>
      <c r="AF23" s="30">
        <f t="shared" si="20"/>
        <v>5.9746769037961178E-3</v>
      </c>
      <c r="AG23" s="30">
        <f t="shared" si="20"/>
        <v>1.2694142786875171E-2</v>
      </c>
      <c r="AH23" s="30">
        <f t="shared" si="20"/>
        <v>9.2517705644719252E-3</v>
      </c>
      <c r="AI23" s="30">
        <f t="shared" ref="AI23:BN23" si="21">(AI7-AI15)^2</f>
        <v>5.7815945196951733E-3</v>
      </c>
      <c r="AJ23" s="30">
        <f t="shared" si="21"/>
        <v>2.4418600816129561E-4</v>
      </c>
      <c r="AK23" s="30">
        <f t="shared" si="21"/>
        <v>1.1802941231150197E-2</v>
      </c>
      <c r="AL23" s="30">
        <f t="shared" si="21"/>
        <v>8.2758500116008396E-3</v>
      </c>
      <c r="AM23" s="30">
        <f t="shared" si="21"/>
        <v>4.5948012232835116E-6</v>
      </c>
      <c r="AN23" s="30">
        <f t="shared" si="21"/>
        <v>1.0521323990213013E-2</v>
      </c>
      <c r="AO23" s="30">
        <f t="shared" si="21"/>
        <v>2.5595751104712602E-4</v>
      </c>
      <c r="AP23" s="30">
        <f t="shared" si="21"/>
        <v>2.576434925286606E-4</v>
      </c>
      <c r="AQ23" s="30">
        <f t="shared" si="21"/>
        <v>1.0975159132234471E-5</v>
      </c>
      <c r="AR23" s="30">
        <f t="shared" si="21"/>
        <v>8.4927922283795212E-6</v>
      </c>
      <c r="AS23" s="30">
        <f t="shared" si="21"/>
        <v>1.4574337551403381E-2</v>
      </c>
      <c r="AT23" s="30">
        <f t="shared" si="21"/>
        <v>1.2421214041270482E-2</v>
      </c>
      <c r="AU23" s="30">
        <f t="shared" si="21"/>
        <v>2.2030802630080726E-2</v>
      </c>
      <c r="AV23" s="30">
        <f t="shared" si="21"/>
        <v>1.5005690452999814E-3</v>
      </c>
      <c r="AW23" s="30">
        <f t="shared" si="21"/>
        <v>3.1402363261387465E-3</v>
      </c>
      <c r="AX23" s="30">
        <f t="shared" si="21"/>
        <v>4.8806597011825779E-5</v>
      </c>
      <c r="AY23" s="30">
        <f t="shared" si="21"/>
        <v>1.6437073071479502E-3</v>
      </c>
      <c r="AZ23" s="30">
        <f t="shared" si="21"/>
        <v>5.0606728122285774E-3</v>
      </c>
      <c r="BA23" s="30">
        <f t="shared" si="21"/>
        <v>1.9707557388153434E-2</v>
      </c>
      <c r="BB23" s="30">
        <f t="shared" si="21"/>
        <v>2.2736535311213293E-2</v>
      </c>
      <c r="BC23" s="30">
        <f t="shared" si="21"/>
        <v>2.5013423072707808E-2</v>
      </c>
      <c r="BD23" s="30">
        <f t="shared" si="21"/>
        <v>2.8119090240995785E-2</v>
      </c>
      <c r="BE23" s="30">
        <f t="shared" si="21"/>
        <v>3.5609802139790883E-2</v>
      </c>
      <c r="BF23" s="30">
        <f t="shared" si="21"/>
        <v>1.5948147585748446E-2</v>
      </c>
      <c r="BG23" s="30">
        <f t="shared" si="21"/>
        <v>1.9417585381846854E-2</v>
      </c>
      <c r="BH23" s="30">
        <f t="shared" si="21"/>
        <v>8.9617734157909652E-3</v>
      </c>
      <c r="BI23" s="30">
        <f t="shared" si="21"/>
        <v>2.8421684176128628E-2</v>
      </c>
      <c r="BJ23" s="30">
        <f t="shared" si="21"/>
        <v>5.6840016046609911E-2</v>
      </c>
      <c r="BK23" s="30">
        <f t="shared" si="21"/>
        <v>6.8465451561165111E-2</v>
      </c>
      <c r="BL23" s="30">
        <f t="shared" si="21"/>
        <v>0.1127115373461888</v>
      </c>
      <c r="BM23" s="30">
        <f t="shared" si="21"/>
        <v>6.3798496781946809E-3</v>
      </c>
      <c r="BN23" s="30">
        <f t="shared" si="21"/>
        <v>2.0536363250332135E-2</v>
      </c>
      <c r="BO23" s="30">
        <f t="shared" ref="BO23:CT23" si="22">(BO7-BO15)^2</f>
        <v>6.8591124950882331E-3</v>
      </c>
      <c r="BP23" s="30">
        <f t="shared" si="22"/>
        <v>6.2438322492724843E-4</v>
      </c>
      <c r="BQ23" s="30">
        <f t="shared" si="22"/>
        <v>1.7285373195779698E-2</v>
      </c>
      <c r="BR23" s="30">
        <f t="shared" si="22"/>
        <v>2.3066586970331092E-3</v>
      </c>
      <c r="BS23" s="30">
        <f t="shared" si="22"/>
        <v>2.9113223645436826E-3</v>
      </c>
      <c r="BT23" s="30">
        <f t="shared" si="22"/>
        <v>4.7892759742589047E-4</v>
      </c>
      <c r="BU23" s="30">
        <f t="shared" si="22"/>
        <v>3.6283139797311393E-3</v>
      </c>
      <c r="BV23" s="30">
        <f t="shared" si="22"/>
        <v>4.9841307956583637E-3</v>
      </c>
      <c r="BW23" s="30">
        <f t="shared" si="22"/>
        <v>8.1391893470775141E-3</v>
      </c>
      <c r="BX23" s="30">
        <f t="shared" si="22"/>
        <v>2.0893077539976116E-4</v>
      </c>
      <c r="BY23" s="30">
        <f t="shared" si="22"/>
        <v>5.1720928919394655E-3</v>
      </c>
      <c r="BZ23" s="30">
        <f t="shared" si="22"/>
        <v>1.2944203089179299E-2</v>
      </c>
      <c r="CA23" s="30">
        <f t="shared" si="22"/>
        <v>1.8798036575127429E-2</v>
      </c>
      <c r="CB23" s="30">
        <f t="shared" si="22"/>
        <v>1.0962469657878973E-2</v>
      </c>
      <c r="CC23" s="30">
        <f t="shared" si="22"/>
        <v>1.2470265751743757E-2</v>
      </c>
      <c r="CD23" s="30">
        <f t="shared" si="22"/>
        <v>6.6464909642977932E-3</v>
      </c>
      <c r="CE23" s="30">
        <f t="shared" si="22"/>
        <v>2.9804662126068192E-5</v>
      </c>
      <c r="CF23" s="30">
        <f t="shared" si="22"/>
        <v>1.4027512137074028E-2</v>
      </c>
      <c r="CG23" s="30">
        <f t="shared" si="22"/>
        <v>4.5038734977196508E-2</v>
      </c>
      <c r="CH23" s="30">
        <f t="shared" si="22"/>
        <v>6.5770207145200724E-2</v>
      </c>
      <c r="CI23" s="30">
        <f t="shared" si="22"/>
        <v>0.10260855910075141</v>
      </c>
      <c r="CJ23" s="30">
        <f t="shared" si="22"/>
        <v>2.5454510755234753E-2</v>
      </c>
      <c r="CK23" s="30">
        <f t="shared" si="22"/>
        <v>6.4573918171088623E-2</v>
      </c>
      <c r="CL23" s="30">
        <f t="shared" si="22"/>
        <v>6.9166770529147591E-4</v>
      </c>
      <c r="CM23" s="30">
        <f t="shared" si="22"/>
        <v>8.3322325663639854E-3</v>
      </c>
      <c r="CN23" s="30">
        <f t="shared" si="22"/>
        <v>3.4983248878905487E-4</v>
      </c>
      <c r="CO23" s="30">
        <f t="shared" si="22"/>
        <v>2.4902249271338567E-2</v>
      </c>
      <c r="CP23" s="30">
        <f t="shared" si="22"/>
        <v>2.3399001503705453E-4</v>
      </c>
      <c r="CQ23" s="30">
        <f t="shared" si="22"/>
        <v>2.0433607804559585E-2</v>
      </c>
      <c r="CR23" s="30">
        <f t="shared" si="22"/>
        <v>1.5465693290842041E-3</v>
      </c>
      <c r="CS23" s="30">
        <f t="shared" si="22"/>
        <v>2.223147825880217E-3</v>
      </c>
      <c r="CT23" s="30">
        <f t="shared" si="22"/>
        <v>9.8035563484083141E-3</v>
      </c>
      <c r="CU23" s="30">
        <f t="shared" ref="CU23:DZ23" si="23">(CU7-CU15)^2</f>
        <v>1.611863330579431E-2</v>
      </c>
      <c r="CV23" s="30">
        <f t="shared" si="23"/>
        <v>7.4707005173054964E-3</v>
      </c>
      <c r="CW23" s="30">
        <f t="shared" si="23"/>
        <v>1.9788585613869428E-2</v>
      </c>
      <c r="CX23" s="30">
        <f t="shared" si="23"/>
        <v>7.3028335097127901E-3</v>
      </c>
      <c r="CY23" s="30">
        <f t="shared" si="23"/>
        <v>2.4616698499709059E-4</v>
      </c>
      <c r="CZ23" s="30">
        <f t="shared" si="23"/>
        <v>9.9060868577837487E-4</v>
      </c>
      <c r="DA23" s="30">
        <f t="shared" si="23"/>
        <v>4.5914634813659172E-3</v>
      </c>
      <c r="DB23" s="30">
        <f t="shared" si="23"/>
        <v>9.0604136116646181E-3</v>
      </c>
      <c r="DC23" s="30">
        <f t="shared" si="23"/>
        <v>7.4275709407125362E-3</v>
      </c>
      <c r="DD23" s="30">
        <f t="shared" si="23"/>
        <v>8.5031112844483996E-3</v>
      </c>
      <c r="DE23" s="30">
        <f t="shared" si="23"/>
        <v>1.0975522977699447E-3</v>
      </c>
      <c r="DF23" s="30">
        <f t="shared" si="23"/>
        <v>7.3166934193675563E-3</v>
      </c>
      <c r="DG23" s="30">
        <f t="shared" si="23"/>
        <v>5.8081288628283314E-3</v>
      </c>
      <c r="DH23" s="30">
        <f t="shared" si="23"/>
        <v>2.4538062421498737E-3</v>
      </c>
      <c r="DI23" s="30">
        <f t="shared" si="23"/>
        <v>3.9245371306665853E-4</v>
      </c>
      <c r="DJ23" s="30">
        <f t="shared" si="23"/>
        <v>1.6502311582358761E-2</v>
      </c>
      <c r="DK23" s="30">
        <f t="shared" si="23"/>
        <v>1.5597566770636876E-2</v>
      </c>
      <c r="DL23" s="30">
        <f t="shared" si="23"/>
        <v>0.12119614496265362</v>
      </c>
      <c r="DM23" s="30">
        <f t="shared" si="23"/>
        <v>0.24559810697340251</v>
      </c>
      <c r="DN23" s="30">
        <f t="shared" si="23"/>
        <v>0.44553021808610044</v>
      </c>
      <c r="DO23" s="30">
        <f t="shared" si="23"/>
        <v>0.45764584290216337</v>
      </c>
      <c r="DP23" s="30">
        <f t="shared" si="23"/>
        <v>0.24767482589822085</v>
      </c>
      <c r="DQ23" s="30">
        <f t="shared" si="23"/>
        <v>0.25330100145706924</v>
      </c>
      <c r="DR23" s="30">
        <f t="shared" si="23"/>
        <v>3.6940194718069384E-2</v>
      </c>
      <c r="DS23" s="30">
        <f t="shared" si="23"/>
        <v>3.212877518863195E-4</v>
      </c>
      <c r="DT23" s="30">
        <f t="shared" si="23"/>
        <v>5.4671996388155402E-3</v>
      </c>
      <c r="DU23" s="30">
        <f t="shared" si="23"/>
        <v>2.1778907913085618E-2</v>
      </c>
      <c r="DV23" s="30">
        <f t="shared" si="23"/>
        <v>1.9352239280037542E-2</v>
      </c>
      <c r="DW23" s="30">
        <f t="shared" si="23"/>
        <v>3.4881274535209943E-2</v>
      </c>
      <c r="DX23" s="30">
        <f t="shared" si="23"/>
        <v>5.242505612789565E-2</v>
      </c>
      <c r="DY23" s="30">
        <f t="shared" si="23"/>
        <v>1.637981240175888E-2</v>
      </c>
      <c r="DZ23" s="30">
        <f t="shared" si="23"/>
        <v>6.1418030707443205E-3</v>
      </c>
      <c r="EA23" s="30">
        <f t="shared" ref="EA23:EF23" si="24">(EA7-EA15)^2</f>
        <v>5.1703888976701905E-3</v>
      </c>
      <c r="EB23" s="30">
        <f t="shared" si="24"/>
        <v>1.0577297730153578E-3</v>
      </c>
      <c r="EC23" s="30">
        <f t="shared" si="24"/>
        <v>3.7143934752723425E-4</v>
      </c>
      <c r="ED23" s="30">
        <f t="shared" si="24"/>
        <v>2.5968284630861287E-3</v>
      </c>
      <c r="EE23" s="30">
        <f t="shared" si="24"/>
        <v>2.7004918940143376E-3</v>
      </c>
      <c r="EF23" s="30">
        <f t="shared" si="24"/>
        <v>1.8249251240964959E-3</v>
      </c>
    </row>
    <row r="24" spans="1:137" ht="16" customHeight="1">
      <c r="A24" s="4"/>
    </row>
    <row r="25" spans="1:137" ht="16" customHeight="1">
      <c r="A25" s="44" t="s">
        <v>257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1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4"/>
    </row>
    <row r="26" spans="1:137" ht="17" customHeight="1">
      <c r="A26" s="29"/>
      <c r="B26" s="6" t="s">
        <v>1</v>
      </c>
      <c r="C26" s="40" t="s">
        <v>2</v>
      </c>
      <c r="D26" s="40" t="s">
        <v>3</v>
      </c>
      <c r="E26" s="40" t="s">
        <v>4</v>
      </c>
      <c r="F26" s="40" t="s">
        <v>5</v>
      </c>
      <c r="G26" s="40" t="s">
        <v>6</v>
      </c>
      <c r="H26" s="40" t="s">
        <v>7</v>
      </c>
      <c r="I26" s="40" t="s">
        <v>8</v>
      </c>
      <c r="J26" s="40" t="s">
        <v>9</v>
      </c>
      <c r="K26" s="40" t="s">
        <v>10</v>
      </c>
      <c r="L26" s="40" t="s">
        <v>11</v>
      </c>
      <c r="M26" s="40" t="s">
        <v>12</v>
      </c>
      <c r="N26" s="40" t="s">
        <v>13</v>
      </c>
      <c r="O26" s="40" t="s">
        <v>14</v>
      </c>
      <c r="P26" s="40" t="s">
        <v>15</v>
      </c>
      <c r="Q26" s="40" t="s">
        <v>16</v>
      </c>
      <c r="R26" s="40" t="s">
        <v>17</v>
      </c>
      <c r="S26" s="40" t="s">
        <v>18</v>
      </c>
      <c r="T26" s="40" t="s">
        <v>19</v>
      </c>
      <c r="U26" s="40" t="s">
        <v>20</v>
      </c>
      <c r="V26" s="40" t="s">
        <v>21</v>
      </c>
      <c r="W26" s="40" t="s">
        <v>22</v>
      </c>
      <c r="X26" s="40" t="s">
        <v>23</v>
      </c>
      <c r="Y26" s="40" t="s">
        <v>24</v>
      </c>
      <c r="Z26" s="40" t="s">
        <v>25</v>
      </c>
      <c r="AA26" s="40" t="s">
        <v>26</v>
      </c>
      <c r="AB26" s="40" t="s">
        <v>27</v>
      </c>
      <c r="AC26" s="40" t="s">
        <v>28</v>
      </c>
      <c r="AD26" s="40" t="s">
        <v>29</v>
      </c>
      <c r="AE26" s="40" t="s">
        <v>30</v>
      </c>
      <c r="AF26" s="40" t="s">
        <v>31</v>
      </c>
      <c r="AG26" s="40" t="s">
        <v>32</v>
      </c>
      <c r="AH26" s="40" t="s">
        <v>33</v>
      </c>
      <c r="AI26" s="40" t="s">
        <v>34</v>
      </c>
      <c r="AJ26" s="40" t="s">
        <v>35</v>
      </c>
      <c r="AK26" s="40" t="s">
        <v>36</v>
      </c>
      <c r="AL26" s="40" t="s">
        <v>37</v>
      </c>
      <c r="AM26" s="40" t="s">
        <v>38</v>
      </c>
      <c r="AN26" s="40" t="s">
        <v>39</v>
      </c>
      <c r="AO26" s="40" t="s">
        <v>40</v>
      </c>
      <c r="AP26" s="40" t="s">
        <v>41</v>
      </c>
      <c r="AQ26" s="40" t="s">
        <v>42</v>
      </c>
      <c r="AR26" s="40" t="s">
        <v>43</v>
      </c>
      <c r="AS26" s="40" t="s">
        <v>44</v>
      </c>
      <c r="AT26" s="40" t="s">
        <v>45</v>
      </c>
      <c r="AU26" s="40" t="s">
        <v>46</v>
      </c>
      <c r="AV26" s="40" t="s">
        <v>47</v>
      </c>
      <c r="AW26" s="40" t="s">
        <v>48</v>
      </c>
      <c r="AX26" s="40" t="s">
        <v>49</v>
      </c>
      <c r="AY26" s="40" t="s">
        <v>50</v>
      </c>
      <c r="AZ26" s="40" t="s">
        <v>51</v>
      </c>
      <c r="BA26" s="40" t="s">
        <v>52</v>
      </c>
      <c r="BB26" s="40" t="s">
        <v>53</v>
      </c>
      <c r="BC26" s="40" t="s">
        <v>54</v>
      </c>
      <c r="BD26" s="40" t="s">
        <v>55</v>
      </c>
      <c r="BE26" s="40" t="s">
        <v>56</v>
      </c>
      <c r="BF26" s="40" t="s">
        <v>57</v>
      </c>
      <c r="BG26" s="40" t="s">
        <v>58</v>
      </c>
      <c r="BH26" s="40" t="s">
        <v>59</v>
      </c>
      <c r="BI26" s="40" t="s">
        <v>60</v>
      </c>
      <c r="BJ26" s="40" t="s">
        <v>61</v>
      </c>
      <c r="BK26" s="40" t="s">
        <v>62</v>
      </c>
      <c r="BL26" s="40" t="s">
        <v>63</v>
      </c>
      <c r="BM26" s="40" t="s">
        <v>64</v>
      </c>
      <c r="BN26" s="40" t="s">
        <v>65</v>
      </c>
      <c r="BO26" s="40" t="s">
        <v>66</v>
      </c>
      <c r="BP26" s="40" t="s">
        <v>67</v>
      </c>
      <c r="BQ26" s="40" t="s">
        <v>68</v>
      </c>
      <c r="BR26" s="40" t="s">
        <v>69</v>
      </c>
      <c r="BS26" s="40" t="s">
        <v>70</v>
      </c>
      <c r="BT26" s="40" t="s">
        <v>71</v>
      </c>
      <c r="BU26" s="40" t="s">
        <v>72</v>
      </c>
      <c r="BV26" s="40" t="s">
        <v>73</v>
      </c>
      <c r="BW26" s="40" t="s">
        <v>74</v>
      </c>
      <c r="BX26" s="40" t="s">
        <v>75</v>
      </c>
      <c r="BY26" s="40" t="s">
        <v>76</v>
      </c>
      <c r="BZ26" s="40" t="s">
        <v>77</v>
      </c>
      <c r="CA26" s="40" t="s">
        <v>78</v>
      </c>
      <c r="CB26" s="40" t="s">
        <v>79</v>
      </c>
      <c r="CC26" s="40" t="s">
        <v>80</v>
      </c>
      <c r="CD26" s="40" t="s">
        <v>81</v>
      </c>
      <c r="CE26" s="40" t="s">
        <v>82</v>
      </c>
      <c r="CF26" s="40" t="s">
        <v>83</v>
      </c>
      <c r="CG26" s="40" t="s">
        <v>84</v>
      </c>
      <c r="CH26" s="40" t="s">
        <v>85</v>
      </c>
      <c r="CI26" s="40" t="s">
        <v>86</v>
      </c>
      <c r="CJ26" s="40" t="s">
        <v>87</v>
      </c>
      <c r="CK26" s="40" t="s">
        <v>88</v>
      </c>
      <c r="CL26" s="40" t="s">
        <v>89</v>
      </c>
      <c r="CM26" s="40" t="s">
        <v>90</v>
      </c>
      <c r="CN26" s="40" t="s">
        <v>91</v>
      </c>
      <c r="CO26" s="40" t="s">
        <v>92</v>
      </c>
      <c r="CP26" s="40" t="s">
        <v>93</v>
      </c>
      <c r="CQ26" s="40" t="s">
        <v>94</v>
      </c>
      <c r="CR26" s="40" t="s">
        <v>95</v>
      </c>
      <c r="CS26" s="40" t="s">
        <v>96</v>
      </c>
      <c r="CT26" s="40" t="s">
        <v>97</v>
      </c>
      <c r="CU26" s="40" t="s">
        <v>98</v>
      </c>
      <c r="CV26" s="40" t="s">
        <v>99</v>
      </c>
      <c r="CW26" s="40" t="s">
        <v>100</v>
      </c>
      <c r="CX26" s="40" t="s">
        <v>101</v>
      </c>
      <c r="CY26" s="40" t="s">
        <v>102</v>
      </c>
      <c r="CZ26" s="40" t="s">
        <v>103</v>
      </c>
      <c r="DA26" s="40" t="s">
        <v>104</v>
      </c>
      <c r="DB26" s="40" t="s">
        <v>105</v>
      </c>
      <c r="DC26" s="40" t="s">
        <v>106</v>
      </c>
      <c r="DD26" s="40" t="s">
        <v>107</v>
      </c>
      <c r="DE26" s="40" t="s">
        <v>108</v>
      </c>
      <c r="DF26" s="40" t="s">
        <v>109</v>
      </c>
      <c r="DG26" s="40" t="s">
        <v>110</v>
      </c>
      <c r="DH26" s="40" t="s">
        <v>111</v>
      </c>
      <c r="DI26" s="40" t="s">
        <v>112</v>
      </c>
      <c r="DJ26" s="40" t="s">
        <v>113</v>
      </c>
      <c r="DK26" s="40" t="s">
        <v>114</v>
      </c>
      <c r="DL26" s="40" t="s">
        <v>115</v>
      </c>
      <c r="DM26" s="40" t="s">
        <v>116</v>
      </c>
      <c r="DN26" s="40" t="s">
        <v>117</v>
      </c>
      <c r="DO26" s="40" t="s">
        <v>118</v>
      </c>
      <c r="DP26" s="40" t="s">
        <v>119</v>
      </c>
      <c r="DQ26" s="40" t="s">
        <v>120</v>
      </c>
      <c r="DR26" s="40" t="s">
        <v>121</v>
      </c>
      <c r="DS26" s="40" t="s">
        <v>122</v>
      </c>
      <c r="DT26" s="40" t="s">
        <v>123</v>
      </c>
      <c r="DU26" s="40" t="s">
        <v>124</v>
      </c>
      <c r="DV26" s="40" t="s">
        <v>125</v>
      </c>
      <c r="DW26" s="40" t="s">
        <v>126</v>
      </c>
      <c r="DX26" s="40" t="s">
        <v>127</v>
      </c>
      <c r="DY26" s="40" t="s">
        <v>128</v>
      </c>
      <c r="DZ26" s="40" t="s">
        <v>129</v>
      </c>
      <c r="EA26" s="40" t="s">
        <v>130</v>
      </c>
      <c r="EB26" s="40" t="s">
        <v>131</v>
      </c>
      <c r="EC26" s="40" t="s">
        <v>132</v>
      </c>
      <c r="ED26" s="41" t="s">
        <v>133</v>
      </c>
      <c r="EE26" s="40" t="s">
        <v>134</v>
      </c>
      <c r="EF26" s="40" t="s">
        <v>135</v>
      </c>
      <c r="EG26" s="4"/>
    </row>
    <row r="27" spans="1:137" ht="16" customHeight="1">
      <c r="A27" s="29"/>
      <c r="B27" s="25" t="s">
        <v>136</v>
      </c>
      <c r="C27" s="30">
        <f t="shared" ref="C27:AH27" si="25">C11^2</f>
        <v>1.4546941553060746E-2</v>
      </c>
      <c r="D27" s="30">
        <f t="shared" si="25"/>
        <v>2.0783224103101891E-3</v>
      </c>
      <c r="E27" s="30">
        <f t="shared" si="25"/>
        <v>2.7904049153052446E-2</v>
      </c>
      <c r="F27" s="30">
        <f t="shared" si="25"/>
        <v>5.4389132733367778E-3</v>
      </c>
      <c r="G27" s="30">
        <f t="shared" si="25"/>
        <v>1.0566781966776994E-3</v>
      </c>
      <c r="H27" s="30">
        <f t="shared" si="25"/>
        <v>1.0789332020358306E-3</v>
      </c>
      <c r="I27" s="30">
        <f t="shared" si="25"/>
        <v>1.4665592341637463E-2</v>
      </c>
      <c r="J27" s="30">
        <f t="shared" si="25"/>
        <v>6.667930891517048E-6</v>
      </c>
      <c r="K27" s="30">
        <f t="shared" si="25"/>
        <v>5.1794829850867136E-3</v>
      </c>
      <c r="L27" s="30">
        <f t="shared" si="25"/>
        <v>1.1794218884633857E-3</v>
      </c>
      <c r="M27" s="30">
        <f t="shared" si="25"/>
        <v>1.6067753709816334E-3</v>
      </c>
      <c r="N27" s="30">
        <f t="shared" si="25"/>
        <v>1.7275217604557664E-3</v>
      </c>
      <c r="O27" s="30">
        <f t="shared" si="25"/>
        <v>4.7613865504638851E-5</v>
      </c>
      <c r="P27" s="30">
        <f t="shared" si="25"/>
        <v>1.2801639685446422E-3</v>
      </c>
      <c r="Q27" s="30">
        <f t="shared" si="25"/>
        <v>4.6718094894194085E-3</v>
      </c>
      <c r="R27" s="30">
        <f t="shared" si="25"/>
        <v>2.0623478958674162E-3</v>
      </c>
      <c r="S27" s="30">
        <f t="shared" si="25"/>
        <v>3.8706550378058856E-4</v>
      </c>
      <c r="T27" s="30">
        <f t="shared" si="25"/>
        <v>1.1331798132323292E-2</v>
      </c>
      <c r="U27" s="30">
        <f t="shared" si="25"/>
        <v>1.0274068999818326E-3</v>
      </c>
      <c r="V27" s="30">
        <f t="shared" si="25"/>
        <v>2.209865254204212E-4</v>
      </c>
      <c r="W27" s="30">
        <f t="shared" si="25"/>
        <v>8.7245073042044007E-3</v>
      </c>
      <c r="X27" s="30">
        <f t="shared" si="25"/>
        <v>1.3729897055253691E-3</v>
      </c>
      <c r="Y27" s="30">
        <f t="shared" si="25"/>
        <v>2.2448308059105264E-3</v>
      </c>
      <c r="Z27" s="30">
        <f t="shared" si="25"/>
        <v>1.276845571821618E-3</v>
      </c>
      <c r="AA27" s="30">
        <f t="shared" si="25"/>
        <v>5.5814967545114143E-3</v>
      </c>
      <c r="AB27" s="30">
        <f t="shared" si="25"/>
        <v>1.0300559933415927E-2</v>
      </c>
      <c r="AC27" s="30">
        <f t="shared" si="25"/>
        <v>8.7550991227910581E-8</v>
      </c>
      <c r="AD27" s="30">
        <f t="shared" si="25"/>
        <v>4.7401569145407449E-3</v>
      </c>
      <c r="AE27" s="30">
        <f t="shared" si="25"/>
        <v>4.9577618903744007E-4</v>
      </c>
      <c r="AF27" s="30">
        <f t="shared" si="25"/>
        <v>1.7326798789216898E-3</v>
      </c>
      <c r="AG27" s="30">
        <f t="shared" si="25"/>
        <v>6.4815810717736903E-5</v>
      </c>
      <c r="AH27" s="30">
        <f t="shared" si="25"/>
        <v>1.4641836287280217E-3</v>
      </c>
      <c r="AI27" s="30">
        <f t="shared" ref="AI27:BN27" si="26">AI11^2</f>
        <v>2.0416160929393706E-3</v>
      </c>
      <c r="AJ27" s="30">
        <f t="shared" si="26"/>
        <v>1.1707089979531781E-3</v>
      </c>
      <c r="AK27" s="30">
        <f t="shared" si="26"/>
        <v>1.9481826911203113E-3</v>
      </c>
      <c r="AL27" s="30">
        <f t="shared" si="26"/>
        <v>1.266474915537371E-3</v>
      </c>
      <c r="AM27" s="30">
        <f t="shared" si="26"/>
        <v>1.7102176743532169E-4</v>
      </c>
      <c r="AN27" s="30">
        <f t="shared" si="26"/>
        <v>1.7210583520656951E-5</v>
      </c>
      <c r="AO27" s="30">
        <f t="shared" si="26"/>
        <v>6.0349700617423905E-3</v>
      </c>
      <c r="AP27" s="30">
        <f t="shared" si="26"/>
        <v>4.8977517008283308E-5</v>
      </c>
      <c r="AQ27" s="30">
        <f t="shared" si="26"/>
        <v>1.7147336612869088E-2</v>
      </c>
      <c r="AR27" s="30">
        <f t="shared" si="26"/>
        <v>7.5329742495129385E-3</v>
      </c>
      <c r="AS27" s="30">
        <f t="shared" si="26"/>
        <v>2.7776044691565603E-3</v>
      </c>
      <c r="AT27" s="30">
        <f t="shared" si="26"/>
        <v>4.2547534102817912E-3</v>
      </c>
      <c r="AU27" s="30">
        <f t="shared" si="26"/>
        <v>4.2502345660876805E-3</v>
      </c>
      <c r="AV27" s="30">
        <f t="shared" si="26"/>
        <v>7.3436487400388122E-5</v>
      </c>
      <c r="AW27" s="30">
        <f t="shared" si="26"/>
        <v>1.60194481917085E-3</v>
      </c>
      <c r="AX27" s="30">
        <f t="shared" si="26"/>
        <v>9.8863219592693887E-4</v>
      </c>
      <c r="AY27" s="30">
        <f t="shared" si="26"/>
        <v>1.6041610488780382E-5</v>
      </c>
      <c r="AZ27" s="30">
        <f t="shared" si="26"/>
        <v>6.2092602647907178E-5</v>
      </c>
      <c r="BA27" s="30">
        <f t="shared" si="26"/>
        <v>3.6874353934753392E-5</v>
      </c>
      <c r="BB27" s="30">
        <f t="shared" si="26"/>
        <v>1.2101704175533322E-4</v>
      </c>
      <c r="BC27" s="30">
        <f t="shared" si="26"/>
        <v>6.9588179927682428E-4</v>
      </c>
      <c r="BD27" s="30">
        <f t="shared" si="26"/>
        <v>1.5586344955206557E-3</v>
      </c>
      <c r="BE27" s="30">
        <f t="shared" si="26"/>
        <v>9.7833278969118435E-4</v>
      </c>
      <c r="BF27" s="30">
        <f t="shared" si="26"/>
        <v>3.6853574048309485E-5</v>
      </c>
      <c r="BG27" s="30">
        <f t="shared" si="26"/>
        <v>3.6647665014566434E-3</v>
      </c>
      <c r="BH27" s="30">
        <f t="shared" si="26"/>
        <v>7.289989238267805E-3</v>
      </c>
      <c r="BI27" s="30">
        <f t="shared" si="26"/>
        <v>4.1593669894173435E-3</v>
      </c>
      <c r="BJ27" s="30">
        <f t="shared" si="26"/>
        <v>3.8783127622290148E-5</v>
      </c>
      <c r="BK27" s="30">
        <f t="shared" si="26"/>
        <v>2.1521354971514193E-3</v>
      </c>
      <c r="BL27" s="30">
        <f t="shared" si="26"/>
        <v>1.336525963820349E-4</v>
      </c>
      <c r="BM27" s="30">
        <f t="shared" si="26"/>
        <v>1.985454762331907E-3</v>
      </c>
      <c r="BN27" s="30">
        <f t="shared" si="26"/>
        <v>7.629465686892122E-6</v>
      </c>
      <c r="BO27" s="30">
        <f t="shared" ref="BO27:CT27" si="27">BO11^2</f>
        <v>6.9091713822011137E-5</v>
      </c>
      <c r="BP27" s="30">
        <f t="shared" si="27"/>
        <v>3.1203785670462585E-3</v>
      </c>
      <c r="BQ27" s="30">
        <f t="shared" si="27"/>
        <v>1.2749634153512547E-3</v>
      </c>
      <c r="BR27" s="30">
        <f t="shared" si="27"/>
        <v>4.8456551158879905E-4</v>
      </c>
      <c r="BS27" s="30">
        <f t="shared" si="27"/>
        <v>1.5716090347935056E-3</v>
      </c>
      <c r="BT27" s="30">
        <f t="shared" si="27"/>
        <v>1.281820711813912E-5</v>
      </c>
      <c r="BU27" s="30">
        <f t="shared" si="27"/>
        <v>8.0657469502776226E-5</v>
      </c>
      <c r="BV27" s="30">
        <f t="shared" si="27"/>
        <v>7.9975160928309909E-5</v>
      </c>
      <c r="BW27" s="30">
        <f t="shared" si="27"/>
        <v>5.7857348809490965E-3</v>
      </c>
      <c r="BX27" s="30">
        <f t="shared" si="27"/>
        <v>1.6534804605481364E-3</v>
      </c>
      <c r="BY27" s="30">
        <f t="shared" si="27"/>
        <v>3.4908406432154694E-3</v>
      </c>
      <c r="BZ27" s="30">
        <f t="shared" si="27"/>
        <v>7.2805942721398899E-4</v>
      </c>
      <c r="CA27" s="30">
        <f t="shared" si="27"/>
        <v>1.6008563931749445E-2</v>
      </c>
      <c r="CB27" s="30">
        <f t="shared" si="27"/>
        <v>1.445347601830995E-4</v>
      </c>
      <c r="CC27" s="30">
        <f t="shared" si="27"/>
        <v>2.5889200398882791E-3</v>
      </c>
      <c r="CD27" s="30">
        <f t="shared" si="27"/>
        <v>6.3887822895437581E-4</v>
      </c>
      <c r="CE27" s="30">
        <f t="shared" si="27"/>
        <v>7.5737829574161275E-3</v>
      </c>
      <c r="CF27" s="30">
        <f t="shared" si="27"/>
        <v>6.0643826814938361E-4</v>
      </c>
      <c r="CG27" s="30">
        <f t="shared" si="27"/>
        <v>3.5145983982815942E-4</v>
      </c>
      <c r="CH27" s="30">
        <f t="shared" si="27"/>
        <v>1.7232859795444449E-3</v>
      </c>
      <c r="CI27" s="30">
        <f t="shared" si="27"/>
        <v>8.8924887500002386E-4</v>
      </c>
      <c r="CJ27" s="30">
        <f t="shared" si="27"/>
        <v>1.6041465397323526E-4</v>
      </c>
      <c r="CK27" s="30">
        <f t="shared" si="27"/>
        <v>2.3028024574732412E-3</v>
      </c>
      <c r="CL27" s="30">
        <f t="shared" si="27"/>
        <v>4.4642725780217762E-5</v>
      </c>
      <c r="CM27" s="30">
        <f t="shared" si="27"/>
        <v>5.4630386341820839E-4</v>
      </c>
      <c r="CN27" s="30">
        <f t="shared" si="27"/>
        <v>1.1859583288463893E-4</v>
      </c>
      <c r="CO27" s="30">
        <f t="shared" si="27"/>
        <v>2.1451538507071776E-2</v>
      </c>
      <c r="CP27" s="30">
        <f t="shared" si="27"/>
        <v>3.9079536734685274E-4</v>
      </c>
      <c r="CQ27" s="30">
        <f t="shared" si="27"/>
        <v>3.1503536084517906E-4</v>
      </c>
      <c r="CR27" s="30">
        <f t="shared" si="27"/>
        <v>8.4050830551802463E-4</v>
      </c>
      <c r="CS27" s="30">
        <f t="shared" si="27"/>
        <v>8.4834108893111048E-5</v>
      </c>
      <c r="CT27" s="30">
        <f t="shared" si="27"/>
        <v>1.357785655578251E-3</v>
      </c>
      <c r="CU27" s="30">
        <f t="shared" ref="CU27:DZ27" si="28">CU11^2</f>
        <v>9.3050106960842897E-4</v>
      </c>
      <c r="CV27" s="30">
        <f t="shared" si="28"/>
        <v>1.6308150330167385E-3</v>
      </c>
      <c r="CW27" s="30">
        <f t="shared" si="28"/>
        <v>8.809623770114191E-5</v>
      </c>
      <c r="CX27" s="30">
        <f t="shared" si="28"/>
        <v>5.9673905700761143E-3</v>
      </c>
      <c r="CY27" s="30">
        <f t="shared" si="28"/>
        <v>6.4934285102214676E-6</v>
      </c>
      <c r="CZ27" s="30">
        <f t="shared" si="28"/>
        <v>5.4553958679762855E-4</v>
      </c>
      <c r="DA27" s="30">
        <f t="shared" si="28"/>
        <v>1.2679764368676608E-3</v>
      </c>
      <c r="DB27" s="30">
        <f t="shared" si="28"/>
        <v>2.0249957666726433E-5</v>
      </c>
      <c r="DC27" s="30">
        <f t="shared" si="28"/>
        <v>1.8851158771020619E-3</v>
      </c>
      <c r="DD27" s="30">
        <f t="shared" si="28"/>
        <v>6.019507847381921E-3</v>
      </c>
      <c r="DE27" s="30">
        <f t="shared" si="28"/>
        <v>2.0746948170583621E-3</v>
      </c>
      <c r="DF27" s="30">
        <f t="shared" si="28"/>
        <v>5.4406906442556616E-3</v>
      </c>
      <c r="DG27" s="30">
        <f t="shared" si="28"/>
        <v>1.9143570377321042E-4</v>
      </c>
      <c r="DH27" s="30">
        <f t="shared" si="28"/>
        <v>1.7283277364271178E-4</v>
      </c>
      <c r="DI27" s="30">
        <f t="shared" si="28"/>
        <v>1.4029015510613837E-2</v>
      </c>
      <c r="DJ27" s="30">
        <f t="shared" si="28"/>
        <v>2.4716568256932104E-3</v>
      </c>
      <c r="DK27" s="30">
        <f t="shared" si="28"/>
        <v>8.3387640549511242E-4</v>
      </c>
      <c r="DL27" s="30">
        <f t="shared" si="28"/>
        <v>1.737526121331807E-4</v>
      </c>
      <c r="DM27" s="30">
        <f t="shared" si="28"/>
        <v>1.89403573255491E-3</v>
      </c>
      <c r="DN27" s="30">
        <f t="shared" si="28"/>
        <v>3.6799363519197273E-3</v>
      </c>
      <c r="DO27" s="30">
        <f t="shared" si="28"/>
        <v>6.8168388978050286E-3</v>
      </c>
      <c r="DP27" s="30">
        <f t="shared" si="28"/>
        <v>9.2190700121279213E-3</v>
      </c>
      <c r="DQ27" s="30">
        <f t="shared" si="28"/>
        <v>3.9384274152525655E-4</v>
      </c>
      <c r="DR27" s="30">
        <f t="shared" si="28"/>
        <v>3.4520279947047156E-4</v>
      </c>
      <c r="DS27" s="30">
        <f t="shared" si="28"/>
        <v>6.6484865577402666E-4</v>
      </c>
      <c r="DT27" s="30">
        <f t="shared" si="28"/>
        <v>1.4131273299836419E-3</v>
      </c>
      <c r="DU27" s="30">
        <f t="shared" si="28"/>
        <v>2.0513579604175191E-3</v>
      </c>
      <c r="DV27" s="30">
        <f t="shared" si="28"/>
        <v>5.0438077988086629E-4</v>
      </c>
      <c r="DW27" s="30">
        <f t="shared" si="28"/>
        <v>7.3792142143569996E-8</v>
      </c>
      <c r="DX27" s="30">
        <f t="shared" si="28"/>
        <v>4.1607646394616529E-3</v>
      </c>
      <c r="DY27" s="30">
        <f t="shared" si="28"/>
        <v>3.6150469403375229E-3</v>
      </c>
      <c r="DZ27" s="30">
        <f t="shared" si="28"/>
        <v>3.3925055356370317E-5</v>
      </c>
      <c r="EA27" s="30">
        <f t="shared" ref="EA27:EF27" si="29">EA11^2</f>
        <v>2.4037075920316242E-4</v>
      </c>
      <c r="EB27" s="30">
        <f t="shared" si="29"/>
        <v>9.5511362034907718E-4</v>
      </c>
      <c r="EC27" s="30">
        <f t="shared" si="29"/>
        <v>1.5850809145450105E-3</v>
      </c>
      <c r="ED27" s="30">
        <f t="shared" si="29"/>
        <v>3.6224111358421139E-5</v>
      </c>
      <c r="EE27" s="30">
        <f t="shared" si="29"/>
        <v>1.591113750128701E-3</v>
      </c>
      <c r="EF27" s="30">
        <f t="shared" si="29"/>
        <v>9.2316261048452156E-3</v>
      </c>
      <c r="EG27" s="4"/>
    </row>
    <row r="28" spans="1:137" ht="16" customHeight="1">
      <c r="A28" s="29"/>
      <c r="B28" s="25" t="s">
        <v>137</v>
      </c>
      <c r="C28" s="30">
        <f t="shared" ref="C28:AH28" si="30">C12^2</f>
        <v>4.3830739180631434E-2</v>
      </c>
      <c r="D28" s="30">
        <f t="shared" si="30"/>
        <v>5.8301099036782662E-2</v>
      </c>
      <c r="E28" s="30">
        <f t="shared" si="30"/>
        <v>7.095082717439341E-2</v>
      </c>
      <c r="F28" s="30">
        <f t="shared" si="30"/>
        <v>0.10905171683529688</v>
      </c>
      <c r="G28" s="30">
        <f t="shared" si="30"/>
        <v>4.1447412921159846E-2</v>
      </c>
      <c r="H28" s="30">
        <f t="shared" si="30"/>
        <v>0.30662153574633394</v>
      </c>
      <c r="I28" s="30">
        <f t="shared" si="30"/>
        <v>0.44862468715901888</v>
      </c>
      <c r="J28" s="30">
        <f t="shared" si="30"/>
        <v>0.37249771464554532</v>
      </c>
      <c r="K28" s="30">
        <f t="shared" si="30"/>
        <v>0.743172367419633</v>
      </c>
      <c r="L28" s="30">
        <f t="shared" si="30"/>
        <v>0.13954555250085254</v>
      </c>
      <c r="M28" s="30">
        <f t="shared" si="30"/>
        <v>0.38715788019824043</v>
      </c>
      <c r="N28" s="30">
        <f t="shared" si="30"/>
        <v>8.6148423679951708E-2</v>
      </c>
      <c r="O28" s="30">
        <f t="shared" si="30"/>
        <v>0.12694035248712693</v>
      </c>
      <c r="P28" s="30">
        <f t="shared" si="30"/>
        <v>3.1708544027118792E-2</v>
      </c>
      <c r="Q28" s="30">
        <f t="shared" si="30"/>
        <v>2.4447673977298121E-2</v>
      </c>
      <c r="R28" s="30">
        <f t="shared" si="30"/>
        <v>5.0548710826470368E-2</v>
      </c>
      <c r="S28" s="30">
        <f t="shared" si="30"/>
        <v>3.335905702910956E-2</v>
      </c>
      <c r="T28" s="30">
        <f t="shared" si="30"/>
        <v>2.3431552375031854E-2</v>
      </c>
      <c r="U28" s="30">
        <f t="shared" si="30"/>
        <v>5.0885044725258448E-2</v>
      </c>
      <c r="V28" s="30">
        <f t="shared" si="30"/>
        <v>8.3869495384565479E-3</v>
      </c>
      <c r="W28" s="30">
        <f t="shared" si="30"/>
        <v>2.4498374202481382E-3</v>
      </c>
      <c r="X28" s="30">
        <f t="shared" si="30"/>
        <v>7.1767765320458587E-2</v>
      </c>
      <c r="Y28" s="30">
        <f t="shared" si="30"/>
        <v>0.13307049851712519</v>
      </c>
      <c r="Z28" s="30">
        <f t="shared" si="30"/>
        <v>0.14281295511624217</v>
      </c>
      <c r="AA28" s="30">
        <f t="shared" si="30"/>
        <v>0.19320846596826294</v>
      </c>
      <c r="AB28" s="30">
        <f t="shared" si="30"/>
        <v>0.17522107810753829</v>
      </c>
      <c r="AC28" s="30">
        <f t="shared" si="30"/>
        <v>0.10122906471344194</v>
      </c>
      <c r="AD28" s="30">
        <f t="shared" si="30"/>
        <v>4.349951307703423E-2</v>
      </c>
      <c r="AE28" s="30">
        <f t="shared" si="30"/>
        <v>1.0478590051857991E-2</v>
      </c>
      <c r="AF28" s="30">
        <f t="shared" si="30"/>
        <v>2.2161861582718628E-2</v>
      </c>
      <c r="AG28" s="30">
        <f t="shared" si="30"/>
        <v>3.48532407548637E-2</v>
      </c>
      <c r="AH28" s="30">
        <f t="shared" si="30"/>
        <v>6.4481843573684958E-2</v>
      </c>
      <c r="AI28" s="30">
        <f t="shared" ref="AI28:BN28" si="31">AI12^2</f>
        <v>2.1826878929646673E-2</v>
      </c>
      <c r="AJ28" s="30">
        <f t="shared" si="31"/>
        <v>1.9814522363226735E-3</v>
      </c>
      <c r="AK28" s="30">
        <f t="shared" si="31"/>
        <v>3.3820763078832865E-3</v>
      </c>
      <c r="AL28" s="30">
        <f t="shared" si="31"/>
        <v>8.4392218871139468E-3</v>
      </c>
      <c r="AM28" s="30">
        <f t="shared" si="31"/>
        <v>2.8312335196841936E-2</v>
      </c>
      <c r="AN28" s="30">
        <f t="shared" si="31"/>
        <v>0.1138637327158907</v>
      </c>
      <c r="AO28" s="30">
        <f t="shared" si="31"/>
        <v>0.13592606952782832</v>
      </c>
      <c r="AP28" s="30">
        <f t="shared" si="31"/>
        <v>8.2322852414103337E-2</v>
      </c>
      <c r="AQ28" s="30">
        <f t="shared" si="31"/>
        <v>9.3170679998561309E-2</v>
      </c>
      <c r="AR28" s="30">
        <f t="shared" si="31"/>
        <v>8.6032984752392933E-2</v>
      </c>
      <c r="AS28" s="30">
        <f t="shared" si="31"/>
        <v>9.1609308617207744E-2</v>
      </c>
      <c r="AT28" s="30">
        <f t="shared" si="31"/>
        <v>7.8655989499887141E-2</v>
      </c>
      <c r="AU28" s="30">
        <f t="shared" si="31"/>
        <v>3.335368834728835E-2</v>
      </c>
      <c r="AV28" s="30">
        <f t="shared" si="31"/>
        <v>1.4716064571650107E-2</v>
      </c>
      <c r="AW28" s="30">
        <f t="shared" si="31"/>
        <v>2.3630217629516722E-2</v>
      </c>
      <c r="AX28" s="30">
        <f t="shared" si="31"/>
        <v>4.6792436902858405E-4</v>
      </c>
      <c r="AY28" s="30">
        <f t="shared" si="31"/>
        <v>1.024586410891495E-2</v>
      </c>
      <c r="AZ28" s="30">
        <f t="shared" si="31"/>
        <v>3.5925983334454098E-2</v>
      </c>
      <c r="BA28" s="30">
        <f t="shared" si="31"/>
        <v>9.0782228273149253E-3</v>
      </c>
      <c r="BB28" s="30">
        <f t="shared" si="31"/>
        <v>1.2388743240652662E-4</v>
      </c>
      <c r="BC28" s="30">
        <f t="shared" si="31"/>
        <v>3.8495669849968377E-2</v>
      </c>
      <c r="BD28" s="30">
        <f t="shared" si="31"/>
        <v>2.3179190007777614E-2</v>
      </c>
      <c r="BE28" s="30">
        <f t="shared" si="31"/>
        <v>4.3824908459607299E-2</v>
      </c>
      <c r="BF28" s="30">
        <f t="shared" si="31"/>
        <v>2.8063797777468584E-2</v>
      </c>
      <c r="BG28" s="30">
        <f t="shared" si="31"/>
        <v>2.8411507265062915E-2</v>
      </c>
      <c r="BH28" s="30">
        <f t="shared" si="31"/>
        <v>5.5111120133917592E-2</v>
      </c>
      <c r="BI28" s="30">
        <f t="shared" si="31"/>
        <v>7.6167039583153323E-2</v>
      </c>
      <c r="BJ28" s="30">
        <f t="shared" si="31"/>
        <v>6.8407855887226643E-2</v>
      </c>
      <c r="BK28" s="30">
        <f t="shared" si="31"/>
        <v>3.7251163512853964E-2</v>
      </c>
      <c r="BL28" s="30">
        <f t="shared" si="31"/>
        <v>1.0404047201649799E-3</v>
      </c>
      <c r="BM28" s="30">
        <f t="shared" si="31"/>
        <v>7.1655714833368349E-3</v>
      </c>
      <c r="BN28" s="30">
        <f t="shared" si="31"/>
        <v>2.46560415965623E-4</v>
      </c>
      <c r="BO28" s="30">
        <f t="shared" ref="BO28:CT28" si="32">BO12^2</f>
        <v>8.7667897977662819E-4</v>
      </c>
      <c r="BP28" s="30">
        <f t="shared" si="32"/>
        <v>6.8269805330622903E-3</v>
      </c>
      <c r="BQ28" s="30">
        <f t="shared" si="32"/>
        <v>6.2933205170866251E-3</v>
      </c>
      <c r="BR28" s="30">
        <f t="shared" si="32"/>
        <v>1.288999960124957E-2</v>
      </c>
      <c r="BS28" s="30">
        <f t="shared" si="32"/>
        <v>2.5744399073911749E-2</v>
      </c>
      <c r="BT28" s="30">
        <f t="shared" si="32"/>
        <v>8.4040000719904587E-4</v>
      </c>
      <c r="BU28" s="30">
        <f t="shared" si="32"/>
        <v>1.4758763412936199E-5</v>
      </c>
      <c r="BV28" s="30">
        <f t="shared" si="32"/>
        <v>3.0327833299653061E-2</v>
      </c>
      <c r="BW28" s="30">
        <f t="shared" si="32"/>
        <v>2.5659758966569968E-3</v>
      </c>
      <c r="BX28" s="30">
        <f t="shared" si="32"/>
        <v>9.4989002193701975E-5</v>
      </c>
      <c r="BY28" s="30">
        <f t="shared" si="32"/>
        <v>1.859223801270272E-3</v>
      </c>
      <c r="BZ28" s="30">
        <f t="shared" si="32"/>
        <v>6.9880755309103329E-3</v>
      </c>
      <c r="CA28" s="30">
        <f t="shared" si="32"/>
        <v>3.5710833571697244E-3</v>
      </c>
      <c r="CB28" s="30">
        <f t="shared" si="32"/>
        <v>5.1323474085624377E-2</v>
      </c>
      <c r="CC28" s="30">
        <f t="shared" si="32"/>
        <v>2.579095458316508E-2</v>
      </c>
      <c r="CD28" s="30">
        <f t="shared" si="32"/>
        <v>1.5570601948634978E-2</v>
      </c>
      <c r="CE28" s="30">
        <f t="shared" si="32"/>
        <v>4.944458976607175E-3</v>
      </c>
      <c r="CF28" s="30">
        <f t="shared" si="32"/>
        <v>1.4278336664955138E-3</v>
      </c>
      <c r="CG28" s="30">
        <f t="shared" si="32"/>
        <v>2.1854106949066456E-2</v>
      </c>
      <c r="CH28" s="30">
        <f t="shared" si="32"/>
        <v>2.607039406642328E-2</v>
      </c>
      <c r="CI28" s="30">
        <f t="shared" si="32"/>
        <v>3.6291694223710542E-2</v>
      </c>
      <c r="CJ28" s="30">
        <f t="shared" si="32"/>
        <v>3.3419970564953151E-3</v>
      </c>
      <c r="CK28" s="30">
        <f t="shared" si="32"/>
        <v>3.2977018381864724E-2</v>
      </c>
      <c r="CL28" s="30">
        <f t="shared" si="32"/>
        <v>2.5586851304034028E-2</v>
      </c>
      <c r="CM28" s="30">
        <f t="shared" si="32"/>
        <v>3.7422473170267402E-2</v>
      </c>
      <c r="CN28" s="30">
        <f t="shared" si="32"/>
        <v>8.5861814548839673E-3</v>
      </c>
      <c r="CO28" s="30">
        <f t="shared" si="32"/>
        <v>3.3930914548665383E-2</v>
      </c>
      <c r="CP28" s="30">
        <f t="shared" si="32"/>
        <v>4.6267743265665781E-2</v>
      </c>
      <c r="CQ28" s="30">
        <f t="shared" si="32"/>
        <v>6.1187063347694672E-3</v>
      </c>
      <c r="CR28" s="30">
        <f t="shared" si="32"/>
        <v>5.4113485026226302E-2</v>
      </c>
      <c r="CS28" s="30">
        <f t="shared" si="32"/>
        <v>1.5529550020481946E-2</v>
      </c>
      <c r="CT28" s="30">
        <f t="shared" si="32"/>
        <v>4.6067794897640686E-2</v>
      </c>
      <c r="CU28" s="30">
        <f t="shared" ref="CU28:DZ28" si="33">CU12^2</f>
        <v>8.6320336778984097E-2</v>
      </c>
      <c r="CV28" s="30">
        <f t="shared" si="33"/>
        <v>2.7088680246026325E-2</v>
      </c>
      <c r="CW28" s="30">
        <f t="shared" si="33"/>
        <v>5.17969954915449E-2</v>
      </c>
      <c r="CX28" s="30">
        <f t="shared" si="33"/>
        <v>9.590117112974722E-2</v>
      </c>
      <c r="CY28" s="30">
        <f t="shared" si="33"/>
        <v>1.0166072869105328E-2</v>
      </c>
      <c r="CZ28" s="30">
        <f t="shared" si="33"/>
        <v>7.5071562941328246E-2</v>
      </c>
      <c r="DA28" s="30">
        <f t="shared" si="33"/>
        <v>8.7696720831575203E-2</v>
      </c>
      <c r="DB28" s="30">
        <f t="shared" si="33"/>
        <v>0.19721928790948032</v>
      </c>
      <c r="DC28" s="30">
        <f t="shared" si="33"/>
        <v>7.6950480734462257E-2</v>
      </c>
      <c r="DD28" s="30">
        <f t="shared" si="33"/>
        <v>4.3456381981692792E-2</v>
      </c>
      <c r="DE28" s="30">
        <f t="shared" si="33"/>
        <v>2.5065668503263094E-3</v>
      </c>
      <c r="DF28" s="30">
        <f t="shared" si="33"/>
        <v>6.2952387726760818E-3</v>
      </c>
      <c r="DG28" s="30">
        <f t="shared" si="33"/>
        <v>1.7026700885505253E-3</v>
      </c>
      <c r="DH28" s="30">
        <f t="shared" si="33"/>
        <v>5.4780783790936472E-5</v>
      </c>
      <c r="DI28" s="30">
        <f t="shared" si="33"/>
        <v>8.4462861727841003E-3</v>
      </c>
      <c r="DJ28" s="30">
        <f t="shared" si="33"/>
        <v>3.5649370526165548E-2</v>
      </c>
      <c r="DK28" s="30">
        <f t="shared" si="33"/>
        <v>2.5347403084230663E-5</v>
      </c>
      <c r="DL28" s="30">
        <f t="shared" si="33"/>
        <v>4.2644472977082211E-3</v>
      </c>
      <c r="DM28" s="30">
        <f t="shared" si="33"/>
        <v>2.8872612876189942E-2</v>
      </c>
      <c r="DN28" s="30">
        <f t="shared" si="33"/>
        <v>2.3382578771409526E-3</v>
      </c>
      <c r="DO28" s="30">
        <f t="shared" si="33"/>
        <v>9.1440525189191324E-2</v>
      </c>
      <c r="DP28" s="30">
        <f t="shared" si="33"/>
        <v>0.16200317095160946</v>
      </c>
      <c r="DQ28" s="30">
        <f t="shared" si="33"/>
        <v>0.17925021078535808</v>
      </c>
      <c r="DR28" s="30">
        <f t="shared" si="33"/>
        <v>0.10213605613425659</v>
      </c>
      <c r="DS28" s="30">
        <f t="shared" si="33"/>
        <v>7.2939221272757579E-2</v>
      </c>
      <c r="DT28" s="30">
        <f t="shared" si="33"/>
        <v>6.029929408725699E-2</v>
      </c>
      <c r="DU28" s="30">
        <f t="shared" si="33"/>
        <v>3.3762304837791704E-2</v>
      </c>
      <c r="DV28" s="30">
        <f t="shared" si="33"/>
        <v>2.8501672818344675E-2</v>
      </c>
      <c r="DW28" s="30">
        <f t="shared" si="33"/>
        <v>4.72440328919424E-2</v>
      </c>
      <c r="DX28" s="30">
        <f t="shared" si="33"/>
        <v>3.502962313735733E-2</v>
      </c>
      <c r="DY28" s="30">
        <f t="shared" si="33"/>
        <v>1.6546393274128331E-2</v>
      </c>
      <c r="DZ28" s="30">
        <f t="shared" si="33"/>
        <v>1.2972212627663376E-2</v>
      </c>
      <c r="EA28" s="30">
        <f t="shared" ref="EA28:EF28" si="34">EA12^2</f>
        <v>4.8842058770262806E-3</v>
      </c>
      <c r="EB28" s="30">
        <f t="shared" si="34"/>
        <v>1.6082579262487864E-2</v>
      </c>
      <c r="EC28" s="30">
        <f t="shared" si="34"/>
        <v>2.4423916648603029E-2</v>
      </c>
      <c r="ED28" s="30">
        <f t="shared" si="34"/>
        <v>0.13446028687101075</v>
      </c>
      <c r="EE28" s="30">
        <f t="shared" si="34"/>
        <v>0.22325700516581848</v>
      </c>
      <c r="EF28" s="30">
        <f t="shared" si="34"/>
        <v>0.53249604053321642</v>
      </c>
      <c r="EG28" s="4"/>
    </row>
    <row r="29" spans="1:137" ht="16" customHeight="1">
      <c r="A29" s="29"/>
      <c r="B29" s="25" t="s">
        <v>138</v>
      </c>
      <c r="C29" s="30">
        <f t="shared" ref="C29:AH29" si="35">C13^2</f>
        <v>2.0047505006893902E-2</v>
      </c>
      <c r="D29" s="30">
        <f t="shared" si="35"/>
        <v>8.5723423958154864E-3</v>
      </c>
      <c r="E29" s="30">
        <f t="shared" si="35"/>
        <v>1.288197568545346E-2</v>
      </c>
      <c r="F29" s="30">
        <f t="shared" si="35"/>
        <v>5.4419799360286685E-5</v>
      </c>
      <c r="G29" s="30">
        <f t="shared" si="35"/>
        <v>0.10153123791112391</v>
      </c>
      <c r="H29" s="30">
        <f t="shared" si="35"/>
        <v>0.17690350998720145</v>
      </c>
      <c r="I29" s="30">
        <f t="shared" si="35"/>
        <v>0.38120220747773892</v>
      </c>
      <c r="J29" s="30">
        <f t="shared" si="35"/>
        <v>0.18802637837535</v>
      </c>
      <c r="K29" s="30">
        <f t="shared" si="35"/>
        <v>6.5673146029726751E-2</v>
      </c>
      <c r="L29" s="30">
        <f t="shared" si="35"/>
        <v>4.4652128555955045E-2</v>
      </c>
      <c r="M29" s="30">
        <f t="shared" si="35"/>
        <v>4.2632346896467263E-2</v>
      </c>
      <c r="N29" s="30">
        <f t="shared" si="35"/>
        <v>0.10752652552803434</v>
      </c>
      <c r="O29" s="30">
        <f t="shared" si="35"/>
        <v>2.4742695736495269E-4</v>
      </c>
      <c r="P29" s="30">
        <f t="shared" si="35"/>
        <v>4.6844024506117075E-3</v>
      </c>
      <c r="Q29" s="30">
        <f t="shared" si="35"/>
        <v>2.7719020230516519E-3</v>
      </c>
      <c r="R29" s="30">
        <f t="shared" si="35"/>
        <v>4.2826701197276612E-4</v>
      </c>
      <c r="S29" s="30">
        <f t="shared" si="35"/>
        <v>6.2296614720390605E-4</v>
      </c>
      <c r="T29" s="30">
        <f t="shared" si="35"/>
        <v>7.5418190557369862E-3</v>
      </c>
      <c r="U29" s="30">
        <f t="shared" si="35"/>
        <v>0.27518914368808794</v>
      </c>
      <c r="V29" s="30">
        <f t="shared" si="35"/>
        <v>0.22964638596160719</v>
      </c>
      <c r="W29" s="30">
        <f t="shared" si="35"/>
        <v>0.13212376872723772</v>
      </c>
      <c r="X29" s="30">
        <f t="shared" si="35"/>
        <v>0.15812272676319264</v>
      </c>
      <c r="Y29" s="30">
        <f t="shared" si="35"/>
        <v>0.22621542849001347</v>
      </c>
      <c r="Z29" s="30">
        <f t="shared" si="35"/>
        <v>8.6436818628566822E-2</v>
      </c>
      <c r="AA29" s="30">
        <f t="shared" si="35"/>
        <v>4.8358010224950593E-2</v>
      </c>
      <c r="AB29" s="30">
        <f t="shared" si="35"/>
        <v>3.3039651081531962E-4</v>
      </c>
      <c r="AC29" s="30">
        <f t="shared" si="35"/>
        <v>6.3984103000309734E-3</v>
      </c>
      <c r="AD29" s="30">
        <f t="shared" si="35"/>
        <v>1.0586965025736412E-2</v>
      </c>
      <c r="AE29" s="30">
        <f t="shared" si="35"/>
        <v>2.0879311696932058E-2</v>
      </c>
      <c r="AF29" s="30">
        <f t="shared" si="35"/>
        <v>8.9528585773376787E-3</v>
      </c>
      <c r="AG29" s="30">
        <f t="shared" si="35"/>
        <v>2.5245423682067017E-2</v>
      </c>
      <c r="AH29" s="30">
        <f t="shared" si="35"/>
        <v>1.4308507100670633E-2</v>
      </c>
      <c r="AI29" s="30">
        <f t="shared" ref="AI29:BN29" si="36">AI13^2</f>
        <v>7.1554771304579406E-2</v>
      </c>
      <c r="AJ29" s="30">
        <f t="shared" si="36"/>
        <v>7.8635478240737147E-2</v>
      </c>
      <c r="AK29" s="30">
        <f t="shared" si="36"/>
        <v>9.4249297676503448E-4</v>
      </c>
      <c r="AL29" s="30">
        <f t="shared" si="36"/>
        <v>2.107601885420753E-3</v>
      </c>
      <c r="AM29" s="30">
        <f t="shared" si="36"/>
        <v>3.0619014152663025E-2</v>
      </c>
      <c r="AN29" s="30">
        <f t="shared" si="36"/>
        <v>1.6167437958556286E-2</v>
      </c>
      <c r="AO29" s="30">
        <f t="shared" si="36"/>
        <v>3.410486311302266E-2</v>
      </c>
      <c r="AP29" s="30">
        <f t="shared" si="36"/>
        <v>7.0920613174141126E-3</v>
      </c>
      <c r="AQ29" s="30">
        <f t="shared" si="36"/>
        <v>3.8394156838161914E-2</v>
      </c>
      <c r="AR29" s="30">
        <f t="shared" si="36"/>
        <v>1.7751174381442095E-2</v>
      </c>
      <c r="AS29" s="30">
        <f t="shared" si="36"/>
        <v>2.7534628608526335E-2</v>
      </c>
      <c r="AT29" s="30">
        <f t="shared" si="36"/>
        <v>4.3252538354924186E-4</v>
      </c>
      <c r="AU29" s="30">
        <f t="shared" si="36"/>
        <v>1.5018775721544988E-4</v>
      </c>
      <c r="AV29" s="30">
        <f t="shared" si="36"/>
        <v>1.7833634936318863E-4</v>
      </c>
      <c r="AW29" s="30">
        <f t="shared" si="36"/>
        <v>2.654171782076872E-2</v>
      </c>
      <c r="AX29" s="30">
        <f t="shared" si="36"/>
        <v>4.5787753559754335E-4</v>
      </c>
      <c r="AY29" s="30">
        <f t="shared" si="36"/>
        <v>0.10139060991702965</v>
      </c>
      <c r="AZ29" s="30">
        <f t="shared" si="36"/>
        <v>5.709246010767096E-2</v>
      </c>
      <c r="BA29" s="30">
        <f t="shared" si="36"/>
        <v>5.2897888479895808E-2</v>
      </c>
      <c r="BB29" s="30">
        <f t="shared" si="36"/>
        <v>5.1156161821735184E-3</v>
      </c>
      <c r="BC29" s="30">
        <f t="shared" si="36"/>
        <v>3.8116342827615196E-2</v>
      </c>
      <c r="BD29" s="30">
        <f t="shared" si="36"/>
        <v>1.8058441659227657E-2</v>
      </c>
      <c r="BE29" s="30">
        <f t="shared" si="36"/>
        <v>0.13285043218373843</v>
      </c>
      <c r="BF29" s="30">
        <f t="shared" si="36"/>
        <v>0.2011365929747925</v>
      </c>
      <c r="BG29" s="30">
        <f t="shared" si="36"/>
        <v>0.18680808550654529</v>
      </c>
      <c r="BH29" s="30">
        <f t="shared" si="36"/>
        <v>7.548864590492281E-2</v>
      </c>
      <c r="BI29" s="30">
        <f t="shared" si="36"/>
        <v>7.6314096561538286E-2</v>
      </c>
      <c r="BJ29" s="30">
        <f t="shared" si="36"/>
        <v>2.4288270582949144E-4</v>
      </c>
      <c r="BK29" s="30">
        <f t="shared" si="36"/>
        <v>1.1194726873527957E-2</v>
      </c>
      <c r="BL29" s="30">
        <f t="shared" si="36"/>
        <v>1.6015156231823788E-2</v>
      </c>
      <c r="BM29" s="30">
        <f t="shared" si="36"/>
        <v>5.220352318453586E-2</v>
      </c>
      <c r="BN29" s="30">
        <f t="shared" si="36"/>
        <v>8.1221992792134767E-2</v>
      </c>
      <c r="BO29" s="30">
        <f t="shared" ref="BO29:CT29" si="37">BO13^2</f>
        <v>1.069904960419674E-2</v>
      </c>
      <c r="BP29" s="30">
        <f t="shared" si="37"/>
        <v>0.14239661114031066</v>
      </c>
      <c r="BQ29" s="30">
        <f t="shared" si="37"/>
        <v>4.0149162361662855E-2</v>
      </c>
      <c r="BR29" s="30">
        <f t="shared" si="37"/>
        <v>5.17001338832224E-2</v>
      </c>
      <c r="BS29" s="30">
        <f t="shared" si="37"/>
        <v>7.840319181133551E-2</v>
      </c>
      <c r="BT29" s="30">
        <f t="shared" si="37"/>
        <v>6.2744449082208914E-2</v>
      </c>
      <c r="BU29" s="30">
        <f t="shared" si="37"/>
        <v>0.16769519350492512</v>
      </c>
      <c r="BV29" s="30">
        <f t="shared" si="37"/>
        <v>7.7921036791955459E-2</v>
      </c>
      <c r="BW29" s="30">
        <f t="shared" si="37"/>
        <v>0.17925639751099526</v>
      </c>
      <c r="BX29" s="30">
        <f t="shared" si="37"/>
        <v>4.277201965344242E-2</v>
      </c>
      <c r="BY29" s="30">
        <f t="shared" si="37"/>
        <v>2.8885233844942328E-2</v>
      </c>
      <c r="BZ29" s="30">
        <f t="shared" si="37"/>
        <v>6.3651005885166062E-2</v>
      </c>
      <c r="CA29" s="30">
        <f t="shared" si="37"/>
        <v>0.10256834409168052</v>
      </c>
      <c r="CB29" s="30">
        <f t="shared" si="37"/>
        <v>0.26485003821099157</v>
      </c>
      <c r="CC29" s="30">
        <f t="shared" si="37"/>
        <v>3.2953167800824516E-2</v>
      </c>
      <c r="CD29" s="30">
        <f t="shared" si="37"/>
        <v>1.4408090259037309E-2</v>
      </c>
      <c r="CE29" s="30">
        <f t="shared" si="37"/>
        <v>6.7305444564119633E-4</v>
      </c>
      <c r="CF29" s="30">
        <f t="shared" si="37"/>
        <v>2.028927335632189E-3</v>
      </c>
      <c r="CG29" s="30">
        <f t="shared" si="37"/>
        <v>0.12563781634920676</v>
      </c>
      <c r="CH29" s="30">
        <f t="shared" si="37"/>
        <v>6.3807994754656677E-2</v>
      </c>
      <c r="CI29" s="30">
        <f t="shared" si="37"/>
        <v>2.072214110580279E-2</v>
      </c>
      <c r="CJ29" s="30">
        <f t="shared" si="37"/>
        <v>7.4565975192821279E-2</v>
      </c>
      <c r="CK29" s="30">
        <f t="shared" si="37"/>
        <v>2.9039042533688818E-4</v>
      </c>
      <c r="CL29" s="30">
        <f t="shared" si="37"/>
        <v>5.8968453509929616E-2</v>
      </c>
      <c r="CM29" s="30">
        <f t="shared" si="37"/>
        <v>3.9169875738940184E-5</v>
      </c>
      <c r="CN29" s="30">
        <f t="shared" si="37"/>
        <v>9.6146573337663618E-2</v>
      </c>
      <c r="CO29" s="30">
        <f t="shared" si="37"/>
        <v>0.23679846411196204</v>
      </c>
      <c r="CP29" s="30">
        <f t="shared" si="37"/>
        <v>0.34295869303310317</v>
      </c>
      <c r="CQ29" s="30">
        <f t="shared" si="37"/>
        <v>4.5593924338772143E-2</v>
      </c>
      <c r="CR29" s="30">
        <f t="shared" si="37"/>
        <v>2.7286455064725736E-2</v>
      </c>
      <c r="CS29" s="30">
        <f t="shared" si="37"/>
        <v>2.5144296091216427E-2</v>
      </c>
      <c r="CT29" s="30">
        <f t="shared" si="37"/>
        <v>8.720403778779684E-2</v>
      </c>
      <c r="CU29" s="30">
        <f t="shared" ref="CU29:DZ29" si="38">CU13^2</f>
        <v>1.5745701708606254E-2</v>
      </c>
      <c r="CV29" s="30">
        <f t="shared" si="38"/>
        <v>2.2747457032733761E-3</v>
      </c>
      <c r="CW29" s="30">
        <f t="shared" si="38"/>
        <v>4.893735438933876E-3</v>
      </c>
      <c r="CX29" s="30">
        <f t="shared" si="38"/>
        <v>8.5484735475938801E-5</v>
      </c>
      <c r="CY29" s="30">
        <f t="shared" si="38"/>
        <v>4.8997171997379788E-4</v>
      </c>
      <c r="CZ29" s="30">
        <f t="shared" si="38"/>
        <v>3.113634539444899E-3</v>
      </c>
      <c r="DA29" s="30">
        <f t="shared" si="38"/>
        <v>2.2000710073179742E-5</v>
      </c>
      <c r="DB29" s="30">
        <f t="shared" si="38"/>
        <v>3.9369318341587703E-2</v>
      </c>
      <c r="DC29" s="30">
        <f t="shared" si="38"/>
        <v>2.1950728260332845E-2</v>
      </c>
      <c r="DD29" s="30">
        <f t="shared" si="38"/>
        <v>6.1542246316697961E-3</v>
      </c>
      <c r="DE29" s="30">
        <f t="shared" si="38"/>
        <v>1.2065779227166886E-3</v>
      </c>
      <c r="DF29" s="30">
        <f t="shared" si="38"/>
        <v>5.4334939543582837E-2</v>
      </c>
      <c r="DG29" s="30">
        <f t="shared" si="38"/>
        <v>1.1125170390702424E-2</v>
      </c>
      <c r="DH29" s="30">
        <f t="shared" si="38"/>
        <v>6.7727774420830847E-2</v>
      </c>
      <c r="DI29" s="30">
        <f t="shared" si="38"/>
        <v>5.9254329318028286E-2</v>
      </c>
      <c r="DJ29" s="30">
        <f t="shared" si="38"/>
        <v>3.7970084568573884E-3</v>
      </c>
      <c r="DK29" s="30">
        <f t="shared" si="38"/>
        <v>7.9459118179054915E-3</v>
      </c>
      <c r="DL29" s="30">
        <f t="shared" si="38"/>
        <v>8.5574935694922966E-4</v>
      </c>
      <c r="DM29" s="30">
        <f t="shared" si="38"/>
        <v>2.0266780475656474E-2</v>
      </c>
      <c r="DN29" s="30">
        <f t="shared" si="38"/>
        <v>2.1360574738261119E-2</v>
      </c>
      <c r="DO29" s="30">
        <f t="shared" si="38"/>
        <v>2.4087703923867444E-3</v>
      </c>
      <c r="DP29" s="30">
        <f t="shared" si="38"/>
        <v>0.16259411154270015</v>
      </c>
      <c r="DQ29" s="30">
        <f t="shared" si="38"/>
        <v>0.21645218366596883</v>
      </c>
      <c r="DR29" s="30">
        <f t="shared" si="38"/>
        <v>6.4981770258599553E-2</v>
      </c>
      <c r="DS29" s="30">
        <f t="shared" si="38"/>
        <v>2.0996486318054133E-2</v>
      </c>
      <c r="DT29" s="30">
        <f t="shared" si="38"/>
        <v>1.2022655123971845E-2</v>
      </c>
      <c r="DU29" s="30">
        <f t="shared" si="38"/>
        <v>2.1505619299634026E-2</v>
      </c>
      <c r="DV29" s="30">
        <f t="shared" si="38"/>
        <v>0.14074000042297641</v>
      </c>
      <c r="DW29" s="30">
        <f t="shared" si="38"/>
        <v>8.8458573449165342E-2</v>
      </c>
      <c r="DX29" s="30">
        <f t="shared" si="38"/>
        <v>3.8197880162395774E-2</v>
      </c>
      <c r="DY29" s="30">
        <f t="shared" si="38"/>
        <v>6.7944190184160702E-3</v>
      </c>
      <c r="DZ29" s="30">
        <f t="shared" si="38"/>
        <v>3.4412106966885073E-3</v>
      </c>
      <c r="EA29" s="30">
        <f t="shared" ref="EA29:EF29" si="39">EA13^2</f>
        <v>2.1882821320586073E-3</v>
      </c>
      <c r="EB29" s="30">
        <f t="shared" si="39"/>
        <v>2.6943004065820148E-2</v>
      </c>
      <c r="EC29" s="30">
        <f t="shared" si="39"/>
        <v>1.4488869174480326E-3</v>
      </c>
      <c r="ED29" s="30">
        <f t="shared" si="39"/>
        <v>3.0600199202275215E-3</v>
      </c>
      <c r="EE29" s="30">
        <f t="shared" si="39"/>
        <v>2.0853883336532895E-3</v>
      </c>
      <c r="EF29" s="30">
        <f t="shared" si="39"/>
        <v>2.2893359865264347E-4</v>
      </c>
      <c r="EG29" s="4"/>
    </row>
    <row r="30" spans="1:137" ht="16" customHeight="1">
      <c r="A30" s="4"/>
      <c r="B30" s="25" t="s">
        <v>139</v>
      </c>
      <c r="C30" s="30">
        <f t="shared" ref="C30:AH30" si="40">C14^2</f>
        <v>3.0567189755982323E-3</v>
      </c>
      <c r="D30" s="30">
        <f t="shared" si="40"/>
        <v>2.0866665537478617E-2</v>
      </c>
      <c r="E30" s="30">
        <f t="shared" si="40"/>
        <v>8.3596828051190047E-3</v>
      </c>
      <c r="F30" s="30">
        <f t="shared" si="40"/>
        <v>0.12599077833640268</v>
      </c>
      <c r="G30" s="30">
        <f t="shared" si="40"/>
        <v>4.8064591113121821E-2</v>
      </c>
      <c r="H30" s="30">
        <f t="shared" si="40"/>
        <v>8.0164973863595668E-2</v>
      </c>
      <c r="I30" s="30">
        <f t="shared" si="40"/>
        <v>0.1379622256580966</v>
      </c>
      <c r="J30" s="30">
        <f t="shared" si="40"/>
        <v>0.16861214347796438</v>
      </c>
      <c r="K30" s="30">
        <f t="shared" si="40"/>
        <v>0.16621875283089982</v>
      </c>
      <c r="L30" s="30">
        <f t="shared" si="40"/>
        <v>5.1260933889684071E-5</v>
      </c>
      <c r="M30" s="30">
        <f t="shared" si="40"/>
        <v>5.424041315599044E-5</v>
      </c>
      <c r="N30" s="30">
        <f t="shared" si="40"/>
        <v>2.6538797259457341E-3</v>
      </c>
      <c r="O30" s="30">
        <f t="shared" si="40"/>
        <v>6.4649214014577669E-2</v>
      </c>
      <c r="P30" s="30">
        <f t="shared" si="40"/>
        <v>6.3398745971291692E-2</v>
      </c>
      <c r="Q30" s="30">
        <f t="shared" si="40"/>
        <v>4.9210776777464993E-2</v>
      </c>
      <c r="R30" s="30">
        <f t="shared" si="40"/>
        <v>6.0341086526951991E-2</v>
      </c>
      <c r="S30" s="30">
        <f t="shared" si="40"/>
        <v>4.753528014606228E-2</v>
      </c>
      <c r="T30" s="30">
        <f t="shared" si="40"/>
        <v>5.2376570573825741E-2</v>
      </c>
      <c r="U30" s="30">
        <f t="shared" si="40"/>
        <v>1.4719419445655549E-3</v>
      </c>
      <c r="V30" s="30">
        <f t="shared" si="40"/>
        <v>6.2168268945775347E-8</v>
      </c>
      <c r="W30" s="30">
        <f t="shared" si="40"/>
        <v>4.8876082354503917E-3</v>
      </c>
      <c r="X30" s="30">
        <f t="shared" si="40"/>
        <v>4.1685735341372909E-3</v>
      </c>
      <c r="Y30" s="30">
        <f t="shared" si="40"/>
        <v>1.7310007539475959E-3</v>
      </c>
      <c r="Z30" s="30">
        <f t="shared" si="40"/>
        <v>3.9204065112333447E-4</v>
      </c>
      <c r="AA30" s="30">
        <f t="shared" si="40"/>
        <v>5.2046544351040955E-3</v>
      </c>
      <c r="AB30" s="30">
        <f t="shared" si="40"/>
        <v>4.685692815821348E-3</v>
      </c>
      <c r="AC30" s="30">
        <f t="shared" si="40"/>
        <v>1.0632336161279872E-3</v>
      </c>
      <c r="AD30" s="30">
        <f t="shared" si="40"/>
        <v>3.0957155141140121E-4</v>
      </c>
      <c r="AE30" s="30">
        <f t="shared" si="40"/>
        <v>8.4211896942732537E-6</v>
      </c>
      <c r="AF30" s="30">
        <f t="shared" si="40"/>
        <v>5.0551072996210814E-6</v>
      </c>
      <c r="AG30" s="30">
        <f t="shared" si="40"/>
        <v>3.1148982041894487E-5</v>
      </c>
      <c r="AH30" s="30">
        <f t="shared" si="40"/>
        <v>4.4677672835415603E-5</v>
      </c>
      <c r="AI30" s="30">
        <f t="shared" ref="AI30:BN30" si="41">AI14^2</f>
        <v>1.9196086195947525E-6</v>
      </c>
      <c r="AJ30" s="30">
        <f t="shared" si="41"/>
        <v>7.4789933581883966E-7</v>
      </c>
      <c r="AK30" s="30">
        <f t="shared" si="41"/>
        <v>3.187970462439843E-3</v>
      </c>
      <c r="AL30" s="30">
        <f t="shared" si="41"/>
        <v>6.1611525495013086E-3</v>
      </c>
      <c r="AM30" s="30">
        <f t="shared" si="41"/>
        <v>1.2604392614756604E-2</v>
      </c>
      <c r="AN30" s="30">
        <f t="shared" si="41"/>
        <v>5.2655754195050204E-2</v>
      </c>
      <c r="AO30" s="30">
        <f t="shared" si="41"/>
        <v>1.9547754843790247E-2</v>
      </c>
      <c r="AP30" s="30">
        <f t="shared" si="41"/>
        <v>1.2166957267971793E-2</v>
      </c>
      <c r="AQ30" s="30">
        <f t="shared" si="41"/>
        <v>2.8430727807880401E-2</v>
      </c>
      <c r="AR30" s="30">
        <f t="shared" si="41"/>
        <v>1.8819187676609533E-2</v>
      </c>
      <c r="AS30" s="30">
        <f t="shared" si="41"/>
        <v>2.7163943428241992E-3</v>
      </c>
      <c r="AT30" s="30">
        <f t="shared" si="41"/>
        <v>2.0262966746829088E-2</v>
      </c>
      <c r="AU30" s="30">
        <f t="shared" si="41"/>
        <v>2.4262006352508081E-2</v>
      </c>
      <c r="AV30" s="30">
        <f t="shared" si="41"/>
        <v>2.1000831788837045E-2</v>
      </c>
      <c r="AW30" s="30">
        <f t="shared" si="41"/>
        <v>3.4366518590693285E-2</v>
      </c>
      <c r="AX30" s="30">
        <f t="shared" si="41"/>
        <v>1.8673864213996624E-2</v>
      </c>
      <c r="AY30" s="30">
        <f t="shared" si="41"/>
        <v>2.1305053993802017E-2</v>
      </c>
      <c r="AZ30" s="30">
        <f t="shared" si="41"/>
        <v>7.0245037588340511E-2</v>
      </c>
      <c r="BA30" s="30">
        <f t="shared" si="41"/>
        <v>2.1540145869672719E-2</v>
      </c>
      <c r="BB30" s="30">
        <f t="shared" si="41"/>
        <v>1.1174457854088864E-5</v>
      </c>
      <c r="BC30" s="30">
        <f t="shared" si="41"/>
        <v>4.9717048722625968E-3</v>
      </c>
      <c r="BD30" s="30">
        <f t="shared" si="41"/>
        <v>1.2454862359893718E-3</v>
      </c>
      <c r="BE30" s="30">
        <f t="shared" si="41"/>
        <v>1.243097999709289E-3</v>
      </c>
      <c r="BF30" s="30">
        <f t="shared" si="41"/>
        <v>1.505472217919147E-3</v>
      </c>
      <c r="BG30" s="30">
        <f t="shared" si="41"/>
        <v>2.865110045903287E-3</v>
      </c>
      <c r="BH30" s="30">
        <f t="shared" si="41"/>
        <v>3.2283563895354139E-2</v>
      </c>
      <c r="BI30" s="30">
        <f t="shared" si="41"/>
        <v>2.3985085912934249E-2</v>
      </c>
      <c r="BJ30" s="30">
        <f t="shared" si="41"/>
        <v>1.4174286973907699E-2</v>
      </c>
      <c r="BK30" s="30">
        <f t="shared" si="41"/>
        <v>1.6985195900348447E-2</v>
      </c>
      <c r="BL30" s="30">
        <f t="shared" si="41"/>
        <v>8.7105892994672994E-3</v>
      </c>
      <c r="BM30" s="30">
        <f t="shared" si="41"/>
        <v>6.4455241899040614E-3</v>
      </c>
      <c r="BN30" s="30">
        <f t="shared" si="41"/>
        <v>4.3102100272182246E-2</v>
      </c>
      <c r="BO30" s="30">
        <f t="shared" ref="BO30:CT30" si="42">BO14^2</f>
        <v>3.522628393376958E-2</v>
      </c>
      <c r="BP30" s="30">
        <f t="shared" si="42"/>
        <v>1.6879521761923786E-2</v>
      </c>
      <c r="BQ30" s="30">
        <f t="shared" si="42"/>
        <v>9.7450569846250796E-3</v>
      </c>
      <c r="BR30" s="30">
        <f t="shared" si="42"/>
        <v>2.0461008732106322E-3</v>
      </c>
      <c r="BS30" s="30">
        <f t="shared" si="42"/>
        <v>1.8984381127691845E-2</v>
      </c>
      <c r="BT30" s="30">
        <f t="shared" si="42"/>
        <v>2.2057107582283018E-3</v>
      </c>
      <c r="BU30" s="30">
        <f t="shared" si="42"/>
        <v>6.167873318218507E-3</v>
      </c>
      <c r="BV30" s="30">
        <f t="shared" si="42"/>
        <v>1.4472220895118994E-2</v>
      </c>
      <c r="BW30" s="30">
        <f t="shared" si="42"/>
        <v>3.5707228045570331E-3</v>
      </c>
      <c r="BX30" s="30">
        <f t="shared" si="42"/>
        <v>4.0384823627630708E-3</v>
      </c>
      <c r="BY30" s="30">
        <f t="shared" si="42"/>
        <v>4.2308664493665993E-5</v>
      </c>
      <c r="BZ30" s="30">
        <f t="shared" si="42"/>
        <v>2.6696175177759558E-3</v>
      </c>
      <c r="CA30" s="30">
        <f t="shared" si="42"/>
        <v>6.270332949033737E-3</v>
      </c>
      <c r="CB30" s="30">
        <f t="shared" si="42"/>
        <v>1.2719572116769549E-2</v>
      </c>
      <c r="CC30" s="30">
        <f t="shared" si="42"/>
        <v>4.4957573782111876E-3</v>
      </c>
      <c r="CD30" s="30">
        <f t="shared" si="42"/>
        <v>4.4605538802302063E-3</v>
      </c>
      <c r="CE30" s="30">
        <f t="shared" si="42"/>
        <v>2.1682910573555497E-3</v>
      </c>
      <c r="CF30" s="30">
        <f t="shared" si="42"/>
        <v>1.4231472185312143E-2</v>
      </c>
      <c r="CG30" s="30">
        <f t="shared" si="42"/>
        <v>2.8252393307370335E-3</v>
      </c>
      <c r="CH30" s="30">
        <f t="shared" si="42"/>
        <v>8.5769099168278035E-3</v>
      </c>
      <c r="CI30" s="30">
        <f t="shared" si="42"/>
        <v>1.1887817982462986E-2</v>
      </c>
      <c r="CJ30" s="30">
        <f t="shared" si="42"/>
        <v>4.3023746632060373E-3</v>
      </c>
      <c r="CK30" s="30">
        <f t="shared" si="42"/>
        <v>7.8671281094014733E-3</v>
      </c>
      <c r="CL30" s="30">
        <f t="shared" si="42"/>
        <v>8.0232644643046438E-3</v>
      </c>
      <c r="CM30" s="30">
        <f t="shared" si="42"/>
        <v>4.2858854928683474E-3</v>
      </c>
      <c r="CN30" s="30">
        <f t="shared" si="42"/>
        <v>8.867447549497084E-4</v>
      </c>
      <c r="CO30" s="30">
        <f t="shared" si="42"/>
        <v>5.2574244988216386E-3</v>
      </c>
      <c r="CP30" s="30">
        <f t="shared" si="42"/>
        <v>1.6987424607269185E-4</v>
      </c>
      <c r="CQ30" s="30">
        <f t="shared" si="42"/>
        <v>9.1575754792564459E-5</v>
      </c>
      <c r="CR30" s="30">
        <f t="shared" si="42"/>
        <v>6.1480954707327277E-4</v>
      </c>
      <c r="CS30" s="30">
        <f t="shared" si="42"/>
        <v>2.3631379504100826E-3</v>
      </c>
      <c r="CT30" s="30">
        <f t="shared" si="42"/>
        <v>3.7079600719229031E-3</v>
      </c>
      <c r="CU30" s="30">
        <f t="shared" ref="CU30:DZ30" si="43">CU14^2</f>
        <v>1.1820956757744719E-3</v>
      </c>
      <c r="CV30" s="30">
        <f t="shared" si="43"/>
        <v>2.883217627112062E-2</v>
      </c>
      <c r="CW30" s="30">
        <f t="shared" si="43"/>
        <v>4.1802903409593965E-2</v>
      </c>
      <c r="CX30" s="30">
        <f t="shared" si="43"/>
        <v>1.3614063303693207E-2</v>
      </c>
      <c r="CY30" s="30">
        <f t="shared" si="43"/>
        <v>4.0232912328214528E-4</v>
      </c>
      <c r="CZ30" s="30">
        <f t="shared" si="43"/>
        <v>2.1912127352918185E-6</v>
      </c>
      <c r="DA30" s="30">
        <f t="shared" si="43"/>
        <v>5.3592782088438158E-4</v>
      </c>
      <c r="DB30" s="30">
        <f t="shared" si="43"/>
        <v>3.6721926104526542E-2</v>
      </c>
      <c r="DC30" s="30">
        <f t="shared" si="43"/>
        <v>7.390338495720887E-2</v>
      </c>
      <c r="DD30" s="30">
        <f t="shared" si="43"/>
        <v>4.5409961094093142E-2</v>
      </c>
      <c r="DE30" s="30">
        <f t="shared" si="43"/>
        <v>2.631504367964544E-2</v>
      </c>
      <c r="DF30" s="30">
        <f t="shared" si="43"/>
        <v>4.0809074089309026E-2</v>
      </c>
      <c r="DG30" s="30">
        <f t="shared" si="43"/>
        <v>3.0081836144071103E-2</v>
      </c>
      <c r="DH30" s="30">
        <f t="shared" si="43"/>
        <v>1.0261176272058079E-6</v>
      </c>
      <c r="DI30" s="30">
        <f t="shared" si="43"/>
        <v>5.8072725902409677E-3</v>
      </c>
      <c r="DJ30" s="30">
        <f t="shared" si="43"/>
        <v>4.6292053175401686E-3</v>
      </c>
      <c r="DK30" s="30">
        <f t="shared" si="43"/>
        <v>3.3677840512988852E-3</v>
      </c>
      <c r="DL30" s="30">
        <f t="shared" si="43"/>
        <v>9.3547555795088302E-5</v>
      </c>
      <c r="DM30" s="30">
        <f t="shared" si="43"/>
        <v>1.700600175580912E-2</v>
      </c>
      <c r="DN30" s="30">
        <f t="shared" si="43"/>
        <v>8.4438310732102326E-2</v>
      </c>
      <c r="DO30" s="30">
        <f t="shared" si="43"/>
        <v>0.1429195069783539</v>
      </c>
      <c r="DP30" s="30">
        <f t="shared" si="43"/>
        <v>0.1494594242008519</v>
      </c>
      <c r="DQ30" s="30">
        <f t="shared" si="43"/>
        <v>0.15098355107024353</v>
      </c>
      <c r="DR30" s="30">
        <f t="shared" si="43"/>
        <v>4.9512293703455043E-2</v>
      </c>
      <c r="DS30" s="30">
        <f t="shared" si="43"/>
        <v>3.1966482606677997E-2</v>
      </c>
      <c r="DT30" s="30">
        <f t="shared" si="43"/>
        <v>2.389644803771912E-2</v>
      </c>
      <c r="DU30" s="30">
        <f t="shared" si="43"/>
        <v>3.7651339292669749E-3</v>
      </c>
      <c r="DV30" s="30">
        <f t="shared" si="43"/>
        <v>7.8276459255495565E-4</v>
      </c>
      <c r="DW30" s="30">
        <f t="shared" si="43"/>
        <v>1.0183535611409478E-3</v>
      </c>
      <c r="DX30" s="30">
        <f t="shared" si="43"/>
        <v>9.9749343632073925E-3</v>
      </c>
      <c r="DY30" s="30">
        <f t="shared" si="43"/>
        <v>1.2134286798545422E-5</v>
      </c>
      <c r="DZ30" s="30">
        <f t="shared" si="43"/>
        <v>7.8847667619022944E-4</v>
      </c>
      <c r="EA30" s="30">
        <f t="shared" ref="EA30:EF30" si="44">EA14^2</f>
        <v>3.1958165065044356E-6</v>
      </c>
      <c r="EB30" s="30">
        <f t="shared" si="44"/>
        <v>8.1516452680744002E-3</v>
      </c>
      <c r="EC30" s="30">
        <f t="shared" si="44"/>
        <v>2.8469722523276476E-3</v>
      </c>
      <c r="ED30" s="30">
        <f t="shared" si="44"/>
        <v>4.2563398478478176E-3</v>
      </c>
      <c r="EE30" s="30">
        <f t="shared" si="44"/>
        <v>1.7240023556872478E-3</v>
      </c>
      <c r="EF30" s="30">
        <f t="shared" si="44"/>
        <v>1.2297590319821929E-3</v>
      </c>
      <c r="EG30" s="4"/>
    </row>
    <row r="31" spans="1:137" ht="18" customHeight="1">
      <c r="B31" s="25" t="s">
        <v>140</v>
      </c>
      <c r="C31" s="30">
        <f t="shared" ref="C31:AH31" si="45">C15^2</f>
        <v>1.0107218740567237E-3</v>
      </c>
      <c r="D31" s="30">
        <f t="shared" si="45"/>
        <v>1.540416948579232E-2</v>
      </c>
      <c r="E31" s="30">
        <f t="shared" si="45"/>
        <v>3.4420454790125191E-2</v>
      </c>
      <c r="F31" s="30">
        <f t="shared" si="45"/>
        <v>0.26781156113945886</v>
      </c>
      <c r="G31" s="30">
        <f t="shared" si="45"/>
        <v>0.22722398835826432</v>
      </c>
      <c r="H31" s="30">
        <f t="shared" si="45"/>
        <v>0.20905705167757771</v>
      </c>
      <c r="I31" s="30">
        <f t="shared" si="45"/>
        <v>0.27925812968053337</v>
      </c>
      <c r="J31" s="30">
        <f t="shared" si="45"/>
        <v>0.18401282128276944</v>
      </c>
      <c r="K31" s="30">
        <f t="shared" si="45"/>
        <v>0.1702538944131316</v>
      </c>
      <c r="L31" s="30">
        <f t="shared" si="45"/>
        <v>1.7337294129925646E-5</v>
      </c>
      <c r="M31" s="30">
        <f t="shared" si="45"/>
        <v>7.1780245295612185E-4</v>
      </c>
      <c r="N31" s="30">
        <f t="shared" si="45"/>
        <v>1.0916759471329109E-2</v>
      </c>
      <c r="O31" s="30">
        <f t="shared" si="45"/>
        <v>1.9546609838398269E-3</v>
      </c>
      <c r="P31" s="30">
        <f t="shared" si="45"/>
        <v>3.3996591296064122E-3</v>
      </c>
      <c r="Q31" s="30">
        <f t="shared" si="45"/>
        <v>4.7105324399250373E-3</v>
      </c>
      <c r="R31" s="30">
        <f t="shared" si="45"/>
        <v>1.5302414390929659E-3</v>
      </c>
      <c r="S31" s="30">
        <f t="shared" si="45"/>
        <v>2.0475252694962805E-4</v>
      </c>
      <c r="T31" s="30">
        <f t="shared" si="45"/>
        <v>2.2500143487146837E-3</v>
      </c>
      <c r="U31" s="30">
        <f t="shared" si="45"/>
        <v>3.4247632604073447E-5</v>
      </c>
      <c r="V31" s="30">
        <f t="shared" si="45"/>
        <v>7.1464744066359444E-3</v>
      </c>
      <c r="W31" s="30">
        <f t="shared" si="45"/>
        <v>4.4229533144573362E-2</v>
      </c>
      <c r="X31" s="30">
        <f t="shared" si="45"/>
        <v>8.9346545565326396E-2</v>
      </c>
      <c r="Y31" s="30">
        <f t="shared" si="45"/>
        <v>8.2367175574303564E-2</v>
      </c>
      <c r="Z31" s="30">
        <f t="shared" si="45"/>
        <v>5.9501532144016774E-2</v>
      </c>
      <c r="AA31" s="30">
        <f t="shared" si="45"/>
        <v>7.1125589942884135E-2</v>
      </c>
      <c r="AB31" s="30">
        <f t="shared" si="45"/>
        <v>7.1019478757556709E-2</v>
      </c>
      <c r="AC31" s="30">
        <f t="shared" si="45"/>
        <v>8.5069913013325962E-3</v>
      </c>
      <c r="AD31" s="30">
        <f t="shared" si="45"/>
        <v>1.317792388598389E-2</v>
      </c>
      <c r="AE31" s="30">
        <f t="shared" si="45"/>
        <v>1.4983694416101194E-2</v>
      </c>
      <c r="AF31" s="30">
        <f t="shared" si="45"/>
        <v>9.0711032285162013E-3</v>
      </c>
      <c r="AG31" s="30">
        <f t="shared" si="45"/>
        <v>6.2044685079414913E-3</v>
      </c>
      <c r="AH31" s="30">
        <f t="shared" si="45"/>
        <v>1.0467380176846668E-2</v>
      </c>
      <c r="AI31" s="30">
        <f t="shared" ref="AI31:BN31" si="46">AI15^2</f>
        <v>3.2789760220348144E-3</v>
      </c>
      <c r="AJ31" s="30">
        <f t="shared" si="46"/>
        <v>1.8923594278143154E-4</v>
      </c>
      <c r="AK31" s="30">
        <f t="shared" si="46"/>
        <v>5.6182180226001296E-3</v>
      </c>
      <c r="AL31" s="30">
        <f t="shared" si="46"/>
        <v>3.4446783624495756E-3</v>
      </c>
      <c r="AM31" s="30">
        <f t="shared" si="46"/>
        <v>2.8701973495734892E-5</v>
      </c>
      <c r="AN31" s="30">
        <f t="shared" si="46"/>
        <v>1.3250792970581553E-4</v>
      </c>
      <c r="AO31" s="30">
        <f t="shared" si="46"/>
        <v>1.9353710433311308E-3</v>
      </c>
      <c r="AP31" s="30">
        <f t="shared" si="46"/>
        <v>1.9225999718590036E-4</v>
      </c>
      <c r="AQ31" s="30">
        <f t="shared" si="46"/>
        <v>1.430851242382929E-3</v>
      </c>
      <c r="AR31" s="30">
        <f t="shared" si="46"/>
        <v>4.1607826003596481E-6</v>
      </c>
      <c r="AS31" s="30">
        <f t="shared" si="46"/>
        <v>1.8428145009084813E-2</v>
      </c>
      <c r="AT31" s="30">
        <f t="shared" si="46"/>
        <v>9.2659925042831697E-3</v>
      </c>
      <c r="AU31" s="30">
        <f t="shared" si="46"/>
        <v>1.2067556019375824E-2</v>
      </c>
      <c r="AV31" s="30">
        <f t="shared" si="46"/>
        <v>2.9213583766447143E-3</v>
      </c>
      <c r="AW31" s="30">
        <f t="shared" si="46"/>
        <v>8.2925711539657172E-3</v>
      </c>
      <c r="AX31" s="30">
        <f t="shared" si="46"/>
        <v>1.15328056607464E-5</v>
      </c>
      <c r="AY31" s="30">
        <f t="shared" si="46"/>
        <v>5.0692938028590066E-3</v>
      </c>
      <c r="AZ31" s="30">
        <f t="shared" si="46"/>
        <v>5.482066501257616E-3</v>
      </c>
      <c r="BA31" s="30">
        <f t="shared" si="46"/>
        <v>1.8157117862741115E-2</v>
      </c>
      <c r="BB31" s="30">
        <f t="shared" si="46"/>
        <v>3.4165707304458927E-2</v>
      </c>
      <c r="BC31" s="30">
        <f t="shared" si="46"/>
        <v>2.9555204800358996E-2</v>
      </c>
      <c r="BD31" s="30">
        <f t="shared" si="46"/>
        <v>3.619934228871223E-2</v>
      </c>
      <c r="BE31" s="30">
        <f t="shared" si="46"/>
        <v>3.3543477886841699E-2</v>
      </c>
      <c r="BF31" s="30">
        <f t="shared" si="46"/>
        <v>1.3667047979837461E-2</v>
      </c>
      <c r="BG31" s="30">
        <f t="shared" si="46"/>
        <v>1.5202964759658004E-2</v>
      </c>
      <c r="BH31" s="30">
        <f t="shared" si="46"/>
        <v>2.359179876742078E-2</v>
      </c>
      <c r="BI31" s="30">
        <f t="shared" si="46"/>
        <v>1.9698498851493169E-2</v>
      </c>
      <c r="BJ31" s="30">
        <f t="shared" si="46"/>
        <v>5.5063860796149389E-2</v>
      </c>
      <c r="BK31" s="30">
        <f t="shared" si="46"/>
        <v>7.4503752035115722E-2</v>
      </c>
      <c r="BL31" s="30">
        <f t="shared" si="46"/>
        <v>8.3831702025629562E-2</v>
      </c>
      <c r="BM31" s="30">
        <f t="shared" si="46"/>
        <v>3.5320215585009206E-3</v>
      </c>
      <c r="BN31" s="30">
        <f t="shared" si="46"/>
        <v>1.571981161598749E-2</v>
      </c>
      <c r="BO31" s="30">
        <f t="shared" ref="BO31:CT31" si="47">BO15^2</f>
        <v>8.9117938655602254E-3</v>
      </c>
      <c r="BP31" s="30">
        <f t="shared" si="47"/>
        <v>4.8943098922276057E-4</v>
      </c>
      <c r="BQ31" s="30">
        <f t="shared" si="47"/>
        <v>1.5200912539908699E-3</v>
      </c>
      <c r="BR31" s="30">
        <f t="shared" si="47"/>
        <v>1.5944596045789244E-3</v>
      </c>
      <c r="BS31" s="30">
        <f t="shared" si="47"/>
        <v>1.8194568184012085E-3</v>
      </c>
      <c r="BT31" s="30">
        <f t="shared" si="47"/>
        <v>1.3540322297754927E-3</v>
      </c>
      <c r="BU31" s="30">
        <f t="shared" si="47"/>
        <v>5.9065343858550872E-3</v>
      </c>
      <c r="BV31" s="30">
        <f t="shared" si="47"/>
        <v>7.5472053435359596E-3</v>
      </c>
      <c r="BW31" s="30">
        <f t="shared" si="47"/>
        <v>2.0578243104668638E-3</v>
      </c>
      <c r="BX31" s="30">
        <f t="shared" si="47"/>
        <v>1.1283282655913372E-3</v>
      </c>
      <c r="BY31" s="30">
        <f t="shared" si="47"/>
        <v>2.5847684350218756E-3</v>
      </c>
      <c r="BZ31" s="30">
        <f t="shared" si="47"/>
        <v>8.1496547640768548E-3</v>
      </c>
      <c r="CA31" s="30">
        <f t="shared" si="47"/>
        <v>9.1592959422478783E-3</v>
      </c>
      <c r="CB31" s="30">
        <f t="shared" si="47"/>
        <v>1.0084923375787341E-2</v>
      </c>
      <c r="CC31" s="30">
        <f t="shared" si="47"/>
        <v>1.8001183661768793E-2</v>
      </c>
      <c r="CD31" s="30">
        <f t="shared" si="47"/>
        <v>4.8741735341212809E-3</v>
      </c>
      <c r="CE31" s="30">
        <f t="shared" si="47"/>
        <v>2.8643698738699081E-3</v>
      </c>
      <c r="CF31" s="30">
        <f t="shared" si="47"/>
        <v>1.900747380858692E-2</v>
      </c>
      <c r="CG31" s="30">
        <f t="shared" si="47"/>
        <v>3.7454330309016348E-2</v>
      </c>
      <c r="CH31" s="30">
        <f t="shared" si="47"/>
        <v>6.8784755691751742E-2</v>
      </c>
      <c r="CI31" s="30">
        <f t="shared" si="47"/>
        <v>0.13115985964946891</v>
      </c>
      <c r="CJ31" s="30">
        <f t="shared" si="47"/>
        <v>2.9716990715045907E-2</v>
      </c>
      <c r="CK31" s="30">
        <f t="shared" si="47"/>
        <v>5.78379275112497E-2</v>
      </c>
      <c r="CL31" s="30">
        <f t="shared" si="47"/>
        <v>8.9016678917862725E-4</v>
      </c>
      <c r="CM31" s="30">
        <f t="shared" si="47"/>
        <v>2.3497181906612483E-3</v>
      </c>
      <c r="CN31" s="30">
        <f t="shared" si="47"/>
        <v>1.5481658792773313E-3</v>
      </c>
      <c r="CO31" s="30">
        <f t="shared" si="47"/>
        <v>1.3550812929448335E-2</v>
      </c>
      <c r="CP31" s="30">
        <f t="shared" si="47"/>
        <v>7.8146368272808179E-4</v>
      </c>
      <c r="CQ31" s="30">
        <f t="shared" si="47"/>
        <v>1.3800985222624471E-2</v>
      </c>
      <c r="CR31" s="30">
        <f t="shared" si="47"/>
        <v>8.7296016706973434E-4</v>
      </c>
      <c r="CS31" s="30">
        <f t="shared" si="47"/>
        <v>1.1559783965691165E-4</v>
      </c>
      <c r="CT31" s="30">
        <f t="shared" si="47"/>
        <v>2.611145956278716E-3</v>
      </c>
      <c r="CU31" s="30">
        <f t="shared" ref="CU31:DZ31" si="48">CU15^2</f>
        <v>1.1714638075554973E-2</v>
      </c>
      <c r="CV31" s="30">
        <f t="shared" si="48"/>
        <v>1.0021030032856079E-2</v>
      </c>
      <c r="CW31" s="30">
        <f t="shared" si="48"/>
        <v>6.7956708149962686E-3</v>
      </c>
      <c r="CX31" s="30">
        <f t="shared" si="48"/>
        <v>2.087057282343216E-2</v>
      </c>
      <c r="CY31" s="30">
        <f t="shared" si="48"/>
        <v>2.3823838623751684E-4</v>
      </c>
      <c r="CZ31" s="30">
        <f t="shared" si="48"/>
        <v>4.6834781421329266E-3</v>
      </c>
      <c r="DA31" s="30">
        <f t="shared" si="48"/>
        <v>1.671595293304563E-3</v>
      </c>
      <c r="DB31" s="30">
        <f t="shared" si="48"/>
        <v>8.1432851424950801E-3</v>
      </c>
      <c r="DC31" s="30">
        <f t="shared" si="48"/>
        <v>5.3158881109708145E-3</v>
      </c>
      <c r="DD31" s="30">
        <f t="shared" si="48"/>
        <v>5.491035847583068E-3</v>
      </c>
      <c r="DE31" s="30">
        <f t="shared" si="48"/>
        <v>1.4574201464018102E-3</v>
      </c>
      <c r="DF31" s="30">
        <f t="shared" si="48"/>
        <v>6.4587568532861166E-3</v>
      </c>
      <c r="DG31" s="30">
        <f t="shared" si="48"/>
        <v>7.1847359589927891E-3</v>
      </c>
      <c r="DH31" s="30">
        <f t="shared" si="48"/>
        <v>2.075879966695328E-3</v>
      </c>
      <c r="DI31" s="30">
        <f t="shared" si="48"/>
        <v>2.3359849150452681E-4</v>
      </c>
      <c r="DJ31" s="30">
        <f t="shared" si="48"/>
        <v>7.4594318265129239E-3</v>
      </c>
      <c r="DK31" s="30">
        <f t="shared" si="48"/>
        <v>6.9363899816193087E-3</v>
      </c>
      <c r="DL31" s="30">
        <f t="shared" si="48"/>
        <v>9.6539397134265834E-2</v>
      </c>
      <c r="DM31" s="30">
        <f t="shared" si="48"/>
        <v>0.23927342619351294</v>
      </c>
      <c r="DN31" s="30">
        <f t="shared" si="48"/>
        <v>0.38085872043722291</v>
      </c>
      <c r="DO31" s="30">
        <f t="shared" si="48"/>
        <v>0.4127017702113619</v>
      </c>
      <c r="DP31" s="30">
        <f t="shared" si="48"/>
        <v>0.26638733939188863</v>
      </c>
      <c r="DQ31" s="30">
        <f t="shared" si="48"/>
        <v>0.28655687730496221</v>
      </c>
      <c r="DR31" s="30">
        <f t="shared" si="48"/>
        <v>4.2606151359050763E-2</v>
      </c>
      <c r="DS31" s="30">
        <f t="shared" si="48"/>
        <v>1.3517121665540105E-3</v>
      </c>
      <c r="DT31" s="30">
        <f t="shared" si="48"/>
        <v>4.4843821505494917E-4</v>
      </c>
      <c r="DU31" s="30">
        <f t="shared" si="48"/>
        <v>1.2097599479109317E-2</v>
      </c>
      <c r="DV31" s="30">
        <f t="shared" si="48"/>
        <v>7.0335467043561497E-3</v>
      </c>
      <c r="DW31" s="30">
        <f t="shared" si="48"/>
        <v>3.1054993267371586E-2</v>
      </c>
      <c r="DX31" s="30">
        <f t="shared" si="48"/>
        <v>6.2718855947567473E-2</v>
      </c>
      <c r="DY31" s="30">
        <f t="shared" si="48"/>
        <v>2.2919783184943601E-2</v>
      </c>
      <c r="DZ31" s="30">
        <f t="shared" si="48"/>
        <v>1.3418395252430172E-2</v>
      </c>
      <c r="EA31" s="30">
        <f t="shared" ref="EA31:EF31" si="49">EA15^2</f>
        <v>3.2090232004291716E-3</v>
      </c>
      <c r="EB31" s="30">
        <f t="shared" si="49"/>
        <v>1.1734174856421395E-3</v>
      </c>
      <c r="EC31" s="30">
        <f t="shared" si="49"/>
        <v>3.026086740151943E-4</v>
      </c>
      <c r="ED31" s="30">
        <f t="shared" si="49"/>
        <v>1.6482462597483167E-3</v>
      </c>
      <c r="EE31" s="30">
        <f t="shared" si="49"/>
        <v>2.489638114141868E-3</v>
      </c>
      <c r="EF31" s="30">
        <f t="shared" si="49"/>
        <v>1.7352811925157672E-3</v>
      </c>
      <c r="EG31" s="4"/>
    </row>
    <row r="32" spans="1:137" ht="16" customHeight="1">
      <c r="A32" s="4"/>
    </row>
    <row r="33" spans="1:2" ht="16" customHeight="1">
      <c r="A33" s="45"/>
      <c r="B33" s="33">
        <f>1-SUM(C19:EF23)/SUM(C27:EF31)</f>
        <v>-3.0758189880626396E-3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預測IC</vt:lpstr>
      <vt:lpstr>預測LightGBM勝率</vt:lpstr>
      <vt:lpstr>預測LightGBM累積報酬 </vt:lpstr>
      <vt:lpstr>LightGBM再投資累積報酬</vt:lpstr>
      <vt:lpstr>預測LightGBM夏普比率</vt:lpstr>
      <vt:lpstr>LightGBM樣本外R2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2025-09-25T12:45:34Z</dcterms:modified>
</cp:coreProperties>
</file>